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725" yWindow="1170" windowWidth="28020" windowHeight="18510" tabRatio="600" firstSheet="0" activeTab="0" autoFilterDateGrouping="1"/>
  </bookViews>
  <sheets>
    <sheet name="Mitt tips" sheetId="1" state="visible" r:id="rId1"/>
    <sheet name="Poängberäkning" sheetId="2" state="visible" r:id="rId2"/>
  </sheets>
  <externalReferences>
    <externalReference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1D]dd/mmm;@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0070C0"/>
      <sz val="11"/>
      <scheme val="minor"/>
    </font>
    <font>
      <name val="Calibri"/>
      <family val="2"/>
      <color theme="0" tint="-0.3499862666707358"/>
      <sz val="10"/>
      <scheme val="minor"/>
    </font>
    <font>
      <name val="Calibri"/>
      <family val="2"/>
      <b val="1"/>
      <sz val="10"/>
      <scheme val="minor"/>
    </font>
    <font>
      <name val="Calibri"/>
      <family val="2"/>
      <sz val="11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A0A0A"/>
      <sz val="10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color theme="0"/>
      <sz val="10"/>
      <scheme val="minor"/>
    </font>
    <font>
      <name val="Calibri"/>
      <family val="2"/>
      <b val="1"/>
      <color rgb="FF000000"/>
      <sz val="10"/>
      <scheme val="minor"/>
    </font>
    <font>
      <name val="Arial"/>
      <family val="2"/>
      <color rgb="FF252525"/>
      <sz val="11"/>
    </font>
    <font>
      <name val="Calibri"/>
      <family val="2"/>
      <b val="1"/>
      <color theme="9" tint="-0.249977111117893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000000"/>
      <sz val="13.75"/>
      <scheme val="minor"/>
    </font>
    <font>
      <name val="Calibri"/>
      <family val="2"/>
      <b val="1"/>
      <color theme="0"/>
      <sz val="13.75"/>
      <scheme val="minor"/>
    </font>
    <font>
      <name val="Arial"/>
      <family val="2"/>
      <b val="1"/>
      <color rgb="FF252525"/>
      <sz val="9.6"/>
    </font>
    <font>
      <name val="Arial"/>
      <family val="2"/>
      <color rgb="FF0B0080"/>
      <sz val="10.3"/>
    </font>
    <font>
      <name val="Arial"/>
      <family val="2"/>
      <b val="1"/>
      <color rgb="FF252525"/>
      <sz val="11"/>
    </font>
    <font>
      <name val="Arial"/>
      <family val="2"/>
      <color rgb="FF252525"/>
      <sz val="10.3"/>
    </font>
    <font>
      <name val="Arial"/>
      <family val="2"/>
      <color rgb="FF252525"/>
      <sz val="9.6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color theme="0" tint="-0.0499893185216834"/>
      <sz val="10"/>
      <scheme val="minor"/>
    </font>
    <font>
      <name val="Calibri"/>
      <family val="2"/>
      <color theme="1"/>
      <sz val="12"/>
      <scheme val="minor"/>
    </font>
    <font>
      <name val="Arial"/>
      <family val="2"/>
      <color theme="1"/>
      <sz val="11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AFDD9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theme="3" tint="0.5999938962981048"/>
      </left>
      <right/>
      <top style="thin">
        <color theme="3" tint="0.5999938962981048"/>
      </top>
      <bottom/>
      <diagonal/>
    </border>
    <border>
      <left/>
      <right/>
      <top style="thin">
        <color theme="3" tint="0.5999938962981048"/>
      </top>
      <bottom/>
      <diagonal/>
    </border>
    <border>
      <left style="thin">
        <color theme="3" tint="0.7999816888943144"/>
      </left>
      <right/>
      <top style="thin">
        <color theme="3" tint="0.5999938962981048"/>
      </top>
      <bottom style="thin">
        <color theme="3" tint="0.5999938962981048"/>
      </bottom>
      <diagonal/>
    </border>
    <border>
      <left/>
      <right/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7999816888943144"/>
      </right>
      <top style="thin">
        <color theme="3" tint="0.5999938962981048"/>
      </top>
      <bottom style="thin">
        <color theme="3" tint="0.5999938962981048"/>
      </bottom>
      <diagonal/>
    </border>
    <border>
      <left style="thin">
        <color theme="3" tint="0.7999816888943144"/>
      </left>
      <right style="thin">
        <color theme="3" tint="0.5999938962981048"/>
      </right>
      <top style="thin">
        <color theme="3" tint="0.5999938962981048"/>
      </top>
      <bottom style="thin">
        <color theme="3" tint="0.5999938962981048"/>
      </bottom>
      <diagonal/>
    </border>
    <border>
      <left style="thin">
        <color theme="3" tint="0.7999816888943144"/>
      </left>
      <right style="thin">
        <color theme="3" tint="0.5999938962981048"/>
      </right>
      <top style="thin">
        <color theme="3" tint="0.5999938962981048"/>
      </top>
      <bottom/>
      <diagonal/>
    </border>
    <border>
      <left style="thin">
        <color theme="3" tint="0.5999938962981048"/>
      </left>
      <right/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5999938962981048"/>
      </right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5999938962981048"/>
      </right>
      <top style="thin">
        <color theme="3" tint="0.5999938962981048"/>
      </top>
      <bottom/>
      <diagonal/>
    </border>
    <border>
      <left style="thin">
        <color theme="3" tint="0.5999938962981048"/>
      </left>
      <right style="thin">
        <color theme="3" tint="0.5999938962981048"/>
      </right>
      <top style="thin">
        <color theme="3" tint="0.5999938962981048"/>
      </top>
      <bottom style="thin">
        <color theme="3" tint="0.5999938962981048"/>
      </bottom>
      <diagonal/>
    </border>
    <border>
      <left style="thin">
        <color theme="3" tint="0.5999938962981048"/>
      </left>
      <right style="thin">
        <color theme="3" tint="0.5999938962981048"/>
      </right>
      <top/>
      <bottom style="thin">
        <color theme="3" tint="0.5999938962981048"/>
      </bottom>
      <diagonal/>
    </border>
    <border>
      <left style="thin">
        <color theme="3" tint="0.5999938962981048"/>
      </left>
      <right/>
      <top/>
      <bottom style="thin">
        <color theme="3" tint="0.5999938962981048"/>
      </bottom>
      <diagonal/>
    </border>
    <border>
      <left/>
      <right/>
      <top/>
      <bottom style="thin">
        <color theme="3" tint="0.5999938962981048"/>
      </bottom>
      <diagonal/>
    </border>
    <border>
      <left/>
      <right style="thin">
        <color theme="3" tint="0.5999938962981048"/>
      </right>
      <top/>
      <bottom style="thin">
        <color theme="3" tint="0.5999938962981048"/>
      </bottom>
      <diagonal/>
    </border>
    <border>
      <left style="thin">
        <color theme="3" tint="0.5999938962981048"/>
      </left>
      <right/>
      <top/>
      <bottom/>
      <diagonal/>
    </border>
    <border>
      <left/>
      <right style="thin">
        <color theme="3" tint="0.5999938962981048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3" tint="0.5999938962981048"/>
      </left>
      <right style="thin">
        <color theme="3" tint="0.7999816888943144"/>
      </right>
      <top style="thin">
        <color theme="3" tint="0.5999938962981048"/>
      </top>
      <bottom style="thin">
        <color theme="3" tint="0.599993896298104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3" tint="0.5999938962981048"/>
      </left>
      <right style="thin">
        <color theme="3" tint="0.5999938962981048"/>
      </right>
      <top style="thin">
        <color theme="3" tint="0.5999938962981048"/>
      </top>
      <bottom/>
      <diagonal/>
    </border>
    <border>
      <left style="thin">
        <color theme="3" tint="0.7999816888943144"/>
      </left>
      <right style="thin">
        <color theme="3" tint="0.7999816888943144"/>
      </right>
      <top style="thin">
        <color theme="3" tint="0.5999938962981048"/>
      </top>
      <bottom style="thin">
        <color theme="3" tint="0.5999938962981048"/>
      </bottom>
      <diagonal/>
    </border>
    <border>
      <left/>
      <right style="thin">
        <color theme="3" tint="0.7999816888943144"/>
      </right>
      <top style="thin">
        <color theme="3" tint="0.5999938962981048"/>
      </top>
      <bottom/>
      <diagonal/>
    </border>
  </borders>
  <cellStyleXfs count="2">
    <xf numFmtId="0" fontId="0" fillId="0" borderId="0"/>
    <xf numFmtId="0" fontId="3" fillId="0" borderId="0"/>
  </cellStyleXfs>
  <cellXfs count="220">
    <xf numFmtId="0" fontId="0" fillId="0" borderId="0" pivotButton="0" quotePrefix="0" xfId="0"/>
    <xf numFmtId="0" fontId="4" fillId="2" borderId="0" applyAlignment="1" applyProtection="1" pivotButton="0" quotePrefix="0" xfId="0">
      <alignment horizontal="left" vertical="center"/>
      <protection locked="1" hidden="1"/>
    </xf>
    <xf numFmtId="0" fontId="5" fillId="2" borderId="0" pivotButton="0" quotePrefix="0" xfId="0"/>
    <xf numFmtId="0" fontId="4" fillId="2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pivotButton="0" quotePrefix="0" xfId="0">
      <alignment horizontal="left" indent="2"/>
    </xf>
    <xf numFmtId="0" fontId="3" fillId="2" borderId="0" pivotButton="0" quotePrefix="0" xfId="1"/>
    <xf numFmtId="0" fontId="4" fillId="2" borderId="0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center"/>
      <protection locked="1" hidden="1"/>
    </xf>
    <xf numFmtId="0" fontId="4" fillId="2" borderId="0" applyAlignment="1" applyProtection="1" pivotButton="0" quotePrefix="0" xfId="0">
      <alignment vertical="center"/>
      <protection locked="1" hidden="1"/>
    </xf>
    <xf numFmtId="0" fontId="4" fillId="2" borderId="0" applyAlignment="1" applyProtection="1" pivotButton="0" quotePrefix="0" xfId="0">
      <alignment horizontal="right" vertical="center"/>
      <protection locked="1" hidden="1"/>
    </xf>
    <xf numFmtId="0" fontId="4" fillId="0" borderId="0" applyAlignment="1" applyProtection="1" pivotButton="0" quotePrefix="0" xfId="0">
      <alignment horizontal="right" vertical="center"/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Alignment="1" applyProtection="1" pivotButton="0" quotePrefix="0" xfId="0">
      <alignment horizontal="center"/>
      <protection locked="1" hidden="1"/>
    </xf>
    <xf numFmtId="0" fontId="0" fillId="3" borderId="0" applyProtection="1" pivotButton="0" quotePrefix="0" xfId="0">
      <protection locked="1" hidden="1"/>
    </xf>
    <xf numFmtId="0" fontId="7" fillId="0" borderId="0" applyAlignment="1" applyProtection="1" pivotButton="0" quotePrefix="0" xfId="0">
      <alignment horizontal="left" vertical="center"/>
      <protection locked="1" hidden="1"/>
    </xf>
    <xf numFmtId="0" fontId="7" fillId="0" borderId="0" applyAlignment="1" applyProtection="1" pivotButton="0" quotePrefix="0" xfId="0">
      <alignment horizontal="center" vertical="center"/>
      <protection locked="1" hidden="1"/>
    </xf>
    <xf numFmtId="0" fontId="8" fillId="0" borderId="0" applyAlignment="1" applyProtection="1" pivotButton="0" quotePrefix="0" xfId="0">
      <alignment vertical="center"/>
      <protection locked="1" hidden="1"/>
    </xf>
    <xf numFmtId="0" fontId="9" fillId="2" borderId="0" applyAlignment="1" applyProtection="1" pivotButton="0" quotePrefix="0" xfId="0">
      <alignment vertical="center"/>
      <protection locked="1" hidden="1"/>
    </xf>
    <xf numFmtId="0" fontId="10" fillId="2" borderId="0" applyAlignment="1" applyProtection="1" pivotButton="0" quotePrefix="0" xfId="0">
      <alignment horizontal="left" vertical="center"/>
      <protection locked="1" hidden="1"/>
    </xf>
    <xf numFmtId="0" fontId="4" fillId="0" borderId="0" applyAlignment="1" applyProtection="1" pivotButton="0" quotePrefix="0" xfId="0">
      <alignment horizontal="left" vertical="center"/>
      <protection locked="1" hidden="1"/>
    </xf>
    <xf numFmtId="0" fontId="11" fillId="2" borderId="0" applyAlignment="1" applyProtection="1" pivotButton="0" quotePrefix="0" xfId="0">
      <alignment horizontal="left" vertical="center"/>
      <protection locked="1" hidden="1"/>
    </xf>
    <xf numFmtId="0" fontId="8" fillId="0" borderId="0" applyAlignment="1" pivotButton="0" quotePrefix="0" xfId="0">
      <alignment horizontal="left" indent="2"/>
    </xf>
    <xf numFmtId="0" fontId="7" fillId="2" borderId="0" applyAlignment="1" applyProtection="1" pivotButton="0" quotePrefix="0" xfId="0">
      <alignment horizontal="center" vertical="center"/>
      <protection locked="1" hidden="1"/>
    </xf>
    <xf numFmtId="0" fontId="7" fillId="2" borderId="0" applyAlignment="1" applyProtection="1" pivotButton="0" quotePrefix="0" xfId="0">
      <alignment horizontal="left" vertical="center" indent="2"/>
      <protection locked="1" hidden="1"/>
    </xf>
    <xf numFmtId="0" fontId="10" fillId="2" borderId="0" applyAlignment="1" applyProtection="1" pivotButton="0" quotePrefix="0" xfId="0">
      <alignment horizontal="center" vertical="center"/>
      <protection locked="0" hidden="0"/>
    </xf>
    <xf numFmtId="0" fontId="7" fillId="2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0">
      <alignment vertical="center"/>
      <protection locked="1" hidden="1"/>
    </xf>
    <xf numFmtId="0" fontId="12" fillId="0" borderId="0" applyAlignment="1" applyProtection="1" pivotButton="0" quotePrefix="0" xfId="0">
      <alignment vertical="center"/>
      <protection locked="1" hidden="1"/>
    </xf>
    <xf numFmtId="0" fontId="2" fillId="0" borderId="0" applyAlignment="1" applyProtection="1" pivotButton="0" quotePrefix="0" xfId="0">
      <alignment horizontal="center"/>
      <protection locked="1" hidden="1"/>
    </xf>
    <xf numFmtId="0" fontId="13" fillId="2" borderId="0" applyAlignment="1" applyProtection="1" pivotButton="0" quotePrefix="0" xfId="0">
      <alignment horizontal="center" vertical="center"/>
      <protection locked="1" hidden="1"/>
    </xf>
    <xf numFmtId="0" fontId="11" fillId="2" borderId="0" applyAlignment="1" applyProtection="1" pivotButton="0" quotePrefix="0" xfId="0">
      <alignment horizontal="left" vertical="center" wrapText="1"/>
      <protection locked="1" hidden="1"/>
    </xf>
    <xf numFmtId="0" fontId="14" fillId="2" borderId="0" applyAlignment="1" applyProtection="1" pivotButton="0" quotePrefix="0" xfId="0">
      <alignment horizontal="left" vertical="center"/>
      <protection locked="1" hidden="1"/>
    </xf>
    <xf numFmtId="0" fontId="10" fillId="2" borderId="0" applyAlignment="1" applyProtection="1" pivotButton="0" quotePrefix="0" xfId="0">
      <alignment horizontal="center" vertical="center"/>
      <protection locked="1" hidden="1"/>
    </xf>
    <xf numFmtId="0" fontId="0" fillId="4" borderId="0" applyAlignment="1" applyProtection="1" pivotButton="0" quotePrefix="0" xfId="0">
      <alignment horizontal="center"/>
      <protection locked="1" hidden="1"/>
    </xf>
    <xf numFmtId="0" fontId="0" fillId="5" borderId="0" applyAlignment="1" applyProtection="1" pivotButton="0" quotePrefix="0" xfId="0">
      <alignment horizontal="center"/>
      <protection locked="1" hidden="1"/>
    </xf>
    <xf numFmtId="0" fontId="0" fillId="6" borderId="0" applyAlignment="1" applyProtection="1" pivotButton="0" quotePrefix="0" xfId="0">
      <alignment horizontal="center"/>
      <protection locked="1" hidden="1"/>
    </xf>
    <xf numFmtId="0" fontId="0" fillId="3" borderId="0" applyAlignment="1" applyProtection="1" pivotButton="0" quotePrefix="0" xfId="0">
      <alignment horizontal="center"/>
      <protection locked="1" hidden="1"/>
    </xf>
    <xf numFmtId="0" fontId="0" fillId="7" borderId="0" applyAlignment="1" applyProtection="1" pivotButton="0" quotePrefix="0" xfId="0">
      <alignment horizontal="center"/>
      <protection locked="1" hidden="1"/>
    </xf>
    <xf numFmtId="0" fontId="0" fillId="4" borderId="0" applyProtection="1" pivotButton="0" quotePrefix="0" xfId="0">
      <protection locked="1" hidden="1"/>
    </xf>
    <xf numFmtId="0" fontId="0" fillId="5" borderId="0" applyProtection="1" pivotButton="0" quotePrefix="0" xfId="0">
      <protection locked="1" hidden="1"/>
    </xf>
    <xf numFmtId="0" fontId="0" fillId="6" borderId="0" applyProtection="1" pivotButton="0" quotePrefix="0" xfId="0">
      <protection locked="1" hidden="1"/>
    </xf>
    <xf numFmtId="0" fontId="10" fillId="8" borderId="0" applyAlignment="1" applyProtection="1" pivotButton="0" quotePrefix="0" xfId="0">
      <alignment vertical="center"/>
      <protection locked="1" hidden="1"/>
    </xf>
    <xf numFmtId="0" fontId="10" fillId="0" borderId="0" applyAlignment="1" applyProtection="1" pivotButton="0" quotePrefix="0" xfId="0">
      <alignment vertical="center"/>
      <protection locked="1" hidden="1"/>
    </xf>
    <xf numFmtId="164" fontId="9" fillId="2" borderId="0" applyAlignment="1" applyProtection="1" pivotButton="0" quotePrefix="0" xfId="0">
      <alignment horizontal="left" vertical="center"/>
      <protection locked="1" hidden="1"/>
    </xf>
    <xf numFmtId="0" fontId="10" fillId="8" borderId="1" applyAlignment="1" applyProtection="1" pivotButton="0" quotePrefix="0" xfId="0">
      <alignment horizontal="left" vertical="center"/>
      <protection locked="1" hidden="1"/>
    </xf>
    <xf numFmtId="0" fontId="10" fillId="8" borderId="2" applyAlignment="1" applyProtection="1" pivotButton="0" quotePrefix="0" xfId="0">
      <alignment horizontal="left" vertical="center"/>
      <protection locked="1" hidden="1"/>
    </xf>
    <xf numFmtId="0" fontId="7" fillId="8" borderId="6" applyAlignment="1" applyProtection="1" pivotButton="0" quotePrefix="0" xfId="0">
      <alignment horizontal="center" vertical="center"/>
      <protection locked="1" hidden="1"/>
    </xf>
    <xf numFmtId="0" fontId="7" fillId="8" borderId="7" applyAlignment="1" applyProtection="1" pivotButton="0" quotePrefix="0" xfId="0">
      <alignment horizontal="center" vertical="center"/>
      <protection locked="1" hidden="1"/>
    </xf>
    <xf numFmtId="0" fontId="12" fillId="0" borderId="0" applyAlignment="1" applyProtection="1" pivotButton="0" quotePrefix="0" xfId="0">
      <alignment horizontal="center" vertical="center"/>
      <protection locked="1" hidden="1"/>
    </xf>
    <xf numFmtId="0" fontId="13" fillId="2" borderId="0" applyAlignment="1" applyProtection="1" pivotButton="0" quotePrefix="0" xfId="0">
      <alignment horizontal="left" vertical="center"/>
      <protection locked="1" hidden="1"/>
    </xf>
    <xf numFmtId="0" fontId="7" fillId="8" borderId="8" applyAlignment="1" applyProtection="1" pivotButton="0" quotePrefix="0" xfId="0">
      <alignment horizontal="left" vertical="center"/>
      <protection locked="1" hidden="1"/>
    </xf>
    <xf numFmtId="0" fontId="7" fillId="8" borderId="4" applyAlignment="1" applyProtection="1" pivotButton="0" quotePrefix="0" xfId="0">
      <alignment horizontal="center" vertical="center"/>
      <protection locked="1" hidden="1"/>
    </xf>
    <xf numFmtId="0" fontId="7" fillId="8" borderId="9" applyAlignment="1" applyProtection="1" pivotButton="0" quotePrefix="0" xfId="0">
      <alignment horizontal="center" vertical="center"/>
      <protection locked="1" hidden="1"/>
    </xf>
    <xf numFmtId="0" fontId="10" fillId="8" borderId="10" applyAlignment="1" applyProtection="1" pivotButton="0" quotePrefix="0" xfId="0">
      <alignment horizontal="center" vertical="center"/>
      <protection locked="1" hidden="1"/>
    </xf>
    <xf numFmtId="0" fontId="10" fillId="8" borderId="2" applyAlignment="1" applyProtection="1" pivotButton="0" quotePrefix="0" xfId="0">
      <alignment horizontal="center" vertical="center"/>
      <protection locked="1" hidden="1"/>
    </xf>
    <xf numFmtId="0" fontId="0" fillId="5" borderId="0" applyAlignment="1" applyProtection="1" pivotButton="0" quotePrefix="1" xfId="0">
      <alignment horizontal="center"/>
      <protection locked="1" hidden="1"/>
    </xf>
    <xf numFmtId="0" fontId="10" fillId="8" borderId="0" applyAlignment="1" applyProtection="1" pivotButton="0" quotePrefix="0" xfId="0">
      <alignment horizontal="center" vertical="center"/>
      <protection locked="1" hidden="1"/>
    </xf>
    <xf numFmtId="0" fontId="4" fillId="2" borderId="11" applyAlignment="1" applyProtection="1" pivotButton="0" quotePrefix="0" xfId="0">
      <alignment horizontal="center" vertical="center"/>
      <protection locked="1" hidden="1"/>
    </xf>
    <xf numFmtId="164" fontId="4" fillId="2" borderId="11" applyAlignment="1" applyProtection="1" pivotButton="0" quotePrefix="0" xfId="0">
      <alignment horizontal="left" vertical="center"/>
      <protection locked="1" hidden="1"/>
    </xf>
    <xf numFmtId="0" fontId="4" fillId="2" borderId="4" applyAlignment="1" applyProtection="1" pivotButton="0" quotePrefix="0" xfId="0">
      <alignment horizontal="left" vertical="center" indent="2"/>
      <protection locked="1" hidden="1"/>
    </xf>
    <xf numFmtId="0" fontId="4" fillId="2" borderId="4" applyAlignment="1" applyProtection="1" pivotButton="0" quotePrefix="0" xfId="0">
      <alignment horizontal="center" vertical="center"/>
      <protection locked="1" hidden="1"/>
    </xf>
    <xf numFmtId="0" fontId="4" fillId="2" borderId="9" applyAlignment="1" applyProtection="1" pivotButton="0" quotePrefix="0" xfId="0">
      <alignment horizontal="left" vertical="center" indent="2"/>
      <protection locked="1" hidden="1"/>
    </xf>
    <xf numFmtId="1" fontId="4" fillId="9" borderId="4" applyAlignment="1" applyProtection="1" pivotButton="0" quotePrefix="0" xfId="0">
      <alignment horizontal="center" vertical="center"/>
      <protection locked="0" hidden="0"/>
    </xf>
    <xf numFmtId="0" fontId="4" fillId="2" borderId="11" applyAlignment="1" applyProtection="1" pivotButton="0" quotePrefix="0" xfId="0">
      <alignment horizontal="center" vertical="center"/>
      <protection locked="0" hidden="0"/>
    </xf>
    <xf numFmtId="0" fontId="9" fillId="2" borderId="11" applyAlignment="1" applyProtection="1" pivotButton="0" quotePrefix="0" xfId="0">
      <alignment horizontal="center" vertical="center"/>
      <protection locked="1" hidden="1"/>
    </xf>
    <xf numFmtId="0" fontId="7" fillId="10" borderId="11" applyAlignment="1" applyProtection="1" pivotButton="0" quotePrefix="0" xfId="0">
      <alignment horizontal="center" vertical="center"/>
      <protection locked="1" hidden="1"/>
    </xf>
    <xf numFmtId="0" fontId="13" fillId="0" borderId="0" applyAlignment="1" applyProtection="1" pivotButton="0" quotePrefix="0" xfId="0">
      <alignment horizontal="center" vertical="center"/>
      <protection locked="1" hidden="1"/>
    </xf>
    <xf numFmtId="16" fontId="7" fillId="2" borderId="1" applyAlignment="1" applyProtection="1" pivotButton="0" quotePrefix="0" xfId="0">
      <alignment horizontal="left" vertical="center"/>
      <protection locked="1" hidden="1"/>
    </xf>
    <xf numFmtId="1" fontId="9" fillId="2" borderId="2" applyAlignment="1" applyProtection="1" pivotButton="0" quotePrefix="0" xfId="0">
      <alignment horizontal="center" vertical="center"/>
      <protection locked="1" hidden="1"/>
    </xf>
    <xf numFmtId="1" fontId="9" fillId="2" borderId="10" applyAlignment="1" applyProtection="1" pivotButton="0" quotePrefix="0" xfId="0">
      <alignment horizontal="center" vertical="center"/>
      <protection locked="1" hidden="1"/>
    </xf>
    <xf numFmtId="0" fontId="4" fillId="2" borderId="11" applyAlignment="1" applyProtection="1" pivotButton="0" quotePrefix="0" xfId="0">
      <alignment horizontal="left" vertical="center"/>
      <protection locked="1" hidden="1"/>
    </xf>
    <xf numFmtId="16" fontId="4" fillId="2" borderId="12" applyAlignment="1" applyProtection="1" pivotButton="0" quotePrefix="0" xfId="0">
      <alignment horizontal="left" vertical="center"/>
      <protection locked="1" hidden="1"/>
    </xf>
    <xf numFmtId="0" fontId="9" fillId="0" borderId="0" applyAlignment="1" applyProtection="1" pivotButton="0" quotePrefix="0" xfId="0">
      <alignment horizontal="center" vertical="center"/>
      <protection locked="1" hidden="1"/>
    </xf>
    <xf numFmtId="3" fontId="15" fillId="0" borderId="0" applyAlignment="1" applyProtection="1" pivotButton="0" quotePrefix="0" xfId="0">
      <alignment horizontal="center" vertical="center"/>
      <protection locked="1" hidden="1"/>
    </xf>
    <xf numFmtId="0" fontId="8" fillId="0" borderId="0" applyAlignment="1" applyProtection="1" pivotButton="0" quotePrefix="0" xfId="0">
      <alignment horizontal="center"/>
      <protection locked="1" hidden="1"/>
    </xf>
    <xf numFmtId="0" fontId="9" fillId="0" borderId="0" applyAlignment="1" applyProtection="1" pivotButton="0" quotePrefix="0" xfId="0">
      <alignment horizontal="left" vertical="center"/>
      <protection locked="1" hidden="1"/>
    </xf>
    <xf numFmtId="1" fontId="0" fillId="0" borderId="0" applyAlignment="1" applyProtection="1" pivotButton="0" quotePrefix="0" xfId="0">
      <alignment horizontal="center"/>
      <protection locked="1" hidden="1"/>
    </xf>
    <xf numFmtId="1" fontId="4" fillId="2" borderId="0" applyAlignment="1" applyProtection="1" pivotButton="0" quotePrefix="0" xfId="0">
      <alignment vertical="center"/>
      <protection locked="1" hidden="1"/>
    </xf>
    <xf numFmtId="0" fontId="9" fillId="2" borderId="0" applyAlignment="1" applyProtection="1" pivotButton="0" quotePrefix="0" xfId="0">
      <alignment horizontal="center" vertical="center"/>
      <protection locked="1" hidden="1"/>
    </xf>
    <xf numFmtId="16" fontId="7" fillId="2" borderId="13" applyAlignment="1" applyProtection="1" pivotButton="0" quotePrefix="0" xfId="0">
      <alignment horizontal="left" vertical="center"/>
      <protection locked="1" hidden="1"/>
    </xf>
    <xf numFmtId="0" fontId="4" fillId="2" borderId="14" applyAlignment="1" applyProtection="1" pivotButton="0" quotePrefix="0" xfId="0">
      <alignment horizontal="center" vertical="center"/>
      <protection locked="1" hidden="1"/>
    </xf>
    <xf numFmtId="1" fontId="9" fillId="2" borderId="15" applyAlignment="1" applyProtection="1" pivotButton="0" quotePrefix="0" xfId="0">
      <alignment horizontal="center" vertical="center"/>
      <protection locked="1" hidden="1"/>
    </xf>
    <xf numFmtId="16" fontId="16" fillId="2" borderId="16" applyAlignment="1" applyProtection="1" pivotButton="0" quotePrefix="0" xfId="0">
      <alignment horizontal="left" vertical="center"/>
      <protection locked="1" hidden="1"/>
    </xf>
    <xf numFmtId="1" fontId="9" fillId="2" borderId="0" applyAlignment="1" applyProtection="1" pivotButton="0" quotePrefix="0" xfId="0">
      <alignment horizontal="center" vertical="center"/>
      <protection locked="1" hidden="1"/>
    </xf>
    <xf numFmtId="1" fontId="9" fillId="2" borderId="17" applyAlignment="1" applyProtection="1" pivotButton="0" quotePrefix="0" xfId="0">
      <alignment horizontal="center" vertical="center"/>
      <protection locked="1" hidden="1"/>
    </xf>
    <xf numFmtId="16" fontId="9" fillId="2" borderId="13" applyAlignment="1" applyProtection="1" pivotButton="0" quotePrefix="0" xfId="0">
      <alignment horizontal="left" vertical="center"/>
      <protection locked="1" hidden="1"/>
    </xf>
    <xf numFmtId="1" fontId="9" fillId="2" borderId="14" applyAlignment="1" applyProtection="1" pivotButton="0" quotePrefix="0" xfId="0">
      <alignment horizontal="center" vertical="center"/>
      <protection locked="1" hidden="1"/>
    </xf>
    <xf numFmtId="0" fontId="0" fillId="0" borderId="18" applyProtection="1" pivotButton="0" quotePrefix="0" xfId="0">
      <protection locked="1" hidden="1"/>
    </xf>
    <xf numFmtId="0" fontId="0" fillId="0" borderId="18" applyAlignment="1" applyProtection="1" pivotButton="0" quotePrefix="0" xfId="0">
      <alignment horizontal="center"/>
      <protection locked="1" hidden="1"/>
    </xf>
    <xf numFmtId="0" fontId="4" fillId="2" borderId="12" applyAlignment="1" applyProtection="1" pivotButton="0" quotePrefix="0" xfId="0">
      <alignment horizontal="center" vertical="center"/>
      <protection locked="1" hidden="1"/>
    </xf>
    <xf numFmtId="1" fontId="13" fillId="2" borderId="0" applyAlignment="1" applyProtection="1" pivotButton="0" quotePrefix="0" xfId="0">
      <alignment vertical="center"/>
      <protection locked="1" hidden="1"/>
    </xf>
    <xf numFmtId="1" fontId="9" fillId="2" borderId="0" applyAlignment="1" applyProtection="1" pivotButton="0" quotePrefix="0" xfId="0">
      <alignment vertical="center"/>
      <protection locked="1" hidden="1"/>
    </xf>
    <xf numFmtId="0" fontId="17" fillId="2" borderId="11" applyAlignment="1" applyProtection="1" pivotButton="0" quotePrefix="0" xfId="0">
      <alignment horizontal="left" vertical="center"/>
      <protection locked="0" hidden="0"/>
    </xf>
    <xf numFmtId="164" fontId="4" fillId="2" borderId="0" applyAlignment="1" applyProtection="1" pivotButton="0" quotePrefix="0" xfId="0">
      <alignment horizontal="left" vertical="center"/>
      <protection locked="1" hidden="1"/>
    </xf>
    <xf numFmtId="0" fontId="4" fillId="2" borderId="0" applyAlignment="1" applyProtection="1" pivotButton="0" quotePrefix="0" xfId="0">
      <alignment horizontal="left" vertical="center" indent="2"/>
      <protection locked="1" hidden="1"/>
    </xf>
    <xf numFmtId="0" fontId="18" fillId="0" borderId="0" applyAlignment="1" applyProtection="1" pivotButton="0" quotePrefix="0" xfId="0">
      <alignment horizontal="left" indent="2"/>
      <protection locked="1" hidden="1"/>
    </xf>
    <xf numFmtId="164" fontId="10" fillId="2" borderId="0" applyAlignment="1" applyProtection="1" pivotButton="0" quotePrefix="0" xfId="0">
      <alignment horizontal="left" vertical="center"/>
      <protection locked="1" hidden="1"/>
    </xf>
    <xf numFmtId="0" fontId="0" fillId="0" borderId="0" applyAlignment="1" applyProtection="1" pivotButton="0" quotePrefix="0" xfId="0">
      <alignment horizontal="left" indent="2"/>
      <protection locked="1" hidden="1"/>
    </xf>
    <xf numFmtId="0" fontId="18" fillId="2" borderId="0" applyAlignment="1" applyProtection="1" pivotButton="0" quotePrefix="0" xfId="0">
      <alignment horizontal="left" indent="2"/>
      <protection locked="1" hidden="1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18" fillId="0" borderId="0" applyProtection="1" pivotButton="0" quotePrefix="0" xfId="0">
      <protection locked="1" hidden="1"/>
    </xf>
    <xf numFmtId="0" fontId="19" fillId="0" borderId="0" applyProtection="1" pivotButton="0" quotePrefix="0" xfId="0">
      <protection locked="1" hidden="1"/>
    </xf>
    <xf numFmtId="0" fontId="12" fillId="2" borderId="0" applyAlignment="1" applyProtection="1" pivotButton="0" quotePrefix="0" xfId="0">
      <alignment horizontal="center" vertical="center"/>
      <protection locked="1" hidden="1"/>
    </xf>
    <xf numFmtId="0" fontId="10" fillId="2" borderId="0" applyAlignment="1" applyProtection="1" pivotButton="0" quotePrefix="0" xfId="0">
      <alignment vertical="center"/>
      <protection locked="1" hidden="1"/>
    </xf>
    <xf numFmtId="0" fontId="4" fillId="0" borderId="0" applyAlignment="1" applyProtection="1" pivotButton="0" quotePrefix="0" xfId="0">
      <alignment horizontal="center" vertical="center"/>
      <protection locked="1" hidden="1"/>
    </xf>
    <xf numFmtId="0" fontId="10" fillId="8" borderId="19" applyAlignment="1" applyProtection="1" pivotButton="0" quotePrefix="0" xfId="0">
      <alignment horizontal="left" vertical="center"/>
      <protection locked="1" hidden="1"/>
    </xf>
    <xf numFmtId="0" fontId="10" fillId="8" borderId="4" applyAlignment="1" applyProtection="1" pivotButton="0" quotePrefix="0" xfId="0">
      <alignment horizontal="left" vertical="center"/>
      <protection locked="1" hidden="1"/>
    </xf>
    <xf numFmtId="0" fontId="4" fillId="0" borderId="0" applyAlignment="1" applyProtection="1" pivotButton="0" quotePrefix="0" xfId="0">
      <alignment vertical="center"/>
      <protection locked="1" hidden="1"/>
    </xf>
    <xf numFmtId="0" fontId="0" fillId="2" borderId="0" applyProtection="1" pivotButton="0" quotePrefix="0" xfId="0">
      <protection locked="0" hidden="0"/>
    </xf>
    <xf numFmtId="49" fontId="9" fillId="2" borderId="0" applyAlignment="1" applyProtection="1" pivotButton="0" quotePrefix="0" xfId="0">
      <alignment horizontal="center" vertical="center"/>
      <protection locked="1" hidden="1"/>
    </xf>
    <xf numFmtId="0" fontId="20" fillId="0" borderId="0" applyAlignment="1" applyProtection="1" pivotButton="0" quotePrefix="0" xfId="0">
      <alignment vertical="center" wrapText="1"/>
      <protection locked="1" hidden="1"/>
    </xf>
    <xf numFmtId="0" fontId="21" fillId="0" borderId="0" applyAlignment="1" applyProtection="1" pivotButton="0" quotePrefix="0" xfId="0">
      <alignment vertical="center" wrapText="1"/>
      <protection locked="1" hidden="1"/>
    </xf>
    <xf numFmtId="0" fontId="22" fillId="0" borderId="0" applyAlignment="1" applyProtection="1" pivotButton="0" quotePrefix="0" xfId="0">
      <alignment vertical="center" wrapText="1"/>
      <protection locked="1" hidden="1"/>
    </xf>
    <xf numFmtId="0" fontId="0" fillId="2" borderId="0" applyProtection="1" pivotButton="0" quotePrefix="0" xfId="0">
      <protection locked="1" hidden="1"/>
    </xf>
    <xf numFmtId="0" fontId="4" fillId="2" borderId="20" applyAlignment="1" applyProtection="1" pivotButton="0" quotePrefix="0" xfId="0">
      <alignment vertical="center"/>
      <protection locked="1" hidden="1"/>
    </xf>
    <xf numFmtId="0" fontId="2" fillId="0" borderId="0" applyProtection="1" pivotButton="0" quotePrefix="0" xfId="0">
      <protection locked="1" hidden="1"/>
    </xf>
    <xf numFmtId="0" fontId="10" fillId="8" borderId="8" applyAlignment="1" applyProtection="1" pivotButton="0" quotePrefix="0" xfId="0">
      <alignment horizontal="left" vertical="center"/>
      <protection locked="1" hidden="1"/>
    </xf>
    <xf numFmtId="0" fontId="10" fillId="8" borderId="1" applyAlignment="1" applyProtection="1" pivotButton="0" quotePrefix="0" xfId="0">
      <alignment vertical="center"/>
      <protection locked="1" hidden="1"/>
    </xf>
    <xf numFmtId="0" fontId="4" fillId="2" borderId="1" applyAlignment="1" applyProtection="1" pivotButton="0" quotePrefix="0" xfId="0">
      <alignment vertical="center"/>
      <protection locked="1" hidden="1"/>
    </xf>
    <xf numFmtId="0" fontId="9" fillId="2" borderId="2" applyAlignment="1" applyProtection="1" pivotButton="0" quotePrefix="0" xfId="0">
      <alignment horizontal="center" vertical="center"/>
      <protection locked="1" hidden="1"/>
    </xf>
    <xf numFmtId="0" fontId="9" fillId="2" borderId="10" applyAlignment="1" applyProtection="1" pivotButton="0" quotePrefix="0" xfId="0">
      <alignment horizontal="center" vertical="center"/>
      <protection locked="1" hidden="1"/>
    </xf>
    <xf numFmtId="0" fontId="4" fillId="2" borderId="16" applyAlignment="1" applyProtection="1" pivotButton="0" quotePrefix="0" xfId="0">
      <alignment vertical="center"/>
      <protection locked="1" hidden="1"/>
    </xf>
    <xf numFmtId="0" fontId="9" fillId="2" borderId="17" applyAlignment="1" applyProtection="1" pivotButton="0" quotePrefix="0" xfId="0">
      <alignment horizontal="center" vertical="center"/>
      <protection locked="1" hidden="1"/>
    </xf>
    <xf numFmtId="0" fontId="4" fillId="0" borderId="0" applyAlignment="1" pivotButton="0" quotePrefix="0" xfId="0">
      <alignment horizontal="center" vertical="center"/>
    </xf>
    <xf numFmtId="0" fontId="24" fillId="0" borderId="0" applyAlignment="1" applyProtection="1" pivotButton="0" quotePrefix="0" xfId="0">
      <alignment vertical="top" wrapText="1"/>
      <protection locked="1" hidden="1"/>
    </xf>
    <xf numFmtId="0" fontId="10" fillId="2" borderId="0" applyAlignment="1" applyProtection="1" pivotButton="0" quotePrefix="0" xfId="0">
      <alignment horizontal="left" vertical="center" indent="2"/>
      <protection locked="1" hidden="1"/>
    </xf>
    <xf numFmtId="0" fontId="25" fillId="2" borderId="0" applyAlignment="1" applyProtection="1" pivotButton="0" quotePrefix="0" xfId="0">
      <alignment vertical="center"/>
      <protection locked="1" hidden="1"/>
    </xf>
    <xf numFmtId="0" fontId="26" fillId="0" borderId="0" pivotButton="0" quotePrefix="0" xfId="0"/>
    <xf numFmtId="0" fontId="25" fillId="2" borderId="0" applyAlignment="1" applyProtection="1" pivotButton="0" quotePrefix="0" xfId="0">
      <alignment horizontal="center" vertical="center"/>
      <protection locked="1" hidden="1"/>
    </xf>
    <xf numFmtId="0" fontId="24" fillId="0" borderId="0" applyAlignment="1" applyProtection="1" pivotButton="0" quotePrefix="0" xfId="0">
      <alignment horizontal="right" vertical="top" wrapText="1"/>
      <protection locked="1" hidden="1"/>
    </xf>
    <xf numFmtId="0" fontId="23" fillId="0" borderId="0" applyAlignment="1" applyProtection="1" pivotButton="0" quotePrefix="0" xfId="0">
      <alignment vertical="top" wrapText="1"/>
      <protection locked="1" hidden="1"/>
    </xf>
    <xf numFmtId="0" fontId="10" fillId="2" borderId="0" applyAlignment="1" applyProtection="1" pivotButton="0" quotePrefix="0" xfId="0">
      <alignment horizontal="right" vertical="center"/>
      <protection locked="1" hidden="1"/>
    </xf>
    <xf numFmtId="0" fontId="10" fillId="0" borderId="0" applyAlignment="1" applyProtection="1" pivotButton="0" quotePrefix="0" xfId="0">
      <alignment horizontal="right" vertical="center"/>
      <protection locked="1" hidden="1"/>
    </xf>
    <xf numFmtId="1" fontId="27" fillId="2" borderId="0" applyAlignment="1" applyProtection="1" pivotButton="0" quotePrefix="0" xfId="0">
      <alignment vertical="center"/>
      <protection locked="1" hidden="1"/>
    </xf>
    <xf numFmtId="0" fontId="1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pivotButton="0" quotePrefix="0" xfId="0">
      <alignment horizontal="left"/>
    </xf>
    <xf numFmtId="0" fontId="9" fillId="0" borderId="0" applyAlignment="1" applyProtection="1" pivotButton="0" quotePrefix="0" xfId="0">
      <alignment horizontal="left" vertical="center" indent="3"/>
      <protection locked="0" hidden="1"/>
    </xf>
    <xf numFmtId="0" fontId="4" fillId="0" borderId="0" applyAlignment="1" applyProtection="1" pivotButton="0" quotePrefix="0" xfId="0">
      <alignment vertical="center"/>
      <protection locked="0" hidden="1"/>
    </xf>
    <xf numFmtId="1" fontId="4" fillId="0" borderId="0" applyAlignment="1" applyProtection="1" pivotButton="0" quotePrefix="0" xfId="0">
      <alignment horizontal="center" vertical="center"/>
      <protection locked="0" hidden="0"/>
    </xf>
    <xf numFmtId="1" fontId="4" fillId="0" borderId="0" applyAlignment="1" applyProtection="1" pivotButton="0" quotePrefix="0" xfId="0">
      <alignment horizontal="center" vertical="center"/>
      <protection locked="1" hidden="1"/>
    </xf>
    <xf numFmtId="16" fontId="4" fillId="0" borderId="0" applyAlignment="1" applyProtection="1" pivotButton="0" quotePrefix="0" xfId="0">
      <alignment horizontal="center" vertical="center"/>
      <protection locked="1" hidden="1"/>
    </xf>
    <xf numFmtId="0" fontId="9" fillId="0" borderId="0" applyAlignment="1" applyProtection="1" pivotButton="0" quotePrefix="0" xfId="0">
      <alignment vertical="center"/>
      <protection locked="1" hidden="1"/>
    </xf>
    <xf numFmtId="0" fontId="4" fillId="2" borderId="0" applyAlignment="1" applyProtection="1" pivotButton="0" quotePrefix="0" xfId="0">
      <alignment horizontal="left" vertical="center" indent="4"/>
      <protection locked="1" hidden="1"/>
    </xf>
    <xf numFmtId="0" fontId="13" fillId="2" borderId="0" applyAlignment="1" applyProtection="1" pivotButton="0" quotePrefix="0" xfId="0">
      <alignment vertical="center"/>
      <protection locked="1" hidden="1"/>
    </xf>
    <xf numFmtId="0" fontId="7" fillId="8" borderId="21" applyAlignment="1" applyProtection="1" pivotButton="0" quotePrefix="0" xfId="0">
      <alignment horizontal="center" vertical="center"/>
      <protection locked="1" hidden="1"/>
    </xf>
    <xf numFmtId="0" fontId="1" fillId="0" borderId="0" applyAlignment="1" applyProtection="1" pivotButton="0" quotePrefix="0" xfId="0">
      <alignment horizontal="center"/>
      <protection locked="1" hidden="1"/>
    </xf>
    <xf numFmtId="0" fontId="7" fillId="2" borderId="0" applyAlignment="1" applyProtection="1" pivotButton="0" quotePrefix="0" xfId="0">
      <alignment horizontal="left" vertical="center"/>
      <protection locked="1" hidden="1"/>
    </xf>
    <xf numFmtId="0" fontId="9" fillId="2" borderId="8" applyAlignment="1" applyProtection="1" pivotButton="0" quotePrefix="0" xfId="0">
      <alignment horizontal="left" vertical="center" indent="2"/>
      <protection locked="1" hidden="1"/>
    </xf>
    <xf numFmtId="0" fontId="9" fillId="2" borderId="9" applyAlignment="1" applyProtection="1" pivotButton="0" quotePrefix="0" xfId="0">
      <alignment horizontal="left" vertical="center" indent="2"/>
      <protection locked="1" hidden="1"/>
    </xf>
    <xf numFmtId="0" fontId="9" fillId="9" borderId="11" applyAlignment="1" applyProtection="1" pivotButton="0" quotePrefix="0" xfId="0">
      <alignment horizontal="left" vertical="center"/>
      <protection locked="0" hidden="0"/>
    </xf>
    <xf numFmtId="0" fontId="9" fillId="0" borderId="11" applyAlignment="1" applyProtection="1" pivotButton="0" quotePrefix="0" xfId="0">
      <alignment horizontal="left" vertical="center"/>
      <protection locked="1" hidden="1"/>
    </xf>
    <xf numFmtId="0" fontId="9" fillId="0" borderId="0" applyAlignment="1" applyProtection="1" pivotButton="0" quotePrefix="0" xfId="0">
      <alignment vertical="center" wrapText="1"/>
      <protection locked="0" hidden="0"/>
    </xf>
    <xf numFmtId="0" fontId="9" fillId="2" borderId="8" applyAlignment="1" applyProtection="1" pivotButton="0" quotePrefix="0" xfId="0">
      <alignment horizontal="left" vertical="center" indent="2"/>
      <protection locked="0" hidden="1"/>
    </xf>
    <xf numFmtId="0" fontId="9" fillId="2" borderId="9" applyAlignment="1" applyProtection="1" pivotButton="0" quotePrefix="0" xfId="0">
      <alignment horizontal="left" vertical="center" indent="2"/>
      <protection locked="0" hidden="1"/>
    </xf>
    <xf numFmtId="0" fontId="0" fillId="0" borderId="0" applyAlignment="1" applyProtection="1" pivotButton="0" quotePrefix="0" xfId="0">
      <alignment horizontal="left"/>
      <protection locked="1" hidden="1"/>
    </xf>
    <xf numFmtId="0" fontId="9" fillId="2" borderId="0" applyAlignment="1" applyProtection="1" pivotButton="0" quotePrefix="0" xfId="0">
      <alignment horizontal="left" vertical="center"/>
      <protection locked="1" hidden="1"/>
    </xf>
    <xf numFmtId="2" fontId="9" fillId="2" borderId="0" applyAlignment="1" applyProtection="1" pivotButton="0" quotePrefix="0" xfId="0">
      <alignment horizontal="center" vertical="center"/>
      <protection locked="1" hidden="1"/>
    </xf>
    <xf numFmtId="2" fontId="0" fillId="0" borderId="0" applyAlignment="1" applyProtection="1" pivotButton="0" quotePrefix="0" xfId="0">
      <alignment horizontal="center"/>
      <protection locked="1" hidden="1"/>
    </xf>
    <xf numFmtId="0" fontId="9" fillId="2" borderId="0" applyAlignment="1" applyProtection="1" pivotButton="0" quotePrefix="0" xfId="0">
      <alignment vertical="center" wrapText="1"/>
      <protection locked="1" hidden="1"/>
    </xf>
    <xf numFmtId="0" fontId="9" fillId="0" borderId="0" applyAlignment="1" applyProtection="1" pivotButton="0" quotePrefix="0" xfId="0">
      <alignment vertical="center" wrapText="1"/>
      <protection locked="1" hidden="1"/>
    </xf>
    <xf numFmtId="0" fontId="10" fillId="0" borderId="0" applyAlignment="1" applyProtection="1" pivotButton="0" quotePrefix="0" xfId="0">
      <alignment horizontal="left" vertical="center"/>
      <protection locked="1" hidden="1"/>
    </xf>
    <xf numFmtId="0" fontId="1" fillId="2" borderId="0" applyProtection="1" pivotButton="0" quotePrefix="0" xfId="0">
      <protection locked="1" hidden="1"/>
    </xf>
    <xf numFmtId="0" fontId="28" fillId="2" borderId="0" applyAlignment="1" applyProtection="1" pivotButton="0" quotePrefix="0" xfId="0">
      <alignment vertical="top" wrapText="1"/>
      <protection locked="1" hidden="1"/>
    </xf>
    <xf numFmtId="0" fontId="28" fillId="0" borderId="0" applyAlignment="1" applyProtection="1" pivotButton="0" quotePrefix="0" xfId="0">
      <alignment vertical="top" wrapText="1"/>
      <protection locked="1" hidden="1"/>
    </xf>
    <xf numFmtId="0" fontId="9" fillId="2" borderId="0" applyAlignment="1" applyProtection="1" pivotButton="0" quotePrefix="0" xfId="0">
      <alignment horizontal="right" vertical="center"/>
      <protection locked="1" hidden="1"/>
    </xf>
    <xf numFmtId="0" fontId="4" fillId="2" borderId="8" applyAlignment="1" applyProtection="1" pivotButton="0" quotePrefix="0" xfId="0">
      <alignment horizontal="left" vertical="center" indent="2"/>
      <protection locked="1" hidden="1"/>
    </xf>
    <xf numFmtId="0" fontId="9" fillId="2" borderId="4" applyAlignment="1" applyProtection="1" pivotButton="0" quotePrefix="0" xfId="0">
      <alignment horizontal="left" vertical="center"/>
      <protection locked="0" hidden="1"/>
    </xf>
    <xf numFmtId="0" fontId="9" fillId="0" borderId="0" applyAlignment="1" applyProtection="1" pivotButton="0" quotePrefix="0" xfId="0">
      <alignment horizontal="left" vertical="center"/>
      <protection locked="0" hidden="0"/>
    </xf>
    <xf numFmtId="0" fontId="4" fillId="2" borderId="16" applyAlignment="1" applyProtection="1" pivotButton="0" quotePrefix="0" xfId="0">
      <alignment horizontal="center" vertical="center"/>
      <protection locked="1" hidden="1"/>
    </xf>
    <xf numFmtId="164" fontId="4" fillId="2" borderId="0" applyAlignment="1" applyProtection="1" pivotButton="0" quotePrefix="0" xfId="0">
      <alignment vertical="center"/>
      <protection locked="1" hidden="1"/>
    </xf>
    <xf numFmtId="0" fontId="7" fillId="8" borderId="11" applyAlignment="1" applyProtection="1" pivotButton="0" quotePrefix="0" xfId="0">
      <alignment horizontal="center" vertical="center"/>
      <protection locked="1" hidden="1"/>
    </xf>
    <xf numFmtId="0" fontId="4" fillId="2" borderId="4" applyAlignment="1" applyProtection="1" pivotButton="0" quotePrefix="0" xfId="0">
      <alignment horizontal="left" vertical="center"/>
      <protection locked="1" hidden="1"/>
    </xf>
    <xf numFmtId="0" fontId="13" fillId="2" borderId="0" applyAlignment="1" applyProtection="1" pivotButton="0" quotePrefix="0" xfId="0">
      <alignment horizontal="right" vertical="center"/>
      <protection locked="1" hidden="1"/>
    </xf>
    <xf numFmtId="0" fontId="12" fillId="0" borderId="0" applyAlignment="1" applyProtection="1" pivotButton="0" quotePrefix="0" xfId="0">
      <alignment horizontal="left" vertical="center"/>
      <protection locked="1" hidden="1"/>
    </xf>
    <xf numFmtId="0" fontId="13" fillId="0" borderId="0" applyAlignment="1" applyProtection="1" pivotButton="0" quotePrefix="0" xfId="0">
      <alignment horizontal="left" vertical="center"/>
      <protection locked="1" hidden="1"/>
    </xf>
    <xf numFmtId="0" fontId="13" fillId="0" borderId="0" applyAlignment="1" applyProtection="1" pivotButton="0" quotePrefix="0" xfId="0">
      <alignment horizontal="left" vertical="center"/>
      <protection locked="0" hidden="0"/>
    </xf>
    <xf numFmtId="0" fontId="4" fillId="2" borderId="19" applyAlignment="1" applyProtection="1" pivotButton="0" quotePrefix="0" xfId="0">
      <alignment horizontal="center" vertical="center"/>
      <protection locked="1" hidden="1"/>
    </xf>
    <xf numFmtId="0" fontId="7" fillId="10" borderId="8" applyAlignment="1" applyProtection="1" pivotButton="0" quotePrefix="0" xfId="0">
      <alignment horizontal="center" vertical="center"/>
      <protection locked="1" hidden="1"/>
    </xf>
    <xf numFmtId="0" fontId="7" fillId="10" borderId="4" applyAlignment="1" applyProtection="1" pivotButton="0" quotePrefix="0" xfId="0">
      <alignment horizontal="center" vertical="center"/>
      <protection locked="1" hidden="1"/>
    </xf>
    <xf numFmtId="0" fontId="7" fillId="10" borderId="9" applyAlignment="1" applyProtection="1" pivotButton="0" quotePrefix="0" xfId="0">
      <alignment horizontal="center" vertical="center"/>
      <protection locked="1" hidden="1"/>
    </xf>
    <xf numFmtId="0" fontId="10" fillId="8" borderId="3" applyAlignment="1" applyProtection="1" pivotButton="0" quotePrefix="0" xfId="0">
      <alignment horizontal="center" vertical="center"/>
      <protection locked="1" hidden="1"/>
    </xf>
    <xf numFmtId="0" fontId="10" fillId="8" borderId="4" applyAlignment="1" applyProtection="1" pivotButton="0" quotePrefix="0" xfId="0">
      <alignment horizontal="center" vertical="center"/>
      <protection locked="1" hidden="1"/>
    </xf>
    <xf numFmtId="0" fontId="10" fillId="8" borderId="5" applyAlignment="1" applyProtection="1" pivotButton="0" quotePrefix="0" xfId="0">
      <alignment horizontal="center" vertical="center"/>
      <protection locked="1" hidden="1"/>
    </xf>
    <xf numFmtId="0" fontId="10" fillId="8" borderId="4" applyAlignment="1" applyProtection="1" pivotButton="0" quotePrefix="0" xfId="0">
      <alignment horizontal="center" vertical="center"/>
      <protection locked="0" hidden="0"/>
    </xf>
    <xf numFmtId="0" fontId="7" fillId="8" borderId="8" applyAlignment="1" applyProtection="1" pivotButton="0" quotePrefix="0" xfId="0">
      <alignment horizontal="center" vertical="center"/>
      <protection locked="1" hidden="1"/>
    </xf>
    <xf numFmtId="0" fontId="7" fillId="8" borderId="4" applyAlignment="1" applyProtection="1" pivotButton="0" quotePrefix="0" xfId="0">
      <alignment horizontal="center" vertical="center"/>
      <protection locked="1" hidden="1"/>
    </xf>
    <xf numFmtId="0" fontId="7" fillId="8" borderId="9" applyAlignment="1" applyProtection="1" pivotButton="0" quotePrefix="0" xfId="0">
      <alignment horizontal="center" vertical="center"/>
      <protection locked="1" hidden="1"/>
    </xf>
    <xf numFmtId="0" fontId="10" fillId="0" borderId="0" applyAlignment="1" applyProtection="1" pivotButton="0" quotePrefix="0" xfId="0">
      <alignment horizontal="center" vertical="center"/>
      <protection locked="1" hidden="1"/>
    </xf>
    <xf numFmtId="0" fontId="10" fillId="8" borderId="8" applyAlignment="1" applyProtection="1" pivotButton="0" quotePrefix="0" xfId="0">
      <alignment horizontal="center" vertical="center"/>
      <protection locked="0" hidden="0"/>
    </xf>
    <xf numFmtId="0" fontId="10" fillId="8" borderId="9" applyAlignment="1" applyProtection="1" pivotButton="0" quotePrefix="0" xfId="0">
      <alignment horizontal="center" vertical="center"/>
      <protection locked="0" hidden="0"/>
    </xf>
    <xf numFmtId="0" fontId="7" fillId="8" borderId="16" applyAlignment="1" applyProtection="1" pivotButton="0" quotePrefix="0" xfId="0">
      <alignment horizontal="center" vertical="center"/>
      <protection locked="1" hidden="1"/>
    </xf>
    <xf numFmtId="0" fontId="7" fillId="8" borderId="0" applyAlignment="1" applyProtection="1" pivotButton="0" quotePrefix="0" xfId="0">
      <alignment horizontal="center" vertical="center"/>
      <protection locked="1" hidden="1"/>
    </xf>
    <xf numFmtId="0" fontId="7" fillId="8" borderId="4" applyAlignment="1" applyProtection="1" pivotButton="0" quotePrefix="0" xfId="0">
      <alignment vertical="center"/>
      <protection locked="1" hidden="1"/>
    </xf>
    <xf numFmtId="0" fontId="23" fillId="0" borderId="0" applyAlignment="1" applyProtection="1" pivotButton="0" quotePrefix="0" xfId="0">
      <alignment horizontal="right" vertical="top" wrapText="1"/>
      <protection locked="1" hidden="1"/>
    </xf>
    <xf numFmtId="49" fontId="9" fillId="9" borderId="8" applyAlignment="1" applyProtection="1" pivotButton="0" quotePrefix="0" xfId="0">
      <alignment horizontal="center" vertical="center"/>
      <protection locked="0" hidden="0"/>
    </xf>
    <xf numFmtId="49" fontId="9" fillId="9" borderId="4" applyAlignment="1" applyProtection="1" pivotButton="0" quotePrefix="0" xfId="0">
      <alignment horizontal="center" vertical="center"/>
      <protection locked="0" hidden="0"/>
    </xf>
    <xf numFmtId="49" fontId="9" fillId="9" borderId="9" applyAlignment="1" applyProtection="1" pivotButton="0" quotePrefix="0" xfId="0">
      <alignment horizontal="center" vertical="center"/>
      <protection locked="0" hidden="0"/>
    </xf>
    <xf numFmtId="0" fontId="10" fillId="8" borderId="2" applyAlignment="1" applyProtection="1" pivotButton="0" quotePrefix="0" xfId="0">
      <alignment horizontal="center" vertical="center"/>
      <protection locked="0" hidden="0"/>
    </xf>
    <xf numFmtId="0" fontId="10" fillId="8" borderId="9" applyAlignment="1" applyProtection="1" pivotButton="0" quotePrefix="0" xfId="0">
      <alignment horizontal="center" vertical="center"/>
      <protection locked="1" hidden="1"/>
    </xf>
    <xf numFmtId="0" fontId="10" fillId="8" borderId="2" applyAlignment="1" applyProtection="1" pivotButton="0" quotePrefix="0" xfId="0">
      <alignment horizontal="center" vertical="center"/>
      <protection locked="1" hidden="1"/>
    </xf>
    <xf numFmtId="0" fontId="29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0" fillId="2" borderId="0" applyAlignment="1" pivotButton="0" quotePrefix="0" xfId="0">
      <alignment vertical="center"/>
    </xf>
    <xf numFmtId="0" fontId="1" fillId="2" borderId="0" pivotButton="0" quotePrefix="0" xfId="0"/>
    <xf numFmtId="0" fontId="0" fillId="2" borderId="0" applyAlignment="1" pivotButton="0" quotePrefix="0" xfId="0">
      <alignment horizontal="left"/>
    </xf>
    <xf numFmtId="0" fontId="0" fillId="2" borderId="18" pivotButton="0" quotePrefix="0" xfId="0"/>
    <xf numFmtId="0" fontId="0" fillId="2" borderId="18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0" fillId="8" borderId="22" applyAlignment="1" applyProtection="1" pivotButton="0" quotePrefix="0" xfId="0">
      <alignment horizontal="center" vertical="center"/>
      <protection locked="1" hidden="1"/>
    </xf>
    <xf numFmtId="0" fontId="0" fillId="0" borderId="4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0" fillId="0" borderId="2" applyProtection="1" pivotButton="0" quotePrefix="0" xfId="0">
      <protection locked="0" hidden="0"/>
    </xf>
    <xf numFmtId="0" fontId="0" fillId="0" borderId="9" applyProtection="1" pivotButton="0" quotePrefix="0" xfId="0">
      <protection locked="1" hidden="1"/>
    </xf>
    <xf numFmtId="0" fontId="0" fillId="0" borderId="2" applyProtection="1" pivotButton="0" quotePrefix="0" xfId="0">
      <protection locked="1" hidden="1"/>
    </xf>
    <xf numFmtId="49" fontId="9" fillId="9" borderId="11" applyAlignment="1" applyProtection="1" pivotButton="0" quotePrefix="0" xfId="0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10" fillId="8" borderId="11" applyAlignment="1" applyProtection="1" pivotButton="0" quotePrefix="0" xfId="0">
      <alignment horizontal="center" vertical="center"/>
      <protection locked="0" hidden="0"/>
    </xf>
  </cellXfs>
  <cellStyles count="2">
    <cellStyle name="Normal" xfId="0" builtinId="0"/>
    <cellStyle name="Hyperlänk" xfId="1" builtinId="8"/>
  </cellStyles>
  <dxfs count="26"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color rgb="FFFF0000"/>
      </font>
    </dxf>
    <dxf>
      <font>
        <b val="1"/>
        <color rgb="FF538DD5"/>
      </font>
    </dxf>
    <dxf>
      <font>
        <i val="1"/>
        <color rgb="FF76933C"/>
      </font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  <dxf>
      <font>
        <b val="1"/>
        <color rgb="FFFF0000"/>
      </font>
      <fill>
        <patternFill>
          <bgColor theme="5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manhr\Downloads\VM-tips-2026-Swedish%206p%204.4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äng &amp; instruktioner"/>
      <sheetName val="Ditt slutspelsträd"/>
      <sheetName val="Resultat &amp; tabell"/>
      <sheetName val="Mitt tips"/>
      <sheetName val="Resultat &amp; tabell (backup)"/>
      <sheetName val="Third-place combinations"/>
    </sheetNames>
    <sheetDataSet>
      <sheetData sheetId="0"/>
      <sheetData sheetId="1"/>
      <sheetData sheetId="2">
        <row r="4">
          <cell r="G4"/>
          <cell r="I4"/>
          <cell r="J4" t="str"/>
          <cell r="Y4"/>
        </row>
        <row r="5">
          <cell r="G5"/>
          <cell r="I5"/>
          <cell r="J5" t="str"/>
          <cell r="Y5"/>
        </row>
        <row r="6">
          <cell r="G6"/>
          <cell r="I6"/>
          <cell r="J6" t="str"/>
          <cell r="Y6"/>
        </row>
        <row r="7">
          <cell r="G7"/>
          <cell r="I7"/>
          <cell r="J7" t="str"/>
          <cell r="Y7"/>
        </row>
        <row r="8">
          <cell r="G8"/>
          <cell r="I8"/>
          <cell r="J8" t="str"/>
          <cell r="Y8"/>
        </row>
        <row r="9">
          <cell r="G9"/>
          <cell r="I9"/>
          <cell r="J9" t="str"/>
          <cell r="Y9"/>
        </row>
        <row r="10">
          <cell r="Y10"/>
        </row>
        <row r="13">
          <cell r="G13"/>
          <cell r="I13"/>
          <cell r="J13" t="str"/>
        </row>
        <row r="14">
          <cell r="G14"/>
          <cell r="I14"/>
          <cell r="J14" t="str"/>
        </row>
        <row r="15">
          <cell r="G15"/>
          <cell r="I15"/>
          <cell r="J15" t="str"/>
        </row>
        <row r="16">
          <cell r="G16"/>
          <cell r="I16"/>
          <cell r="J16" t="str"/>
        </row>
        <row r="17">
          <cell r="G17"/>
          <cell r="I17"/>
          <cell r="J17" t="str"/>
        </row>
        <row r="18">
          <cell r="G18"/>
          <cell r="I18"/>
          <cell r="J18" t="str"/>
        </row>
        <row r="22">
          <cell r="G22"/>
          <cell r="I22"/>
          <cell r="J22" t="str"/>
        </row>
        <row r="23">
          <cell r="G23"/>
          <cell r="I23"/>
          <cell r="J23" t="str"/>
        </row>
        <row r="24">
          <cell r="G24"/>
          <cell r="I24"/>
          <cell r="J24" t="str"/>
        </row>
        <row r="25">
          <cell r="G25"/>
          <cell r="I25"/>
          <cell r="J25" t="str"/>
        </row>
        <row r="26">
          <cell r="G26"/>
          <cell r="I26"/>
          <cell r="J26" t="str"/>
        </row>
        <row r="27">
          <cell r="G27"/>
          <cell r="I27"/>
          <cell r="J27" t="str"/>
        </row>
        <row r="31">
          <cell r="G31"/>
          <cell r="I31"/>
          <cell r="J31" t="str"/>
        </row>
        <row r="32">
          <cell r="G32"/>
          <cell r="I32"/>
          <cell r="J32" t="str"/>
        </row>
        <row r="33">
          <cell r="G33"/>
          <cell r="I33"/>
          <cell r="J33" t="str"/>
        </row>
        <row r="34">
          <cell r="G34"/>
          <cell r="I34"/>
          <cell r="J34" t="str"/>
        </row>
        <row r="35">
          <cell r="G35"/>
          <cell r="I35"/>
          <cell r="J35" t="str"/>
        </row>
        <row r="36">
          <cell r="G36"/>
          <cell r="I36"/>
          <cell r="J36" t="str"/>
        </row>
        <row r="40">
          <cell r="G40"/>
          <cell r="I40"/>
          <cell r="J40" t="str"/>
        </row>
        <row r="41">
          <cell r="G41"/>
          <cell r="I41"/>
          <cell r="J41" t="str"/>
        </row>
        <row r="42">
          <cell r="G42"/>
          <cell r="I42"/>
          <cell r="J42" t="str"/>
        </row>
        <row r="43">
          <cell r="G43"/>
          <cell r="I43"/>
          <cell r="J43" t="str"/>
        </row>
        <row r="44">
          <cell r="G44"/>
          <cell r="I44"/>
          <cell r="J44" t="str"/>
        </row>
        <row r="45">
          <cell r="G45"/>
          <cell r="I45"/>
          <cell r="J45" t="str"/>
        </row>
        <row r="49">
          <cell r="G49"/>
          <cell r="I49"/>
          <cell r="J49" t="str"/>
        </row>
        <row r="50">
          <cell r="G50"/>
          <cell r="I50"/>
          <cell r="J50" t="str"/>
        </row>
        <row r="51">
          <cell r="G51"/>
          <cell r="I51"/>
          <cell r="J51" t="str"/>
        </row>
        <row r="52">
          <cell r="G52"/>
          <cell r="I52"/>
          <cell r="J52" t="str"/>
        </row>
        <row r="53">
          <cell r="G53"/>
          <cell r="I53"/>
          <cell r="J53" t="str"/>
        </row>
        <row r="54">
          <cell r="G54"/>
          <cell r="I54"/>
          <cell r="J54" t="str"/>
        </row>
        <row r="58">
          <cell r="G58"/>
          <cell r="I58"/>
          <cell r="J58" t="str"/>
        </row>
        <row r="59">
          <cell r="G59"/>
          <cell r="I59"/>
          <cell r="J59" t="str"/>
        </row>
        <row r="60">
          <cell r="G60"/>
          <cell r="I60"/>
          <cell r="J60" t="str"/>
        </row>
        <row r="61">
          <cell r="G61"/>
          <cell r="I61"/>
          <cell r="J61" t="str"/>
        </row>
        <row r="62">
          <cell r="G62"/>
          <cell r="I62"/>
          <cell r="J62" t="str"/>
        </row>
        <row r="63">
          <cell r="G63"/>
          <cell r="I63"/>
          <cell r="J63" t="str"/>
        </row>
        <row r="67">
          <cell r="G67"/>
          <cell r="I67"/>
          <cell r="J67" t="str"/>
        </row>
        <row r="68">
          <cell r="G68"/>
          <cell r="I68"/>
          <cell r="J68" t="str"/>
        </row>
        <row r="69">
          <cell r="G69"/>
          <cell r="I69"/>
          <cell r="J69" t="str"/>
        </row>
        <row r="70">
          <cell r="G70"/>
          <cell r="I70"/>
          <cell r="J70" t="str"/>
        </row>
        <row r="71">
          <cell r="G71"/>
          <cell r="I71"/>
          <cell r="J71" t="str"/>
        </row>
        <row r="72">
          <cell r="G72"/>
          <cell r="I72"/>
          <cell r="J72" t="str"/>
        </row>
        <row r="76">
          <cell r="G76"/>
          <cell r="I76"/>
          <cell r="J76" t="str"/>
        </row>
        <row r="77">
          <cell r="G77"/>
          <cell r="I77"/>
          <cell r="J77" t="str"/>
        </row>
        <row r="78">
          <cell r="G78"/>
          <cell r="I78"/>
          <cell r="J78" t="str"/>
        </row>
        <row r="79">
          <cell r="G79"/>
          <cell r="I79"/>
          <cell r="J79" t="str"/>
        </row>
        <row r="80">
          <cell r="G80"/>
          <cell r="I80"/>
          <cell r="J80" t="str"/>
        </row>
        <row r="81">
          <cell r="G81"/>
          <cell r="I81"/>
          <cell r="J81" t="str"/>
        </row>
        <row r="85">
          <cell r="G85"/>
          <cell r="I85"/>
          <cell r="J85" t="str"/>
        </row>
        <row r="86">
          <cell r="G86"/>
          <cell r="I86"/>
          <cell r="J86" t="str"/>
        </row>
        <row r="87">
          <cell r="G87"/>
          <cell r="I87"/>
          <cell r="J87" t="str"/>
        </row>
        <row r="88">
          <cell r="G88"/>
          <cell r="I88"/>
          <cell r="J88" t="str"/>
        </row>
        <row r="89">
          <cell r="G89"/>
          <cell r="I89"/>
          <cell r="J89" t="str"/>
        </row>
        <row r="90">
          <cell r="G90"/>
          <cell r="I90"/>
          <cell r="J90" t="str"/>
        </row>
        <row r="94">
          <cell r="G94"/>
          <cell r="I94"/>
          <cell r="J94" t="str"/>
        </row>
        <row r="95">
          <cell r="G95"/>
          <cell r="I95"/>
          <cell r="J95" t="str"/>
        </row>
        <row r="96">
          <cell r="G96"/>
          <cell r="I96"/>
          <cell r="J96" t="str"/>
        </row>
        <row r="97">
          <cell r="G97"/>
          <cell r="I97"/>
          <cell r="J97" t="str"/>
        </row>
        <row r="98">
          <cell r="G98"/>
          <cell r="I98"/>
          <cell r="J98" t="str"/>
        </row>
        <row r="99">
          <cell r="G99"/>
          <cell r="I99"/>
          <cell r="J99" t="str"/>
        </row>
        <row r="103">
          <cell r="G103"/>
          <cell r="I103"/>
          <cell r="J103" t="str"/>
        </row>
        <row r="104">
          <cell r="G104"/>
          <cell r="I104"/>
          <cell r="J104" t="str"/>
        </row>
        <row r="105">
          <cell r="G105"/>
          <cell r="I105"/>
          <cell r="J105" t="str"/>
        </row>
        <row r="106">
          <cell r="G106"/>
          <cell r="I106"/>
          <cell r="J106" t="str"/>
        </row>
        <row r="107">
          <cell r="G107"/>
          <cell r="I107"/>
          <cell r="J107" t="str"/>
        </row>
        <row r="108">
          <cell r="G108"/>
          <cell r="I108"/>
          <cell r="J108" t="str"/>
        </row>
        <row r="112">
          <cell r="D112" t="str">
            <v>Tvåa grupp A</v>
          </cell>
          <cell r="F112" t="str">
            <v>Tvåa grupp B</v>
          </cell>
          <cell r="G112"/>
          <cell r="I112"/>
          <cell r="J112" t="str"/>
        </row>
        <row r="113">
          <cell r="D113" t="str">
            <v>Vinnare grupp E</v>
          </cell>
          <cell r="F113" t="str">
            <v>Bästa trea ABCDF</v>
          </cell>
          <cell r="G113"/>
          <cell r="I113"/>
          <cell r="J113" t="str"/>
        </row>
        <row r="114">
          <cell r="D114" t="str">
            <v>Vinnare grupp F</v>
          </cell>
          <cell r="F114" t="str">
            <v>Tvåa grupp C</v>
          </cell>
          <cell r="G114"/>
          <cell r="I114"/>
          <cell r="J114" t="str"/>
        </row>
        <row r="115">
          <cell r="D115" t="str">
            <v>Vinnare grupp C</v>
          </cell>
          <cell r="F115" t="str">
            <v>Tvåa grupp F</v>
          </cell>
          <cell r="G115"/>
          <cell r="I115"/>
          <cell r="J115" t="str"/>
        </row>
        <row r="116">
          <cell r="D116" t="str">
            <v>Vinnare grupp I</v>
          </cell>
          <cell r="F116" t="str">
            <v>Bästa trea CDFGH</v>
          </cell>
          <cell r="G116"/>
          <cell r="I116"/>
          <cell r="J116" t="str"/>
        </row>
        <row r="117">
          <cell r="D117" t="str">
            <v>Tvåa grupp E</v>
          </cell>
          <cell r="F117" t="str">
            <v>Tvåa grupp I</v>
          </cell>
          <cell r="G117"/>
          <cell r="I117"/>
          <cell r="J117" t="str"/>
        </row>
        <row r="118">
          <cell r="D118" t="str">
            <v>Vinnare grupp A</v>
          </cell>
          <cell r="F118" t="str">
            <v>Bästa trea CEFHI</v>
          </cell>
          <cell r="G118"/>
          <cell r="I118"/>
          <cell r="J118" t="str"/>
        </row>
        <row r="119">
          <cell r="D119" t="str">
            <v>Vinnare grupp L</v>
          </cell>
          <cell r="F119" t="str">
            <v>Bästa trea EHIJK</v>
          </cell>
          <cell r="G119"/>
          <cell r="I119"/>
          <cell r="J119" t="str"/>
        </row>
        <row r="120">
          <cell r="D120" t="str">
            <v>Vinnare grupp D</v>
          </cell>
          <cell r="F120" t="str">
            <v>Bästa trea BEFIJ</v>
          </cell>
          <cell r="G120"/>
          <cell r="I120"/>
          <cell r="J120" t="str"/>
        </row>
        <row r="121">
          <cell r="D121" t="str">
            <v>Vinnare grupp G</v>
          </cell>
          <cell r="F121" t="str">
            <v>Bästa trea AEHIJ</v>
          </cell>
          <cell r="G121"/>
          <cell r="I121"/>
          <cell r="J121" t="str"/>
        </row>
        <row r="122">
          <cell r="D122" t="str">
            <v>Tvåa grupp K</v>
          </cell>
          <cell r="F122" t="str">
            <v>Tvåa grupp L</v>
          </cell>
          <cell r="G122"/>
          <cell r="I122"/>
          <cell r="J122" t="str"/>
        </row>
        <row r="123">
          <cell r="D123" t="str">
            <v>Vinnare grupp H</v>
          </cell>
          <cell r="F123" t="str">
            <v>Tvåa grupp J</v>
          </cell>
          <cell r="G123"/>
          <cell r="I123"/>
          <cell r="J123" t="str"/>
        </row>
        <row r="124">
          <cell r="D124" t="str">
            <v>Vinnare grupp B</v>
          </cell>
          <cell r="F124" t="str">
            <v>Bästa trea EFGIJ</v>
          </cell>
          <cell r="G124"/>
          <cell r="I124"/>
          <cell r="J124" t="str"/>
        </row>
        <row r="125">
          <cell r="D125" t="str">
            <v>Vinnare grupp J</v>
          </cell>
          <cell r="F125" t="str">
            <v>Tvåa grupp H</v>
          </cell>
          <cell r="G125"/>
          <cell r="I125"/>
          <cell r="J125" t="str"/>
        </row>
        <row r="126">
          <cell r="D126" t="str">
            <v>Vinnare grupp K</v>
          </cell>
          <cell r="F126" t="str">
            <v>Bästa trea DEIJL</v>
          </cell>
          <cell r="G126"/>
          <cell r="I126"/>
          <cell r="J126" t="str"/>
        </row>
        <row r="127">
          <cell r="D127" t="str">
            <v>Tvåa grupp D</v>
          </cell>
          <cell r="F127" t="str">
            <v>Tvåa grupp G</v>
          </cell>
          <cell r="G127"/>
          <cell r="I127"/>
          <cell r="J127" t="str"/>
        </row>
        <row r="131">
          <cell r="D131" t="str">
            <v>Vinnare match 74</v>
          </cell>
          <cell r="F131" t="str">
            <v>Vinnare match 77</v>
          </cell>
          <cell r="G131"/>
          <cell r="I131"/>
          <cell r="J131" t="str"/>
        </row>
        <row r="132">
          <cell r="D132" t="str">
            <v>Vinnare match 73</v>
          </cell>
          <cell r="F132" t="str">
            <v>Vinnare match 75</v>
          </cell>
          <cell r="G132"/>
          <cell r="I132"/>
          <cell r="J132" t="str"/>
        </row>
        <row r="133">
          <cell r="D133" t="str">
            <v>Vinnare match 76</v>
          </cell>
          <cell r="F133" t="str">
            <v>Vinnare match 78</v>
          </cell>
          <cell r="G133"/>
          <cell r="I133"/>
          <cell r="J133" t="str"/>
        </row>
        <row r="134">
          <cell r="D134" t="str">
            <v>Vinnare match 79</v>
          </cell>
          <cell r="F134" t="str">
            <v>Vinnare match 80</v>
          </cell>
          <cell r="G134"/>
          <cell r="I134"/>
          <cell r="J134" t="str"/>
        </row>
        <row r="135">
          <cell r="D135" t="str">
            <v>Vinnare match 83</v>
          </cell>
          <cell r="F135" t="str">
            <v>Vinnare match 84</v>
          </cell>
          <cell r="G135"/>
          <cell r="I135"/>
          <cell r="J135" t="str"/>
        </row>
        <row r="136">
          <cell r="D136" t="str">
            <v>Vinnare match 81</v>
          </cell>
          <cell r="F136" t="str">
            <v>Vinnare match 82</v>
          </cell>
          <cell r="G136"/>
          <cell r="I136"/>
          <cell r="J136" t="str"/>
        </row>
        <row r="137">
          <cell r="D137" t="str">
            <v>Vinnare match 86</v>
          </cell>
          <cell r="F137" t="str">
            <v>Vinnare match 88</v>
          </cell>
          <cell r="G137"/>
          <cell r="I137"/>
          <cell r="J137" t="str"/>
        </row>
        <row r="138">
          <cell r="D138" t="str">
            <v>Vinnare match 85</v>
          </cell>
          <cell r="F138" t="str">
            <v>Vinnare match 87</v>
          </cell>
          <cell r="G138"/>
          <cell r="I138"/>
          <cell r="J138" t="str"/>
        </row>
        <row r="142">
          <cell r="D142" t="str">
            <v>Vinnare match 89</v>
          </cell>
          <cell r="F142" t="str">
            <v>Vinnare match 90</v>
          </cell>
          <cell r="G142"/>
          <cell r="I142"/>
          <cell r="J142" t="str"/>
        </row>
        <row r="143">
          <cell r="D143" t="str">
            <v>Vinnare match 93</v>
          </cell>
          <cell r="F143" t="str">
            <v>Vinnare match 94</v>
          </cell>
          <cell r="G143"/>
          <cell r="I143"/>
          <cell r="J143" t="str"/>
        </row>
        <row r="144">
          <cell r="D144" t="str">
            <v>Vinnare match 91</v>
          </cell>
          <cell r="F144" t="str">
            <v>Vinnare match 92</v>
          </cell>
          <cell r="G144"/>
          <cell r="I144"/>
          <cell r="J144" t="str"/>
        </row>
        <row r="145">
          <cell r="D145" t="str">
            <v>Vinnare match 95</v>
          </cell>
          <cell r="F145" t="str">
            <v>Vinnare match 96</v>
          </cell>
          <cell r="G145"/>
          <cell r="I145"/>
          <cell r="J145" t="str"/>
        </row>
        <row r="149">
          <cell r="D149" t="str">
            <v>Vinnare match 97</v>
          </cell>
          <cell r="F149" t="str">
            <v>Vinnare match 98</v>
          </cell>
          <cell r="G149"/>
          <cell r="I149"/>
          <cell r="J149" t="str"/>
        </row>
        <row r="150">
          <cell r="D150" t="str">
            <v>Vinnare match 99</v>
          </cell>
          <cell r="F150" t="str">
            <v>Vinnare match 100</v>
          </cell>
          <cell r="G150"/>
          <cell r="I150"/>
          <cell r="J150" t="str"/>
        </row>
        <row r="154">
          <cell r="D154" t="str">
            <v>Förlorare match 101</v>
          </cell>
          <cell r="F154" t="str">
            <v>Förlorare match 102</v>
          </cell>
          <cell r="G154"/>
          <cell r="I154"/>
          <cell r="J154" t="str"/>
        </row>
        <row r="158">
          <cell r="D158" t="str">
            <v>Vinnare match 101</v>
          </cell>
          <cell r="F158" t="str">
            <v>Vinnare match 102</v>
          </cell>
          <cell r="G158"/>
          <cell r="I158"/>
          <cell r="J158" t="str"/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info@fotbollsvmem.se" TargetMode="External" Id="rId1" /></Relationships>
</file>

<file path=xl/worksheets/sheet1.xml><?xml version="1.0" encoding="utf-8"?>
<worksheet xmlns="http://schemas.openxmlformats.org/spreadsheetml/2006/main">
  <sheetPr codeName="Sheet6">
    <outlinePr summaryBelow="1" summaryRight="1"/>
    <pageSetUpPr/>
  </sheetPr>
  <dimension ref="B1:GX498"/>
  <sheetViews>
    <sheetView showGridLines="0" tabSelected="1" zoomScale="70" zoomScaleNormal="70" zoomScaleSheetLayoutView="90" workbookViewId="0">
      <pane ySplit="1" topLeftCell="A2" activePane="bottomLeft" state="frozen"/>
      <selection pane="bottomLeft" activeCell="AA45" sqref="AA45"/>
    </sheetView>
  </sheetViews>
  <sheetFormatPr baseColWidth="8" defaultColWidth="9" defaultRowHeight="14.25" customHeight="1"/>
  <cols>
    <col width="2.85546875" customWidth="1" style="9" min="1" max="1"/>
    <col width="5.85546875" customWidth="1" style="1" min="2" max="2"/>
    <col width="7.28515625" customWidth="1" style="1" min="3" max="3"/>
    <col width="22.28515625" customWidth="1" style="95" min="4" max="4"/>
    <col width="7" customWidth="1" style="3" min="5" max="5"/>
    <col width="22.28515625" customWidth="1" style="95" min="6" max="6"/>
    <col width="4.85546875" customWidth="1" style="6" min="7" max="7"/>
    <col width="1.5703125" bestFit="1" customWidth="1" style="6" min="8" max="8"/>
    <col width="4.85546875" customWidth="1" style="6" min="9" max="9"/>
    <col width="6.28515625" customWidth="1" style="26" min="10" max="10"/>
    <col width="6.28515625" customWidth="1" style="27" min="11" max="11"/>
    <col width="6.28515625" customWidth="1" style="28" min="12" max="12"/>
    <col hidden="1" width="4.85546875" customWidth="1" style="30" min="13" max="13"/>
    <col hidden="1" width="6.28515625" customWidth="1" style="30" min="14" max="14"/>
    <col width="20.5703125" bestFit="1" customWidth="1" style="9" min="15" max="15"/>
    <col width="5" customWidth="1" style="9" min="16" max="21"/>
    <col width="5" customWidth="1" style="1" min="22" max="22"/>
    <col width="5.85546875" customWidth="1" style="9" min="23" max="23"/>
    <col width="34" bestFit="1" customWidth="1" style="3" min="24" max="24"/>
    <col width="6.7109375" customWidth="1" style="3" min="25" max="26"/>
    <col width="6.5703125" customWidth="1" style="3" min="27" max="27"/>
    <col width="19.28515625" customWidth="1" style="10" min="28" max="28"/>
    <col width="6.28515625" customWidth="1" style="11" min="29" max="29"/>
    <col hidden="1" width="5.7109375" customWidth="1" style="9" min="30" max="30"/>
    <col hidden="1" width="7.28515625" customWidth="1" style="12" min="31" max="31"/>
    <col hidden="1" width="17.85546875" customWidth="1" style="12" min="32" max="32"/>
    <col hidden="1" width="1.5703125" customWidth="1" style="12" min="33" max="33"/>
    <col hidden="1" width="17.85546875" customWidth="1" style="12" min="34" max="34"/>
    <col hidden="1" width="4.85546875" customWidth="1" style="3" min="35" max="35"/>
    <col hidden="1" width="1.5703125" customWidth="1" style="3" min="36" max="36"/>
    <col hidden="1" width="4.85546875" customWidth="1" style="3" min="37" max="37"/>
    <col hidden="1" width="6.28515625" customWidth="1" style="26" min="38" max="38"/>
    <col hidden="1" width="6.28515625" customWidth="1" style="27" min="39" max="39"/>
    <col hidden="1" width="6" customWidth="1" style="13" min="40" max="40"/>
    <col hidden="1" width="2.85546875" customWidth="1" style="13" min="41" max="41"/>
    <col hidden="1" width="3" customWidth="1" style="13" min="42" max="43"/>
    <col hidden="1" width="2.5703125" customWidth="1" style="13" min="44" max="45"/>
    <col hidden="1" width="6" customWidth="1" style="13" min="46" max="46"/>
    <col hidden="1" width="2.85546875" customWidth="1" style="13" min="47" max="47"/>
    <col hidden="1" width="3" customWidth="1" style="13" min="48" max="49"/>
    <col hidden="1" width="2.5703125" customWidth="1" style="13" min="50" max="51"/>
    <col hidden="1" width="6" customWidth="1" style="13" min="52" max="52"/>
    <col hidden="1" width="2.85546875" customWidth="1" style="13" min="53" max="53"/>
    <col hidden="1" width="3" customWidth="1" style="13" min="54" max="55"/>
    <col hidden="1" width="2.5703125" customWidth="1" style="13" min="56" max="57"/>
    <col hidden="1" width="6" customWidth="1" style="13" min="58" max="58"/>
    <col hidden="1" width="2.85546875" customWidth="1" style="13" min="59" max="59"/>
    <col hidden="1" width="3" customWidth="1" style="13" min="60" max="61"/>
    <col hidden="1" width="2.5703125" customWidth="1" style="13" min="62" max="63"/>
    <col hidden="1" width="6" customWidth="1" style="13" min="64" max="64"/>
    <col hidden="1" width="2.85546875" customWidth="1" style="13" min="65" max="65"/>
    <col hidden="1" width="3" customWidth="1" style="13" min="66" max="67"/>
    <col hidden="1" width="2.5703125" customWidth="1" style="13" min="68" max="68"/>
    <col hidden="1" width="6" customWidth="1" style="13" min="69" max="69"/>
    <col hidden="1" width="15.5703125" customWidth="1" style="12" min="70" max="70"/>
    <col hidden="1" width="13.7109375" customWidth="1" style="12" min="71" max="71"/>
    <col hidden="1" width="10.7109375" customWidth="1" style="12" min="72" max="72"/>
    <col hidden="1" width="9.7109375" customWidth="1" style="13" min="73" max="73"/>
    <col hidden="1" width="5.5703125" customWidth="1" style="13" min="74" max="74"/>
    <col hidden="1" width="1.85546875" customWidth="1" style="13" min="75" max="75"/>
    <col hidden="1" width="5.28515625" customWidth="1" style="13" min="76" max="78"/>
    <col hidden="1" width="3.28515625" customWidth="1" style="13" min="79" max="79"/>
    <col hidden="1" width="13" customWidth="1" style="12" min="80" max="80"/>
    <col hidden="1" width="9.28515625" customWidth="1" style="13" min="81" max="81"/>
    <col hidden="1" width="9" customWidth="1" style="13" min="82" max="82"/>
    <col hidden="1" width="9" customWidth="1" style="12" min="83" max="83"/>
    <col hidden="1" width="10.5703125" customWidth="1" style="12" min="84" max="84"/>
    <col hidden="1" width="6.28515625" customWidth="1" style="13" min="85" max="85"/>
    <col hidden="1" width="5.28515625" customWidth="1" style="13" min="86" max="86"/>
    <col hidden="1" width="6.28515625" customWidth="1" style="13" min="87" max="87"/>
    <col hidden="1" width="4.28515625" customWidth="1" style="13" min="88" max="88"/>
    <col hidden="1" width="5.85546875" customWidth="1" style="13" min="89" max="89"/>
    <col hidden="1" width="7" customWidth="1" style="13" min="90" max="90"/>
    <col hidden="1" width="4.85546875" customWidth="1" style="13" min="91" max="91"/>
    <col hidden="1" width="7.85546875" customWidth="1" style="13" min="92" max="94"/>
    <col hidden="1" width="11.85546875" customWidth="1" style="13" min="95" max="95"/>
    <col hidden="1" width="9" customWidth="1" style="13" min="96" max="98"/>
    <col hidden="1" width="10.28515625" customWidth="1" style="13" min="99" max="99"/>
    <col hidden="1" width="9" customWidth="1" style="13" min="100" max="102"/>
    <col hidden="1" width="9" customWidth="1" style="12" min="103" max="103"/>
    <col hidden="1" width="10.5703125" customWidth="1" style="12" min="104" max="104"/>
    <col hidden="1" width="6.5703125" customWidth="1" style="13" min="105" max="109"/>
    <col hidden="1" width="8.28515625" customWidth="1" style="13" min="110" max="110"/>
    <col hidden="1" width="7.85546875" customWidth="1" style="13" min="111" max="112"/>
    <col hidden="1" width="7" customWidth="1" style="13" min="113" max="113"/>
    <col hidden="1" width="8" customWidth="1" style="12" min="114" max="114"/>
    <col hidden="1" width="9" customWidth="1" style="12" min="115" max="121"/>
    <col hidden="1" width="10" customWidth="1" style="12" min="122" max="122"/>
    <col hidden="1" width="9" customWidth="1" style="12" min="123" max="123"/>
    <col hidden="1" width="10.5703125" customWidth="1" style="13" min="124" max="124"/>
    <col hidden="1" width="6.5703125" customWidth="1" style="13" min="125" max="129"/>
    <col hidden="1" width="7" customWidth="1" style="13" min="130" max="134"/>
    <col hidden="1" width="9" customWidth="1" style="13" min="135" max="142"/>
    <col hidden="1" width="9" customWidth="1" style="12" min="143" max="143"/>
    <col hidden="1" width="10.5703125" customWidth="1" style="13" min="144" max="144"/>
    <col hidden="1" width="6.28515625" customWidth="1" style="13" min="145" max="148"/>
    <col hidden="1" width="6.5703125" customWidth="1" style="13" min="149" max="149"/>
    <col hidden="1" width="7" customWidth="1" style="13" min="150" max="151"/>
    <col hidden="1" width="7.85546875" customWidth="1" style="13" min="152" max="152"/>
    <col hidden="1" width="7" customWidth="1" style="13" min="153" max="153"/>
    <col hidden="1" width="8.28515625" customWidth="1" style="13" min="154" max="154"/>
    <col hidden="1" width="9" customWidth="1" style="13" min="155" max="162"/>
    <col hidden="1" width="9" customWidth="1" style="12" min="163" max="163"/>
    <col hidden="1" width="9" customWidth="1" style="13" min="164" max="165"/>
    <col hidden="1" width="9" customWidth="1" style="12" min="166" max="166"/>
    <col hidden="1" width="5.7109375" customWidth="1" style="9" min="167" max="168"/>
    <col hidden="1" width="10.5703125" customWidth="1" style="9" min="169" max="169"/>
    <col hidden="1" width="13.28515625" customWidth="1" style="9" min="170" max="170"/>
    <col hidden="1" width="7.85546875" customWidth="1" style="9" min="171" max="171"/>
    <col hidden="1" width="8.85546875" customWidth="1" style="9" min="172" max="172"/>
    <col hidden="1" width="7.85546875" customWidth="1" style="9" min="173" max="173"/>
    <col hidden="1" width="7.28515625" customWidth="1" style="9" min="174" max="174"/>
    <col hidden="1" width="10" customWidth="1" style="9" min="175" max="175"/>
    <col hidden="1" width="5" customWidth="1" style="9" min="176" max="177"/>
    <col hidden="1" width="3.5703125" customWidth="1" style="9" min="178" max="178"/>
    <col hidden="1" width="5.85546875" customWidth="1" style="9" min="179" max="179"/>
    <col hidden="1" width="11.85546875" customWidth="1" style="9" min="180" max="180"/>
    <col hidden="1" width="5.7109375" customWidth="1" style="9" min="181" max="181"/>
    <col hidden="1" width="9.28515625" customWidth="1" style="9" min="182" max="182"/>
    <col hidden="1" width="9" customWidth="1" style="9" min="183" max="183"/>
    <col hidden="1" width="6.28515625" customWidth="1" style="9" min="184" max="184"/>
    <col hidden="1" width="5.7109375" customWidth="1" style="9" min="185" max="191"/>
    <col hidden="1" width="5.5703125" customWidth="1" style="9" min="192" max="199"/>
    <col hidden="1" width="4.7109375" customWidth="1" style="9" min="200" max="200"/>
    <col hidden="1" width="5.7109375" customWidth="1" style="9" min="201" max="205"/>
    <col hidden="1" width="5.7109375" customWidth="1" style="18" min="206" max="206"/>
    <col hidden="1" width="5.85546875" customWidth="1" style="9" min="207" max="207"/>
    <col hidden="1" width="9" customWidth="1" style="9" min="208" max="208"/>
    <col width="9" customWidth="1" style="9" min="209" max="16384"/>
  </cols>
  <sheetData>
    <row r="1" ht="14.25" customHeight="1">
      <c r="D1" s="2" t="inlineStr">
        <is>
          <t>©Peter Viklund and Johanna Viklund, for contact please email</t>
        </is>
      </c>
      <c r="F1" s="4" t="n"/>
      <c r="G1" s="5" t="inlineStr">
        <is>
          <t>info@fotbollsvmem.se</t>
        </is>
      </c>
      <c r="I1" s="7" t="n"/>
      <c r="M1" s="8" t="n"/>
      <c r="N1" s="8" t="n"/>
      <c r="BT1" s="14" t="n"/>
      <c r="FM1" s="15" t="n"/>
      <c r="FN1" s="16" t="n"/>
      <c r="FO1" s="15" t="n"/>
      <c r="FP1" s="16" t="n"/>
      <c r="FQ1" s="16" t="n"/>
      <c r="FR1" s="16" t="n"/>
      <c r="FS1" s="16" t="n"/>
      <c r="FT1" s="17" t="n"/>
      <c r="FU1" s="18" t="n"/>
      <c r="FV1" s="19" t="n"/>
      <c r="FW1" s="1" t="n"/>
      <c r="FX1" s="1" t="n"/>
      <c r="FY1" s="20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8" t="n"/>
    </row>
    <row r="2" ht="14.25" customHeight="1">
      <c r="B2" s="21" t="inlineStr">
        <is>
          <t>Grupp A</t>
        </is>
      </c>
      <c r="C2" s="19" t="n"/>
      <c r="D2" s="22" t="n"/>
      <c r="E2" s="23" t="n"/>
      <c r="F2" s="24" t="n"/>
      <c r="G2" s="25" t="n"/>
      <c r="H2" s="25" t="n"/>
      <c r="I2" s="7" t="n"/>
      <c r="M2" s="29" t="n"/>
      <c r="O2" s="21" t="inlineStr">
        <is>
          <t>Grupp A</t>
        </is>
      </c>
      <c r="P2" s="31" t="n"/>
      <c r="Q2" s="31" t="n"/>
      <c r="R2" s="31" t="n"/>
      <c r="S2" s="31" t="n"/>
      <c r="T2" s="31" t="n"/>
      <c r="U2" s="31" t="n"/>
      <c r="V2" s="9" t="n"/>
      <c r="X2" s="19" t="inlineStr">
        <is>
          <t>Bonusfrågor</t>
        </is>
      </c>
      <c r="Y2" s="19" t="n"/>
      <c r="Z2" s="19" t="n"/>
      <c r="AA2" s="19" t="n"/>
      <c r="AB2" s="1" t="n"/>
      <c r="AC2" s="20" t="n"/>
      <c r="AE2" s="32" t="inlineStr">
        <is>
          <t>Grupp A</t>
        </is>
      </c>
      <c r="AF2" s="9" t="n"/>
      <c r="AG2" s="9" t="n"/>
      <c r="AH2" s="9" t="n"/>
      <c r="AI2" s="33" t="n"/>
      <c r="AJ2" s="33" t="n"/>
      <c r="AK2" s="12" t="n"/>
      <c r="AN2" s="34" t="inlineStr">
        <is>
          <t>Rank 0</t>
        </is>
      </c>
      <c r="AO2" s="34" t="n"/>
      <c r="AP2" s="34" t="n"/>
      <c r="AQ2" s="34" t="n"/>
      <c r="AR2" s="34" t="n"/>
      <c r="AS2" s="34" t="n"/>
      <c r="AT2" s="35" t="inlineStr">
        <is>
          <t>Rank 1</t>
        </is>
      </c>
      <c r="AU2" s="35" t="n"/>
      <c r="AV2" s="35" t="n"/>
      <c r="AW2" s="35" t="n"/>
      <c r="AX2" s="35" t="n"/>
      <c r="AY2" s="35" t="n"/>
      <c r="AZ2" s="36" t="inlineStr">
        <is>
          <t>Rank 3</t>
        </is>
      </c>
      <c r="BA2" s="36" t="n"/>
      <c r="BB2" s="36" t="n"/>
      <c r="BC2" s="36" t="n"/>
      <c r="BD2" s="36" t="n"/>
      <c r="BE2" s="36" t="n"/>
      <c r="BF2" s="37" t="inlineStr">
        <is>
          <t>Rank 3</t>
        </is>
      </c>
      <c r="BG2" s="37" t="n"/>
      <c r="BH2" s="37" t="n"/>
      <c r="BI2" s="37" t="n"/>
      <c r="BJ2" s="37" t="n"/>
      <c r="BK2" s="37" t="n"/>
      <c r="BL2" s="38" t="inlineStr">
        <is>
          <t>Rank 4</t>
        </is>
      </c>
      <c r="BM2" s="38" t="n"/>
      <c r="BN2" s="38" t="n"/>
      <c r="BO2" s="38" t="n"/>
      <c r="BP2" s="38" t="n"/>
      <c r="BQ2" s="38" t="n"/>
      <c r="BT2" s="39" t="inlineStr">
        <is>
          <t>Rank 0</t>
        </is>
      </c>
      <c r="BU2" s="34" t="n"/>
      <c r="BV2" s="34" t="n"/>
      <c r="BW2" s="34" t="n"/>
      <c r="BX2" s="34" t="n"/>
      <c r="BY2" s="34" t="n"/>
      <c r="BZ2" s="34" t="n"/>
      <c r="CA2" s="34" t="n"/>
      <c r="CB2" s="39" t="n"/>
      <c r="CC2" s="34" t="n"/>
      <c r="CD2" s="34" t="n"/>
      <c r="CF2" s="40" t="inlineStr">
        <is>
          <t>Rank 1</t>
        </is>
      </c>
      <c r="CG2" s="35">
        <f>COUNTIF(CC4:CC7,1)</f>
        <v/>
      </c>
      <c r="CH2" s="35" t="n"/>
      <c r="CI2" s="35" t="n"/>
      <c r="CJ2" s="35" t="n"/>
      <c r="CK2" s="35" t="n"/>
      <c r="CL2" s="35" t="n"/>
      <c r="CM2" s="35" t="n"/>
      <c r="CN2" s="35" t="n"/>
      <c r="CO2" s="35" t="n"/>
      <c r="CP2" s="35" t="n"/>
      <c r="CZ2" s="41" t="inlineStr">
        <is>
          <t>Rank 2</t>
        </is>
      </c>
      <c r="DA2" s="36">
        <f>COUNTIF(CC4:CC7,2)</f>
        <v/>
      </c>
      <c r="DB2" s="36" t="n"/>
      <c r="DC2" s="36" t="n"/>
      <c r="DD2" s="36" t="n"/>
      <c r="DE2" s="36" t="n"/>
      <c r="DF2" s="36" t="n"/>
      <c r="DG2" s="36" t="n"/>
      <c r="DH2" s="36" t="n"/>
      <c r="DI2" s="36" t="n"/>
      <c r="DJ2" s="41" t="n"/>
      <c r="DT2" s="37" t="inlineStr">
        <is>
          <t>Rank 3</t>
        </is>
      </c>
      <c r="DU2" s="37">
        <f>COUNTIF(CC4:CC7,3)</f>
        <v/>
      </c>
      <c r="DV2" s="37" t="n"/>
      <c r="DW2" s="37" t="n"/>
      <c r="DX2" s="37" t="n"/>
      <c r="DY2" s="37" t="n"/>
      <c r="DZ2" s="37" t="n"/>
      <c r="EA2" s="37" t="n"/>
      <c r="EB2" s="37" t="n"/>
      <c r="EC2" s="37" t="n"/>
      <c r="ED2" s="37" t="n"/>
      <c r="EN2" s="38" t="inlineStr">
        <is>
          <t>Rank 4</t>
        </is>
      </c>
      <c r="EO2" s="38">
        <f>COUNTIF(CC4:CC7,4)</f>
        <v/>
      </c>
      <c r="EP2" s="38" t="n"/>
      <c r="EQ2" s="38" t="n"/>
      <c r="ER2" s="38" t="n"/>
      <c r="ES2" s="38" t="n"/>
      <c r="ET2" s="38" t="n"/>
      <c r="EU2" s="38" t="n"/>
      <c r="EV2" s="38" t="n"/>
      <c r="EW2" s="38" t="n"/>
      <c r="EX2" s="38" t="n"/>
      <c r="FM2" s="42" t="inlineStr">
        <is>
          <t>Tredjeplats</t>
        </is>
      </c>
      <c r="FN2" s="43" t="n"/>
      <c r="FO2" s="43" t="n"/>
      <c r="FP2" s="43" t="n"/>
      <c r="FQ2" s="43" t="n"/>
      <c r="FR2" s="43" t="n"/>
      <c r="FS2" s="43" t="n"/>
      <c r="FT2" s="43" t="n"/>
      <c r="FU2" s="43" t="n"/>
      <c r="FV2" s="43" t="n"/>
      <c r="FW2" s="43" t="n"/>
      <c r="FX2" s="43" t="n"/>
      <c r="FY2" s="43" t="n"/>
      <c r="FZ2" s="44" t="inlineStr">
        <is>
          <t>Se flik "Third-place combinations" från regelverk</t>
        </is>
      </c>
      <c r="GA2" s="44" t="n"/>
      <c r="GB2" s="44" t="n"/>
      <c r="GC2" s="44" t="n"/>
      <c r="GD2" s="44" t="n"/>
      <c r="GG2" s="44" t="n"/>
      <c r="GH2" s="44" t="n"/>
      <c r="GI2" s="44" t="n"/>
      <c r="GJ2" s="44" t="inlineStr">
        <is>
          <t>ETTOR</t>
        </is>
      </c>
      <c r="GK2" s="44" t="n"/>
      <c r="GL2" s="44" t="n"/>
      <c r="GM2" s="44" t="n"/>
      <c r="GN2" s="44" t="n"/>
      <c r="GO2" s="44" t="n"/>
      <c r="GP2" s="44" t="n"/>
      <c r="GQ2" s="44" t="n"/>
      <c r="GR2" s="18" t="n"/>
    </row>
    <row r="3" ht="15" customHeight="1">
      <c r="B3" s="45" t="inlineStr">
        <is>
          <t>Match</t>
        </is>
      </c>
      <c r="C3" s="46" t="inlineStr">
        <is>
          <t>Datum</t>
        </is>
      </c>
      <c r="D3" s="210" t="inlineStr">
        <is>
          <t>Match</t>
        </is>
      </c>
      <c r="E3" s="211" t="n"/>
      <c r="F3" s="212" t="n"/>
      <c r="G3" s="198" t="inlineStr">
        <is>
          <t>Resultat</t>
        </is>
      </c>
      <c r="H3" s="213" t="n"/>
      <c r="I3" s="213" t="n"/>
      <c r="J3" s="47" t="inlineStr">
        <is>
          <t>1X2</t>
        </is>
      </c>
      <c r="K3" s="48" t="inlineStr">
        <is>
          <t>Poäng</t>
        </is>
      </c>
      <c r="L3" s="49" t="n"/>
      <c r="M3" s="50" t="inlineStr">
        <is>
          <t>Support kolumn</t>
        </is>
      </c>
      <c r="O3" s="51" t="inlineStr">
        <is>
          <t>Lag</t>
        </is>
      </c>
      <c r="P3" s="186" t="inlineStr">
        <is>
          <t>V</t>
        </is>
      </c>
      <c r="Q3" s="186" t="inlineStr">
        <is>
          <t>O</t>
        </is>
      </c>
      <c r="R3" s="186" t="inlineStr">
        <is>
          <t>F</t>
        </is>
      </c>
      <c r="S3" s="186" t="inlineStr">
        <is>
          <t>GM</t>
        </is>
      </c>
      <c r="T3" s="186" t="inlineStr">
        <is>
          <t>IM</t>
        </is>
      </c>
      <c r="U3" s="186" t="inlineStr">
        <is>
          <t>+/-</t>
        </is>
      </c>
      <c r="V3" s="187" t="inlineStr">
        <is>
          <t>P</t>
        </is>
      </c>
      <c r="X3" s="45" t="inlineStr">
        <is>
          <t>Kategori</t>
        </is>
      </c>
      <c r="Y3" s="199" t="inlineStr">
        <is>
          <t>Land eller spelare</t>
        </is>
      </c>
      <c r="Z3" s="211" t="n"/>
      <c r="AA3" s="211" t="n"/>
      <c r="AB3" s="214" t="n"/>
      <c r="AC3" s="54" t="inlineStr">
        <is>
          <t>Poäng</t>
        </is>
      </c>
      <c r="AE3" s="51" t="inlineStr">
        <is>
          <t>Datum</t>
        </is>
      </c>
      <c r="AF3" s="193" t="inlineStr">
        <is>
          <t>Match</t>
        </is>
      </c>
      <c r="AG3" s="211" t="n"/>
      <c r="AH3" s="211" t="n"/>
      <c r="AI3" s="200" t="inlineStr">
        <is>
          <t>Resultat</t>
        </is>
      </c>
      <c r="AJ3" s="215" t="n"/>
      <c r="AK3" s="215" t="n"/>
      <c r="AL3" s="48" t="inlineStr">
        <is>
          <t>Tecken</t>
        </is>
      </c>
      <c r="AM3" s="16" t="n"/>
      <c r="AN3" s="34" t="inlineStr">
        <is>
          <t>V1</t>
        </is>
      </c>
      <c r="AO3" s="34" t="inlineStr">
        <is>
          <t>V2</t>
        </is>
      </c>
      <c r="AP3" s="34" t="inlineStr">
        <is>
          <t>O1</t>
        </is>
      </c>
      <c r="AQ3" s="34" t="inlineStr">
        <is>
          <t>O2</t>
        </is>
      </c>
      <c r="AR3" s="34" t="inlineStr">
        <is>
          <t>F1</t>
        </is>
      </c>
      <c r="AS3" s="34" t="inlineStr">
        <is>
          <t>F2</t>
        </is>
      </c>
      <c r="AT3" s="35" t="inlineStr">
        <is>
          <t>V1</t>
        </is>
      </c>
      <c r="AU3" s="35" t="inlineStr">
        <is>
          <t>V2</t>
        </is>
      </c>
      <c r="AV3" s="35" t="inlineStr">
        <is>
          <t>O1</t>
        </is>
      </c>
      <c r="AW3" s="35" t="inlineStr">
        <is>
          <t>O2</t>
        </is>
      </c>
      <c r="AX3" s="35" t="inlineStr">
        <is>
          <t>F1</t>
        </is>
      </c>
      <c r="AY3" s="35" t="inlineStr">
        <is>
          <t>F2</t>
        </is>
      </c>
      <c r="AZ3" s="36" t="inlineStr">
        <is>
          <t>V1</t>
        </is>
      </c>
      <c r="BA3" s="36" t="inlineStr">
        <is>
          <t>V2</t>
        </is>
      </c>
      <c r="BB3" s="36" t="inlineStr">
        <is>
          <t>O1</t>
        </is>
      </c>
      <c r="BC3" s="36" t="inlineStr">
        <is>
          <t>O2</t>
        </is>
      </c>
      <c r="BD3" s="36" t="inlineStr">
        <is>
          <t>F1</t>
        </is>
      </c>
      <c r="BE3" s="36" t="inlineStr">
        <is>
          <t>F2</t>
        </is>
      </c>
      <c r="BF3" s="37" t="inlineStr">
        <is>
          <t>V1</t>
        </is>
      </c>
      <c r="BG3" s="37" t="inlineStr">
        <is>
          <t>V2</t>
        </is>
      </c>
      <c r="BH3" s="37" t="inlineStr">
        <is>
          <t>O1</t>
        </is>
      </c>
      <c r="BI3" s="37" t="inlineStr">
        <is>
          <t>O2</t>
        </is>
      </c>
      <c r="BJ3" s="37" t="inlineStr">
        <is>
          <t>F1</t>
        </is>
      </c>
      <c r="BK3" s="37" t="inlineStr">
        <is>
          <t>F2</t>
        </is>
      </c>
      <c r="BL3" s="38" t="inlineStr">
        <is>
          <t>V1</t>
        </is>
      </c>
      <c r="BM3" s="38" t="inlineStr">
        <is>
          <t>V2</t>
        </is>
      </c>
      <c r="BN3" s="38" t="inlineStr">
        <is>
          <t>O1</t>
        </is>
      </c>
      <c r="BO3" s="38" t="inlineStr">
        <is>
          <t>O2</t>
        </is>
      </c>
      <c r="BP3" s="38" t="inlineStr">
        <is>
          <t>F1</t>
        </is>
      </c>
      <c r="BQ3" s="38" t="inlineStr">
        <is>
          <t>F2</t>
        </is>
      </c>
      <c r="BT3" s="39" t="inlineStr">
        <is>
          <t>Lag</t>
        </is>
      </c>
      <c r="BU3" s="34" t="inlineStr">
        <is>
          <t>V</t>
        </is>
      </c>
      <c r="BV3" s="34" t="inlineStr">
        <is>
          <t>O</t>
        </is>
      </c>
      <c r="BW3" s="34" t="inlineStr">
        <is>
          <t>F</t>
        </is>
      </c>
      <c r="BX3" s="34" t="inlineStr">
        <is>
          <t>GM</t>
        </is>
      </c>
      <c r="BY3" s="34" t="inlineStr">
        <is>
          <t>IM</t>
        </is>
      </c>
      <c r="BZ3" s="34" t="inlineStr">
        <is>
          <t>+/-</t>
        </is>
      </c>
      <c r="CA3" s="34" t="inlineStr">
        <is>
          <t>P</t>
        </is>
      </c>
      <c r="CB3" s="39" t="inlineStr">
        <is>
          <t>Grupp</t>
        </is>
      </c>
      <c r="CC3" s="34" t="inlineStr">
        <is>
          <t>Rank P</t>
        </is>
      </c>
      <c r="CD3" s="34" t="inlineStr">
        <is>
          <t>Rank +/-</t>
        </is>
      </c>
      <c r="CF3" s="40" t="inlineStr">
        <is>
          <t>Lag</t>
        </is>
      </c>
      <c r="CG3" s="35" t="inlineStr">
        <is>
          <t>V</t>
        </is>
      </c>
      <c r="CH3" s="35" t="inlineStr">
        <is>
          <t>O</t>
        </is>
      </c>
      <c r="CI3" s="35" t="inlineStr">
        <is>
          <t>F</t>
        </is>
      </c>
      <c r="CJ3" s="35" t="inlineStr">
        <is>
          <t>P</t>
        </is>
      </c>
      <c r="CK3" s="35" t="inlineStr">
        <is>
          <t>Grupp</t>
        </is>
      </c>
      <c r="CL3" s="35" t="inlineStr">
        <is>
          <t>Rank P</t>
        </is>
      </c>
      <c r="CM3" s="56" t="inlineStr">
        <is>
          <t>+/-</t>
        </is>
      </c>
      <c r="CN3" s="56" t="inlineStr">
        <is>
          <t>+/- rank</t>
        </is>
      </c>
      <c r="CO3" s="56" t="inlineStr">
        <is>
          <t>GM</t>
        </is>
      </c>
      <c r="CP3" s="56" t="inlineStr">
        <is>
          <t>GM rank</t>
        </is>
      </c>
      <c r="CQ3" s="35" t="inlineStr">
        <is>
          <t>Rank internal</t>
        </is>
      </c>
      <c r="CR3" s="56" t="inlineStr">
        <is>
          <t>+/- all</t>
        </is>
      </c>
      <c r="CS3" s="56" t="inlineStr">
        <is>
          <t>+/- rank all</t>
        </is>
      </c>
      <c r="CT3" s="56" t="inlineStr">
        <is>
          <t>GM all</t>
        </is>
      </c>
      <c r="CU3" s="56" t="inlineStr">
        <is>
          <t>GM rank all</t>
        </is>
      </c>
      <c r="CV3" s="56" t="inlineStr">
        <is>
          <t>V all</t>
        </is>
      </c>
      <c r="CW3" s="56" t="inlineStr">
        <is>
          <t>V rank all</t>
        </is>
      </c>
      <c r="CX3" s="35" t="inlineStr">
        <is>
          <t>Rank all</t>
        </is>
      </c>
      <c r="CZ3" s="41" t="inlineStr">
        <is>
          <t>Lag</t>
        </is>
      </c>
      <c r="DA3" s="36" t="inlineStr">
        <is>
          <t>V</t>
        </is>
      </c>
      <c r="DB3" s="36" t="inlineStr">
        <is>
          <t>O</t>
        </is>
      </c>
      <c r="DC3" s="36" t="inlineStr">
        <is>
          <t>F</t>
        </is>
      </c>
      <c r="DD3" s="36" t="inlineStr">
        <is>
          <t>P</t>
        </is>
      </c>
      <c r="DE3" s="36" t="inlineStr">
        <is>
          <t>Grupp</t>
        </is>
      </c>
      <c r="DF3" s="36" t="inlineStr">
        <is>
          <t>Rank P</t>
        </is>
      </c>
      <c r="DG3" s="36" t="inlineStr">
        <is>
          <t>+/-</t>
        </is>
      </c>
      <c r="DH3" s="36" t="inlineStr">
        <is>
          <t>+/- rank</t>
        </is>
      </c>
      <c r="DI3" s="36" t="inlineStr">
        <is>
          <t>GM</t>
        </is>
      </c>
      <c r="DJ3" s="41" t="inlineStr">
        <is>
          <t>GM rank</t>
        </is>
      </c>
      <c r="DK3" s="41" t="inlineStr">
        <is>
          <t>Rank internal</t>
        </is>
      </c>
      <c r="DL3" s="41" t="inlineStr">
        <is>
          <t>+/- all</t>
        </is>
      </c>
      <c r="DM3" s="41" t="inlineStr">
        <is>
          <t>+/- rank all</t>
        </is>
      </c>
      <c r="DN3" s="41" t="inlineStr">
        <is>
          <t>GM all</t>
        </is>
      </c>
      <c r="DO3" s="41" t="inlineStr">
        <is>
          <t>GM rank all</t>
        </is>
      </c>
      <c r="DP3" s="41" t="inlineStr">
        <is>
          <t>V all</t>
        </is>
      </c>
      <c r="DQ3" s="41" t="inlineStr">
        <is>
          <t>V rank all</t>
        </is>
      </c>
      <c r="DR3" s="41" t="inlineStr">
        <is>
          <t>Rank all</t>
        </is>
      </c>
      <c r="DT3" s="37" t="inlineStr">
        <is>
          <t>Lag</t>
        </is>
      </c>
      <c r="DU3" s="37" t="inlineStr">
        <is>
          <t>V</t>
        </is>
      </c>
      <c r="DV3" s="37" t="inlineStr">
        <is>
          <t>O</t>
        </is>
      </c>
      <c r="DW3" s="37" t="inlineStr">
        <is>
          <t>F</t>
        </is>
      </c>
      <c r="DX3" s="37" t="inlineStr">
        <is>
          <t>P</t>
        </is>
      </c>
      <c r="DY3" s="37" t="inlineStr">
        <is>
          <t>Grupp</t>
        </is>
      </c>
      <c r="DZ3" s="37" t="inlineStr">
        <is>
          <t>Rank P</t>
        </is>
      </c>
      <c r="EA3" s="37" t="inlineStr">
        <is>
          <t>+/-</t>
        </is>
      </c>
      <c r="EB3" s="37" t="inlineStr">
        <is>
          <t>+/- rank</t>
        </is>
      </c>
      <c r="EC3" s="37" t="inlineStr">
        <is>
          <t>GM</t>
        </is>
      </c>
      <c r="ED3" s="37" t="inlineStr">
        <is>
          <t>GM rank</t>
        </is>
      </c>
      <c r="EE3" s="37" t="inlineStr">
        <is>
          <t>Rank internal</t>
        </is>
      </c>
      <c r="EF3" s="37" t="inlineStr">
        <is>
          <t>+/- all</t>
        </is>
      </c>
      <c r="EG3" s="37" t="inlineStr">
        <is>
          <t>+/- rank all</t>
        </is>
      </c>
      <c r="EH3" s="37" t="inlineStr">
        <is>
          <t>GM all</t>
        </is>
      </c>
      <c r="EI3" s="37" t="inlineStr">
        <is>
          <t>GM rank all</t>
        </is>
      </c>
      <c r="EJ3" s="37" t="inlineStr">
        <is>
          <t>V all</t>
        </is>
      </c>
      <c r="EK3" s="37" t="inlineStr">
        <is>
          <t>V rank all</t>
        </is>
      </c>
      <c r="EL3" s="37" t="inlineStr">
        <is>
          <t>Rank all</t>
        </is>
      </c>
      <c r="EN3" s="38" t="inlineStr">
        <is>
          <t>Lag</t>
        </is>
      </c>
      <c r="EO3" s="38" t="inlineStr">
        <is>
          <t>V</t>
        </is>
      </c>
      <c r="EP3" s="38" t="inlineStr">
        <is>
          <t>O</t>
        </is>
      </c>
      <c r="EQ3" s="38" t="inlineStr">
        <is>
          <t>F</t>
        </is>
      </c>
      <c r="ER3" s="38" t="inlineStr">
        <is>
          <t>P</t>
        </is>
      </c>
      <c r="ES3" s="38" t="inlineStr">
        <is>
          <t>Grupp</t>
        </is>
      </c>
      <c r="ET3" s="38" t="inlineStr">
        <is>
          <t>Rank P</t>
        </is>
      </c>
      <c r="EU3" s="38" t="inlineStr">
        <is>
          <t>+/-</t>
        </is>
      </c>
      <c r="EV3" s="38" t="inlineStr">
        <is>
          <t>+/- rank</t>
        </is>
      </c>
      <c r="EW3" s="38" t="inlineStr">
        <is>
          <t>GM</t>
        </is>
      </c>
      <c r="EX3" s="38" t="inlineStr">
        <is>
          <t>GM rank</t>
        </is>
      </c>
      <c r="EY3" s="38" t="inlineStr">
        <is>
          <t>Rank internal</t>
        </is>
      </c>
      <c r="EZ3" s="38" t="inlineStr">
        <is>
          <t>+/- all</t>
        </is>
      </c>
      <c r="FA3" s="38" t="inlineStr">
        <is>
          <t>+/- rank all</t>
        </is>
      </c>
      <c r="FB3" s="38" t="inlineStr">
        <is>
          <t>GM all</t>
        </is>
      </c>
      <c r="FC3" s="38" t="inlineStr">
        <is>
          <t>GM rank all</t>
        </is>
      </c>
      <c r="FD3" s="38" t="inlineStr">
        <is>
          <t>V all</t>
        </is>
      </c>
      <c r="FE3" s="38" t="inlineStr">
        <is>
          <t>V rank all</t>
        </is>
      </c>
      <c r="FF3" s="38" t="inlineStr">
        <is>
          <t>Rank all</t>
        </is>
      </c>
      <c r="FH3" s="38" t="inlineStr">
        <is>
          <t>Rank</t>
        </is>
      </c>
      <c r="FI3" s="38" t="inlineStr">
        <is>
          <t>Rank Ties</t>
        </is>
      </c>
      <c r="FM3" s="42" t="inlineStr">
        <is>
          <t>Grupp</t>
        </is>
      </c>
      <c r="FN3" s="42" t="inlineStr">
        <is>
          <t>Lag</t>
        </is>
      </c>
      <c r="FO3" s="57" t="inlineStr">
        <is>
          <t>Rank ties</t>
        </is>
      </c>
      <c r="FP3" s="57" t="inlineStr">
        <is>
          <t>Rank total</t>
        </is>
      </c>
      <c r="FQ3" s="57" t="inlineStr">
        <is>
          <t>Rank mål</t>
        </is>
      </c>
      <c r="FR3" s="57" t="inlineStr">
        <is>
          <t>Rank +/-</t>
        </is>
      </c>
      <c r="FS3" s="57" t="inlineStr">
        <is>
          <t>Rank poäng</t>
        </is>
      </c>
      <c r="FT3" s="57" t="inlineStr">
        <is>
          <t>Poäng</t>
        </is>
      </c>
      <c r="FU3" s="57" t="inlineStr">
        <is>
          <t>+/-</t>
        </is>
      </c>
      <c r="FV3" s="57" t="inlineStr">
        <is>
          <t>GM</t>
        </is>
      </c>
      <c r="FW3" s="57" t="inlineStr">
        <is>
          <t>Grupp</t>
        </is>
      </c>
      <c r="FX3" s="42" t="inlineStr">
        <is>
          <t>Team through</t>
        </is>
      </c>
      <c r="FY3" s="43" t="n"/>
      <c r="FZ3" s="42" t="inlineStr">
        <is>
          <t>Check row:</t>
        </is>
      </c>
      <c r="GA3" s="42">
        <f>MAX(GR4:GR498)</f>
        <v/>
      </c>
      <c r="GB3" s="42" t="inlineStr">
        <is>
          <t>A</t>
        </is>
      </c>
      <c r="GC3" s="42" t="inlineStr">
        <is>
          <t>B</t>
        </is>
      </c>
      <c r="GD3" s="42" t="inlineStr">
        <is>
          <t>D</t>
        </is>
      </c>
      <c r="GE3" s="42" t="inlineStr">
        <is>
          <t>E</t>
        </is>
      </c>
      <c r="GF3" s="42" t="inlineStr">
        <is>
          <t>G</t>
        </is>
      </c>
      <c r="GG3" s="42" t="inlineStr">
        <is>
          <t>I</t>
        </is>
      </c>
      <c r="GH3" s="42" t="inlineStr">
        <is>
          <t>K</t>
        </is>
      </c>
      <c r="GI3" s="42" t="inlineStr">
        <is>
          <t>L</t>
        </is>
      </c>
      <c r="GJ3" s="42" t="inlineStr">
        <is>
          <t>A</t>
        </is>
      </c>
      <c r="GK3" s="42" t="inlineStr">
        <is>
          <t>B</t>
        </is>
      </c>
      <c r="GL3" s="42" t="inlineStr">
        <is>
          <t>D</t>
        </is>
      </c>
      <c r="GM3" s="42" t="inlineStr">
        <is>
          <t>E</t>
        </is>
      </c>
      <c r="GN3" s="42" t="inlineStr">
        <is>
          <t>G</t>
        </is>
      </c>
      <c r="GO3" s="42" t="inlineStr">
        <is>
          <t>I</t>
        </is>
      </c>
      <c r="GP3" s="42" t="inlineStr">
        <is>
          <t>K</t>
        </is>
      </c>
      <c r="GQ3" s="42" t="inlineStr">
        <is>
          <t>L</t>
        </is>
      </c>
      <c r="GR3" s="42" t="inlineStr">
        <is>
          <t>Valid</t>
        </is>
      </c>
      <c r="GX3" s="23" t="n"/>
    </row>
    <row r="4" ht="14.25" customHeight="1">
      <c r="B4" s="58" t="n">
        <v>1</v>
      </c>
      <c r="C4" s="59" t="n">
        <v>46184</v>
      </c>
      <c r="D4" s="60" t="inlineStr">
        <is>
          <t>Mexiko</t>
        </is>
      </c>
      <c r="E4" s="61" t="inlineStr">
        <is>
          <t>-</t>
        </is>
      </c>
      <c r="F4" s="62" t="inlineStr">
        <is>
          <t>Sydafrika</t>
        </is>
      </c>
      <c r="G4" s="63" t="n">
        <v>2</v>
      </c>
      <c r="H4" s="64" t="inlineStr">
        <is>
          <t>-</t>
        </is>
      </c>
      <c r="I4" s="63" t="n">
        <v>0</v>
      </c>
      <c r="J4" s="65">
        <f>IF(OR(ISBLANK(G4),ISBLANK(I4)),"",IF(G4&gt;I4,1,IF(G4&lt;I4,2,"X")))</f>
        <v/>
      </c>
      <c r="K4" s="66">
        <f>IF(OR(G4="",I4="",'[1]Resultat &amp; tabell'!G4="",'[1]Resultat &amp; tabell'!I4=""),0,IF(G4='[1]Resultat &amp; tabell'!G4,2,0)+IF(I4='[1]Resultat &amp; tabell'!I4,2,0)+IF(J4='[1]Resultat &amp; tabell'!J4,2,0))</f>
        <v/>
      </c>
      <c r="L4" s="67" t="n"/>
      <c r="M4" s="29">
        <f>IF(VLOOKUP(D4,$BT$3:$CC$7,10,FALSE)=VLOOKUP(F4,$BT$3:$CC$7,10,FALSE),VLOOKUP(D4,$BT$3:$CC$7,10,FALSE),"-")</f>
        <v/>
      </c>
      <c r="N4" s="30" t="n">
        <v>1</v>
      </c>
      <c r="O4" s="68">
        <f>VLOOKUP(N4,FI4:FJ7,2,FALSE)</f>
        <v/>
      </c>
      <c r="P4" s="69">
        <f>VLOOKUP($O$4,$BT$4:$CA$7,2,FALSE)</f>
        <v/>
      </c>
      <c r="Q4" s="69">
        <f>VLOOKUP($O$4,$BT$4:$CA$7,3,FALSE)</f>
        <v/>
      </c>
      <c r="R4" s="69">
        <f>VLOOKUP($O$4,$BT$4:$CA$7,4,FALSE)</f>
        <v/>
      </c>
      <c r="S4" s="69">
        <f>VLOOKUP($O$4,$BT$4:$CA$7,5,FALSE)</f>
        <v/>
      </c>
      <c r="T4" s="69">
        <f>VLOOKUP($O$4,$BT$4:$CA$7,6,FALSE)</f>
        <v/>
      </c>
      <c r="U4" s="69">
        <f>VLOOKUP($O$4,$BT$4:$CA$7,7,FALSE)</f>
        <v/>
      </c>
      <c r="V4" s="70">
        <f>VLOOKUP($O$4,$BT$4:$CA$7,8,FALSE)</f>
        <v/>
      </c>
      <c r="X4" s="71" t="inlineStr">
        <is>
          <t>Skyttekung</t>
        </is>
      </c>
      <c r="Y4" s="216" t="inlineStr">
        <is>
          <t>Kylian Mbappé</t>
        </is>
      </c>
      <c r="Z4" s="217" t="n"/>
      <c r="AA4" s="217" t="n"/>
      <c r="AB4" s="218" t="n"/>
      <c r="AC4" s="66">
        <f>IF(AND('[1]Resultat &amp; tabell'!Y4&gt;0,Y4='[1]Resultat &amp; tabell'!Y4),20,0)</f>
        <v/>
      </c>
      <c r="AE4" s="72">
        <f>C4</f>
        <v/>
      </c>
      <c r="AF4" s="72">
        <f>D4</f>
        <v/>
      </c>
      <c r="AG4" s="72">
        <f>E4</f>
        <v/>
      </c>
      <c r="AH4" s="72">
        <f>F4</f>
        <v/>
      </c>
      <c r="AI4" s="63">
        <f>IF(G4="","",G4)</f>
        <v/>
      </c>
      <c r="AJ4" s="58">
        <f>H4</f>
        <v/>
      </c>
      <c r="AK4" s="63">
        <f>IF(I4="","",I4)</f>
        <v/>
      </c>
      <c r="AL4" s="65">
        <f>J4</f>
        <v/>
      </c>
      <c r="AM4" s="73" t="n"/>
      <c r="AN4" s="13">
        <f>IF(AI4&gt;AK4,1,0)</f>
        <v/>
      </c>
      <c r="AO4" s="13">
        <f>IF(AK4&gt;AI4,1,0)</f>
        <v/>
      </c>
      <c r="AP4" s="13">
        <f>IF(AND(AI4=AK4,AI4&lt;&gt;""),1,0)</f>
        <v/>
      </c>
      <c r="AQ4" s="13">
        <f>IF(AND(AI4=AK4,AI4&lt;&gt;""),1,0)</f>
        <v/>
      </c>
      <c r="AR4" s="13">
        <f>IF(AI4&lt;AK4,1,0)</f>
        <v/>
      </c>
      <c r="AS4" s="13">
        <f>IF(AK4&lt;AI4,1,)</f>
        <v/>
      </c>
      <c r="AT4" s="13">
        <f>IF(ISERROR(VLOOKUP(AF4,CF:CF,1,FALSE)),0,1)*IF(ISERROR(VLOOKUP(AH4,CF:CF,1,FALSE)),0,1)*AN4</f>
        <v/>
      </c>
      <c r="AU4" s="13">
        <f>IF(ISERROR(VLOOKUP(AF4,CF:CF,1,FALSE)),0,1)*IF(ISERROR(VLOOKUP(AH4,CF:CF,1,FALSE)),0,1)*AO4</f>
        <v/>
      </c>
      <c r="AV4" s="13">
        <f>IF(ISERROR(VLOOKUP(AF4,CF:CF,1,FALSE)),0,1)*IF(ISERROR(VLOOKUP(AH4,CF:CF,1,FALSE)),0,1)*AP4</f>
        <v/>
      </c>
      <c r="AW4" s="13">
        <f>IF(ISERROR(VLOOKUP(AF4,CF:CF,1,FALSE)),0,1)*IF(ISERROR(VLOOKUP(AH4,CF:CF,1,FALSE)),0,1)*AQ4</f>
        <v/>
      </c>
      <c r="AX4" s="13">
        <f>IF(ISERROR(VLOOKUP(AF4,CF:CF,1,FALSE)),0,1)*IF(ISERROR(VLOOKUP(AH4,CF:CF,1,FALSE)),0,1)*AR4</f>
        <v/>
      </c>
      <c r="AY4" s="13">
        <f>IF(ISERROR(VLOOKUP(AF4,CF:CF,1,FALSE)),0,1)*IF(ISERROR(VLOOKUP(AH4,CF:CF,1,FALSE)),0,1)*AS4</f>
        <v/>
      </c>
      <c r="AZ4" s="13">
        <f>IF(ISERROR(VLOOKUP(AF4,CZ:CZ,1,FALSE)),0,1)*IF(ISERROR(VLOOKUP(AH4,CZ:CZ,1,FALSE)),0,1)*AN4</f>
        <v/>
      </c>
      <c r="BA4" s="13">
        <f>IF(ISERROR(VLOOKUP(AF4,CZ:CZ,1,FALSE)),0,1)*IF(ISERROR(VLOOKUP(AH4,CZ:CZ,1,FALSE)),0,1)*AO4</f>
        <v/>
      </c>
      <c r="BB4" s="13">
        <f>IF(ISERROR(VLOOKUP(AF4,CZ:CZ,1,FALSE)),0,1)*IF(ISERROR(VLOOKUP(AH4,CZ:CZ,1,FALSE)),0,1)*AP4</f>
        <v/>
      </c>
      <c r="BC4" s="13">
        <f>IF(ISERROR(VLOOKUP(AF4,CZ:CZ,1,FALSE)),0,1)*IF(ISERROR(VLOOKUP(AH4,CZ:CZ,1,FALSE)),0,1)*AQ4</f>
        <v/>
      </c>
      <c r="BD4" s="13">
        <f>IF(ISERROR(VLOOKUP(AF4,CZ:CZ,1,FALSE)),0,1)*IF(ISERROR(VLOOKUP(AH4,CZ:CZ,1,FALSE)),0,1)*AR4</f>
        <v/>
      </c>
      <c r="BE4" s="13">
        <f>IF(ISERROR(VLOOKUP(AF4,CZ:CZ,1,FALSE)),0,1)*IF(ISERROR(VLOOKUP(AH4,CZ:CZ,1,FALSE)),0,1)*AS4</f>
        <v/>
      </c>
      <c r="BF4" s="13">
        <f>IF(ISERROR(VLOOKUP(AF4,DT:DT,1,FALSE)),0,1)*IF(ISERROR(VLOOKUP(AH4,DT:DT,1,FALSE)),0,1)*AN4</f>
        <v/>
      </c>
      <c r="BG4" s="13">
        <f>IF(ISERROR(VLOOKUP(AF4,DT:DT,1,FALSE)),0,1)*IF(ISERROR(VLOOKUP(AH4,DT:DT,1,FALSE)),0,1)*AO4</f>
        <v/>
      </c>
      <c r="BH4" s="13">
        <f>IF(ISERROR(VLOOKUP(AF4,DT:DT,1,FALSE)),0,1)*IF(ISERROR(VLOOKUP(AH4,DT:DT,1,FALSE)),0,1)*AP4</f>
        <v/>
      </c>
      <c r="BI4" s="13">
        <f>IF(ISERROR(VLOOKUP(AF4,DT:DT,1,FALSE)),0,1)*IF(ISERROR(VLOOKUP(AH4,DT:DT,1,FALSE)),0,1)*AQ4</f>
        <v/>
      </c>
      <c r="BJ4" s="13">
        <f>IF(ISERROR(VLOOKUP(AF4,DT:DT,1,FALSE)),0,1)*IF(ISERROR(VLOOKUP(AH4,DT:DT,1,FALSE)),0,1)*AR4</f>
        <v/>
      </c>
      <c r="BK4" s="13">
        <f>IF(ISERROR(VLOOKUP(AF4,DT:DT,1,FALSE)),0,1)*IF(ISERROR(VLOOKUP(AH4,DT:DT,1,FALSE)),0,1)*AS4</f>
        <v/>
      </c>
      <c r="BL4" s="13">
        <f>IF(ISERROR(VLOOKUP(AF4,EN:EN,1,FALSE)),0,1)*IF(ISERROR(VLOOKUP(AH4,EN:EN,1,FALSE)),0,1)*AN4</f>
        <v/>
      </c>
      <c r="BM4" s="13">
        <f>IF(ISERROR(VLOOKUP(AF4,EN:EN,1,FALSE)),0,1)*IF(ISERROR(VLOOKUP(AH4,EN:EN,1,FALSE)),0,1)*AO4</f>
        <v/>
      </c>
      <c r="BN4" s="13">
        <f>IF(ISERROR(VLOOKUP(AF4,EN:EN,1,FALSE)),0,1)*IF(ISERROR(VLOOKUP(AH4,EN:EN,1,FALSE)),0,1)*AP4</f>
        <v/>
      </c>
      <c r="BO4" s="13">
        <f>IF(ISERROR(VLOOKUP(AF4,EN:EN,1,FALSE)),0,1)*IF(ISERROR(VLOOKUP(AH4,EN:EN,1,FALSE)),0,1)*AQ4</f>
        <v/>
      </c>
      <c r="BP4" s="13">
        <f>IF(ISERROR(VLOOKUP(AF4,EN:EN,1,FALSE)),0,1)*IF(ISERROR(VLOOKUP(AH4,EN:EN,1,FALSE)),0,1)*AR4</f>
        <v/>
      </c>
      <c r="BQ4" s="13">
        <f>IF(ISERROR(VLOOKUP(AF4,EN:EN,1,FALSE)),0,1)*IF(ISERROR(VLOOKUP(AH4,EN:EN,1,FALSE)),0,1)*AS4</f>
        <v/>
      </c>
      <c r="BT4" s="12" t="inlineStr">
        <is>
          <t>Mexiko</t>
        </is>
      </c>
      <c r="BU4" s="13">
        <f>(SUMIF(AF$4:AF$108,BT4,AN$4:AN$108)+SUMIF(AH$4:AH$108,BT4,AO$4:AO$108))</f>
        <v/>
      </c>
      <c r="BV4" s="13">
        <f>(SUMIF(AF$4:AF$108,BT4,AP$4:AP$108)+SUMIF(AH$4:AH$108,BT4,AQ$4:AQ$108))</f>
        <v/>
      </c>
      <c r="BW4" s="13">
        <f>(SUMIF(AF$4:AF$108,BT4,AR$4:AR$108)+SUMIF(AH$4:AH$108,BT4,AS$4:AS$108))</f>
        <v/>
      </c>
      <c r="BX4" s="13">
        <f>SUMIF($AF$4:$AF$108,BT4,$AI$4:$AI$108)+SUMIF($AH$4:$AH$108,BT4,$AK$4:$AK$108)</f>
        <v/>
      </c>
      <c r="BY4" s="13">
        <f>SUMIF($AF$4:$AF$108,BT4,$AK$4:$AK$108)+SUMIF($AH$4:$AH$108,BT4,$AI$4:$AI$108)</f>
        <v/>
      </c>
      <c r="BZ4" s="13">
        <f>BX4-BY4</f>
        <v/>
      </c>
      <c r="CA4" s="13">
        <f>IFERROR(BU4*3+BV4*1,0)</f>
        <v/>
      </c>
      <c r="CB4" s="13" t="inlineStr">
        <is>
          <t>A</t>
        </is>
      </c>
      <c r="CC4" s="74">
        <f>RANK(CA4,CA4:CA7)</f>
        <v/>
      </c>
      <c r="CD4" s="13">
        <f>SUMPRODUCT((CA4:CA7=CA4)*(BZ4:BZ7&gt;BZ4))</f>
        <v/>
      </c>
      <c r="CF4" s="12">
        <f>IF(CC4=1,BT4,)</f>
        <v/>
      </c>
      <c r="CG4" s="13">
        <f>(SUMIF($AF$4:$AF$108,$BT4,$AT$4:$AT$108)+SUMIF($AH$4:$AH$108,$BT4,$AU$4:$AU$108))</f>
        <v/>
      </c>
      <c r="CH4" s="13">
        <f>(SUMIF($AF$4:$AF$108,$BT4,$AV$4:$AV$108)+SUMIF($AH$4:$AH$108,$BT4,$AW$4:$AW$108))</f>
        <v/>
      </c>
      <c r="CI4" s="13">
        <f>(SUMIF($AF$4:$AF$108,$BT4,$AX$4:$AX$108)+SUMIF($AH$4:$AH$108,$BT4,$AY$4:$AY$108))</f>
        <v/>
      </c>
      <c r="CJ4" s="13">
        <f>IFERROR(CG4*3+CH4*1,0)</f>
        <v/>
      </c>
      <c r="CK4" s="13">
        <f>CB4</f>
        <v/>
      </c>
      <c r="CL4" s="13">
        <f>IF(CF4&gt;0,RANK(CJ4,CJ4:CJ7),)</f>
        <v/>
      </c>
      <c r="CM4" s="13">
        <f>IF(AND(CF4&gt;0,COUNTIF(CL4:CL7,CL4)&gt;1),SUMIFS($AI$4:$AI$108,$AF$4:$AF$108,$BT4,$M$4:$M$108,1)+SUMIFS($AK$4:$AK$108,$AH$4:$AH$108,$BT4,$M$4:$M$108,1)-SUMIFS($AK$4:$AK$108,$AF$4:$AF$108,$BT4,$M$4:$M$108,1)-SUMIFS($AI$4:$AI$108,$AH$4:$AH$108,$BT4,$M$4:$M$108,1),)</f>
        <v/>
      </c>
      <c r="CN4" s="13">
        <f>IF(AND(CF4&gt;0,COUNTIF(CL4:CL7,CL4)&gt;1),CL4+RANK(CM4,CM4:CM7)-1,CL4)</f>
        <v/>
      </c>
      <c r="CO4" s="13">
        <f>IF(AND(CF4&gt;0,COUNTIF(CN4:CN7,CN4)&gt;1),SUMIFS($AI$4:$AI$108,$AF$4:$AF$108,$BT4,$M$4:$M$108,1)+SUMIFS($AK$4:$AK$108,$AH$4:$AH$108,$BT4,$M$4:$M$108,1),)</f>
        <v/>
      </c>
      <c r="CP4" s="13">
        <f>IF(AND(CF4&gt;0,COUNTIF(CN4:CN7,CN4)&gt;1),CN4+RANK(CO4,CO4:CO7)-1,CN4)</f>
        <v/>
      </c>
      <c r="CQ4" s="13">
        <f>IF(CP4=0,"",CP4)</f>
        <v/>
      </c>
      <c r="CR4" s="13">
        <f>IF(OR(CQ4="",COUNTIF(CQ4:CQ7,CQ4)=1),"",$BZ4)</f>
        <v/>
      </c>
      <c r="CS4" s="13">
        <f>IF(CQ4="","",IF(COUNTIF(CQ4:CQ7,CQ4)=1,CQ4,CQ4+RANK(CR4,CR4:CR7,0)-1))</f>
        <v/>
      </c>
      <c r="CT4" s="13">
        <f>IF(OR(CS4="",COUNTIF(CS4:CS7,CS4)=1),"",$BX4)</f>
        <v/>
      </c>
      <c r="CU4" s="13">
        <f>IF(CQ4="","",IF(COUNTIF(CS4:CS7,CS4)=1,CS4,CS4+RANK(CT4,CT4:CT7,0)-1))</f>
        <v/>
      </c>
      <c r="CV4" s="13">
        <f>IF(OR(CU4="",COUNTIF(CU4:CU7,CU4)=1),"",$BU4)</f>
        <v/>
      </c>
      <c r="CW4" s="13">
        <f>IF(CQ4="","",IF(COUNTIF(CU4:CU7,CU4)=1,CU4,CU4+RANK(CV4,CV4:CV7,0)-1))</f>
        <v/>
      </c>
      <c r="CX4" s="13">
        <f>IF(CF4&gt;0,BM2+RANK(CW4,CW4:CW7,1),)</f>
        <v/>
      </c>
      <c r="CZ4" s="12">
        <f>IF(CC4=2,BT4,)</f>
        <v/>
      </c>
      <c r="DA4" s="13">
        <f>(SUMIF($AF$4:$AF$108,$BT4,$AZ$4:$AZ$108)+SUMIF($AH$4:$AH$108,$BT4,$BA$4:$BA$108))</f>
        <v/>
      </c>
      <c r="DB4" s="13">
        <f>(SUMIF($AF$4:$AF$108,$BT4,$BB$4:$BB$108)+SUMIF($AH$4:$AH$108,$BT4,$BC$4:$BC$108))</f>
        <v/>
      </c>
      <c r="DC4" s="13">
        <f>(SUMIF($AF$4:$AF$108,$BT4,$BD$4:$BD$108)+SUMIF($AH$4:$AH$108,$BT4,$BE$4:$BE$108))</f>
        <v/>
      </c>
      <c r="DD4" s="13">
        <f>IFERROR(DA4*3+DB4*1,0)</f>
        <v/>
      </c>
      <c r="DE4" s="13">
        <f>$CB4</f>
        <v/>
      </c>
      <c r="DF4" s="13">
        <f>IF(CZ4&gt;0,RANK(DD4,DD4:DD7)+CG2,)</f>
        <v/>
      </c>
      <c r="DG4" s="13">
        <f>IF(AND(CZ4&gt;0,COUNTIF(DF4:DF7,DF4)&gt;1),SUMIFS($AI$4:$AI$108,$AF$4:$AF$108,$BT4,$M$4:$M$108,2)+SUMIFS($AK$4:$AK$108,$AH$4:$AH108,$BT4,$M$4:$M$108,2)-SUMIFS($AK$4:$AK$108,$AF$4:$AF$108,$BT4,$M$4:$M$108,2)-SUMIFS($AI$4:$AI$108,$AH$4:$AH$108,$BT4,$M$4:$M$108,2),)</f>
        <v/>
      </c>
      <c r="DH4" s="13">
        <f>IF(AND(CZ4&gt;0,COUNTIF(DF4:DF7,DF4)&gt;1),DF4+RANK(DG4,DG4:DG7)-1,DF4)</f>
        <v/>
      </c>
      <c r="DI4" s="13">
        <f>IF(AND(CZ4&gt;0,COUNTIF(DH4:DH7,DH4)&gt;1),SUMIFS($AI$4:$AI$108,$AF$4:$AF$108,$BT4,$M$4:$M$108,2)+SUMIFS($AK$4:$AK$108,$AH$4:$AH$108,$BT4,$M$4:$M$108,2),)</f>
        <v/>
      </c>
      <c r="DJ4" s="13">
        <f>IF(AND(CZ4&gt;0,COUNTIF(DH4:DH7,DH4)&gt;1),DH4+RANK(DI4,DI4:DI7)-1,DH4)</f>
        <v/>
      </c>
      <c r="DK4" s="75">
        <f>IF(DJ4=0,"",DJ4)</f>
        <v/>
      </c>
      <c r="DL4" s="75">
        <f>IF(OR(DK4="",COUNTIF(DK4:DK7,DK4)=1),"",$BZ4)</f>
        <v/>
      </c>
      <c r="DM4" s="75">
        <f>IF(DK4="","",IF(COUNTIF(DK4:DK7,DK4)=1,DK4,DK4+RANK(DL4,DL4:DL7,0)-1))</f>
        <v/>
      </c>
      <c r="DN4" s="75">
        <f>IF(OR(DM4="",COUNTIF(DM4:DM7,DM4)=1),"",$BX4)</f>
        <v/>
      </c>
      <c r="DO4" s="75">
        <f>IF(DK4="","",IF(COUNTIF(DM4:DM7,DM4)=1,DM4,DM4+RANK(DN4,DN4:DN7,0)-1))</f>
        <v/>
      </c>
      <c r="DP4" s="75">
        <f>IF(OR(DO4="",COUNTIF(DO4:DO7,DO4)=1),"",$BU4)</f>
        <v/>
      </c>
      <c r="DQ4" s="75">
        <f>IF(DK4="","",IF(COUNTIF(DO4:DO7,DO4)=1,DO4,DO4+RANK(DP4,DP4:DP7,0)-1))</f>
        <v/>
      </c>
      <c r="DR4" s="13">
        <f>IF(CZ4&gt;0,CG2+RANK(DQ4,DQ4:DQ7,1),)</f>
        <v/>
      </c>
      <c r="DT4" s="13">
        <f>IF(CC4=3,BT4,)</f>
        <v/>
      </c>
      <c r="DU4" s="13">
        <f>(SUMIF($AF$4:$AF$108,BT4,$BF$4:$BF$108)+SUMIF($AH$4:$AH$108,BT4,$BG$4:$BG$108))</f>
        <v/>
      </c>
      <c r="DV4" s="13">
        <f>(SUMIF($AF$4:$AF$108,BT4,$BH$4:$BH$108)+SUMIF($AH$4:$AH$108,BT4,$BI$4:$BI$108))</f>
        <v/>
      </c>
      <c r="DW4" s="13">
        <f>(SUMIF($AF$4:$AF$108,BT4,$BJ$4:$BJ$108)+SUMIF($AH$4:$AH$108,BT4,$BK$4:$BK$108))</f>
        <v/>
      </c>
      <c r="DX4" s="13">
        <f>IFERROR(DU4*3+DV4*1,0)</f>
        <v/>
      </c>
      <c r="DY4" s="13">
        <f>CB4</f>
        <v/>
      </c>
      <c r="DZ4" s="13">
        <f>IF(DT4&gt;0,RANK(DX4,DX4:DX7)+CG2+DA2,)</f>
        <v/>
      </c>
      <c r="EA4" s="13">
        <f>IF(AND(DT4&gt;0,COUNTIF(DZ4:DZ7,DZ4)&gt;1),SUMIFS($AI$4:$AI$108,$AF$4:$AF$108,$BT4,$M$4:$M$108,3)+SUMIFS($AK$4:$AK$108,$AH$4:$AH$108,$BT4,$M$4:$M$108,3)-SUMIFS($AK$4:$AK$108,$AF$4:$AF$108,$BT4,$M$4:$M$108,3)-SUMIFS($AI$4:$AI$108,$AH$4:$AH$108,$BT4,$M$4:$M$108,3),)</f>
        <v/>
      </c>
      <c r="EB4" s="13">
        <f>IF(AND(DT4&gt;0,COUNTIF(DZ4:DZ7,DZ4)&gt;1),DZ4+RANK(EA4,EA4:EA7)-1,DZ4)</f>
        <v/>
      </c>
      <c r="EC4" s="13">
        <f>IF(AND(DT4&gt;0,COUNTIF(EB4:EB7,EB4)&gt;1),SUMIFS($AI$4:$AI$108,$AF$4:$AF$108,$BT4,$M$4:$M$108,3)+SUMIFS($AK$4:$AK$108,$AH$4:$AH$108,$BT4,$M$4:$M$108,3),)</f>
        <v/>
      </c>
      <c r="ED4" s="13">
        <f>IF(AND(DT4&gt;0,COUNTIF(EB4:EB7,EB4)&gt;1),EB4+RANK(EC4,EC4:EC7)-1,EB4)</f>
        <v/>
      </c>
      <c r="EE4" s="13">
        <f>IF(ED4=0,"",ED4)</f>
        <v/>
      </c>
      <c r="EF4" s="13">
        <f>IF(OR(EE4="",COUNTIF(EE4:EE7,EE4)=1),"",$BZ4)</f>
        <v/>
      </c>
      <c r="EG4" s="13">
        <f>IF(EE4="","",IF(COUNTIF(EE4:EE7,EE4)=1,EE4,EE4+RANK(EF4,EF4:EF7,0)-1))</f>
        <v/>
      </c>
      <c r="EH4" s="13">
        <f>IF(OR(EG4="",COUNTIF(EG4:EG7,EG4)=1),"",$BX4)</f>
        <v/>
      </c>
      <c r="EI4" s="13">
        <f>IF(EE4="","",IF(COUNTIF(EG4:EG7,EG4)=1,EG4,EG4+RANK(EH4,EH4:EH7,0)-1))</f>
        <v/>
      </c>
      <c r="EJ4" s="13">
        <f>IF(OR(EI4="",COUNTIF(EI4:EI7,EI4)=1),"",$BU4)</f>
        <v/>
      </c>
      <c r="EK4" s="13">
        <f>IF(EE4="","",IF(COUNTIF(EI4:EI7,EI4)=1,EI4,EI4+RANK(EJ4,EJ4:EJ7,0)-1))</f>
        <v/>
      </c>
      <c r="EL4" s="13">
        <f>IF(DT4&gt;0,CG2+DA2+RANK(EK4,EK4:EK7,1),)</f>
        <v/>
      </c>
      <c r="EN4" s="13">
        <f>IF(CC4=4,BT4,)</f>
        <v/>
      </c>
      <c r="EO4" s="13">
        <f>(SUMIF($AF$4:$AF$108,$BT4,$BL$4:$BL$108)+SUMIF($AH$4:$AH$108,$BT4,$BM$4:$BM$108))</f>
        <v/>
      </c>
      <c r="EP4" s="13">
        <f>(SUMIF($AF$4:$AF$108,$BT4,$BN$4:$BN$108)+SUMIF($AH$4:$AH$108,$BT4,$BO$4:$BO$108))</f>
        <v/>
      </c>
      <c r="EQ4" s="13">
        <f>(SUMIF($AF$4:$AF$108,$BT4,$BP$4:$BP$108)+SUMIF($AH$4:$AH$108,$BT4,$BQ$4:$BQ$108))</f>
        <v/>
      </c>
      <c r="ER4" s="13">
        <f>IFERROR(EO4*3+EP4*1,0)</f>
        <v/>
      </c>
      <c r="ES4" s="13">
        <f>$CB4</f>
        <v/>
      </c>
      <c r="ET4" s="13">
        <f>IF(EN4&gt;0,RANK(ER4,ER4:ER7)+CG2+DA2+DU2,)</f>
        <v/>
      </c>
      <c r="EU4" s="13">
        <f>IF(AND(EN4&gt;0,COUNTIF(ET4:ET7,ET4)&gt;1),SUMIFS($AI$4:$AI$108,$AF$4:$AF$108,$BT4,$M$4:$M$108,4)+SUMIFS($AK$4:$AK$108,$AH$4:$AH$108,$BT4,$M$4:$M$108,4)-SUMIFS($AK$4:$AK$108,$AF$4:$AF$108,$BT4,$M$4:$M$108,4)-SUMIFS($AI$4:$AI$108,$AH$4:$AH$108,$BT4,$M$4:$M$108,4),)</f>
        <v/>
      </c>
      <c r="EV4" s="13">
        <f>IF(AND(EN4&gt;0,COUNTIF(ET4:ET7,ET4)&gt;1),ET4+RANK(EU4,EU4:EU7)-1,ET4)</f>
        <v/>
      </c>
      <c r="EW4" s="13">
        <f>IF(AND(EN4&gt;0,COUNTIF(EV4:EV7,EV4)&gt;1),SUMIFS($AI$4:$AI$108,$AF$4:$AF$108,$BT4,$M$4:$M$108,4)+SUMIFS($AK$4:$AK$108,$AH$4:$AH$108,$BT4,$M$4:$M$108,4),)</f>
        <v/>
      </c>
      <c r="EX4" s="13">
        <f>IF(AND(EN4&gt;0,COUNTIF(EV4:EV7,EV4)&gt;1),EV4+RANK(EW4,EW4:EW7)-1,EV4)</f>
        <v/>
      </c>
      <c r="EY4" s="13">
        <f>IF(EX4=0,"",EX4)</f>
        <v/>
      </c>
      <c r="EZ4" s="13">
        <f>IF(OR(EY4="",COUNTIF(EY4:EY7,EY4)=1),"",$BZ4)</f>
        <v/>
      </c>
      <c r="FA4" s="13">
        <f>IF(EY4="","",IF(COUNTIF(EY4:EY7,EY4)=1,EY4,EY4+RANK(EZ4,EZ4:EZ7,0)-1))</f>
        <v/>
      </c>
      <c r="FB4" s="13">
        <f>IF(OR(FA4="",COUNTIF(FA4:FA7,FA4)=1),"",$BX4)</f>
        <v/>
      </c>
      <c r="FC4" s="13">
        <f>IF(EY4="","",IF(COUNTIF(FA4:FA7,FA4)=1,FA4,FA4+RANK(FB4,FB4:FB7,0)-1))</f>
        <v/>
      </c>
      <c r="FD4" s="13">
        <f>IF(OR(FC4="",COUNTIF(FC4:FC7,FC4)=1),"",$BU4)</f>
        <v/>
      </c>
      <c r="FE4" s="13">
        <f>IF(EY4="","",IF(COUNTIF(FC4:FC7,FC4)=1,FC4,FC4+RANK(FD4,FD4:FD7,0)-1))</f>
        <v/>
      </c>
      <c r="FF4" s="13">
        <f>IF(EN4&gt;0,CG2+DA2+DU2+RANK(FE4,FE4:FE7,1),)</f>
        <v/>
      </c>
      <c r="FH4" s="13">
        <f>IFERROR(VLOOKUP(FJ4,CF3:CX7,19,FALSE),IFERROR(VLOOKUP(FJ4,CZ3:DR7,19,FALSE),IFERROR(VLOOKUP(FJ4,DT3:EL7,19,FALSE),VLOOKUP(FJ4,EN3:FF7,19,FALSE))))</f>
        <v/>
      </c>
      <c r="FI4" s="13">
        <f>RANK(FH4,FH4:FH7,1)+COUNTIF(FH4:FH4,FH4)-1</f>
        <v/>
      </c>
      <c r="FJ4" s="12">
        <f>BT4</f>
        <v/>
      </c>
      <c r="FM4" s="76" t="inlineStr">
        <is>
          <t>A</t>
        </is>
      </c>
      <c r="FN4" s="9">
        <f>O6</f>
        <v/>
      </c>
      <c r="FO4" s="77">
        <f>RANK($FP4,$FP$4:$FP$15,1)+COUNTIF($FP4:$FP$15,$FP4)-1</f>
        <v/>
      </c>
      <c r="FP4" s="77">
        <f>FS4+FR4+FQ4</f>
        <v/>
      </c>
      <c r="FQ4" s="77">
        <f t="array" ref="FQ4">SUMPRODUCT(($FT$4:$FT$15=FT4)*($FU$4:$FU$15=FU4)*($FV$4:$FV$15&gt;FV4))</f>
        <v/>
      </c>
      <c r="FR4" s="73">
        <f t="array" ref="FR4">SUMPRODUCT(($FT$4:$FT$15=FT4)*($FU$4:$FU$15&gt;FU4))</f>
        <v/>
      </c>
      <c r="FS4" s="77">
        <f>RANK(FT4,$FT$4:$FT$15)</f>
        <v/>
      </c>
      <c r="FT4" s="78">
        <f>V6</f>
        <v/>
      </c>
      <c r="FU4" s="78">
        <f>U6</f>
        <v/>
      </c>
      <c r="FV4" s="78">
        <f>S6</f>
        <v/>
      </c>
      <c r="FW4" s="78">
        <f>FM4</f>
        <v/>
      </c>
      <c r="FX4" s="77">
        <f>IF(FO4&lt;9,FW4,)</f>
        <v/>
      </c>
      <c r="FZ4" s="79" t="n">
        <v>2</v>
      </c>
      <c r="GA4" s="3">
        <f>GB4&amp;GC4&amp;GD4&amp;GE4&amp;GF4&amp;GG4&amp;GH4&amp;GI4</f>
        <v/>
      </c>
      <c r="GB4" s="3" t="inlineStr">
        <is>
          <t>E</t>
        </is>
      </c>
      <c r="GC4" s="3" t="inlineStr">
        <is>
          <t>J</t>
        </is>
      </c>
      <c r="GD4" s="3" t="inlineStr">
        <is>
          <t>I</t>
        </is>
      </c>
      <c r="GE4" s="3" t="inlineStr">
        <is>
          <t>F</t>
        </is>
      </c>
      <c r="GF4" s="3" t="inlineStr">
        <is>
          <t>H</t>
        </is>
      </c>
      <c r="GG4" s="3" t="inlineStr">
        <is>
          <t>G</t>
        </is>
      </c>
      <c r="GH4" s="3" t="inlineStr">
        <is>
          <t>L</t>
        </is>
      </c>
      <c r="GI4" s="3" t="inlineStr">
        <is>
          <t>K</t>
        </is>
      </c>
      <c r="GJ4" s="9">
        <f>VLOOKUP(GB4,$FM$3:$FN$15,2,FALSE)</f>
        <v/>
      </c>
      <c r="GK4" s="9">
        <f>VLOOKUP(GC4,$FM$3:$FN$15,2,FALSE)</f>
        <v/>
      </c>
      <c r="GL4" s="9">
        <f>VLOOKUP(GD4,$FM$3:$FN$15,2,FALSE)</f>
        <v/>
      </c>
      <c r="GM4" s="9">
        <f>VLOOKUP(GE4,$FM$3:$FN$15,2,FALSE)</f>
        <v/>
      </c>
      <c r="GN4" s="9">
        <f>VLOOKUP(GF4,$FM$3:$FN$15,2,FALSE)</f>
        <v/>
      </c>
      <c r="GO4" s="9">
        <f>VLOOKUP(GG4,$FM$3:$FN$15,2,FALSE)</f>
        <v/>
      </c>
      <c r="GP4" s="9">
        <f>VLOOKUP(GH4,$FM$3:$FN$15,2,FALSE)</f>
        <v/>
      </c>
      <c r="GQ4" s="9">
        <f>VLOOKUP(GI4,$FM$3:$FN$15,2,FALSE)</f>
        <v/>
      </c>
      <c r="GR4" s="9">
        <f>IFERROR(IF(AND(VLOOKUP(GB4,$FX$4:$FX$15,1,FALSE)=GB4,VLOOKUP(GC4,$FX$4:$FX$15,1,FALSE)=GC4,VLOOKUP(GD4,$FX$4:$FX$15,1,FALSE)=GD4,VLOOKUP(GE4,$FX$4:$FX$15,1,FALSE)=GE4,VLOOKUP(GF4,$FX$4:$FX$15,1,FALSE)=GF4,VLOOKUP(GG4,$FX$4:$FX$15,1,FALSE)=GG4,VLOOKUP(GH4,$FX$4:$FX$15,1,FALSE)=GH4,VLOOKUP(GI4,$FX$4:$FX$15,1,FALSE)=GI4),FZ4,""),"")</f>
        <v/>
      </c>
      <c r="GX4" s="79" t="n"/>
    </row>
    <row r="5" ht="14.25" customHeight="1">
      <c r="B5" s="58" t="n">
        <v>2</v>
      </c>
      <c r="C5" s="59" t="n">
        <v>46185</v>
      </c>
      <c r="D5" s="60" t="inlineStr">
        <is>
          <t>Sydkorea</t>
        </is>
      </c>
      <c r="E5" s="61" t="inlineStr">
        <is>
          <t>-</t>
        </is>
      </c>
      <c r="F5" s="62" t="inlineStr">
        <is>
          <t>Czechia</t>
        </is>
      </c>
      <c r="G5" s="63" t="n">
        <v>1</v>
      </c>
      <c r="H5" s="64" t="inlineStr">
        <is>
          <t>-</t>
        </is>
      </c>
      <c r="I5" s="63" t="n">
        <v>1</v>
      </c>
      <c r="J5" s="65">
        <f>IF(OR(ISBLANK(G5),ISBLANK(I5)),"",IF(G5&gt;I5,1,IF(G5&lt;I5,2,"X")))</f>
        <v/>
      </c>
      <c r="K5" s="66">
        <f>IF(OR(G5="",I5="",'[1]Resultat &amp; tabell'!G5="",'[1]Resultat &amp; tabell'!I5=""),0,IF(G5='[1]Resultat &amp; tabell'!G5,2,0)+IF(I5='[1]Resultat &amp; tabell'!I5,2,0)+IF(J5='[1]Resultat &amp; tabell'!J5,2,0))</f>
        <v/>
      </c>
      <c r="L5" s="67" t="n"/>
      <c r="M5" s="29">
        <f>IF(VLOOKUP(D5,$BT$3:$CC$7,10,FALSE)=VLOOKUP(F5,$BT$3:$CC$7,10,FALSE),VLOOKUP(D5,$BT$3:$CC$7,10,FALSE),"-")</f>
        <v/>
      </c>
      <c r="N5" s="30" t="n">
        <v>2</v>
      </c>
      <c r="O5" s="80">
        <f>VLOOKUP(N5,FI4:FJ7,2,FALSE)</f>
        <v/>
      </c>
      <c r="P5" s="81">
        <f>VLOOKUP(O5,$BT$4:$CA$7,2,FALSE)</f>
        <v/>
      </c>
      <c r="Q5" s="81">
        <f>VLOOKUP($O$5,$BT$4:$CA$7,3,FALSE)</f>
        <v/>
      </c>
      <c r="R5" s="81">
        <f>VLOOKUP($O$5,$BT$4:$CA$7,4,FALSE)</f>
        <v/>
      </c>
      <c r="S5" s="81">
        <f>VLOOKUP($O$5,$BT$4:$CA$7,5,FALSE)</f>
        <v/>
      </c>
      <c r="T5" s="81">
        <f>VLOOKUP($O$5,$BT$4:$CA$7,6,FALSE)</f>
        <v/>
      </c>
      <c r="U5" s="81">
        <f>VLOOKUP($O$5,$BT$4:$CA$7,7,FALSE)</f>
        <v/>
      </c>
      <c r="V5" s="82">
        <f>VLOOKUP($O$5,$BT$4:$CA$7,8,FALSE)</f>
        <v/>
      </c>
      <c r="X5" s="71" t="inlineStr">
        <is>
          <t>Världsmästare</t>
        </is>
      </c>
      <c r="Y5" s="216" t="inlineStr">
        <is>
          <t>Spanien</t>
        </is>
      </c>
      <c r="Z5" s="217" t="n"/>
      <c r="AA5" s="217" t="n"/>
      <c r="AB5" s="218" t="n"/>
      <c r="AC5" s="66">
        <f>IF(AND('[1]Resultat &amp; tabell'!Y5&gt;0,Y5='[1]Resultat &amp; tabell'!Y5),20,0)</f>
        <v/>
      </c>
      <c r="AE5" s="72">
        <f>C5</f>
        <v/>
      </c>
      <c r="AF5" s="72">
        <f>D5</f>
        <v/>
      </c>
      <c r="AG5" s="72">
        <f>E5</f>
        <v/>
      </c>
      <c r="AH5" s="72">
        <f>F5</f>
        <v/>
      </c>
      <c r="AI5" s="63">
        <f>IF(G5="","",G5)</f>
        <v/>
      </c>
      <c r="AJ5" s="58">
        <f>H5</f>
        <v/>
      </c>
      <c r="AK5" s="63">
        <f>IF(I5="","",I5)</f>
        <v/>
      </c>
      <c r="AL5" s="65">
        <f>J5</f>
        <v/>
      </c>
      <c r="AM5" s="73" t="n"/>
      <c r="AN5" s="13">
        <f>IF(AI5&gt;AK5,1,0)</f>
        <v/>
      </c>
      <c r="AO5" s="13">
        <f>IF(AK5&gt;AI5,1,0)</f>
        <v/>
      </c>
      <c r="AP5" s="13">
        <f>IF(AND(AI5=AK5,AI5&lt;&gt;""),1,0)</f>
        <v/>
      </c>
      <c r="AQ5" s="13">
        <f>IF(AND(AI5=AK5,AI5&lt;&gt;""),1,0)</f>
        <v/>
      </c>
      <c r="AR5" s="13">
        <f>IF(AI5&lt;AK5,1,0)</f>
        <v/>
      </c>
      <c r="AS5" s="13">
        <f>IF(AK5&lt;AI5,1,)</f>
        <v/>
      </c>
      <c r="AT5" s="13">
        <f>IF(ISERROR(VLOOKUP(AF5,CF:CF,1,FALSE)),0,1)*IF(ISERROR(VLOOKUP(AH5,CF:CF,1,FALSE)),0,1)*AN5</f>
        <v/>
      </c>
      <c r="AU5" s="13">
        <f>IF(ISERROR(VLOOKUP(AF5,CF:CF,1,FALSE)),0,1)*IF(ISERROR(VLOOKUP(AH5,CF:CF,1,FALSE)),0,1)*AO5</f>
        <v/>
      </c>
      <c r="AV5" s="13">
        <f>IF(ISERROR(VLOOKUP(AF5,CF:CF,1,FALSE)),0,1)*IF(ISERROR(VLOOKUP(AH5,CF:CF,1,FALSE)),0,1)*AP5</f>
        <v/>
      </c>
      <c r="AW5" s="13">
        <f>IF(ISERROR(VLOOKUP(AF5,CF:CF,1,FALSE)),0,1)*IF(ISERROR(VLOOKUP(AH5,CF:CF,1,FALSE)),0,1)*AQ5</f>
        <v/>
      </c>
      <c r="AX5" s="13">
        <f>IF(ISERROR(VLOOKUP(AF5,CF:CF,1,FALSE)),0,1)*IF(ISERROR(VLOOKUP(AH5,CF:CF,1,FALSE)),0,1)*AR5</f>
        <v/>
      </c>
      <c r="AY5" s="13">
        <f>IF(ISERROR(VLOOKUP(AF5,CF:CF,1,FALSE)),0,1)*IF(ISERROR(VLOOKUP(AH5,CF:CF,1,FALSE)),0,1)*AS5</f>
        <v/>
      </c>
      <c r="AZ5" s="13">
        <f>IF(ISERROR(VLOOKUP(AF5,CZ:CZ,1,FALSE)),0,1)*IF(ISERROR(VLOOKUP(AH5,CZ:CZ,1,FALSE)),0,1)*AN5</f>
        <v/>
      </c>
      <c r="BA5" s="13">
        <f>IF(ISERROR(VLOOKUP(AF5,CZ:CZ,1,FALSE)),0,1)*IF(ISERROR(VLOOKUP(AH5,CZ:CZ,1,FALSE)),0,1)*AO5</f>
        <v/>
      </c>
      <c r="BB5" s="13">
        <f>IF(ISERROR(VLOOKUP(AF5,CZ:CZ,1,FALSE)),0,1)*IF(ISERROR(VLOOKUP(AH5,CZ:CZ,1,FALSE)),0,1)*AP5</f>
        <v/>
      </c>
      <c r="BC5" s="13">
        <f>IF(ISERROR(VLOOKUP(AF5,CZ:CZ,1,FALSE)),0,1)*IF(ISERROR(VLOOKUP(AH5,CZ:CZ,1,FALSE)),0,1)*AQ5</f>
        <v/>
      </c>
      <c r="BD5" s="13">
        <f>IF(ISERROR(VLOOKUP(AF5,CZ:CZ,1,FALSE)),0,1)*IF(ISERROR(VLOOKUP(AH5,CZ:CZ,1,FALSE)),0,1)*AR5</f>
        <v/>
      </c>
      <c r="BE5" s="13">
        <f>IF(ISERROR(VLOOKUP(AF5,CZ:CZ,1,FALSE)),0,1)*IF(ISERROR(VLOOKUP(AH5,CZ:CZ,1,FALSE)),0,1)*AS5</f>
        <v/>
      </c>
      <c r="BF5" s="13">
        <f>IF(ISERROR(VLOOKUP(AF5,DT:DT,1,FALSE)),0,1)*IF(ISERROR(VLOOKUP(AH5,DT:DT,1,FALSE)),0,1)*AN5</f>
        <v/>
      </c>
      <c r="BG5" s="13">
        <f>IF(ISERROR(VLOOKUP(AF5,DT:DT,1,FALSE)),0,1)*IF(ISERROR(VLOOKUP(AH5,DT:DT,1,FALSE)),0,1)*AO5</f>
        <v/>
      </c>
      <c r="BH5" s="13">
        <f>IF(ISERROR(VLOOKUP(AF5,DT:DT,1,FALSE)),0,1)*IF(ISERROR(VLOOKUP(AH5,DT:DT,1,FALSE)),0,1)*AP5</f>
        <v/>
      </c>
      <c r="BI5" s="13">
        <f>IF(ISERROR(VLOOKUP(AF5,DT:DT,1,FALSE)),0,1)*IF(ISERROR(VLOOKUP(AH5,DT:DT,1,FALSE)),0,1)*AQ5</f>
        <v/>
      </c>
      <c r="BJ5" s="13">
        <f>IF(ISERROR(VLOOKUP(AF5,DT:DT,1,FALSE)),0,1)*IF(ISERROR(VLOOKUP(AH5,DT:DT,1,FALSE)),0,1)*AR5</f>
        <v/>
      </c>
      <c r="BK5" s="13">
        <f>IF(ISERROR(VLOOKUP(AF5,DT:DT,1,FALSE)),0,1)*IF(ISERROR(VLOOKUP(AH5,DT:DT,1,FALSE)),0,1)*AS5</f>
        <v/>
      </c>
      <c r="BL5" s="13">
        <f>IF(ISERROR(VLOOKUP(AF5,EN:EN,1,FALSE)),0,1)*IF(ISERROR(VLOOKUP(AH5,EN:EN,1,FALSE)),0,1)*AN5</f>
        <v/>
      </c>
      <c r="BM5" s="13">
        <f>IF(ISERROR(VLOOKUP(AF5,EN:EN,1,FALSE)),0,1)*IF(ISERROR(VLOOKUP(AH5,EN:EN,1,FALSE)),0,1)*AO5</f>
        <v/>
      </c>
      <c r="BN5" s="13">
        <f>IF(ISERROR(VLOOKUP(AF5,EN:EN,1,FALSE)),0,1)*IF(ISERROR(VLOOKUP(AH5,EN:EN,1,FALSE)),0,1)*AP5</f>
        <v/>
      </c>
      <c r="BO5" s="13">
        <f>IF(ISERROR(VLOOKUP(AF5,EN:EN,1,FALSE)),0,1)*IF(ISERROR(VLOOKUP(AH5,EN:EN,1,FALSE)),0,1)*AQ5</f>
        <v/>
      </c>
      <c r="BP5" s="13">
        <f>IF(ISERROR(VLOOKUP(AF5,EN:EN,1,FALSE)),0,1)*IF(ISERROR(VLOOKUP(AH5,EN:EN,1,FALSE)),0,1)*AR5</f>
        <v/>
      </c>
      <c r="BQ5" s="13">
        <f>IF(ISERROR(VLOOKUP(AF5,EN:EN,1,FALSE)),0,1)*IF(ISERROR(VLOOKUP(AH5,EN:EN,1,FALSE)),0,1)*AS5</f>
        <v/>
      </c>
      <c r="BT5" s="12" t="inlineStr">
        <is>
          <t>Sydafrika</t>
        </is>
      </c>
      <c r="BU5" s="13">
        <f>(SUMIF(AF$4:AF$108,BT5,AN$4:AN$108)+SUMIF(AH$4:AH$108,BT5,AO$4:AO$108))</f>
        <v/>
      </c>
      <c r="BV5" s="13">
        <f>(SUMIF(AF$4:AF$108,BT5,AP$4:AP$108)+SUMIF(AH$4:AH$108,BT5,AQ$4:AQ$108))</f>
        <v/>
      </c>
      <c r="BW5" s="13">
        <f>(SUMIF(AF$4:AF$108,BT5,AR$4:AR$108)+SUMIF(AH$4:AH$108,BT5,AS$4:AS$108))</f>
        <v/>
      </c>
      <c r="BX5" s="13">
        <f>SUMIF($AF$4:$AF$108,BT5,$AI$4:$AI$108)+SUMIF($AH$4:$AH$108,BT5,$AK$4:$AK$108)</f>
        <v/>
      </c>
      <c r="BY5" s="13">
        <f>SUMIF($AF$4:$AF$108,BT5,$AK$4:$AK$108)+SUMIF($AH$4:$AH$108,BT5,$AI$4:$AI$108)</f>
        <v/>
      </c>
      <c r="BZ5" s="13">
        <f>BX5-BY5</f>
        <v/>
      </c>
      <c r="CA5" s="13">
        <f>IFERROR(BU5*3+BV5*1,0)</f>
        <v/>
      </c>
      <c r="CB5" s="13" t="inlineStr">
        <is>
          <t>A</t>
        </is>
      </c>
      <c r="CC5" s="74">
        <f>RANK(CA5,CA4:CA7)</f>
        <v/>
      </c>
      <c r="CD5" s="13">
        <f>SUMPRODUCT((CA4:CA7=CA5)*(BZ4:BZ7&gt;BZ5))</f>
        <v/>
      </c>
      <c r="CF5" s="12">
        <f>IF(CC5=1,BT5,)</f>
        <v/>
      </c>
      <c r="CG5" s="13">
        <f>(SUMIF($AF$4:$AF$108,$BT5,$AT$4:$AT$108)+SUMIF($AH$4:$AH$108,$BT5,$AU$4:$AU$108))</f>
        <v/>
      </c>
      <c r="CH5" s="13">
        <f>(SUMIF($AF$4:$AF$108,$BT5,$AV$4:$AV$108)+SUMIF($AH$4:$AH$108,$BT5,$AW$4:$AW$108))</f>
        <v/>
      </c>
      <c r="CI5" s="13">
        <f>(SUMIF($AF$4:$AF$108,$BT5,$AX$4:$AX$108)+SUMIF($AH$4:$AH$108,$BT5,$AY$4:$AY$108))</f>
        <v/>
      </c>
      <c r="CJ5" s="13">
        <f>IFERROR(CG5*3+CH5*1,0)</f>
        <v/>
      </c>
      <c r="CK5" s="13">
        <f>CB5</f>
        <v/>
      </c>
      <c r="CL5" s="13">
        <f>IF(CF5&gt;0,RANK(CJ5,CJ4:CJ7),)</f>
        <v/>
      </c>
      <c r="CM5" s="13">
        <f>IF(AND(CF5&gt;0,COUNTIF(CL4:CL7,CL5)&gt;1),SUMIFS($AI$4:$AI$108,$AF$4:$AF$108,$BT5,$M$4:$M$108,1)+SUMIFS($AK$4:$AK$108,$AH$4:$AH$108,$BT5,$M$4:$M$108,1)-SUMIFS($AK$4:$AK$108,$AF$4:$AF$108,$BT5,$M$4:$M$108,1)-SUMIFS($AI$4:$AI$108,$AH$4:$AH$108,$BT5,$M$4:$M$108,1),)</f>
        <v/>
      </c>
      <c r="CN5" s="13">
        <f>IF(AND(CF5&gt;0,COUNTIF(CL4:CL7,CL5)&gt;1),CL5+RANK(CM5,CM4:CM7)-1,CL5)</f>
        <v/>
      </c>
      <c r="CO5" s="13">
        <f>IF(AND(CF5&gt;0,COUNTIF(CN4:CN7,CN5)&gt;1),SUMIFS($AI$4:$AI$108,$AF$4:$AF$108,$BT5,$M$4:$M$108,1)+SUMIFS($AK$4:$AK$108,$AH$4:$AH$108,$BT5,$M$4:$M$108,1),)</f>
        <v/>
      </c>
      <c r="CP5" s="13">
        <f>IF(AND(CF5&gt;0,COUNTIF(CN4:CN7,CN5)&gt;1),CN5+RANK(CO5,CO4:CO7)-1,CN5)</f>
        <v/>
      </c>
      <c r="CQ5" s="13">
        <f>IF(CP5=0,"",CP5)</f>
        <v/>
      </c>
      <c r="CR5" s="13">
        <f>IF(OR(CQ5="",COUNTIF(CQ4:CQ7,CQ5)=1),"",$BZ5)</f>
        <v/>
      </c>
      <c r="CS5" s="13">
        <f>IF(CQ5="","",IF(COUNTIF(CQ4:CQ7,CQ5)=1,CQ5,CQ5+RANK(CR5,CR4:CR7,0)-1))</f>
        <v/>
      </c>
      <c r="CT5" s="13">
        <f>IF(OR(CS5="",COUNTIF(CS4:CS7,CS5)=1),"",$BX5)</f>
        <v/>
      </c>
      <c r="CU5" s="13">
        <f>IF(CQ5="","",IF(COUNTIF(CS4:CS7,CS5)=1,CS5,CS5+RANK(CT5,CT4:CT7,0)-1))</f>
        <v/>
      </c>
      <c r="CV5" s="13">
        <f>IF(OR(CU5="",COUNTIF(CU4:CU7,CU5)=1),"",$BU5)</f>
        <v/>
      </c>
      <c r="CW5" s="13">
        <f>IF(CQ5="","",IF(COUNTIF(CU4:CU7,CU5)=1,CU5,CU5+RANK(CV5,CV4:CV7,0)-1))</f>
        <v/>
      </c>
      <c r="CX5" s="13">
        <f>IF(CF5&gt;0,BM2+RANK(CW5,CW4:CW7,1),)</f>
        <v/>
      </c>
      <c r="CZ5" s="12">
        <f>IF(CC5=2,BT5,)</f>
        <v/>
      </c>
      <c r="DA5" s="13">
        <f>(SUMIF($AF$4:$AF$108,$BT5,$AZ$4:$AZ$108)+SUMIF($AH$4:$AH$108,$BT5,$BA$4:$BA$108))</f>
        <v/>
      </c>
      <c r="DB5" s="13">
        <f>(SUMIF($AF$4:$AF$108,$BT5,$BB$4:$BB$108)+SUMIF($AH$4:$AH$108,$BT5,$BC$4:$BC$108))</f>
        <v/>
      </c>
      <c r="DC5" s="13">
        <f>(SUMIF($AF$4:$AF$108,$BT5,$BD$4:$BD$108)+SUMIF($AH$4:$AH$108,$BT5,$BE$4:$BE$108))</f>
        <v/>
      </c>
      <c r="DD5" s="13">
        <f>IFERROR(DA5*3+DB5*1,0)</f>
        <v/>
      </c>
      <c r="DE5" s="13">
        <f>$CB5</f>
        <v/>
      </c>
      <c r="DF5" s="13">
        <f>IF(CZ5&gt;0,RANK(DD5,DD4:DD7)+CG2,)</f>
        <v/>
      </c>
      <c r="DG5" s="13">
        <f>IF(AND(CZ5&gt;0,COUNTIF(DF4:DF7,DF5)&gt;1),SUMIFS($AI$4:$AI$108,$AF$4:$AF$108,$BT5,$M$4:$M$108,2)+SUMIFS($AK$4:$AK$108,$AH$4:$AH108,$BT5,$M$4:$M$108,2)-SUMIFS($AK$4:$AK$108,$AF$4:$AF$108,$BT5,$M$4:$M$108,2)-SUMIFS($AI$4:$AI$108,$AH$4:$AH$108,$BT5,$M$4:$M$108,2),)</f>
        <v/>
      </c>
      <c r="DH5" s="13">
        <f>IF(AND(CZ5&gt;0,COUNTIF(DF4:DF7,DF5)&gt;1),DF5+RANK(DG5,DG4:DG7)-1,DF5)</f>
        <v/>
      </c>
      <c r="DI5" s="13">
        <f>IF(AND(CZ5&gt;0,COUNTIF(DH4:DH7,DH5)&gt;1),SUMIFS($AI$4:$AI$108,$AF$4:$AF$108,$BT5,$M$4:$M$108,2)+SUMIFS($AK$4:$AK$108,$AH$4:$AH$108,$BT5,$M$4:$M$108,2),)</f>
        <v/>
      </c>
      <c r="DJ5" s="13">
        <f>IF(AND(CZ5&gt;0,COUNTIF(DH4:DH7,DH5)&gt;1),DH5+RANK(DI5,DI4:DI7)-1,DH5)</f>
        <v/>
      </c>
      <c r="DK5" s="75">
        <f>IF(DJ5=0,"",DJ5)</f>
        <v/>
      </c>
      <c r="DL5" s="75">
        <f>IF(OR(DK5="",COUNTIF(DK4:DK7,DK5)=1),"",$BZ5)</f>
        <v/>
      </c>
      <c r="DM5" s="75">
        <f>IF(DK5="","",IF(COUNTIF(DK4:DK7,DK5)=1,DK5,DK5+RANK(DL5,DL4:DL7,0)-1))</f>
        <v/>
      </c>
      <c r="DN5" s="75">
        <f>IF(OR(DM5="",COUNTIF(DM4:DM7,DM5)=1),"",$BX5)</f>
        <v/>
      </c>
      <c r="DO5" s="75">
        <f>IF(DK5="","",IF(COUNTIF(DM4:DM7,DM5)=1,DM5,DM5+RANK(DN5,DN4:DN7,0)-1))</f>
        <v/>
      </c>
      <c r="DP5" s="75">
        <f>IF(OR(DO5="",COUNTIF(DO4:DO7,DO5)=1),"",$BU5)</f>
        <v/>
      </c>
      <c r="DQ5" s="75">
        <f>IF(DK5="","",IF(COUNTIF(DO4:DO7,DO5)=1,DO5,DO5+RANK(DP5,DP4:DP7,0)-1))</f>
        <v/>
      </c>
      <c r="DR5" s="13">
        <f>IF(CZ5&gt;0,CG2+RANK(DQ5,DQ4:DQ7,1),)</f>
        <v/>
      </c>
      <c r="DT5" s="13">
        <f>IF(CC5=3,BT5,)</f>
        <v/>
      </c>
      <c r="DU5" s="13">
        <f>(SUMIF($AF$4:$AF$108,BT5,$BF$4:$BF$108)+SUMIF($AH$4:$AH$108,BT5,$BG$4:$BG$108))</f>
        <v/>
      </c>
      <c r="DV5" s="13">
        <f>(SUMIF($AF$4:$AF$108,BT5,$BH$4:$BH$108)+SUMIF($AH$4:$AH$108,BT5,$BI$4:$BI$108))</f>
        <v/>
      </c>
      <c r="DW5" s="13">
        <f>(SUMIF($AF$4:$AF$108,BT5,$BJ$4:$BJ$108)+SUMIF($AH$4:$AH$108,BT5,$BK$4:$BK$108))</f>
        <v/>
      </c>
      <c r="DX5" s="13">
        <f>IFERROR(DU5*3+DV5*1,0)</f>
        <v/>
      </c>
      <c r="DY5" s="13">
        <f>CB5</f>
        <v/>
      </c>
      <c r="DZ5" s="13">
        <f>IF(DT5&gt;0,RANK(DX5,DX4:DX7)+CG2+DA2,)</f>
        <v/>
      </c>
      <c r="EA5" s="13">
        <f>IF(AND(DT5&gt;0,COUNTIF(DZ4:DZ7,DZ5)&gt;1),SUMIFS($AI$4:$AI$108,$AF$4:$AF$108,$BT5,$M$4:$M$108,3)+SUMIFS($AK$4:$AK$108,$AH$4:$AH$108,$BT5,$M$4:$M$108,3)-SUMIFS($AK$4:$AK$108,$AF$4:$AF$108,$BT5,$M$4:$M$108,3)-SUMIFS($AI$4:$AI$108,$AH$4:$AH$108,$BT5,$M$4:$M$108,3),)</f>
        <v/>
      </c>
      <c r="EB5" s="13">
        <f>IF(AND(DT5&gt;0,COUNTIF(DZ4:DZ7,DZ5)&gt;1),DZ5+RANK(EA5,EA4:EA7)-1,DZ5)</f>
        <v/>
      </c>
      <c r="EC5" s="13">
        <f>IF(AND(DT5&gt;0,COUNTIF(EB4:EB7,EB5)&gt;1),SUMIFS($AI$4:$AI$108,$AF$4:$AF$108,$BT5,$M$4:$M$108,3)+SUMIFS($AK$4:$AK$108,$AH$4:$AH$108,$BT5,$M$4:$M$108,3),)</f>
        <v/>
      </c>
      <c r="ED5" s="13">
        <f>IF(AND(DT5&gt;0,COUNTIF(EB4:EB7,EB5)&gt;1),EB5+RANK(EC5,EC4:EC7)-1,EB5)</f>
        <v/>
      </c>
      <c r="EE5" s="13">
        <f>IF(ED5=0,"",ED5)</f>
        <v/>
      </c>
      <c r="EF5" s="13">
        <f>IF(OR(EE5="",COUNTIF(EE4:EE7,EE5)=1),"",$BZ5)</f>
        <v/>
      </c>
      <c r="EG5" s="13">
        <f>IF(EE5="","",IF(COUNTIF(EE4:EE7,EE5)=1,EE5,EE5+RANK(EF5,EF4:EF7,0)-1))</f>
        <v/>
      </c>
      <c r="EH5" s="13">
        <f>IF(OR(EG5="",COUNTIF(EG4:EG7,EG5)=1),"",$BX5)</f>
        <v/>
      </c>
      <c r="EI5" s="13">
        <f>IF(EE5="","",IF(COUNTIF(EG4:EG7,EG5)=1,EG5,EG5+RANK(EH5,EH4:EH7,0)-1))</f>
        <v/>
      </c>
      <c r="EJ5" s="13">
        <f>IF(OR(EI5="",COUNTIF(EI4:EI7,EI5)=1),"",$BU5)</f>
        <v/>
      </c>
      <c r="EK5" s="13">
        <f>IF(EE5="","",IF(COUNTIF(EI4:EI7,EI5)=1,EI5,EI5+RANK(EJ5,EJ4:EJ7,0)-1))</f>
        <v/>
      </c>
      <c r="EL5" s="13">
        <f>IF(DT5&gt;0,CG2+DA2+RANK(EK5,EK4:EK7,1),)</f>
        <v/>
      </c>
      <c r="EN5" s="13">
        <f>IF(CC5=4,BT5,)</f>
        <v/>
      </c>
      <c r="EO5" s="13">
        <f>(SUMIF($AF$4:$AF$108,$BT5,$BL$4:$BL$108)+SUMIF($AH$4:$AH$108,$BT5,$BM$4:$BM$108))</f>
        <v/>
      </c>
      <c r="EP5" s="13">
        <f>(SUMIF($AF$4:$AF$108,$BT5,$BN$4:$BN$108)+SUMIF($AH$4:$AH$108,$BT5,$BO$4:$BO$108))</f>
        <v/>
      </c>
      <c r="EQ5" s="13">
        <f>(SUMIF($AF$4:$AF$108,$BT5,$BP$4:$BP$108)+SUMIF($AH$4:$AH$108,$BT5,$BQ$4:$BQ$108))</f>
        <v/>
      </c>
      <c r="ER5" s="13">
        <f>IFERROR(EO5*3+EP5*1,0)</f>
        <v/>
      </c>
      <c r="ES5" s="13">
        <f>$CB5</f>
        <v/>
      </c>
      <c r="ET5" s="13">
        <f>IF(EN5&gt;0,RANK(ER5,ER4:ER7)+CG2+DA2+DU2,)</f>
        <v/>
      </c>
      <c r="EU5" s="13">
        <f>IF(AND(EN5&gt;0,COUNTIF(ET4:ET7,ET5)&gt;1),SUMIFS($AI$4:$AI$108,$AF$4:$AF$108,$BT5,$M$4:$M$108,4)+SUMIFS($AK$4:$AK$108,$AH$4:$AH$108,$BT5,$M$4:$M$108,4)-SUMIFS($AK$4:$AK$108,$AF$4:$AF$108,$BT5,$M$4:$M$108,4)-SUMIFS($AI$4:$AI$108,$AH$4:$AH$108,$BT5,$M$4:$M$108,4),)</f>
        <v/>
      </c>
      <c r="EV5" s="13">
        <f>IF(AND(EN5&gt;0,COUNTIF(ET4:ET7,ET5)&gt;1),ET5+RANK(EU5,EU4:EU7)-1,ET5)</f>
        <v/>
      </c>
      <c r="EW5" s="13">
        <f>IF(AND(EN5&gt;0,COUNTIF(EV5:EV8,EV5)&gt;1),SUMIFS($AI$4:$AI$108,$AF$4:$AF$108,$BT5,$M$4:$M$108,4)+SUMIFS($AK$4:$AK$108,$AH$4:$AH$108,$BT5,$M$4:$M$108,4),)</f>
        <v/>
      </c>
      <c r="EX5" s="13">
        <f>IF(AND(EN5&gt;0,COUNTIF(EV4:EV7,EV5)&gt;1),EV5+RANK(EW5,EW4:EW7)-1,EV5)</f>
        <v/>
      </c>
      <c r="EY5" s="13">
        <f>IF(EX5=0,"",EX5)</f>
        <v/>
      </c>
      <c r="EZ5" s="13">
        <f>IF(OR(EY5="",COUNTIF(EY4:EY7,EY5)=1),"",$BZ5)</f>
        <v/>
      </c>
      <c r="FA5" s="13">
        <f>IF(EY5="","",IF(COUNTIF(EY4:EY7,EY5)=1,EY5,EY5+RANK(EZ5,EZ4:EZ7,0)-1))</f>
        <v/>
      </c>
      <c r="FB5" s="13">
        <f>IF(OR(FA5="",COUNTIF(FA4:FA7,FA5)=1),"",$BX5)</f>
        <v/>
      </c>
      <c r="FC5" s="13">
        <f>IF(EY5="","",IF(COUNTIF(FA4:FA7,FA5)=1,FA5,FA5+RANK(FB5,FB4:FB7,0)-1))</f>
        <v/>
      </c>
      <c r="FD5" s="13">
        <f>IF(OR(FC5="",COUNTIF(FC4:FC7,FC5)=1),"",$BU5)</f>
        <v/>
      </c>
      <c r="FE5" s="13">
        <f>IF(EY5="","",IF(COUNTIF(FC4:FC7,FC5)=1,FC5,FC5+RANK(FD5,FD4:FD7,0)-1))</f>
        <v/>
      </c>
      <c r="FF5" s="13">
        <f>IF(EN5&gt;0,CG2+DA2+DU2+RANK(FE5,FE4:FE7,1),)</f>
        <v/>
      </c>
      <c r="FH5" s="13">
        <f>IFERROR(VLOOKUP(FJ5,CF3:CX7,19,FALSE),IFERROR(VLOOKUP(FJ5,CZ3:DR7,19,FALSE),IFERROR(VLOOKUP(FJ5,DT3:EL7,19,FALSE),VLOOKUP(FJ5,EN3:FF7,19,FALSE))))</f>
        <v/>
      </c>
      <c r="FI5" s="13">
        <f>RANK(FH5,FH4:FH7,1)+COUNTIF(FH4:FH5,FH5)-1</f>
        <v/>
      </c>
      <c r="FJ5" s="12">
        <f>BT5</f>
        <v/>
      </c>
      <c r="FM5" s="76" t="inlineStr">
        <is>
          <t>B</t>
        </is>
      </c>
      <c r="FN5" s="9">
        <f>O15</f>
        <v/>
      </c>
      <c r="FO5" s="77">
        <f>RANK($FP5,$FP$4:$FP$15,1)+COUNTIF($FP5:$FP$15,$FP5)-1</f>
        <v/>
      </c>
      <c r="FP5" s="77">
        <f>FS5+FR5+FQ5</f>
        <v/>
      </c>
      <c r="FQ5" s="77">
        <f t="array" ref="FQ5">SUMPRODUCT(($FT$4:$FT$15=FT5)*($FU$4:$FU$15=FU5)*($FV$4:$FV$15&gt;FV5))</f>
        <v/>
      </c>
      <c r="FR5" s="73">
        <f t="array" ref="FR5">SUMPRODUCT(($FT$4:$FT$15=FT5)*($FU$4:$FU$15&gt;FU5))</f>
        <v/>
      </c>
      <c r="FS5" s="77">
        <f>RANK(FT5,$FT$4:$FT$15)</f>
        <v/>
      </c>
      <c r="FT5" s="9">
        <f>V15</f>
        <v/>
      </c>
      <c r="FU5" s="9">
        <f>U15</f>
        <v/>
      </c>
      <c r="FV5" s="9">
        <f>S15</f>
        <v/>
      </c>
      <c r="FW5" s="78">
        <f>FM5</f>
        <v/>
      </c>
      <c r="FX5" s="77">
        <f>IF(FO5&lt;9,FW5,)</f>
        <v/>
      </c>
      <c r="FZ5" s="79" t="n">
        <v>3</v>
      </c>
      <c r="GA5" s="3">
        <f>GB5&amp;GC5&amp;GD5&amp;GE5&amp;GF5&amp;GG5&amp;GH5&amp;GI5</f>
        <v/>
      </c>
      <c r="GB5" s="3" t="inlineStr">
        <is>
          <t>H</t>
        </is>
      </c>
      <c r="GC5" s="3" t="inlineStr">
        <is>
          <t>G</t>
        </is>
      </c>
      <c r="GD5" s="3" t="inlineStr">
        <is>
          <t>I</t>
        </is>
      </c>
      <c r="GE5" s="3" t="inlineStr">
        <is>
          <t>D</t>
        </is>
      </c>
      <c r="GF5" s="3" t="inlineStr">
        <is>
          <t>J</t>
        </is>
      </c>
      <c r="GG5" s="3" t="inlineStr">
        <is>
          <t>F</t>
        </is>
      </c>
      <c r="GH5" s="3" t="inlineStr">
        <is>
          <t>L</t>
        </is>
      </c>
      <c r="GI5" s="3" t="inlineStr">
        <is>
          <t>K</t>
        </is>
      </c>
      <c r="GJ5" s="9">
        <f>VLOOKUP(GB5,$FM$3:$FN$15,2,FALSE)</f>
        <v/>
      </c>
      <c r="GK5" s="9">
        <f>VLOOKUP(GC5,$FM$3:$FN$15,2,FALSE)</f>
        <v/>
      </c>
      <c r="GL5" s="9">
        <f>VLOOKUP(GD5,$FM$3:$FN$15,2,FALSE)</f>
        <v/>
      </c>
      <c r="GM5" s="9">
        <f>VLOOKUP(GE5,$FM$3:$FN$15,2,FALSE)</f>
        <v/>
      </c>
      <c r="GN5" s="9">
        <f>VLOOKUP(GF5,$FM$3:$FN$15,2,FALSE)</f>
        <v/>
      </c>
      <c r="GO5" s="9">
        <f>VLOOKUP(GG5,$FM$3:$FN$15,2,FALSE)</f>
        <v/>
      </c>
      <c r="GP5" s="9">
        <f>VLOOKUP(GH5,$FM$3:$FN$15,2,FALSE)</f>
        <v/>
      </c>
      <c r="GQ5" s="9">
        <f>VLOOKUP(GI5,$FM$3:$FN$15,2,FALSE)</f>
        <v/>
      </c>
      <c r="GR5" s="9">
        <f>IFERROR(IF(AND(VLOOKUP(GB5,$FX$4:$FX$15,1,FALSE)=GB5,VLOOKUP(GC5,$FX$4:$FX$15,1,FALSE)=GC5,VLOOKUP(GD5,$FX$4:$FX$15,1,FALSE)=GD5,VLOOKUP(GE5,$FX$4:$FX$15,1,FALSE)=GE5,VLOOKUP(GF5,$FX$4:$FX$15,1,FALSE)=GF5,VLOOKUP(GG5,$FX$4:$FX$15,1,FALSE)=GG5,VLOOKUP(GH5,$FX$4:$FX$15,1,FALSE)=GH5,VLOOKUP(GI5,$FX$4:$FX$15,1,FALSE)=GI5),FZ5,""),"")</f>
        <v/>
      </c>
      <c r="GX5" s="79" t="n"/>
    </row>
    <row r="6" ht="14.25" customHeight="1">
      <c r="B6" s="58" t="n">
        <v>25</v>
      </c>
      <c r="C6" s="59" t="n">
        <v>46191</v>
      </c>
      <c r="D6" s="60" t="inlineStr">
        <is>
          <t>Czechia</t>
        </is>
      </c>
      <c r="E6" s="61" t="inlineStr">
        <is>
          <t>-</t>
        </is>
      </c>
      <c r="F6" s="62" t="inlineStr">
        <is>
          <t>Sydafrika</t>
        </is>
      </c>
      <c r="G6" s="63" t="n">
        <v>2</v>
      </c>
      <c r="H6" s="64" t="inlineStr">
        <is>
          <t>-</t>
        </is>
      </c>
      <c r="I6" s="63" t="n">
        <v>0</v>
      </c>
      <c r="J6" s="65">
        <f>IF(OR(ISBLANK(G6),ISBLANK(I6)),"",IF(G6&gt;I6,1,IF(G6&lt;I6,2,"X")))</f>
        <v/>
      </c>
      <c r="K6" s="66">
        <f>IF(OR(G6="",I6="",'[1]Resultat &amp; tabell'!G6="",'[1]Resultat &amp; tabell'!I6=""),0,IF(G6='[1]Resultat &amp; tabell'!G6,2,0)+IF(I6='[1]Resultat &amp; tabell'!I6,2,0)+IF(J6='[1]Resultat &amp; tabell'!J6,2,0))</f>
        <v/>
      </c>
      <c r="L6" s="67" t="n"/>
      <c r="M6" s="29">
        <f>IF(VLOOKUP(D6,$BT$3:$CC$7,10,FALSE)=VLOOKUP(F6,$BT$3:$CC$7,10,FALSE),VLOOKUP(D6,$BT$3:$CC$7,10,FALSE),"-")</f>
        <v/>
      </c>
      <c r="N6" s="30" t="n">
        <v>3</v>
      </c>
      <c r="O6" s="83">
        <f>VLOOKUP(N6,FI4:FJ7,2,FALSE)</f>
        <v/>
      </c>
      <c r="P6" s="84">
        <f>VLOOKUP(O6,$BT$4:$CA$7,2,FALSE)</f>
        <v/>
      </c>
      <c r="Q6" s="84">
        <f>VLOOKUP($O$6,$BT$4:$CA$7,3,FALSE)</f>
        <v/>
      </c>
      <c r="R6" s="84">
        <f>VLOOKUP($O$6,$BT$4:$CA$7,4,FALSE)</f>
        <v/>
      </c>
      <c r="S6" s="84">
        <f>VLOOKUP($O$6,$BT$4:$CA$7,5,FALSE)</f>
        <v/>
      </c>
      <c r="T6" s="84">
        <f>VLOOKUP($O$6,$BT$4:$CA$7,6,FALSE)</f>
        <v/>
      </c>
      <c r="U6" s="84">
        <f>VLOOKUP($O$6,$BT$4:$CA$7,7,FALSE)</f>
        <v/>
      </c>
      <c r="V6" s="85">
        <f>VLOOKUP($O$6,$BT$4:$CA$7,8,FALSE)</f>
        <v/>
      </c>
      <c r="X6" s="71" t="inlineStr">
        <is>
          <t>Vinnare bronsmatch</t>
        </is>
      </c>
      <c r="Y6" s="216" t="inlineStr">
        <is>
          <t>Frankrike</t>
        </is>
      </c>
      <c r="Z6" s="217" t="n"/>
      <c r="AA6" s="217" t="n"/>
      <c r="AB6" s="218" t="n"/>
      <c r="AC6" s="66">
        <f>IF(AND('[1]Resultat &amp; tabell'!Y6&gt;0,Y6='[1]Resultat &amp; tabell'!Y6),20,0)</f>
        <v/>
      </c>
      <c r="AE6" s="72">
        <f>C6</f>
        <v/>
      </c>
      <c r="AF6" s="72">
        <f>D6</f>
        <v/>
      </c>
      <c r="AG6" s="72">
        <f>E6</f>
        <v/>
      </c>
      <c r="AH6" s="72">
        <f>F6</f>
        <v/>
      </c>
      <c r="AI6" s="63">
        <f>IF(G6="","",G6)</f>
        <v/>
      </c>
      <c r="AJ6" s="58">
        <f>H6</f>
        <v/>
      </c>
      <c r="AK6" s="63">
        <f>IF(I6="","",I6)</f>
        <v/>
      </c>
      <c r="AL6" s="65">
        <f>J6</f>
        <v/>
      </c>
      <c r="AM6" s="73" t="n"/>
      <c r="AN6" s="13">
        <f>IF(AI6&gt;AK6,1,0)</f>
        <v/>
      </c>
      <c r="AO6" s="13">
        <f>IF(AK6&gt;AI6,1,0)</f>
        <v/>
      </c>
      <c r="AP6" s="13">
        <f>IF(AND(AI6=AK6,AI6&lt;&gt;""),1,0)</f>
        <v/>
      </c>
      <c r="AQ6" s="13">
        <f>IF(AND(AI6=AK6,AI6&lt;&gt;""),1,0)</f>
        <v/>
      </c>
      <c r="AR6" s="13">
        <f>IF(AI6&lt;AK6,1,0)</f>
        <v/>
      </c>
      <c r="AS6" s="13">
        <f>IF(AK6&lt;AI6,1,)</f>
        <v/>
      </c>
      <c r="AT6" s="13">
        <f>IF(ISERROR(VLOOKUP(AF6,CF:CF,1,FALSE)),0,1)*IF(ISERROR(VLOOKUP(AH6,CF:CF,1,FALSE)),0,1)*AN6</f>
        <v/>
      </c>
      <c r="AU6" s="13">
        <f>IF(ISERROR(VLOOKUP(AF6,CF:CF,1,FALSE)),0,1)*IF(ISERROR(VLOOKUP(AH6,CF:CF,1,FALSE)),0,1)*AO6</f>
        <v/>
      </c>
      <c r="AV6" s="13">
        <f>IF(ISERROR(VLOOKUP(AF6,CF:CF,1,FALSE)),0,1)*IF(ISERROR(VLOOKUP(AH6,CF:CF,1,FALSE)),0,1)*AP6</f>
        <v/>
      </c>
      <c r="AW6" s="13">
        <f>IF(ISERROR(VLOOKUP(AF6,CF:CF,1,FALSE)),0,1)*IF(ISERROR(VLOOKUP(AH6,CF:CF,1,FALSE)),0,1)*AQ6</f>
        <v/>
      </c>
      <c r="AX6" s="13">
        <f>IF(ISERROR(VLOOKUP(AF6,CF:CF,1,FALSE)),0,1)*IF(ISERROR(VLOOKUP(AH6,CF:CF,1,FALSE)),0,1)*AR6</f>
        <v/>
      </c>
      <c r="AY6" s="13">
        <f>IF(ISERROR(VLOOKUP(AF6,CF:CF,1,FALSE)),0,1)*IF(ISERROR(VLOOKUP(AH6,CF:CF,1,FALSE)),0,1)*AS6</f>
        <v/>
      </c>
      <c r="AZ6" s="13">
        <f>IF(ISERROR(VLOOKUP(AF6,CZ:CZ,1,FALSE)),0,1)*IF(ISERROR(VLOOKUP(AH6,CZ:CZ,1,FALSE)),0,1)*AN6</f>
        <v/>
      </c>
      <c r="BA6" s="13">
        <f>IF(ISERROR(VLOOKUP(AF6,CZ:CZ,1,FALSE)),0,1)*IF(ISERROR(VLOOKUP(AH6,CZ:CZ,1,FALSE)),0,1)*AO6</f>
        <v/>
      </c>
      <c r="BB6" s="13">
        <f>IF(ISERROR(VLOOKUP(AF6,CZ:CZ,1,FALSE)),0,1)*IF(ISERROR(VLOOKUP(AH6,CZ:CZ,1,FALSE)),0,1)*AP6</f>
        <v/>
      </c>
      <c r="BC6" s="13">
        <f>IF(ISERROR(VLOOKUP(AF6,CZ:CZ,1,FALSE)),0,1)*IF(ISERROR(VLOOKUP(AH6,CZ:CZ,1,FALSE)),0,1)*AQ6</f>
        <v/>
      </c>
      <c r="BD6" s="13">
        <f>IF(ISERROR(VLOOKUP(AF6,CZ:CZ,1,FALSE)),0,1)*IF(ISERROR(VLOOKUP(AH6,CZ:CZ,1,FALSE)),0,1)*AR6</f>
        <v/>
      </c>
      <c r="BE6" s="13">
        <f>IF(ISERROR(VLOOKUP(AF6,CZ:CZ,1,FALSE)),0,1)*IF(ISERROR(VLOOKUP(AH6,CZ:CZ,1,FALSE)),0,1)*AS6</f>
        <v/>
      </c>
      <c r="BF6" s="13">
        <f>IF(ISERROR(VLOOKUP(AF6,DT:DT,1,FALSE)),0,1)*IF(ISERROR(VLOOKUP(AH6,DT:DT,1,FALSE)),0,1)*AN6</f>
        <v/>
      </c>
      <c r="BG6" s="13">
        <f>IF(ISERROR(VLOOKUP(AF6,DT:DT,1,FALSE)),0,1)*IF(ISERROR(VLOOKUP(AH6,DT:DT,1,FALSE)),0,1)*AO6</f>
        <v/>
      </c>
      <c r="BH6" s="13">
        <f>IF(ISERROR(VLOOKUP(AF6,DT:DT,1,FALSE)),0,1)*IF(ISERROR(VLOOKUP(AH6,DT:DT,1,FALSE)),0,1)*AP6</f>
        <v/>
      </c>
      <c r="BI6" s="13">
        <f>IF(ISERROR(VLOOKUP(AF6,DT:DT,1,FALSE)),0,1)*IF(ISERROR(VLOOKUP(AH6,DT:DT,1,FALSE)),0,1)*AQ6</f>
        <v/>
      </c>
      <c r="BJ6" s="13">
        <f>IF(ISERROR(VLOOKUP(AF6,DT:DT,1,FALSE)),0,1)*IF(ISERROR(VLOOKUP(AH6,DT:DT,1,FALSE)),0,1)*AR6</f>
        <v/>
      </c>
      <c r="BK6" s="13">
        <f>IF(ISERROR(VLOOKUP(AF6,DT:DT,1,FALSE)),0,1)*IF(ISERROR(VLOOKUP(AH6,DT:DT,1,FALSE)),0,1)*AS6</f>
        <v/>
      </c>
      <c r="BL6" s="13">
        <f>IF(ISERROR(VLOOKUP(AF6,EN:EN,1,FALSE)),0,1)*IF(ISERROR(VLOOKUP(AH6,EN:EN,1,FALSE)),0,1)*AN6</f>
        <v/>
      </c>
      <c r="BM6" s="13">
        <f>IF(ISERROR(VLOOKUP(AF6,EN:EN,1,FALSE)),0,1)*IF(ISERROR(VLOOKUP(AH6,EN:EN,1,FALSE)),0,1)*AO6</f>
        <v/>
      </c>
      <c r="BN6" s="13">
        <f>IF(ISERROR(VLOOKUP(AF6,EN:EN,1,FALSE)),0,1)*IF(ISERROR(VLOOKUP(AH6,EN:EN,1,FALSE)),0,1)*AP6</f>
        <v/>
      </c>
      <c r="BO6" s="13">
        <f>IF(ISERROR(VLOOKUP(AF6,EN:EN,1,FALSE)),0,1)*IF(ISERROR(VLOOKUP(AH6,EN:EN,1,FALSE)),0,1)*AQ6</f>
        <v/>
      </c>
      <c r="BP6" s="13">
        <f>IF(ISERROR(VLOOKUP(AF6,EN:EN,1,FALSE)),0,1)*IF(ISERROR(VLOOKUP(AH6,EN:EN,1,FALSE)),0,1)*AR6</f>
        <v/>
      </c>
      <c r="BQ6" s="13">
        <f>IF(ISERROR(VLOOKUP(AF6,EN:EN,1,FALSE)),0,1)*IF(ISERROR(VLOOKUP(AH6,EN:EN,1,FALSE)),0,1)*AS6</f>
        <v/>
      </c>
      <c r="BT6" s="12" t="inlineStr">
        <is>
          <t>Sydkorea</t>
        </is>
      </c>
      <c r="BU6" s="13">
        <f>(SUMIF(AF$4:AF$108,BT6,AN$4:AN$108)+SUMIF(AH$4:AH$108,BT6,AO$4:AO$108))</f>
        <v/>
      </c>
      <c r="BV6" s="13">
        <f>(SUMIF(AF$4:AF$108,BT6,AP$4:AP$108)+SUMIF(AH$4:AH$108,BT6,AQ$4:AQ$108))</f>
        <v/>
      </c>
      <c r="BW6" s="13">
        <f>(SUMIF(AF$4:AF$108,BT6,AR$4:AR$108)+SUMIF(AH$4:AH$108,BT6,AS$4:AS$108))</f>
        <v/>
      </c>
      <c r="BX6" s="13">
        <f>SUMIF($AF$4:$AF$108,BT6,$AI$4:$AI$108)+SUMIF($AH$4:$AH$108,BT6,$AK$4:$AK$108)</f>
        <v/>
      </c>
      <c r="BY6" s="13">
        <f>SUMIF($AF$4:$AF$108,BT6,$AK$4:$AK$108)+SUMIF($AH$4:$AH$108,BT6,$AI$4:$AI$108)</f>
        <v/>
      </c>
      <c r="BZ6" s="13">
        <f>BX6-BY6</f>
        <v/>
      </c>
      <c r="CA6" s="13">
        <f>IFERROR(BU6*3+BV6*1,0)</f>
        <v/>
      </c>
      <c r="CB6" s="13" t="inlineStr">
        <is>
          <t>A</t>
        </is>
      </c>
      <c r="CC6" s="74">
        <f>RANK(CA6,CA4:CA7)</f>
        <v/>
      </c>
      <c r="CD6" s="13">
        <f>SUMPRODUCT((CA4:CA7=CA6)*(BZ4:BZ7&gt;BZ6))</f>
        <v/>
      </c>
      <c r="CF6" s="12">
        <f>IF(CC6=1,BT6,)</f>
        <v/>
      </c>
      <c r="CG6" s="13">
        <f>(SUMIF($AF$4:$AF$108,$BT6,$AT$4:$AT$108)+SUMIF($AH$4:$AH$108,$BT6,$AU$4:$AU$108))</f>
        <v/>
      </c>
      <c r="CH6" s="13">
        <f>(SUMIF($AF$4:$AF$108,$BT6,$AV$4:$AV$108)+SUMIF($AH$4:$AH$108,$BT6,$AW$4:$AW$108))</f>
        <v/>
      </c>
      <c r="CI6" s="13">
        <f>(SUMIF($AF$4:$AF$108,$BT6,$AX$4:$AX$108)+SUMIF($AH$4:$AH$108,$BT6,$AY$4:$AY$108))</f>
        <v/>
      </c>
      <c r="CJ6" s="13">
        <f>IFERROR(CG6*3+CH6*1,0)</f>
        <v/>
      </c>
      <c r="CK6" s="13">
        <f>CB6</f>
        <v/>
      </c>
      <c r="CL6" s="13">
        <f>IF(CF6&gt;0,RANK(CJ6,CJ4:CJ7),)</f>
        <v/>
      </c>
      <c r="CM6" s="13">
        <f>IF(AND(CF6&gt;0,COUNTIF(CL4:CL7,CL6)&gt;1),SUMIFS($AI$4:$AI$108,$AF$4:$AF$108,$BT6,$M$4:$M$108,1)+SUMIFS($AK$4:$AK$108,$AH$4:$AH$108,$BT6,$M$4:$M$108,1)-SUMIFS($AK$4:$AK$108,$AF$4:$AF$108,$BT6,$M$4:$M$108,1)-SUMIFS($AI$4:$AI$108,$AH$4:$AH$108,$BT6,$M$4:$M$108,1),)</f>
        <v/>
      </c>
      <c r="CN6" s="13">
        <f>IF(AND(CF6&gt;0,COUNTIF(CL4:CL7,CL6)&gt;1),CL6+RANK(CM6,CM4:CM7)-1,CL6)</f>
        <v/>
      </c>
      <c r="CO6" s="13">
        <f>IF(AND(CF6&gt;0,COUNTIF(CN4:CN7,CN6)&gt;1),SUMIFS($AI$4:$AI$108,$AF$4:$AF$108,$BT6,$M$4:$M$108,1)+SUMIFS($AK$4:$AK$108,$AH$4:$AH$108,$BT6,$M$4:$M$108,1),)</f>
        <v/>
      </c>
      <c r="CP6" s="13">
        <f>IF(AND(CF6&gt;0,COUNTIF(CN4:CN7,CN6)&gt;1),CN6+RANK(CO6,CO4:CO7)-1,CN6)</f>
        <v/>
      </c>
      <c r="CQ6" s="13">
        <f>IF(CP6=0,"",CP6)</f>
        <v/>
      </c>
      <c r="CR6" s="13">
        <f>IF(OR(CQ6="",COUNTIF(CQ4:CQ7,CQ6)=1),"",$BZ6)</f>
        <v/>
      </c>
      <c r="CS6" s="13">
        <f>IF(CQ6="","",IF(COUNTIF(CQ4:CQ7,CQ6)=1,CQ6,CQ6+RANK(CR6,CR4:CR7,0)-1))</f>
        <v/>
      </c>
      <c r="CT6" s="13">
        <f>IF(OR(CS6="",COUNTIF(CS4:CS7,CS6)=1),"",$BX6)</f>
        <v/>
      </c>
      <c r="CU6" s="13">
        <f>IF(CQ6="","",IF(COUNTIF(CS4:CS7,CS6)=1,CS6,CS6+RANK(CT6,CT4:CT7,0)-1))</f>
        <v/>
      </c>
      <c r="CV6" s="13">
        <f>IF(OR(CU6="",COUNTIF(CU4:CU7,CU6)=1),"",$BU6)</f>
        <v/>
      </c>
      <c r="CW6" s="13">
        <f>IF(CQ6="","",IF(COUNTIF(CU4:CU7,CU6)=1,CU6,CU6+RANK(CV6,CV4:CV7,0)-1))</f>
        <v/>
      </c>
      <c r="CX6" s="13">
        <f>IF(CF6&gt;0,BM2+RANK(CW6,CW4:CW7,1),)</f>
        <v/>
      </c>
      <c r="CZ6" s="12">
        <f>IF(CC6=2,BT6,)</f>
        <v/>
      </c>
      <c r="DA6" s="13">
        <f>(SUMIF($AF$4:$AF$108,$BT6,$AZ$4:$AZ$108)+SUMIF($AH$4:$AH$108,$BT6,$BA$4:$BA$108))</f>
        <v/>
      </c>
      <c r="DB6" s="13">
        <f>(SUMIF($AF$4:$AF$108,$BT6,$BB$4:$BB$108)+SUMIF($AH$4:$AH$108,$BT6,$BC$4:$BC$108))</f>
        <v/>
      </c>
      <c r="DC6" s="13">
        <f>(SUMIF($AF$4:$AF$108,$BT6,$BD$4:$BD$108)+SUMIF($AH$4:$AH$108,$BT6,$BE$4:$BE$108))</f>
        <v/>
      </c>
      <c r="DD6" s="13">
        <f>IFERROR(DA6*3+DB6*1,0)</f>
        <v/>
      </c>
      <c r="DE6" s="13">
        <f>$CB6</f>
        <v/>
      </c>
      <c r="DF6" s="13">
        <f>IF(CZ6&gt;0,RANK(DD6,DD4:DD7)+CG2,)</f>
        <v/>
      </c>
      <c r="DG6" s="13">
        <f>IF(AND(CZ6&gt;0,COUNTIF(DF4:DF7,DF6)&gt;1),SUMIFS($AI$4:$AI$108,$AF$4:$AF$108,$BT6,$M$4:$M$108,2)+SUMIFS($AK$4:$AK$108,$AH$4:$AH108,$BT6,$M$4:$M$108,2)-SUMIFS($AK$4:$AK$108,$AF$4:$AF$108,$BT6,$M$4:$M$108,2)-SUMIFS($AI$4:$AI$108,$AH$4:$AH$108,$BT6,$M$4:$M$108,2),)</f>
        <v/>
      </c>
      <c r="DH6" s="13">
        <f>IF(AND(CZ6&gt;0,COUNTIF(DF4:DF7,DF6)&gt;1),DF6+RANK(DG6,DG4:DG7)-1,DF6)</f>
        <v/>
      </c>
      <c r="DI6" s="13">
        <f>IF(AND(CZ6&gt;0,COUNTIF(DH4:DH7,DH6)&gt;1),SUMIFS($AI$4:$AI$108,$AF$4:$AF$108,$BT6,$M$4:$M$108,2)+SUMIFS($AK$4:$AK$108,$AH$4:$AH$108,$BT6,$M$4:$M$108,2),)</f>
        <v/>
      </c>
      <c r="DJ6" s="13">
        <f>IF(AND(CZ6&gt;0,COUNTIF(DH4:DH7,DH6)&gt;1),DH6+RANK(DI6,DI4:DI7)-1,DH6)</f>
        <v/>
      </c>
      <c r="DK6" s="75">
        <f>IF(DJ6=0,"",DJ6)</f>
        <v/>
      </c>
      <c r="DL6" s="75">
        <f>IF(OR(DK6="",COUNTIF(DK4:DK7,DK6)=1),"",$BZ6)</f>
        <v/>
      </c>
      <c r="DM6" s="75">
        <f>IF(DK6="","",IF(COUNTIF(DK4:DK7,DK6)=1,DK6,DK6+RANK(DL6,DL4:DL7,0)-1))</f>
        <v/>
      </c>
      <c r="DN6" s="75">
        <f>IF(OR(DM6="",COUNTIF(DM4:DM7,DM6)=1),"",$BX6)</f>
        <v/>
      </c>
      <c r="DO6" s="75">
        <f>IF(DK6="","",IF(COUNTIF(DM4:DM7,DM6)=1,DM6,DM6+RANK(DN6,DN4:DN7,0)-1))</f>
        <v/>
      </c>
      <c r="DP6" s="75">
        <f>IF(OR(DO6="",COUNTIF(DO4:DO7,DO6)=1),"",$BU6)</f>
        <v/>
      </c>
      <c r="DQ6" s="75">
        <f>IF(DK6="","",IF(COUNTIF(DO4:DO7,DO6)=1,DO6,DO6+RANK(DP6,DP4:DP7,0)-1))</f>
        <v/>
      </c>
      <c r="DR6" s="13">
        <f>IF(CZ6&gt;0,CG2+RANK(DQ6,DQ4:DQ7,1),)</f>
        <v/>
      </c>
      <c r="DT6" s="13">
        <f>IF(CC6=3,BT6,)</f>
        <v/>
      </c>
      <c r="DU6" s="13">
        <f>(SUMIF($AF$4:$AF$108,BT6,$BF$4:$BF$108)+SUMIF($AH$4:$AH$108,BT6,$BG$4:$BG$108))</f>
        <v/>
      </c>
      <c r="DV6" s="13">
        <f>(SUMIF($AF$4:$AF$108,BT6,$BH$4:$BH$108)+SUMIF($AH$4:$AH$108,BT6,$BI$4:$BI$108))</f>
        <v/>
      </c>
      <c r="DW6" s="13">
        <f>(SUMIF($AF$4:$AF$108,BT6,$BJ$4:$BJ$108)+SUMIF($AH$4:$AH$108,BT6,$BK$4:$BK$108))</f>
        <v/>
      </c>
      <c r="DX6" s="13">
        <f>IFERROR(DU6*3+DV6*1,0)</f>
        <v/>
      </c>
      <c r="DY6" s="13">
        <f>CB6</f>
        <v/>
      </c>
      <c r="DZ6" s="13">
        <f>IF(DT6&gt;0,RANK(DX6,DX4:DX7)+CG2+DA2,)</f>
        <v/>
      </c>
      <c r="EA6" s="13">
        <f>IF(AND(DT6&gt;0,COUNTIF(DZ4:DZ7,DZ6)&gt;1),SUMIFS($AI$4:$AI$108,$AF$4:$AF$108,$BT6,$M$4:$M$108,3)+SUMIFS($AK$4:$AK$108,$AH$4:$AH$108,$BT6,$M$4:$M$108,3)-SUMIFS($AK$4:$AK$108,$AF$4:$AF$108,$BT6,$M$4:$M$108,3)-SUMIFS($AI$4:$AI$108,$AH$4:$AH$108,$BT6,$M$4:$M$108,3),)</f>
        <v/>
      </c>
      <c r="EB6" s="13">
        <f>IF(AND(DT6&gt;0,COUNTIF(DZ4:DZ7,DZ6)&gt;1),DZ6+RANK(EA6,EA4:EA7)-1,DZ6)</f>
        <v/>
      </c>
      <c r="EC6" s="13">
        <f>IF(AND(DT6&gt;0,COUNTIF(EB4:EB7,EB6)&gt;1),SUMIFS($AI$4:$AI$108,$AF$4:$AF$108,$BT6,$M$4:$M$108,3)+SUMIFS($AK$4:$AK$108,$AH$4:$AH$108,$BT6,$M$4:$M$108,3),)</f>
        <v/>
      </c>
      <c r="ED6" s="13">
        <f>IF(AND(DT6&gt;0,COUNTIF(EB4:EB7,EB6)&gt;1),EB6+RANK(EC6,EC4:EC7)-1,EB6)</f>
        <v/>
      </c>
      <c r="EE6" s="13">
        <f>IF(ED6=0,"",ED6)</f>
        <v/>
      </c>
      <c r="EF6" s="13">
        <f>IF(OR(EE6="",COUNTIF(EE4:EE7,EE6)=1),"",$BZ6)</f>
        <v/>
      </c>
      <c r="EG6" s="13">
        <f>IF(EE6="","",IF(COUNTIF(EE4:EE7,EE6)=1,EE6,EE6+RANK(EF6,EF4:EF7,0)-1))</f>
        <v/>
      </c>
      <c r="EH6" s="13">
        <f>IF(OR(EG6="",COUNTIF(EG4:EG7,EG6)=1),"",$BX6)</f>
        <v/>
      </c>
      <c r="EI6" s="13">
        <f>IF(EE6="","",IF(COUNTIF(EG4:EG7,EG6)=1,EG6,EG6+RANK(EH6,EH4:EH7,0)-1))</f>
        <v/>
      </c>
      <c r="EJ6" s="13">
        <f>IF(OR(EI6="",COUNTIF(EI4:EI7,EI6)=1),"",$BU6)</f>
        <v/>
      </c>
      <c r="EK6" s="13">
        <f>IF(EE6="","",IF(COUNTIF(EI4:EI7,EI6)=1,EI6,EI6+RANK(EJ6,EJ4:EJ7,0)-1))</f>
        <v/>
      </c>
      <c r="EL6" s="13">
        <f>IF(DT6&gt;0,CG2+DA2+RANK(EK6,EK4:EK7,1),)</f>
        <v/>
      </c>
      <c r="EN6" s="13">
        <f>IF(CC6=4,BT6,)</f>
        <v/>
      </c>
      <c r="EO6" s="13">
        <f>(SUMIF($AF$4:$AF$108,$BT6,$BL$4:$BL$108)+SUMIF($AH$4:$AH$108,$BT6,$BM$4:$BM$108))</f>
        <v/>
      </c>
      <c r="EP6" s="13">
        <f>(SUMIF($AF$4:$AF$108,$BT6,$BN$4:$BN$108)+SUMIF($AH$4:$AH$108,$BT6,$BO$4:$BO$108))</f>
        <v/>
      </c>
      <c r="EQ6" s="13">
        <f>(SUMIF($AF$4:$AF$108,$BT6,$BP$4:$BP$108)+SUMIF($AH$4:$AH$108,$BT6,$BQ$4:$BQ$108))</f>
        <v/>
      </c>
      <c r="ER6" s="13">
        <f>IFERROR(EO6*3+EP6*1,0)</f>
        <v/>
      </c>
      <c r="ES6" s="13">
        <f>$CB6</f>
        <v/>
      </c>
      <c r="ET6" s="13">
        <f>IF(EN6&gt;0,RANK(ER6,ER4:ER7)+CG2+DA2+DU2,)</f>
        <v/>
      </c>
      <c r="EU6" s="13">
        <f>IF(AND(EN6&gt;0,COUNTIF(ET4:ET7,ET6)&gt;1),SUMIFS($AI$4:$AI$108,$AF$4:$AF$108,$BT6,$M$4:$M$108,4)+SUMIFS($AK$4:$AK$108,$AH$4:$AH$108,$BT6,$M$4:$M$108,4)-SUMIFS($AK$4:$AK$108,$AF$4:$AF$108,$BT6,$M$4:$M$108,4)-SUMIFS($AI$4:$AI$108,$AH$4:$AH$108,$BT6,$M$4:$M$108,4),)</f>
        <v/>
      </c>
      <c r="EV6" s="13">
        <f>IF(AND(EN6&gt;0,COUNTIF(ET4:ET7,ET6)&gt;1),ET6+RANK(EU6,EU4:EU7)-1,ET6)</f>
        <v/>
      </c>
      <c r="EW6" s="13">
        <f>IF(AND(EN6&gt;0,COUNTIF(EV6:EV9,EV6)&gt;1),SUMIFS($AI$4:$AI$108,$AF$4:$AF$108,$BT6,$M$4:$M$108,4)+SUMIFS($AK$4:$AK$108,$AH$4:$AH$108,$BT6,$M$4:$M$108,4),)</f>
        <v/>
      </c>
      <c r="EX6" s="13">
        <f>IF(AND(EN6&gt;0,COUNTIF(EV4:EV7,EV6)&gt;1),EV6+RANK(EW6,EW4:EW7)-1,EV6)</f>
        <v/>
      </c>
      <c r="EY6" s="13">
        <f>IF(EX6=0,"",EX6)</f>
        <v/>
      </c>
      <c r="EZ6" s="13">
        <f>IF(OR(EY6="",COUNTIF(EY4:EY7,EY6)=1),"",$BZ6)</f>
        <v/>
      </c>
      <c r="FA6" s="13">
        <f>IF(EY6="","",IF(COUNTIF(EY4:EY7,EY6)=1,EY6,EY6+RANK(EZ6,EZ4:EZ7,0)-1))</f>
        <v/>
      </c>
      <c r="FB6" s="13">
        <f>IF(OR(FA6="",COUNTIF(FA4:FA7,FA6)=1),"",$BX6)</f>
        <v/>
      </c>
      <c r="FC6" s="13">
        <f>IF(EY6="","",IF(COUNTIF(FA4:FA7,FA6)=1,FA6,FA6+RANK(FB6,FB4:FB7,0)-1))</f>
        <v/>
      </c>
      <c r="FD6" s="13">
        <f>IF(OR(FC6="",COUNTIF(FC4:FC7,FC6)=1),"",$BU6)</f>
        <v/>
      </c>
      <c r="FE6" s="13">
        <f>IF(EY6="","",IF(COUNTIF(FC4:FC7,FC6)=1,FC6,FC6+RANK(FD6,FD4:FD7,0)-1))</f>
        <v/>
      </c>
      <c r="FF6" s="13">
        <f>IF(EN6&gt;0,CG2+DA2+DU2+RANK(FE6,FE4:FE7,1),)</f>
        <v/>
      </c>
      <c r="FH6" s="13">
        <f>IFERROR(VLOOKUP(FJ6,CF3:CX7,19,FALSE),IFERROR(VLOOKUP(FJ6,CZ3:DR7,19,FALSE),IFERROR(VLOOKUP(FJ6,DT3:EL7,19,FALSE),VLOOKUP(FJ6,EN3:FF7,19,FALSE))))</f>
        <v/>
      </c>
      <c r="FI6" s="13">
        <f>RANK(FH6,FH4:FH7,1)+COUNTIF(FH4:FH6,FH6)-1</f>
        <v/>
      </c>
      <c r="FJ6" s="12">
        <f>BT6</f>
        <v/>
      </c>
      <c r="FM6" s="76" t="inlineStr">
        <is>
          <t>C</t>
        </is>
      </c>
      <c r="FN6" s="9">
        <f>O24</f>
        <v/>
      </c>
      <c r="FO6" s="77">
        <f>RANK($FP6,$FP$4:$FP$15,1)+COUNTIF($FP6:$FP$15,$FP6)-1</f>
        <v/>
      </c>
      <c r="FP6" s="77">
        <f>FS6+FR6+FQ6</f>
        <v/>
      </c>
      <c r="FQ6" s="77">
        <f t="array" ref="FQ6">SUMPRODUCT(($FT$4:$FT$15=FT6)*($FU$4:$FU$15=FU6)*($FV$4:$FV$15&gt;FV6))</f>
        <v/>
      </c>
      <c r="FR6" s="73">
        <f t="array" ref="FR6">SUMPRODUCT(($FT$4:$FT$15=FT6)*($FU$4:$FU$15&gt;FU6))</f>
        <v/>
      </c>
      <c r="FS6" s="77">
        <f>RANK(FT6,$FT$4:$FT$15)</f>
        <v/>
      </c>
      <c r="FT6" s="9">
        <f>V24</f>
        <v/>
      </c>
      <c r="FU6" s="9">
        <f>U24</f>
        <v/>
      </c>
      <c r="FV6" s="9">
        <f>S24</f>
        <v/>
      </c>
      <c r="FW6" s="78">
        <f>FM6</f>
        <v/>
      </c>
      <c r="FX6" s="77">
        <f>IF(FO6&lt;9,FW6,)</f>
        <v/>
      </c>
      <c r="FZ6" s="79" t="n">
        <v>4</v>
      </c>
      <c r="GA6" s="3">
        <f>GB6&amp;GC6&amp;GD6&amp;GE6&amp;GF6&amp;GG6&amp;GH6&amp;GI6</f>
        <v/>
      </c>
      <c r="GB6" s="3" t="inlineStr">
        <is>
          <t>E</t>
        </is>
      </c>
      <c r="GC6" s="3" t="inlineStr">
        <is>
          <t>J</t>
        </is>
      </c>
      <c r="GD6" s="3" t="inlineStr">
        <is>
          <t>I</t>
        </is>
      </c>
      <c r="GE6" s="3" t="inlineStr">
        <is>
          <t>D</t>
        </is>
      </c>
      <c r="GF6" s="3" t="inlineStr">
        <is>
          <t>H</t>
        </is>
      </c>
      <c r="GG6" s="3" t="inlineStr">
        <is>
          <t>G</t>
        </is>
      </c>
      <c r="GH6" s="3" t="inlineStr">
        <is>
          <t>L</t>
        </is>
      </c>
      <c r="GI6" s="3" t="inlineStr">
        <is>
          <t>K</t>
        </is>
      </c>
      <c r="GJ6" s="9">
        <f>VLOOKUP(GB6,$FM$3:$FN$15,2,FALSE)</f>
        <v/>
      </c>
      <c r="GK6" s="9">
        <f>VLOOKUP(GC6,$FM$3:$FN$15,2,FALSE)</f>
        <v/>
      </c>
      <c r="GL6" s="9">
        <f>VLOOKUP(GD6,$FM$3:$FN$15,2,FALSE)</f>
        <v/>
      </c>
      <c r="GM6" s="9">
        <f>VLOOKUP(GE6,$FM$3:$FN$15,2,FALSE)</f>
        <v/>
      </c>
      <c r="GN6" s="9">
        <f>VLOOKUP(GF6,$FM$3:$FN$15,2,FALSE)</f>
        <v/>
      </c>
      <c r="GO6" s="9">
        <f>VLOOKUP(GG6,$FM$3:$FN$15,2,FALSE)</f>
        <v/>
      </c>
      <c r="GP6" s="9">
        <f>VLOOKUP(GH6,$FM$3:$FN$15,2,FALSE)</f>
        <v/>
      </c>
      <c r="GQ6" s="9">
        <f>VLOOKUP(GI6,$FM$3:$FN$15,2,FALSE)</f>
        <v/>
      </c>
      <c r="GR6" s="9">
        <f>IFERROR(IF(AND(VLOOKUP(GB6,$FX$4:$FX$15,1,FALSE)=GB6,VLOOKUP(GC6,$FX$4:$FX$15,1,FALSE)=GC6,VLOOKUP(GD6,$FX$4:$FX$15,1,FALSE)=GD6,VLOOKUP(GE6,$FX$4:$FX$15,1,FALSE)=GE6,VLOOKUP(GF6,$FX$4:$FX$15,1,FALSE)=GF6,VLOOKUP(GG6,$FX$4:$FX$15,1,FALSE)=GG6,VLOOKUP(GH6,$FX$4:$FX$15,1,FALSE)=GH6,VLOOKUP(GI6,$FX$4:$FX$15,1,FALSE)=GI6),FZ6,""),"")</f>
        <v/>
      </c>
      <c r="GX6" s="79" t="n"/>
    </row>
    <row r="7" ht="14.25" customHeight="1">
      <c r="B7" s="58" t="n">
        <v>28</v>
      </c>
      <c r="C7" s="59" t="n">
        <v>46192</v>
      </c>
      <c r="D7" s="60" t="inlineStr">
        <is>
          <t>Mexiko</t>
        </is>
      </c>
      <c r="E7" s="61" t="inlineStr">
        <is>
          <t>-</t>
        </is>
      </c>
      <c r="F7" s="62" t="inlineStr">
        <is>
          <t>Sydkorea</t>
        </is>
      </c>
      <c r="G7" s="63" t="n">
        <v>2</v>
      </c>
      <c r="H7" s="64" t="inlineStr">
        <is>
          <t>-</t>
        </is>
      </c>
      <c r="I7" s="63" t="n">
        <v>1</v>
      </c>
      <c r="J7" s="65">
        <f>IF(OR(ISBLANK(G7),ISBLANK(I7)),"",IF(G7&gt;I7,1,IF(G7&lt;I7,2,"X")))</f>
        <v/>
      </c>
      <c r="K7" s="66">
        <f>IF(OR(G7="",I7="",'[1]Resultat &amp; tabell'!G7="",'[1]Resultat &amp; tabell'!I7=""),0,IF(G7='[1]Resultat &amp; tabell'!G7,2,0)+IF(I7='[1]Resultat &amp; tabell'!I7,2,0)+IF(J7='[1]Resultat &amp; tabell'!J7,2,0))</f>
        <v/>
      </c>
      <c r="L7" s="67" t="n"/>
      <c r="M7" s="29">
        <f>IF(VLOOKUP(D7,$BT$3:$CC$7,10,FALSE)=VLOOKUP(F7,$BT$3:$CC$7,10,FALSE),VLOOKUP(D7,$BT$3:$CC$7,10,FALSE),"-")</f>
        <v/>
      </c>
      <c r="N7" s="30" t="n">
        <v>4</v>
      </c>
      <c r="O7" s="86">
        <f>VLOOKUP(N7,FI4:FJ7,2,FALSE)</f>
        <v/>
      </c>
      <c r="P7" s="87">
        <f>VLOOKUP(O7,$BT$4:$CA$7,2,FALSE)</f>
        <v/>
      </c>
      <c r="Q7" s="87">
        <f>VLOOKUP($O$7,$BT$4:$CA$7,3,FALSE)</f>
        <v/>
      </c>
      <c r="R7" s="87">
        <f>VLOOKUP($O$7,$BT$4:$CA$7,4,FALSE)</f>
        <v/>
      </c>
      <c r="S7" s="87">
        <f>VLOOKUP($O$7,$BT$4:$CA$7,5,FALSE)</f>
        <v/>
      </c>
      <c r="T7" s="87">
        <f>VLOOKUP($O$7,$BT$4:$CA$7,6,FALSE)</f>
        <v/>
      </c>
      <c r="U7" s="87">
        <f>VLOOKUP($O$7,$BT$4:$CA$7,7,FALSE)</f>
        <v/>
      </c>
      <c r="V7" s="82">
        <f>VLOOKUP($O$7,$BT$4:$CA$7,8,FALSE)</f>
        <v/>
      </c>
      <c r="X7" s="71" t="inlineStr">
        <is>
          <t>Lag som gör flest mål i gruppspelet</t>
        </is>
      </c>
      <c r="Y7" s="216" t="inlineStr">
        <is>
          <t>Spanien</t>
        </is>
      </c>
      <c r="Z7" s="217" t="n"/>
      <c r="AA7" s="217" t="n"/>
      <c r="AB7" s="218" t="n"/>
      <c r="AC7" s="66">
        <f>IF(AND('[1]Resultat &amp; tabell'!Y7&gt;0,Y7='[1]Resultat &amp; tabell'!Y7),10,0)</f>
        <v/>
      </c>
      <c r="AE7" s="72">
        <f>C7</f>
        <v/>
      </c>
      <c r="AF7" s="72">
        <f>D7</f>
        <v/>
      </c>
      <c r="AG7" s="72">
        <f>E7</f>
        <v/>
      </c>
      <c r="AH7" s="72">
        <f>F7</f>
        <v/>
      </c>
      <c r="AI7" s="63">
        <f>IF(G7="","",G7)</f>
        <v/>
      </c>
      <c r="AJ7" s="58">
        <f>H7</f>
        <v/>
      </c>
      <c r="AK7" s="63">
        <f>IF(I7="","",I7)</f>
        <v/>
      </c>
      <c r="AL7" s="65">
        <f>J7</f>
        <v/>
      </c>
      <c r="AM7" s="73" t="n"/>
      <c r="AN7" s="13">
        <f>IF(AI7&gt;AK7,1,0)</f>
        <v/>
      </c>
      <c r="AO7" s="13">
        <f>IF(AK7&gt;AI7,1,0)</f>
        <v/>
      </c>
      <c r="AP7" s="13">
        <f>IF(AND(AI7=AK7,AI7&lt;&gt;""),1,0)</f>
        <v/>
      </c>
      <c r="AQ7" s="13">
        <f>IF(AND(AI7=AK7,AI7&lt;&gt;""),1,0)</f>
        <v/>
      </c>
      <c r="AR7" s="13">
        <f>IF(AI7&lt;AK7,1,0)</f>
        <v/>
      </c>
      <c r="AS7" s="13">
        <f>IF(AK7&lt;AI7,1,)</f>
        <v/>
      </c>
      <c r="AT7" s="13">
        <f>IF(ISERROR(VLOOKUP(AF7,CF:CF,1,FALSE)),0,1)*IF(ISERROR(VLOOKUP(AH7,CF:CF,1,FALSE)),0,1)*AN7</f>
        <v/>
      </c>
      <c r="AU7" s="13">
        <f>IF(ISERROR(VLOOKUP(AF7,CF:CF,1,FALSE)),0,1)*IF(ISERROR(VLOOKUP(AH7,CF:CF,1,FALSE)),0,1)*AO7</f>
        <v/>
      </c>
      <c r="AV7" s="13">
        <f>IF(ISERROR(VLOOKUP(AF7,CF:CF,1,FALSE)),0,1)*IF(ISERROR(VLOOKUP(AH7,CF:CF,1,FALSE)),0,1)*AP7</f>
        <v/>
      </c>
      <c r="AW7" s="13">
        <f>IF(ISERROR(VLOOKUP(AF7,CF:CF,1,FALSE)),0,1)*IF(ISERROR(VLOOKUP(AH7,CF:CF,1,FALSE)),0,1)*AQ7</f>
        <v/>
      </c>
      <c r="AX7" s="13">
        <f>IF(ISERROR(VLOOKUP(AF7,CF:CF,1,FALSE)),0,1)*IF(ISERROR(VLOOKUP(AH7,CF:CF,1,FALSE)),0,1)*AR7</f>
        <v/>
      </c>
      <c r="AY7" s="13">
        <f>IF(ISERROR(VLOOKUP(AF7,CF:CF,1,FALSE)),0,1)*IF(ISERROR(VLOOKUP(AH7,CF:CF,1,FALSE)),0,1)*AS7</f>
        <v/>
      </c>
      <c r="AZ7" s="13">
        <f>IF(ISERROR(VLOOKUP(AF7,CZ:CZ,1,FALSE)),0,1)*IF(ISERROR(VLOOKUP(AH7,CZ:CZ,1,FALSE)),0,1)*AN7</f>
        <v/>
      </c>
      <c r="BA7" s="13">
        <f>IF(ISERROR(VLOOKUP(AF7,CZ:CZ,1,FALSE)),0,1)*IF(ISERROR(VLOOKUP(AH7,CZ:CZ,1,FALSE)),0,1)*AO7</f>
        <v/>
      </c>
      <c r="BB7" s="13">
        <f>IF(ISERROR(VLOOKUP(AF7,CZ:CZ,1,FALSE)),0,1)*IF(ISERROR(VLOOKUP(AH7,CZ:CZ,1,FALSE)),0,1)*AP7</f>
        <v/>
      </c>
      <c r="BC7" s="13">
        <f>IF(ISERROR(VLOOKUP(AF7,CZ:CZ,1,FALSE)),0,1)*IF(ISERROR(VLOOKUP(AH7,CZ:CZ,1,FALSE)),0,1)*AQ7</f>
        <v/>
      </c>
      <c r="BD7" s="13">
        <f>IF(ISERROR(VLOOKUP(AF7,CZ:CZ,1,FALSE)),0,1)*IF(ISERROR(VLOOKUP(AH7,CZ:CZ,1,FALSE)),0,1)*AR7</f>
        <v/>
      </c>
      <c r="BE7" s="13">
        <f>IF(ISERROR(VLOOKUP(AF7,CZ:CZ,1,FALSE)),0,1)*IF(ISERROR(VLOOKUP(AH7,CZ:CZ,1,FALSE)),0,1)*AS7</f>
        <v/>
      </c>
      <c r="BF7" s="13">
        <f>IF(ISERROR(VLOOKUP(AF7,DT:DT,1,FALSE)),0,1)*IF(ISERROR(VLOOKUP(AH7,DT:DT,1,FALSE)),0,1)*AN7</f>
        <v/>
      </c>
      <c r="BG7" s="13">
        <f>IF(ISERROR(VLOOKUP(AF7,DT:DT,1,FALSE)),0,1)*IF(ISERROR(VLOOKUP(AH7,DT:DT,1,FALSE)),0,1)*AO7</f>
        <v/>
      </c>
      <c r="BH7" s="13">
        <f>IF(ISERROR(VLOOKUP(AF7,DT:DT,1,FALSE)),0,1)*IF(ISERROR(VLOOKUP(AH7,DT:DT,1,FALSE)),0,1)*AP7</f>
        <v/>
      </c>
      <c r="BI7" s="13">
        <f>IF(ISERROR(VLOOKUP(AF7,DT:DT,1,FALSE)),0,1)*IF(ISERROR(VLOOKUP(AH7,DT:DT,1,FALSE)),0,1)*AQ7</f>
        <v/>
      </c>
      <c r="BJ7" s="13">
        <f>IF(ISERROR(VLOOKUP(AF7,DT:DT,1,FALSE)),0,1)*IF(ISERROR(VLOOKUP(AH7,DT:DT,1,FALSE)),0,1)*AR7</f>
        <v/>
      </c>
      <c r="BK7" s="13">
        <f>IF(ISERROR(VLOOKUP(AF7,DT:DT,1,FALSE)),0,1)*IF(ISERROR(VLOOKUP(AH7,DT:DT,1,FALSE)),0,1)*AS7</f>
        <v/>
      </c>
      <c r="BL7" s="13">
        <f>IF(ISERROR(VLOOKUP(AF7,EN:EN,1,FALSE)),0,1)*IF(ISERROR(VLOOKUP(AH7,EN:EN,1,FALSE)),0,1)*AN7</f>
        <v/>
      </c>
      <c r="BM7" s="13">
        <f>IF(ISERROR(VLOOKUP(AF7,EN:EN,1,FALSE)),0,1)*IF(ISERROR(VLOOKUP(AH7,EN:EN,1,FALSE)),0,1)*AO7</f>
        <v/>
      </c>
      <c r="BN7" s="13">
        <f>IF(ISERROR(VLOOKUP(AF7,EN:EN,1,FALSE)),0,1)*IF(ISERROR(VLOOKUP(AH7,EN:EN,1,FALSE)),0,1)*AP7</f>
        <v/>
      </c>
      <c r="BO7" s="13">
        <f>IF(ISERROR(VLOOKUP(AF7,EN:EN,1,FALSE)),0,1)*IF(ISERROR(VLOOKUP(AH7,EN:EN,1,FALSE)),0,1)*AQ7</f>
        <v/>
      </c>
      <c r="BP7" s="13">
        <f>IF(ISERROR(VLOOKUP(AF7,EN:EN,1,FALSE)),0,1)*IF(ISERROR(VLOOKUP(AH7,EN:EN,1,FALSE)),0,1)*AR7</f>
        <v/>
      </c>
      <c r="BQ7" s="13">
        <f>IF(ISERROR(VLOOKUP(AF7,EN:EN,1,FALSE)),0,1)*IF(ISERROR(VLOOKUP(AH7,EN:EN,1,FALSE)),0,1)*AS7</f>
        <v/>
      </c>
      <c r="BT7" s="88" t="inlineStr">
        <is>
          <t>Czechia</t>
        </is>
      </c>
      <c r="BU7" s="13">
        <f>(SUMIF(AF$4:AF$108,BT7,AN$4:AN$108)+SUMIF(AH$4:AH$108,BT7,AO$4:AO$108))</f>
        <v/>
      </c>
      <c r="BV7" s="13">
        <f>(SUMIF(AF$4:AF$108,BT7,AP$4:AP$108)+SUMIF(AH$4:AH$108,BT7,AQ$4:AQ$108))</f>
        <v/>
      </c>
      <c r="BW7" s="13">
        <f>(SUMIF(AF$4:AF$108,BT7,AR$4:AR$108)+SUMIF(AH$4:AH$108,BT7,AS$4:AS$108))</f>
        <v/>
      </c>
      <c r="BX7" s="13">
        <f>SUMIF($AF$4:$AF$108,BT7,$AI$4:$AI$108)+SUMIF($AH$4:$AH$108,BT7,$AK$4:$AK$108)</f>
        <v/>
      </c>
      <c r="BY7" s="13">
        <f>SUMIF($AF$4:$AF$108,BT7,$AK$4:$AK$108)+SUMIF($AH$4:$AH$108,BT7,$AI$4:$AI$108)</f>
        <v/>
      </c>
      <c r="BZ7" s="13">
        <f>BX7-BY7</f>
        <v/>
      </c>
      <c r="CA7" s="13">
        <f>IFERROR(BU7*3+BV7*1,0)</f>
        <v/>
      </c>
      <c r="CB7" s="89" t="inlineStr">
        <is>
          <t>A</t>
        </is>
      </c>
      <c r="CC7" s="74">
        <f>RANK(CA7,CA4:CA7)</f>
        <v/>
      </c>
      <c r="CD7" s="13">
        <f>SUMPRODUCT((CA4:CA7=CA7)*(BZ4:BZ7&gt;BZ7))</f>
        <v/>
      </c>
      <c r="CF7" s="88">
        <f>IF(CC7=1,BT7,)</f>
        <v/>
      </c>
      <c r="CG7" s="13">
        <f>(SUMIF($AF$4:$AF$108,$BT7,$AT$4:$AT$108)+SUMIF($AH$4:$AH$108,$BT7,$AU$4:$AU$108))</f>
        <v/>
      </c>
      <c r="CH7" s="13">
        <f>(SUMIF($AF$4:$AF$108,$BT7,$AV$4:$AV$108)+SUMIF($AH$4:$AH$108,$BT7,$AW$4:$AW$108))</f>
        <v/>
      </c>
      <c r="CI7" s="13">
        <f>(SUMIF($AF$4:$AF$108,$BT7,$AX$4:$AX$108)+SUMIF($AH$4:$AH$108,$BT7,$AY$4:$AY$108))</f>
        <v/>
      </c>
      <c r="CJ7" s="13">
        <f>IFERROR(CG7*3+CH7*1,0)</f>
        <v/>
      </c>
      <c r="CK7" s="13">
        <f>CB7</f>
        <v/>
      </c>
      <c r="CL7" s="13">
        <f>IF(CF7&gt;0,RANK(CJ7,CJ4:CJ7),)</f>
        <v/>
      </c>
      <c r="CM7" s="13">
        <f>IF(AND(CF7&gt;0,COUNTIF(CL4:CL7,CL7)&gt;1),SUMIFS($AI$4:$AI$108,$AF$4:$AF$108,$BT7,$M$4:$M$108,1)+SUMIFS($AK$4:$AK$108,$AH$4:$AH$108,$BT7,$M$4:$M$108,1)-SUMIFS($AK$4:$AK$108,$AF$4:$AF$108,$BT7,$M$4:$M$108,1)-SUMIFS($AI$4:$AI$108,$AH$4:$AH$108,$BT7,$M$4:$M$108,1),)</f>
        <v/>
      </c>
      <c r="CN7" s="13">
        <f>IF(AND(CF7&gt;0,COUNTIF(CL4:CL7,CL7)&gt;1),CL7+RANK(CM7,CM4:CM7)-1,CL7)</f>
        <v/>
      </c>
      <c r="CO7" s="13">
        <f>IF(AND(CF7&gt;0,COUNTIF(CN4:CN7,CN7)&gt;1),SUMIFS($AI$4:$AI$108,$AF$4:$AF$108,$BT7,$M$4:$M$108,1)+SUMIFS($AK$4:$AK$108,$AH$4:$AH$108,$BT7,$M$4:$M$108,1),)</f>
        <v/>
      </c>
      <c r="CP7" s="13">
        <f>IF(AND(CF7&gt;0,COUNTIF(CN4:CN7,CN7)&gt;1),CN7+RANK(CO7,CO4:CO7)-1,CN7)</f>
        <v/>
      </c>
      <c r="CQ7" s="13">
        <f>IF(CP7=0,"",CP7)</f>
        <v/>
      </c>
      <c r="CR7" s="13">
        <f>IF(OR(CQ7="",COUNTIF(CQ4:CQ7,CQ7)=1),"",$BZ7)</f>
        <v/>
      </c>
      <c r="CS7" s="13">
        <f>IF(CQ7="","",IF(COUNTIF(CQ4:CQ7,CQ7)=1,CQ7,CQ7+RANK(CR7,CR4:CR7,0)-1))</f>
        <v/>
      </c>
      <c r="CT7" s="13">
        <f>IF(OR(CS7="",COUNTIF(CS4:CS7,CS7)=1),"",$BX7)</f>
        <v/>
      </c>
      <c r="CU7" s="13">
        <f>IF(CQ7="","",IF(COUNTIF(CS4:CS7,CS7)=1,CS7,CS7+RANK(CT7,CT4:CT7,0)-1))</f>
        <v/>
      </c>
      <c r="CV7" s="13">
        <f>IF(OR(CU7="",COUNTIF(CU4:CU7,CU7)=1),"",$BU7)</f>
        <v/>
      </c>
      <c r="CW7" s="13">
        <f>IF(CQ7="","",IF(COUNTIF(CU4:CU7,CU7)=1,CU7,CU7+RANK(CV7,CV4:CV7,0)-1))</f>
        <v/>
      </c>
      <c r="CX7" s="13">
        <f>IF(CF7&gt;0,BM2+RANK(CW7,CW4:CW7,1),)</f>
        <v/>
      </c>
      <c r="CZ7" s="88">
        <f>IF(CC7=2,BT7,)</f>
        <v/>
      </c>
      <c r="DA7" s="13">
        <f>(SUMIF($AF$4:$AF$108,$BT7,$AZ$4:$AZ$108)+SUMIF($AH$4:$AH$108,$BT7,$BA$4:$BA$108))</f>
        <v/>
      </c>
      <c r="DB7" s="13">
        <f>(SUMIF($AF$4:$AF$108,$BT7,$BB$4:$BB$108)+SUMIF($AH$4:$AH$108,$BT7,$BC$4:$BC$108))</f>
        <v/>
      </c>
      <c r="DC7" s="13">
        <f>(SUMIF($AF$4:$AF$108,$BT7,$BD$4:$BD$108)+SUMIF($AH$4:$AH$108,$BT7,$BE$4:$BE$108))</f>
        <v/>
      </c>
      <c r="DD7" s="13">
        <f>IFERROR(DA7*3+DB7*1,0)</f>
        <v/>
      </c>
      <c r="DE7" s="13">
        <f>$CB7</f>
        <v/>
      </c>
      <c r="DF7" s="13">
        <f>IF(CZ7&gt;0,RANK(DD7,DD4:DD7)+CG2,)</f>
        <v/>
      </c>
      <c r="DG7" s="13">
        <f>IF(AND(CZ7&gt;0,COUNTIF(DF4:DF7,DF7)&gt;1),SUMIFS($AI$4:$AI$108,$AF$4:$AF$108,$BT7,$M$4:$M$108,2)+SUMIFS($AK$4:$AK$108,$AH$4:$AH108,$BT7,$M$4:$M$108,2)-SUMIFS($AK$4:$AK$108,$AF$4:$AF$108,$BT7,$M$4:$M$108,2)-SUMIFS($AI$4:$AI$108,$AH$4:$AH$108,$BT7,$M$4:$M$108,2),)</f>
        <v/>
      </c>
      <c r="DH7" s="13">
        <f>IF(AND(CZ7&gt;0,COUNTIF(DF4:DF7,DF7)&gt;1),DF7+RANK(DG7,DG4:DG7)-1,DF7)</f>
        <v/>
      </c>
      <c r="DI7" s="13">
        <f>IF(AND(CZ7&gt;0,COUNTIF(DH4:DH7,DH7)&gt;1),SUMIFS($AI$4:$AI$108,$AF$4:$AF$108,$BT7,$M$4:$M$108,2)+SUMIFS($AK$4:$AK$108,$AH$4:$AH$108,$BT7,$M$4:$M$108,2),)</f>
        <v/>
      </c>
      <c r="DJ7" s="13">
        <f>IF(AND(CZ7&gt;0,COUNTIF(DH4:DH7,DH7)&gt;1),DH7+RANK(DI7,DI4:DI7)-1,DH7)</f>
        <v/>
      </c>
      <c r="DK7" s="75">
        <f>IF(DJ7=0,"",DJ7)</f>
        <v/>
      </c>
      <c r="DL7" s="75">
        <f>IF(OR(DK7="",COUNTIF(DK4:DK7,DK7)=1),"",$BZ7)</f>
        <v/>
      </c>
      <c r="DM7" s="75">
        <f>IF(DK7="","",IF(COUNTIF(DK4:DK7,DK7)=1,DK7,DK7+RANK(DL7,DL4:DL7,0)-1))</f>
        <v/>
      </c>
      <c r="DN7" s="75">
        <f>IF(OR(DM7="",COUNTIF(DM4:DM7,DM7)=1),"",$BX7)</f>
        <v/>
      </c>
      <c r="DO7" s="75">
        <f>IF(DK7="","",IF(COUNTIF(DM4:DM7,DM7)=1,DM7,DM7+RANK(DN7,DN4:DN7,0)-1))</f>
        <v/>
      </c>
      <c r="DP7" s="75">
        <f>IF(OR(DO7="",COUNTIF(DO4:DO7,DO7)=1),"",$BU7)</f>
        <v/>
      </c>
      <c r="DQ7" s="75">
        <f>IF(DK7="","",IF(COUNTIF(DO4:DO7,DO7)=1,DO7,DO7+RANK(DP7,DP4:DP7,0)-1))</f>
        <v/>
      </c>
      <c r="DR7" s="13">
        <f>IF(CZ7&gt;0,CG2+RANK(DQ7,DQ4:DQ7,1),)</f>
        <v/>
      </c>
      <c r="DT7" s="89">
        <f>IF(CC7=3,BT7,)</f>
        <v/>
      </c>
      <c r="DU7" s="13">
        <f>(SUMIF($AF$4:$AF$108,BT7,$BF$4:$BF$108)+SUMIF($AH$4:$AH$108,BT7,$BG$4:$BG$108))</f>
        <v/>
      </c>
      <c r="DV7" s="13">
        <f>(SUMIF($AF$4:$AF$108,BT7,$BH$4:$BH$108)+SUMIF($AH$4:$AH$108,BT7,$BI$4:$BI$108))</f>
        <v/>
      </c>
      <c r="DW7" s="13">
        <f>(SUMIF($AF$4:$AF$108,BT7,$BJ$4:$BJ$108)+SUMIF($AH$4:$AH$108,BT7,$BK$4:$BK$108))</f>
        <v/>
      </c>
      <c r="DX7" s="13">
        <f>IFERROR(DU7*3+DV7*1,0)</f>
        <v/>
      </c>
      <c r="DY7" s="13">
        <f>CB7</f>
        <v/>
      </c>
      <c r="DZ7" s="13">
        <f>IF(DT7&gt;0,RANK(DX7,DX4:DX7)+CG2+DA2,)</f>
        <v/>
      </c>
      <c r="EA7" s="13">
        <f>IF(AND(DT7&gt;0,COUNTIF(DZ4:DZ7,DZ7)&gt;1),SUMIFS($AI$4:$AI$108,$AF$4:$AF$108,$BT7,$M$4:$M$108,3)+SUMIFS($AK$4:$AK$108,$AH$4:$AH$108,$BT7,$M$4:$M$108,3)-SUMIFS($AK$4:$AK$108,$AF$4:$AF$108,$BT7,$M$4:$M$108,3)-SUMIFS($AI$4:$AI$108,$AH$4:$AH$108,$BT7,$M$4:$M$108,3),)</f>
        <v/>
      </c>
      <c r="EB7" s="13">
        <f>IF(AND(DT7&gt;0,COUNTIF(DZ4:DZ7,DZ7)&gt;1),DZ7+RANK(EA7,EA4:EA7)-1,DZ7)</f>
        <v/>
      </c>
      <c r="EC7" s="13">
        <f>IF(AND(DT7&gt;0,COUNTIF(EB4:EB7,EB7)&gt;1),SUMIFS($AI$4:$AI$108,$AF$4:$AF$108,$BT7,$M$4:$M$108,3)+SUMIFS($AK$4:$AK$108,$AH$4:$AH$108,$BT7,$M$4:$M$108,3),)</f>
        <v/>
      </c>
      <c r="ED7" s="13">
        <f>IF(AND(DT7&gt;0,COUNTIF(EB4:EB7,EB7)&gt;1),EB7+RANK(EC7,EC4:EC7)-1,EB7)</f>
        <v/>
      </c>
      <c r="EE7" s="13">
        <f>IF(ED7=0,"",ED7)</f>
        <v/>
      </c>
      <c r="EF7" s="13">
        <f>IF(OR(EE7="",COUNTIF(EE4:EE7,EE7)=1),"",$BZ7)</f>
        <v/>
      </c>
      <c r="EG7" s="13">
        <f>IF(EE7="","",IF(COUNTIF(EE4:EE7,EE7)=1,EE7,EE7+RANK(EF7,EF4:EF7,0)-1))</f>
        <v/>
      </c>
      <c r="EH7" s="13">
        <f>IF(OR(EG7="",COUNTIF(EG4:EG7,EG7)=1),"",$BX7)</f>
        <v/>
      </c>
      <c r="EI7" s="13">
        <f>IF(EE7="","",IF(COUNTIF(EG4:EG7,EG7)=1,EG7,EG7+RANK(EH7,EH4:EH7,0)-1))</f>
        <v/>
      </c>
      <c r="EJ7" s="13">
        <f>IF(OR(EI7="",COUNTIF(EI4:EI7,EI7)=1),"",$BU7)</f>
        <v/>
      </c>
      <c r="EK7" s="13">
        <f>IF(EE7="","",IF(COUNTIF(EI4:EI7,EI7)=1,EI7,EI7+RANK(EJ7,EJ4:EJ7,0)-1))</f>
        <v/>
      </c>
      <c r="EL7" s="13">
        <f>IF(DT7&gt;0,CG2+DA2+RANK(EK7,EK4:EK7,1),)</f>
        <v/>
      </c>
      <c r="EN7" s="13">
        <f>IF(CC7=4,BT7,)</f>
        <v/>
      </c>
      <c r="EO7" s="13">
        <f>(SUMIF($AF$4:$AF$108,$BT7,$BL$4:$BL$108)+SUMIF($AH$4:$AH$108,$BT7,$BM$4:$BM$108))</f>
        <v/>
      </c>
      <c r="EP7" s="13">
        <f>(SUMIF($AF$4:$AF$108,$BT7,$BN$4:$BN$108)+SUMIF($AH$4:$AH$108,$BT7,$BO$4:$BO$108))</f>
        <v/>
      </c>
      <c r="EQ7" s="13">
        <f>(SUMIF($AF$4:$AF$108,$BT7,$BP$4:$BP$108)+SUMIF($AH$4:$AH$108,$BT7,$BQ$4:$BQ$108))</f>
        <v/>
      </c>
      <c r="ER7" s="13">
        <f>IFERROR(EO7*3+EP7*1,0)</f>
        <v/>
      </c>
      <c r="ES7" s="13">
        <f>$CB7</f>
        <v/>
      </c>
      <c r="ET7" s="13">
        <f>IF(EN7&gt;0,RANK(ER7,ER4:ER7)+CG2+DA2+DU2,)</f>
        <v/>
      </c>
      <c r="EU7" s="13">
        <f>IF(AND(EN7&gt;0,COUNTIF(ET4:ET7,ET7)&gt;1),SUMIFS($AI$4:$AI$108,$AF$4:$AF$108,$BT7,$M$4:$M$108,4)+SUMIFS($AK$4:$AK$108,$AH$4:$AH$108,$BT7,$M$4:$M$108,4)-SUMIFS($AK$4:$AK$108,$AF$4:$AF$108,$BT7,$M$4:$M$108,4)-SUMIFS($AI$4:$AI$108,$AH$4:$AH$108,$BT7,$M$4:$M$108,4),)</f>
        <v/>
      </c>
      <c r="EV7" s="13">
        <f>IF(AND(EN7&gt;0,COUNTIF(ET4:ET7,ET7)&gt;1),ET7+RANK(EU7,EU4:EU7)-1,ET7)</f>
        <v/>
      </c>
      <c r="EW7" s="13">
        <f>IF(AND(EN7&gt;0,COUNTIF(EV7:EV10,EV7)&gt;1),SUMIFS($AI$4:$AI$108,$AF$4:$AF$108,$BT7,$M$4:$M$108,4)+SUMIFS($AK$4:$AK$108,$AH$4:$AH$108,$BT7,$M$4:$M$108,4),)</f>
        <v/>
      </c>
      <c r="EX7" s="13">
        <f>IF(AND(EN7&gt;0,COUNTIF(EV4:EV7,EV7)&gt;1),EV7+RANK(EW7,EW4:EW7)-1,EV7)</f>
        <v/>
      </c>
      <c r="EY7" s="13">
        <f>IF(EX7=0,"",EX7)</f>
        <v/>
      </c>
      <c r="EZ7" s="13">
        <f>IF(OR(EY7="",COUNTIF(EY4:EY7,EY7)=1),"",$BZ7)</f>
        <v/>
      </c>
      <c r="FA7" s="13">
        <f>IF(EY7="","",IF(COUNTIF(EY4:EY7,EY7)=1,EY7,EY7+RANK(EZ7,EZ4:EZ7,0)-1))</f>
        <v/>
      </c>
      <c r="FB7" s="13">
        <f>IF(OR(FA7="",COUNTIF(FA4:FA7,FA7)=1),"",$BX7)</f>
        <v/>
      </c>
      <c r="FC7" s="13">
        <f>IF(EY7="","",IF(COUNTIF(FA4:FA7,FA7)=1,FA7,FA7+RANK(FB7,FB4:FB7,0)-1))</f>
        <v/>
      </c>
      <c r="FD7" s="13">
        <f>IF(OR(FC7="",COUNTIF(FC4:FC7,FC7)=1),"",$BU7)</f>
        <v/>
      </c>
      <c r="FE7" s="13">
        <f>IF(EY7="","",IF(COUNTIF(FC4:FC7,FC7)=1,FC7,FC7+RANK(FD7,FD4:FD7,0)-1))</f>
        <v/>
      </c>
      <c r="FF7" s="13">
        <f>IF(EN7&gt;0,CG2+DA2+DU2+RANK(FE7,FE4:FE7,1),)</f>
        <v/>
      </c>
      <c r="FH7" s="13">
        <f>IFERROR(VLOOKUP(FJ7,CF3:CX7,19,FALSE),IFERROR(VLOOKUP(FJ7,CZ3:DR7,19,FALSE),IFERROR(VLOOKUP(FJ7,DT3:EL7,19,FALSE),VLOOKUP(FJ7,EN3:FF7,19,FALSE))))</f>
        <v/>
      </c>
      <c r="FI7" s="13">
        <f>RANK(FH7,FH4:FH7,1)+COUNTIF(FH4:FH7,FH7)-1</f>
        <v/>
      </c>
      <c r="FJ7" s="12">
        <f>BT7</f>
        <v/>
      </c>
      <c r="FM7" s="76" t="inlineStr">
        <is>
          <t>D</t>
        </is>
      </c>
      <c r="FN7" s="9">
        <f>O33</f>
        <v/>
      </c>
      <c r="FO7" s="77">
        <f>RANK($FP7,$FP$4:$FP$15,1)+COUNTIF($FP7:$FP$15,$FP7)-1</f>
        <v/>
      </c>
      <c r="FP7" s="77">
        <f>FS7+FR7+FQ7</f>
        <v/>
      </c>
      <c r="FQ7" s="77">
        <f t="array" ref="FQ7">SUMPRODUCT(($FT$4:$FT$15=FT7)*($FU$4:$FU$15=FU7)*($FV$4:$FV$15&gt;FV7))</f>
        <v/>
      </c>
      <c r="FR7" s="73">
        <f t="array" ref="FR7">SUMPRODUCT(($FT$4:$FT$15=FT7)*($FU$4:$FU$15&gt;FU7))</f>
        <v/>
      </c>
      <c r="FS7" s="77">
        <f>RANK(FT7,$FT$4:$FT$15)</f>
        <v/>
      </c>
      <c r="FT7" s="9">
        <f>V33</f>
        <v/>
      </c>
      <c r="FU7" s="9">
        <f>U33</f>
        <v/>
      </c>
      <c r="FV7" s="9">
        <f>S33</f>
        <v/>
      </c>
      <c r="FW7" s="78">
        <f>FM7</f>
        <v/>
      </c>
      <c r="FX7" s="77">
        <f>IF(FO7&lt;9,FW7,)</f>
        <v/>
      </c>
      <c r="FZ7" s="79" t="n">
        <v>5</v>
      </c>
      <c r="GA7" s="3">
        <f>GB7&amp;GC7&amp;GD7&amp;GE7&amp;GF7&amp;GG7&amp;GH7&amp;GI7</f>
        <v/>
      </c>
      <c r="GB7" s="3" t="inlineStr">
        <is>
          <t>E</t>
        </is>
      </c>
      <c r="GC7" s="3" t="inlineStr">
        <is>
          <t>J</t>
        </is>
      </c>
      <c r="GD7" s="3" t="inlineStr">
        <is>
          <t>I</t>
        </is>
      </c>
      <c r="GE7" s="3" t="inlineStr">
        <is>
          <t>D</t>
        </is>
      </c>
      <c r="GF7" s="3" t="inlineStr">
        <is>
          <t>H</t>
        </is>
      </c>
      <c r="GG7" s="3" t="inlineStr">
        <is>
          <t>F</t>
        </is>
      </c>
      <c r="GH7" s="3" t="inlineStr">
        <is>
          <t>L</t>
        </is>
      </c>
      <c r="GI7" s="3" t="inlineStr">
        <is>
          <t>K</t>
        </is>
      </c>
      <c r="GJ7" s="9">
        <f>VLOOKUP(GB7,$FM$3:$FN$15,2,FALSE)</f>
        <v/>
      </c>
      <c r="GK7" s="9">
        <f>VLOOKUP(GC7,$FM$3:$FN$15,2,FALSE)</f>
        <v/>
      </c>
      <c r="GL7" s="9">
        <f>VLOOKUP(GD7,$FM$3:$FN$15,2,FALSE)</f>
        <v/>
      </c>
      <c r="GM7" s="9">
        <f>VLOOKUP(GE7,$FM$3:$FN$15,2,FALSE)</f>
        <v/>
      </c>
      <c r="GN7" s="9">
        <f>VLOOKUP(GF7,$FM$3:$FN$15,2,FALSE)</f>
        <v/>
      </c>
      <c r="GO7" s="9">
        <f>VLOOKUP(GG7,$FM$3:$FN$15,2,FALSE)</f>
        <v/>
      </c>
      <c r="GP7" s="9">
        <f>VLOOKUP(GH7,$FM$3:$FN$15,2,FALSE)</f>
        <v/>
      </c>
      <c r="GQ7" s="9">
        <f>VLOOKUP(GI7,$FM$3:$FN$15,2,FALSE)</f>
        <v/>
      </c>
      <c r="GR7" s="9">
        <f>IFERROR(IF(AND(VLOOKUP(GB7,$FX$4:$FX$15,1,FALSE)=GB7,VLOOKUP(GC7,$FX$4:$FX$15,1,FALSE)=GC7,VLOOKUP(GD7,$FX$4:$FX$15,1,FALSE)=GD7,VLOOKUP(GE7,$FX$4:$FX$15,1,FALSE)=GE7,VLOOKUP(GF7,$FX$4:$FX$15,1,FALSE)=GF7,VLOOKUP(GG7,$FX$4:$FX$15,1,FALSE)=GG7,VLOOKUP(GH7,$FX$4:$FX$15,1,FALSE)=GH7,VLOOKUP(GI7,$FX$4:$FX$15,1,FALSE)=GI7),FZ7,""),"")</f>
        <v/>
      </c>
      <c r="GX7" s="79" t="n"/>
    </row>
    <row r="8" ht="14.25" customHeight="1">
      <c r="B8" s="90" t="n">
        <v>53</v>
      </c>
      <c r="C8" s="59" t="n">
        <v>46198</v>
      </c>
      <c r="D8" s="60" t="inlineStr">
        <is>
          <t>Czechia</t>
        </is>
      </c>
      <c r="E8" s="61" t="inlineStr">
        <is>
          <t>-</t>
        </is>
      </c>
      <c r="F8" s="62" t="inlineStr">
        <is>
          <t>Mexiko</t>
        </is>
      </c>
      <c r="G8" s="63" t="n">
        <v>0</v>
      </c>
      <c r="H8" s="64" t="inlineStr">
        <is>
          <t>-</t>
        </is>
      </c>
      <c r="I8" s="63" t="n">
        <v>2</v>
      </c>
      <c r="J8" s="65">
        <f>IF(OR(ISBLANK(G8),ISBLANK(I8)),"",IF(G8&gt;I8,1,IF(G8&lt;I8,2,"X")))</f>
        <v/>
      </c>
      <c r="K8" s="66">
        <f>IF(OR(G8="",I8="",'[1]Resultat &amp; tabell'!G8="",'[1]Resultat &amp; tabell'!I8=""),0,IF(G8='[1]Resultat &amp; tabell'!G8,2,0)+IF(I8='[1]Resultat &amp; tabell'!I8,2,0)+IF(J8='[1]Resultat &amp; tabell'!J8,2,0))</f>
        <v/>
      </c>
      <c r="L8" s="67" t="n"/>
      <c r="M8" s="29">
        <f>IF(VLOOKUP(D8,$BT$3:$CC$7,10,FALSE)=VLOOKUP(F8,$BT$3:$CC$7,10,FALSE),VLOOKUP(D8,$BT$3:$CC$7,10,FALSE),"-")</f>
        <v/>
      </c>
      <c r="O8" s="91">
        <f>IF(COUNTBLANK(G4:G9)+COUNTBLANK(I4:I9)=0,"Resultat OK","Fyll i resultat")</f>
        <v/>
      </c>
      <c r="P8" s="92" t="n"/>
      <c r="Q8" s="92" t="n"/>
      <c r="R8" s="92" t="n"/>
      <c r="S8" s="92" t="n"/>
      <c r="T8" s="92" t="n"/>
      <c r="U8" s="92" t="n"/>
      <c r="V8" s="3" t="n"/>
      <c r="X8" s="71" t="inlineStr">
        <is>
          <t>Lag som släpper in flest mål i gruppspelet</t>
        </is>
      </c>
      <c r="Y8" s="216" t="inlineStr">
        <is>
          <t>Irak</t>
        </is>
      </c>
      <c r="Z8" s="217" t="n"/>
      <c r="AA8" s="217" t="n"/>
      <c r="AB8" s="218" t="n"/>
      <c r="AC8" s="66">
        <f>IF(AND('[1]Resultat &amp; tabell'!Y8&gt;0,Y8='[1]Resultat &amp; tabell'!Y8),10,0)</f>
        <v/>
      </c>
      <c r="AE8" s="72">
        <f>C8</f>
        <v/>
      </c>
      <c r="AF8" s="72">
        <f>D8</f>
        <v/>
      </c>
      <c r="AG8" s="72">
        <f>E8</f>
        <v/>
      </c>
      <c r="AH8" s="72">
        <f>F8</f>
        <v/>
      </c>
      <c r="AI8" s="63">
        <f>IF(G8="","",G8)</f>
        <v/>
      </c>
      <c r="AJ8" s="58">
        <f>H8</f>
        <v/>
      </c>
      <c r="AK8" s="63">
        <f>IF(I8="","",I8)</f>
        <v/>
      </c>
      <c r="AL8" s="65">
        <f>J8</f>
        <v/>
      </c>
      <c r="AM8" s="73" t="n"/>
      <c r="AN8" s="13">
        <f>IF(AI8&gt;AK8,1,0)</f>
        <v/>
      </c>
      <c r="AO8" s="13">
        <f>IF(AK8&gt;AI8,1,0)</f>
        <v/>
      </c>
      <c r="AP8" s="13">
        <f>IF(AND(AI8=AK8,AI8&lt;&gt;""),1,0)</f>
        <v/>
      </c>
      <c r="AQ8" s="13">
        <f>IF(AND(AI8=AK8,AI8&lt;&gt;""),1,0)</f>
        <v/>
      </c>
      <c r="AR8" s="13">
        <f>IF(AI8&lt;AK8,1,0)</f>
        <v/>
      </c>
      <c r="AS8" s="13">
        <f>IF(AK8&lt;AI8,1,)</f>
        <v/>
      </c>
      <c r="AT8" s="13">
        <f>IF(ISERROR(VLOOKUP(AF8,CF:CF,1,FALSE)),0,1)*IF(ISERROR(VLOOKUP(AH8,CF:CF,1,FALSE)),0,1)*AN8</f>
        <v/>
      </c>
      <c r="AU8" s="13">
        <f>IF(ISERROR(VLOOKUP(AF8,CF:CF,1,FALSE)),0,1)*IF(ISERROR(VLOOKUP(AH8,CF:CF,1,FALSE)),0,1)*AO8</f>
        <v/>
      </c>
      <c r="AV8" s="13">
        <f>IF(ISERROR(VLOOKUP(AF8,CF:CF,1,FALSE)),0,1)*IF(ISERROR(VLOOKUP(AH8,CF:CF,1,FALSE)),0,1)*AP8</f>
        <v/>
      </c>
      <c r="AW8" s="13">
        <f>IF(ISERROR(VLOOKUP(AF8,CF:CF,1,FALSE)),0,1)*IF(ISERROR(VLOOKUP(AH8,CF:CF,1,FALSE)),0,1)*AQ8</f>
        <v/>
      </c>
      <c r="AX8" s="13">
        <f>IF(ISERROR(VLOOKUP(AF8,CF:CF,1,FALSE)),0,1)*IF(ISERROR(VLOOKUP(AH8,CF:CF,1,FALSE)),0,1)*AR8</f>
        <v/>
      </c>
      <c r="AY8" s="13">
        <f>IF(ISERROR(VLOOKUP(AF8,CF:CF,1,FALSE)),0,1)*IF(ISERROR(VLOOKUP(AH8,CF:CF,1,FALSE)),0,1)*AS8</f>
        <v/>
      </c>
      <c r="AZ8" s="13">
        <f>IF(ISERROR(VLOOKUP(AF8,CZ:CZ,1,FALSE)),0,1)*IF(ISERROR(VLOOKUP(AH8,CZ:CZ,1,FALSE)),0,1)*AN8</f>
        <v/>
      </c>
      <c r="BA8" s="13">
        <f>IF(ISERROR(VLOOKUP(AF8,CZ:CZ,1,FALSE)),0,1)*IF(ISERROR(VLOOKUP(AH8,CZ:CZ,1,FALSE)),0,1)*AO8</f>
        <v/>
      </c>
      <c r="BB8" s="13">
        <f>IF(ISERROR(VLOOKUP(AF8,CZ:CZ,1,FALSE)),0,1)*IF(ISERROR(VLOOKUP(AH8,CZ:CZ,1,FALSE)),0,1)*AP8</f>
        <v/>
      </c>
      <c r="BC8" s="13">
        <f>IF(ISERROR(VLOOKUP(AF8,CZ:CZ,1,FALSE)),0,1)*IF(ISERROR(VLOOKUP(AH8,CZ:CZ,1,FALSE)),0,1)*AQ8</f>
        <v/>
      </c>
      <c r="BD8" s="13">
        <f>IF(ISERROR(VLOOKUP(AF8,CZ:CZ,1,FALSE)),0,1)*IF(ISERROR(VLOOKUP(AH8,CZ:CZ,1,FALSE)),0,1)*AR8</f>
        <v/>
      </c>
      <c r="BE8" s="13">
        <f>IF(ISERROR(VLOOKUP(AF8,CZ:CZ,1,FALSE)),0,1)*IF(ISERROR(VLOOKUP(AH8,CZ:CZ,1,FALSE)),0,1)*AS8</f>
        <v/>
      </c>
      <c r="BF8" s="13">
        <f>IF(ISERROR(VLOOKUP(AF8,DT:DT,1,FALSE)),0,1)*IF(ISERROR(VLOOKUP(AH8,DT:DT,1,FALSE)),0,1)*AN8</f>
        <v/>
      </c>
      <c r="BG8" s="13">
        <f>IF(ISERROR(VLOOKUP(AF8,DT:DT,1,FALSE)),0,1)*IF(ISERROR(VLOOKUP(AH8,DT:DT,1,FALSE)),0,1)*AO8</f>
        <v/>
      </c>
      <c r="BH8" s="13">
        <f>IF(ISERROR(VLOOKUP(AF8,DT:DT,1,FALSE)),0,1)*IF(ISERROR(VLOOKUP(AH8,DT:DT,1,FALSE)),0,1)*AP8</f>
        <v/>
      </c>
      <c r="BI8" s="13">
        <f>IF(ISERROR(VLOOKUP(AF8,DT:DT,1,FALSE)),0,1)*IF(ISERROR(VLOOKUP(AH8,DT:DT,1,FALSE)),0,1)*AQ8</f>
        <v/>
      </c>
      <c r="BJ8" s="13">
        <f>IF(ISERROR(VLOOKUP(AF8,DT:DT,1,FALSE)),0,1)*IF(ISERROR(VLOOKUP(AH8,DT:DT,1,FALSE)),0,1)*AR8</f>
        <v/>
      </c>
      <c r="BK8" s="13">
        <f>IF(ISERROR(VLOOKUP(AF8,DT:DT,1,FALSE)),0,1)*IF(ISERROR(VLOOKUP(AH8,DT:DT,1,FALSE)),0,1)*AS8</f>
        <v/>
      </c>
      <c r="BL8" s="13">
        <f>IF(ISERROR(VLOOKUP(AF8,EN:EN,1,FALSE)),0,1)*IF(ISERROR(VLOOKUP(AH8,EN:EN,1,FALSE)),0,1)*AN8</f>
        <v/>
      </c>
      <c r="BM8" s="13">
        <f>IF(ISERROR(VLOOKUP(AF8,EN:EN,1,FALSE)),0,1)*IF(ISERROR(VLOOKUP(AH8,EN:EN,1,FALSE)),0,1)*AO8</f>
        <v/>
      </c>
      <c r="BN8" s="13">
        <f>IF(ISERROR(VLOOKUP(AF8,EN:EN,1,FALSE)),0,1)*IF(ISERROR(VLOOKUP(AH8,EN:EN,1,FALSE)),0,1)*AP8</f>
        <v/>
      </c>
      <c r="BO8" s="13">
        <f>IF(ISERROR(VLOOKUP(AF8,EN:EN,1,FALSE)),0,1)*IF(ISERROR(VLOOKUP(AH8,EN:EN,1,FALSE)),0,1)*AQ8</f>
        <v/>
      </c>
      <c r="BP8" s="13">
        <f>IF(ISERROR(VLOOKUP(AF8,EN:EN,1,FALSE)),0,1)*IF(ISERROR(VLOOKUP(AH8,EN:EN,1,FALSE)),0,1)*AR8</f>
        <v/>
      </c>
      <c r="BQ8" s="13">
        <f>IF(ISERROR(VLOOKUP(AF8,EN:EN,1,FALSE)),0,1)*IF(ISERROR(VLOOKUP(AH8,EN:EN,1,FALSE)),0,1)*AS8</f>
        <v/>
      </c>
      <c r="FM8" s="76" t="inlineStr">
        <is>
          <t>E</t>
        </is>
      </c>
      <c r="FN8" s="9">
        <f>O42</f>
        <v/>
      </c>
      <c r="FO8" s="77">
        <f>RANK($FP8,$FP$4:$FP$15,1)+COUNTIF($FP8:$FP$15,$FP8)-1</f>
        <v/>
      </c>
      <c r="FP8" s="77">
        <f>FS8+FR8+FQ8</f>
        <v/>
      </c>
      <c r="FQ8" s="77">
        <f t="array" ref="FQ8">SUMPRODUCT(($FT$4:$FT$15=FT8)*($FU$4:$FU$15=FU8)*($FV$4:$FV$15&gt;FV8))</f>
        <v/>
      </c>
      <c r="FR8" s="73">
        <f t="array" ref="FR8">SUMPRODUCT(($FT$4:$FT$15=FT8)*($FU$4:$FU$15&gt;FU8))</f>
        <v/>
      </c>
      <c r="FS8" s="77">
        <f>RANK(FT8,$FT$4:$FT$15)</f>
        <v/>
      </c>
      <c r="FT8" s="9">
        <f>V42</f>
        <v/>
      </c>
      <c r="FU8" s="9">
        <f>U42</f>
        <v/>
      </c>
      <c r="FV8" s="9">
        <f>S42</f>
        <v/>
      </c>
      <c r="FW8" s="78">
        <f>FM8</f>
        <v/>
      </c>
      <c r="FX8" s="77">
        <f>IF(FO8&lt;9,FW8,)</f>
        <v/>
      </c>
      <c r="FZ8" s="79" t="n">
        <v>6</v>
      </c>
      <c r="GA8" s="3">
        <f>GB8&amp;GC8&amp;GD8&amp;GE8&amp;GF8&amp;GG8&amp;GH8&amp;GI8</f>
        <v/>
      </c>
      <c r="GB8" s="3" t="inlineStr">
        <is>
          <t>E</t>
        </is>
      </c>
      <c r="GC8" s="3" t="inlineStr">
        <is>
          <t>G</t>
        </is>
      </c>
      <c r="GD8" s="3" t="inlineStr">
        <is>
          <t>I</t>
        </is>
      </c>
      <c r="GE8" s="3" t="inlineStr">
        <is>
          <t>D</t>
        </is>
      </c>
      <c r="GF8" s="3" t="inlineStr">
        <is>
          <t>J</t>
        </is>
      </c>
      <c r="GG8" s="3" t="inlineStr">
        <is>
          <t>F</t>
        </is>
      </c>
      <c r="GH8" s="3" t="inlineStr">
        <is>
          <t>L</t>
        </is>
      </c>
      <c r="GI8" s="3" t="inlineStr">
        <is>
          <t>K</t>
        </is>
      </c>
      <c r="GJ8" s="9">
        <f>VLOOKUP(GB8,$FM$3:$FN$15,2,FALSE)</f>
        <v/>
      </c>
      <c r="GK8" s="9">
        <f>VLOOKUP(GC8,$FM$3:$FN$15,2,FALSE)</f>
        <v/>
      </c>
      <c r="GL8" s="9">
        <f>VLOOKUP(GD8,$FM$3:$FN$15,2,FALSE)</f>
        <v/>
      </c>
      <c r="GM8" s="9">
        <f>VLOOKUP(GE8,$FM$3:$FN$15,2,FALSE)</f>
        <v/>
      </c>
      <c r="GN8" s="9">
        <f>VLOOKUP(GF8,$FM$3:$FN$15,2,FALSE)</f>
        <v/>
      </c>
      <c r="GO8" s="9">
        <f>VLOOKUP(GG8,$FM$3:$FN$15,2,FALSE)</f>
        <v/>
      </c>
      <c r="GP8" s="9">
        <f>VLOOKUP(GH8,$FM$3:$FN$15,2,FALSE)</f>
        <v/>
      </c>
      <c r="GQ8" s="9">
        <f>VLOOKUP(GI8,$FM$3:$FN$15,2,FALSE)</f>
        <v/>
      </c>
      <c r="GR8" s="9">
        <f>IFERROR(IF(AND(VLOOKUP(GB8,$FX$4:$FX$15,1,FALSE)=GB8,VLOOKUP(GC8,$FX$4:$FX$15,1,FALSE)=GC8,VLOOKUP(GD8,$FX$4:$FX$15,1,FALSE)=GD8,VLOOKUP(GE8,$FX$4:$FX$15,1,FALSE)=GE8,VLOOKUP(GF8,$FX$4:$FX$15,1,FALSE)=GF8,VLOOKUP(GG8,$FX$4:$FX$15,1,FALSE)=GG8,VLOOKUP(GH8,$FX$4:$FX$15,1,FALSE)=GH8,VLOOKUP(GI8,$FX$4:$FX$15,1,FALSE)=GI8),FZ8,""),"")</f>
        <v/>
      </c>
      <c r="GX8" s="79" t="n"/>
    </row>
    <row r="9" ht="14.25" customHeight="1">
      <c r="B9" s="58" t="n">
        <v>54</v>
      </c>
      <c r="C9" s="59" t="n">
        <v>46198</v>
      </c>
      <c r="D9" s="60" t="inlineStr">
        <is>
          <t>Sydafrika</t>
        </is>
      </c>
      <c r="E9" s="61" t="inlineStr">
        <is>
          <t>-</t>
        </is>
      </c>
      <c r="F9" s="62" t="inlineStr">
        <is>
          <t>Sydkorea</t>
        </is>
      </c>
      <c r="G9" s="63" t="n">
        <v>0</v>
      </c>
      <c r="H9" s="64" t="inlineStr">
        <is>
          <t>-</t>
        </is>
      </c>
      <c r="I9" s="63" t="n">
        <v>2</v>
      </c>
      <c r="J9" s="65">
        <f>IF(OR(ISBLANK(G9),ISBLANK(I9)),"",IF(G9&gt;I9,1,IF(G9&lt;I9,2,"X")))</f>
        <v/>
      </c>
      <c r="K9" s="66">
        <f>IF(OR(G9="",I9="",'[1]Resultat &amp; tabell'!G9="",'[1]Resultat &amp; tabell'!I9=""),0,IF(G9='[1]Resultat &amp; tabell'!G9,2,0)+IF(I9='[1]Resultat &amp; tabell'!I9,2,0)+IF(J9='[1]Resultat &amp; tabell'!J9,2,0))</f>
        <v/>
      </c>
      <c r="L9" s="67" t="n"/>
      <c r="M9" s="29">
        <f>IF(VLOOKUP(D9,$BT$3:$CC$7,10,FALSE)=VLOOKUP(F9,$BT$3:$CC$7,10,FALSE),VLOOKUP(D9,$BT$3:$CC$7,10,FALSE),"-")</f>
        <v/>
      </c>
      <c r="O9" s="18" t="n"/>
      <c r="V9" s="3" t="n"/>
      <c r="X9" s="93" t="inlineStr">
        <is>
          <t>Hur långt går Sverige?</t>
        </is>
      </c>
      <c r="Y9" s="216" t="inlineStr">
        <is>
          <t>Sextondelsfinal</t>
        </is>
      </c>
      <c r="Z9" s="217" t="n"/>
      <c r="AA9" s="217" t="n"/>
      <c r="AB9" s="218" t="n"/>
      <c r="AC9" s="66">
        <f>IF(AND('[1]Resultat &amp; tabell'!Y9&gt;0,Y9='[1]Resultat &amp; tabell'!Y9),10,0)</f>
        <v/>
      </c>
      <c r="AE9" s="72">
        <f>C9</f>
        <v/>
      </c>
      <c r="AF9" s="72">
        <f>D9</f>
        <v/>
      </c>
      <c r="AG9" s="72">
        <f>E9</f>
        <v/>
      </c>
      <c r="AH9" s="72">
        <f>F9</f>
        <v/>
      </c>
      <c r="AI9" s="63">
        <f>IF(G9="","",G9)</f>
        <v/>
      </c>
      <c r="AJ9" s="58">
        <f>H9</f>
        <v/>
      </c>
      <c r="AK9" s="63">
        <f>IF(I9="","",I9)</f>
        <v/>
      </c>
      <c r="AL9" s="65">
        <f>J9</f>
        <v/>
      </c>
      <c r="AM9" s="73" t="n"/>
      <c r="AN9" s="13">
        <f>IF(AI9&gt;AK9,1,0)</f>
        <v/>
      </c>
      <c r="AO9" s="13">
        <f>IF(AK9&gt;AI9,1,0)</f>
        <v/>
      </c>
      <c r="AP9" s="13">
        <f>IF(AND(AI9=AK9,AI9&lt;&gt;""),1,0)</f>
        <v/>
      </c>
      <c r="AQ9" s="13">
        <f>IF(AND(AI9=AK9,AI9&lt;&gt;""),1,0)</f>
        <v/>
      </c>
      <c r="AR9" s="13">
        <f>IF(AI9&lt;AK9,1,0)</f>
        <v/>
      </c>
      <c r="AS9" s="13">
        <f>IF(AK9&lt;AI9,1,)</f>
        <v/>
      </c>
      <c r="AT9" s="13">
        <f>IF(ISERROR(VLOOKUP(AF9,CF:CF,1,FALSE)),0,1)*IF(ISERROR(VLOOKUP(AH9,CF:CF,1,FALSE)),0,1)*AN9</f>
        <v/>
      </c>
      <c r="AU9" s="13">
        <f>IF(ISERROR(VLOOKUP(AF9,CF:CF,1,FALSE)),0,1)*IF(ISERROR(VLOOKUP(AH9,CF:CF,1,FALSE)),0,1)*AO9</f>
        <v/>
      </c>
      <c r="AV9" s="13">
        <f>IF(ISERROR(VLOOKUP(AF9,CF:CF,1,FALSE)),0,1)*IF(ISERROR(VLOOKUP(AH9,CF:CF,1,FALSE)),0,1)*AP9</f>
        <v/>
      </c>
      <c r="AW9" s="13">
        <f>IF(ISERROR(VLOOKUP(AF9,CF:CF,1,FALSE)),0,1)*IF(ISERROR(VLOOKUP(AH9,CF:CF,1,FALSE)),0,1)*AQ9</f>
        <v/>
      </c>
      <c r="AX9" s="13">
        <f>IF(ISERROR(VLOOKUP(AF9,CF:CF,1,FALSE)),0,1)*IF(ISERROR(VLOOKUP(AH9,CF:CF,1,FALSE)),0,1)*AR9</f>
        <v/>
      </c>
      <c r="AY9" s="13">
        <f>IF(ISERROR(VLOOKUP(AF9,CF:CF,1,FALSE)),0,1)*IF(ISERROR(VLOOKUP(AH9,CF:CF,1,FALSE)),0,1)*AS9</f>
        <v/>
      </c>
      <c r="AZ9" s="13">
        <f>IF(ISERROR(VLOOKUP(AF9,CZ:CZ,1,FALSE)),0,1)*IF(ISERROR(VLOOKUP(AH9,CZ:CZ,1,FALSE)),0,1)*AN9</f>
        <v/>
      </c>
      <c r="BA9" s="13">
        <f>IF(ISERROR(VLOOKUP(AF9,CZ:CZ,1,FALSE)),0,1)*IF(ISERROR(VLOOKUP(AH9,CZ:CZ,1,FALSE)),0,1)*AO9</f>
        <v/>
      </c>
      <c r="BB9" s="13">
        <f>IF(ISERROR(VLOOKUP(AF9,CZ:CZ,1,FALSE)),0,1)*IF(ISERROR(VLOOKUP(AH9,CZ:CZ,1,FALSE)),0,1)*AP9</f>
        <v/>
      </c>
      <c r="BC9" s="13">
        <f>IF(ISERROR(VLOOKUP(AF9,CZ:CZ,1,FALSE)),0,1)*IF(ISERROR(VLOOKUP(AH9,CZ:CZ,1,FALSE)),0,1)*AQ9</f>
        <v/>
      </c>
      <c r="BD9" s="13">
        <f>IF(ISERROR(VLOOKUP(AF9,CZ:CZ,1,FALSE)),0,1)*IF(ISERROR(VLOOKUP(AH9,CZ:CZ,1,FALSE)),0,1)*AR9</f>
        <v/>
      </c>
      <c r="BE9" s="13">
        <f>IF(ISERROR(VLOOKUP(AF9,CZ:CZ,1,FALSE)),0,1)*IF(ISERROR(VLOOKUP(AH9,CZ:CZ,1,FALSE)),0,1)*AS9</f>
        <v/>
      </c>
      <c r="BF9" s="13">
        <f>IF(ISERROR(VLOOKUP(AF9,DT:DT,1,FALSE)),0,1)*IF(ISERROR(VLOOKUP(AH9,DT:DT,1,FALSE)),0,1)*AN9</f>
        <v/>
      </c>
      <c r="BG9" s="13">
        <f>IF(ISERROR(VLOOKUP(AF9,DT:DT,1,FALSE)),0,1)*IF(ISERROR(VLOOKUP(AH9,DT:DT,1,FALSE)),0,1)*AO9</f>
        <v/>
      </c>
      <c r="BH9" s="13">
        <f>IF(ISERROR(VLOOKUP(AF9,DT:DT,1,FALSE)),0,1)*IF(ISERROR(VLOOKUP(AH9,DT:DT,1,FALSE)),0,1)*AP9</f>
        <v/>
      </c>
      <c r="BI9" s="13">
        <f>IF(ISERROR(VLOOKUP(AF9,DT:DT,1,FALSE)),0,1)*IF(ISERROR(VLOOKUP(AH9,DT:DT,1,FALSE)),0,1)*AQ9</f>
        <v/>
      </c>
      <c r="BJ9" s="13">
        <f>IF(ISERROR(VLOOKUP(AF9,DT:DT,1,FALSE)),0,1)*IF(ISERROR(VLOOKUP(AH9,DT:DT,1,FALSE)),0,1)*AR9</f>
        <v/>
      </c>
      <c r="BK9" s="13">
        <f>IF(ISERROR(VLOOKUP(AF9,DT:DT,1,FALSE)),0,1)*IF(ISERROR(VLOOKUP(AH9,DT:DT,1,FALSE)),0,1)*AS9</f>
        <v/>
      </c>
      <c r="BL9" s="13">
        <f>IF(ISERROR(VLOOKUP(AF9,EN:EN,1,FALSE)),0,1)*IF(ISERROR(VLOOKUP(AH9,EN:EN,1,FALSE)),0,1)*AN9</f>
        <v/>
      </c>
      <c r="BM9" s="13">
        <f>IF(ISERROR(VLOOKUP(AF9,EN:EN,1,FALSE)),0,1)*IF(ISERROR(VLOOKUP(AH9,EN:EN,1,FALSE)),0,1)*AO9</f>
        <v/>
      </c>
      <c r="BN9" s="13">
        <f>IF(ISERROR(VLOOKUP(AF9,EN:EN,1,FALSE)),0,1)*IF(ISERROR(VLOOKUP(AH9,EN:EN,1,FALSE)),0,1)*AP9</f>
        <v/>
      </c>
      <c r="BO9" s="13">
        <f>IF(ISERROR(VLOOKUP(AF9,EN:EN,1,FALSE)),0,1)*IF(ISERROR(VLOOKUP(AH9,EN:EN,1,FALSE)),0,1)*AQ9</f>
        <v/>
      </c>
      <c r="BP9" s="13">
        <f>IF(ISERROR(VLOOKUP(AF9,EN:EN,1,FALSE)),0,1)*IF(ISERROR(VLOOKUP(AH9,EN:EN,1,FALSE)),0,1)*AR9</f>
        <v/>
      </c>
      <c r="BQ9" s="13">
        <f>IF(ISERROR(VLOOKUP(AF9,EN:EN,1,FALSE)),0,1)*IF(ISERROR(VLOOKUP(AH9,EN:EN,1,FALSE)),0,1)*AS9</f>
        <v/>
      </c>
      <c r="FM9" s="76" t="inlineStr">
        <is>
          <t>F</t>
        </is>
      </c>
      <c r="FN9" s="9">
        <f>O51</f>
        <v/>
      </c>
      <c r="FO9" s="77">
        <f>RANK($FP9,$FP$4:$FP$15,1)+COUNTIF($FP9:$FP$15,$FP9)-1</f>
        <v/>
      </c>
      <c r="FP9" s="77">
        <f>FS9+FR9+FQ9</f>
        <v/>
      </c>
      <c r="FQ9" s="77">
        <f t="array" ref="FQ9">SUMPRODUCT(($FT$4:$FT$15=FT9)*($FU$4:$FU$15=FU9)*($FV$4:$FV$15&gt;FV9))</f>
        <v/>
      </c>
      <c r="FR9" s="73">
        <f t="array" ref="FR9">SUMPRODUCT(($FT$4:$FT$15=FT9)*($FU$4:$FU$15&gt;FU9))</f>
        <v/>
      </c>
      <c r="FS9" s="77">
        <f>RANK(FT9,$FT$4:$FT$15)</f>
        <v/>
      </c>
      <c r="FT9" s="9">
        <f>V51</f>
        <v/>
      </c>
      <c r="FU9" s="9">
        <f>U51</f>
        <v/>
      </c>
      <c r="FV9" s="9">
        <f>S51</f>
        <v/>
      </c>
      <c r="FW9" s="78">
        <f>FM9</f>
        <v/>
      </c>
      <c r="FX9" s="77">
        <f>IF(FO9&lt;9,FW9,)</f>
        <v/>
      </c>
      <c r="FZ9" s="79" t="n">
        <v>7</v>
      </c>
      <c r="GA9" s="3">
        <f>GB9&amp;GC9&amp;GD9&amp;GE9&amp;GF9&amp;GG9&amp;GH9&amp;GI9</f>
        <v/>
      </c>
      <c r="GB9" s="3" t="inlineStr">
        <is>
          <t>E</t>
        </is>
      </c>
      <c r="GC9" s="3" t="inlineStr">
        <is>
          <t>G</t>
        </is>
      </c>
      <c r="GD9" s="3" t="inlineStr">
        <is>
          <t>J</t>
        </is>
      </c>
      <c r="GE9" s="3" t="inlineStr">
        <is>
          <t>D</t>
        </is>
      </c>
      <c r="GF9" s="3" t="inlineStr">
        <is>
          <t>H</t>
        </is>
      </c>
      <c r="GG9" s="3" t="inlineStr">
        <is>
          <t>F</t>
        </is>
      </c>
      <c r="GH9" s="3" t="inlineStr">
        <is>
          <t>L</t>
        </is>
      </c>
      <c r="GI9" s="3" t="inlineStr">
        <is>
          <t>K</t>
        </is>
      </c>
      <c r="GJ9" s="9">
        <f>VLOOKUP(GB9,$FM$3:$FN$15,2,FALSE)</f>
        <v/>
      </c>
      <c r="GK9" s="9">
        <f>VLOOKUP(GC9,$FM$3:$FN$15,2,FALSE)</f>
        <v/>
      </c>
      <c r="GL9" s="9">
        <f>VLOOKUP(GD9,$FM$3:$FN$15,2,FALSE)</f>
        <v/>
      </c>
      <c r="GM9" s="9">
        <f>VLOOKUP(GE9,$FM$3:$FN$15,2,FALSE)</f>
        <v/>
      </c>
      <c r="GN9" s="9">
        <f>VLOOKUP(GF9,$FM$3:$FN$15,2,FALSE)</f>
        <v/>
      </c>
      <c r="GO9" s="9">
        <f>VLOOKUP(GG9,$FM$3:$FN$15,2,FALSE)</f>
        <v/>
      </c>
      <c r="GP9" s="9">
        <f>VLOOKUP(GH9,$FM$3:$FN$15,2,FALSE)</f>
        <v/>
      </c>
      <c r="GQ9" s="9">
        <f>VLOOKUP(GI9,$FM$3:$FN$15,2,FALSE)</f>
        <v/>
      </c>
      <c r="GR9" s="9">
        <f>IFERROR(IF(AND(VLOOKUP(GB9,$FX$4:$FX$15,1,FALSE)=GB9,VLOOKUP(GC9,$FX$4:$FX$15,1,FALSE)=GC9,VLOOKUP(GD9,$FX$4:$FX$15,1,FALSE)=GD9,VLOOKUP(GE9,$FX$4:$FX$15,1,FALSE)=GE9,VLOOKUP(GF9,$FX$4:$FX$15,1,FALSE)=GF9,VLOOKUP(GG9,$FX$4:$FX$15,1,FALSE)=GG9,VLOOKUP(GH9,$FX$4:$FX$15,1,FALSE)=GH9,VLOOKUP(GI9,$FX$4:$FX$15,1,FALSE)=GI9),FZ9,""),"")</f>
        <v/>
      </c>
      <c r="GX9" s="79" t="n"/>
    </row>
    <row r="10" ht="14.25" customHeight="1">
      <c r="C10" s="94" t="n"/>
      <c r="F10" s="96" t="n"/>
      <c r="J10" s="23" t="n"/>
      <c r="K10" s="16" t="n"/>
      <c r="L10" s="49" t="n"/>
      <c r="V10" s="3" t="n"/>
      <c r="X10" s="93" t="inlineStr">
        <is>
          <t>Vem gör Sveriges första mål i VM?</t>
        </is>
      </c>
      <c r="Y10" s="216" t="inlineStr">
        <is>
          <t>Viktor Gyökeres</t>
        </is>
      </c>
      <c r="Z10" s="217" t="n"/>
      <c r="AA10" s="217" t="n"/>
      <c r="AB10" s="218" t="n"/>
      <c r="AC10" s="66">
        <f>IF(AND('[1]Resultat &amp; tabell'!Y10&gt;0,Y10='[1]Resultat &amp; tabell'!Y10),10,0)</f>
        <v/>
      </c>
      <c r="AI10" s="3">
        <f>IF(B10="","",B10)</f>
        <v/>
      </c>
      <c r="AL10" s="23" t="n"/>
      <c r="AM10" s="16" t="n"/>
      <c r="FM10" s="76" t="inlineStr">
        <is>
          <t>G</t>
        </is>
      </c>
      <c r="FN10" s="9">
        <f>O60</f>
        <v/>
      </c>
      <c r="FO10" s="77">
        <f>RANK($FP10,$FP$4:$FP$15,1)+COUNTIF($FP10:$FP$15,$FP10)-1</f>
        <v/>
      </c>
      <c r="FP10" s="77">
        <f>FS10+FR10+FQ10</f>
        <v/>
      </c>
      <c r="FQ10" s="77">
        <f t="array" ref="FQ10">SUMPRODUCT(($FT$4:$FT$15=FT10)*($FU$4:$FU$15=FU10)*($FV$4:$FV$15&gt;FV10))</f>
        <v/>
      </c>
      <c r="FR10" s="73">
        <f t="array" ref="FR10">SUMPRODUCT(($FT$4:$FT$15=FT10)*($FU$4:$FU$15&gt;FU10))</f>
        <v/>
      </c>
      <c r="FS10" s="77">
        <f>RANK(FT10,$FT$4:$FT$15)</f>
        <v/>
      </c>
      <c r="FT10" s="9">
        <f>V60</f>
        <v/>
      </c>
      <c r="FU10" s="9">
        <f>U60</f>
        <v/>
      </c>
      <c r="FV10" s="9">
        <f>S60</f>
        <v/>
      </c>
      <c r="FW10" s="78">
        <f>FM10</f>
        <v/>
      </c>
      <c r="FX10" s="77">
        <f>IF(FO10&lt;9,FW10,)</f>
        <v/>
      </c>
      <c r="FZ10" s="79" t="n">
        <v>8</v>
      </c>
      <c r="GA10" s="3">
        <f>GB10&amp;GC10&amp;GD10&amp;GE10&amp;GF10&amp;GG10&amp;GH10&amp;GI10</f>
        <v/>
      </c>
      <c r="GB10" s="3" t="inlineStr">
        <is>
          <t>E</t>
        </is>
      </c>
      <c r="GC10" s="3" t="inlineStr">
        <is>
          <t>G</t>
        </is>
      </c>
      <c r="GD10" s="3" t="inlineStr">
        <is>
          <t>I</t>
        </is>
      </c>
      <c r="GE10" s="3" t="inlineStr">
        <is>
          <t>D</t>
        </is>
      </c>
      <c r="GF10" s="3" t="inlineStr">
        <is>
          <t>H</t>
        </is>
      </c>
      <c r="GG10" s="3" t="inlineStr">
        <is>
          <t>F</t>
        </is>
      </c>
      <c r="GH10" s="3" t="inlineStr">
        <is>
          <t>L</t>
        </is>
      </c>
      <c r="GI10" s="3" t="inlineStr">
        <is>
          <t>K</t>
        </is>
      </c>
      <c r="GJ10" s="9">
        <f>VLOOKUP(GB10,$FM$3:$FN$15,2,FALSE)</f>
        <v/>
      </c>
      <c r="GK10" s="9">
        <f>VLOOKUP(GC10,$FM$3:$FN$15,2,FALSE)</f>
        <v/>
      </c>
      <c r="GL10" s="9">
        <f>VLOOKUP(GD10,$FM$3:$FN$15,2,FALSE)</f>
        <v/>
      </c>
      <c r="GM10" s="9">
        <f>VLOOKUP(GE10,$FM$3:$FN$15,2,FALSE)</f>
        <v/>
      </c>
      <c r="GN10" s="9">
        <f>VLOOKUP(GF10,$FM$3:$FN$15,2,FALSE)</f>
        <v/>
      </c>
      <c r="GO10" s="9">
        <f>VLOOKUP(GG10,$FM$3:$FN$15,2,FALSE)</f>
        <v/>
      </c>
      <c r="GP10" s="9">
        <f>VLOOKUP(GH10,$FM$3:$FN$15,2,FALSE)</f>
        <v/>
      </c>
      <c r="GQ10" s="9">
        <f>VLOOKUP(GI10,$FM$3:$FN$15,2,FALSE)</f>
        <v/>
      </c>
      <c r="GR10" s="9">
        <f>IFERROR(IF(AND(VLOOKUP(GB10,$FX$4:$FX$15,1,FALSE)=GB10,VLOOKUP(GC10,$FX$4:$FX$15,1,FALSE)=GC10,VLOOKUP(GD10,$FX$4:$FX$15,1,FALSE)=GD10,VLOOKUP(GE10,$FX$4:$FX$15,1,FALSE)=GE10,VLOOKUP(GF10,$FX$4:$FX$15,1,FALSE)=GF10,VLOOKUP(GG10,$FX$4:$FX$15,1,FALSE)=GG10,VLOOKUP(GH10,$FX$4:$FX$15,1,FALSE)=GH10,VLOOKUP(GI10,$FX$4:$FX$15,1,FALSE)=GI10),FZ10,""),"")</f>
        <v/>
      </c>
      <c r="GX10" s="79" t="n"/>
    </row>
    <row r="11" ht="14.25" customFormat="1" customHeight="1" s="104">
      <c r="B11" s="19" t="inlineStr">
        <is>
          <t>Grupp B</t>
        </is>
      </c>
      <c r="C11" s="97" t="n"/>
      <c r="D11" s="98" t="n"/>
      <c r="E11" s="33" t="n"/>
      <c r="F11" s="99" t="n"/>
      <c r="G11" s="25" t="n"/>
      <c r="H11" s="25" t="n"/>
      <c r="I11" s="100" t="n"/>
      <c r="J11" s="101" t="n"/>
      <c r="K11" s="101" t="n"/>
      <c r="L11" s="102" t="n"/>
      <c r="M11" s="103" t="n"/>
      <c r="N11" s="103" t="n"/>
      <c r="O11" s="19" t="inlineStr">
        <is>
          <t>Grupp B</t>
        </is>
      </c>
      <c r="V11" s="33" t="n"/>
      <c r="AC11" s="43" t="n"/>
      <c r="AE11" s="32" t="inlineStr">
        <is>
          <t>Grupp B</t>
        </is>
      </c>
      <c r="AF11" s="9" t="n"/>
      <c r="AG11" s="9" t="n"/>
      <c r="AH11" s="9" t="n"/>
      <c r="AI11" s="33" t="n"/>
      <c r="AJ11" s="33" t="n"/>
      <c r="AK11" s="105" t="n"/>
      <c r="AL11" s="101" t="n"/>
      <c r="AM11" s="101" t="n"/>
      <c r="AN11" s="13" t="n"/>
      <c r="AO11" s="13" t="n"/>
      <c r="AP11" s="13" t="n"/>
      <c r="AQ11" s="13" t="n"/>
      <c r="AR11" s="13" t="n"/>
      <c r="AS11" s="13" t="n"/>
      <c r="AT11" s="13" t="n"/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  <c r="BO11" s="13" t="n"/>
      <c r="BP11" s="13" t="n"/>
      <c r="BQ11" s="13" t="n"/>
      <c r="BR11" s="12" t="n"/>
      <c r="BS11" s="12" t="n"/>
      <c r="BT11" s="39" t="inlineStr">
        <is>
          <t>Rank 0</t>
        </is>
      </c>
      <c r="BU11" s="34" t="n"/>
      <c r="BV11" s="34" t="n"/>
      <c r="BW11" s="34" t="n"/>
      <c r="BX11" s="34" t="n"/>
      <c r="BY11" s="34" t="n"/>
      <c r="BZ11" s="34" t="n"/>
      <c r="CA11" s="34" t="n"/>
      <c r="CB11" s="39" t="n"/>
      <c r="CC11" s="34" t="n"/>
      <c r="CD11" s="34" t="n"/>
      <c r="CE11" s="12" t="n"/>
      <c r="CF11" s="40" t="inlineStr">
        <is>
          <t>Rank 1</t>
        </is>
      </c>
      <c r="CG11" s="35">
        <f>COUNTIF(CC13:CC16,1)</f>
        <v/>
      </c>
      <c r="CH11" s="35" t="n"/>
      <c r="CI11" s="35" t="n"/>
      <c r="CJ11" s="35" t="n"/>
      <c r="CK11" s="35" t="n"/>
      <c r="CL11" s="35" t="n"/>
      <c r="CM11" s="35" t="n"/>
      <c r="CN11" s="35" t="n"/>
      <c r="CO11" s="35" t="n"/>
      <c r="CP11" s="35" t="n"/>
      <c r="CQ11" s="13" t="n"/>
      <c r="CR11" s="13" t="n"/>
      <c r="CS11" s="13" t="n"/>
      <c r="CT11" s="13" t="n"/>
      <c r="CU11" s="13" t="n"/>
      <c r="CV11" s="13" t="n"/>
      <c r="CW11" s="13" t="n"/>
      <c r="CX11" s="13" t="n"/>
      <c r="CY11" s="12" t="n"/>
      <c r="CZ11" s="41" t="inlineStr">
        <is>
          <t>Rank 2</t>
        </is>
      </c>
      <c r="DA11" s="36">
        <f>COUNTIF(CC13:CC16,2)</f>
        <v/>
      </c>
      <c r="DB11" s="36" t="n"/>
      <c r="DC11" s="36" t="n"/>
      <c r="DD11" s="36" t="n"/>
      <c r="DE11" s="36" t="n"/>
      <c r="DF11" s="36" t="n"/>
      <c r="DG11" s="36" t="n"/>
      <c r="DH11" s="36" t="n"/>
      <c r="DI11" s="36" t="n"/>
      <c r="DJ11" s="41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37" t="inlineStr">
        <is>
          <t>Rank 3</t>
        </is>
      </c>
      <c r="DU11" s="37">
        <f>COUNTIF(CC13:CC16,3)</f>
        <v/>
      </c>
      <c r="DV11" s="37" t="n"/>
      <c r="DW11" s="37" t="n"/>
      <c r="DX11" s="37" t="n"/>
      <c r="DY11" s="37" t="n"/>
      <c r="DZ11" s="37" t="n"/>
      <c r="EA11" s="37" t="n"/>
      <c r="EB11" s="37" t="n"/>
      <c r="EC11" s="37" t="n"/>
      <c r="ED11" s="37" t="n"/>
      <c r="EE11" s="13" t="n"/>
      <c r="EF11" s="13" t="n"/>
      <c r="EG11" s="13" t="n"/>
      <c r="EH11" s="13" t="n"/>
      <c r="EI11" s="13" t="n"/>
      <c r="EJ11" s="13" t="n"/>
      <c r="EK11" s="13" t="n"/>
      <c r="EL11" s="13" t="n"/>
      <c r="EM11" s="12" t="n"/>
      <c r="EN11" s="38" t="inlineStr">
        <is>
          <t>Rank 4</t>
        </is>
      </c>
      <c r="EO11" s="38">
        <f>COUNTIF(CC13:CC16,4)</f>
        <v/>
      </c>
      <c r="EP11" s="38" t="n"/>
      <c r="EQ11" s="38" t="n"/>
      <c r="ER11" s="38" t="n"/>
      <c r="ES11" s="38" t="n"/>
      <c r="ET11" s="38" t="n"/>
      <c r="EU11" s="38" t="n"/>
      <c r="EV11" s="38" t="n"/>
      <c r="EW11" s="38" t="n"/>
      <c r="EX11" s="38" t="n"/>
      <c r="EY11" s="13" t="n"/>
      <c r="EZ11" s="13" t="n"/>
      <c r="FA11" s="13" t="n"/>
      <c r="FB11" s="13" t="n"/>
      <c r="FC11" s="13" t="n"/>
      <c r="FD11" s="13" t="n"/>
      <c r="FE11" s="13" t="n"/>
      <c r="FF11" s="13" t="n"/>
      <c r="FG11" s="12" t="n"/>
      <c r="FH11" s="13" t="n"/>
      <c r="FI11" s="13" t="n"/>
      <c r="FJ11" s="12" t="n"/>
      <c r="FM11" s="76" t="inlineStr">
        <is>
          <t>H</t>
        </is>
      </c>
      <c r="FN11" s="9">
        <f>O69</f>
        <v/>
      </c>
      <c r="FO11" s="77">
        <f>RANK($FP11,$FP$4:$FP$15,1)+COUNTIF($FP11:$FP$15,$FP11)-1</f>
        <v/>
      </c>
      <c r="FP11" s="77">
        <f>FS11+FR11+FQ11</f>
        <v/>
      </c>
      <c r="FQ11" s="77">
        <f t="array" ref="FQ11">SUMPRODUCT(($FT$4:$FT$15=FT11)*($FU$4:$FU$15=FU11)*($FV$4:$FV$15&gt;FV11))</f>
        <v/>
      </c>
      <c r="FR11" s="73">
        <f t="array" ref="FR11">SUMPRODUCT(($FT$4:$FT$15=FT11)*($FU$4:$FU$15&gt;FU11))</f>
        <v/>
      </c>
      <c r="FS11" s="77">
        <f>RANK(FT11,$FT$4:$FT$15)</f>
        <v/>
      </c>
      <c r="FT11" s="9">
        <f>V69</f>
        <v/>
      </c>
      <c r="FU11" s="9">
        <f>U69</f>
        <v/>
      </c>
      <c r="FV11" s="9">
        <f>S69</f>
        <v/>
      </c>
      <c r="FW11" s="78">
        <f>FM11</f>
        <v/>
      </c>
      <c r="FX11" s="77">
        <f>IF(FO11&lt;9,FW11,)</f>
        <v/>
      </c>
      <c r="FZ11" s="79" t="n">
        <v>9</v>
      </c>
      <c r="GA11" s="3">
        <f>GB11&amp;GC11&amp;GD11&amp;GE11&amp;GF11&amp;GG11&amp;GH11&amp;GI11</f>
        <v/>
      </c>
      <c r="GB11" s="3" t="inlineStr">
        <is>
          <t>E</t>
        </is>
      </c>
      <c r="GC11" s="3" t="inlineStr">
        <is>
          <t>G</t>
        </is>
      </c>
      <c r="GD11" s="3" t="inlineStr">
        <is>
          <t>J</t>
        </is>
      </c>
      <c r="GE11" s="3" t="inlineStr">
        <is>
          <t>D</t>
        </is>
      </c>
      <c r="GF11" s="3" t="inlineStr">
        <is>
          <t>H</t>
        </is>
      </c>
      <c r="GG11" s="3" t="inlineStr">
        <is>
          <t>F</t>
        </is>
      </c>
      <c r="GH11" s="3" t="inlineStr">
        <is>
          <t>L</t>
        </is>
      </c>
      <c r="GI11" s="3" t="inlineStr">
        <is>
          <t>I</t>
        </is>
      </c>
      <c r="GJ11" s="9">
        <f>VLOOKUP(GB11,$FM$3:$FN$15,2,FALSE)</f>
        <v/>
      </c>
      <c r="GK11" s="9">
        <f>VLOOKUP(GC11,$FM$3:$FN$15,2,FALSE)</f>
        <v/>
      </c>
      <c r="GL11" s="9">
        <f>VLOOKUP(GD11,$FM$3:$FN$15,2,FALSE)</f>
        <v/>
      </c>
      <c r="GM11" s="9">
        <f>VLOOKUP(GE11,$FM$3:$FN$15,2,FALSE)</f>
        <v/>
      </c>
      <c r="GN11" s="9">
        <f>VLOOKUP(GF11,$FM$3:$FN$15,2,FALSE)</f>
        <v/>
      </c>
      <c r="GO11" s="9">
        <f>VLOOKUP(GG11,$FM$3:$FN$15,2,FALSE)</f>
        <v/>
      </c>
      <c r="GP11" s="9">
        <f>VLOOKUP(GH11,$FM$3:$FN$15,2,FALSE)</f>
        <v/>
      </c>
      <c r="GQ11" s="9">
        <f>VLOOKUP(GI11,$FM$3:$FN$15,2,FALSE)</f>
        <v/>
      </c>
      <c r="GR11" s="9">
        <f>IFERROR(IF(AND(VLOOKUP(GB11,$FX$4:$FX$15,1,FALSE)=GB11,VLOOKUP(GC11,$FX$4:$FX$15,1,FALSE)=GC11,VLOOKUP(GD11,$FX$4:$FX$15,1,FALSE)=GD11,VLOOKUP(GE11,$FX$4:$FX$15,1,FALSE)=GE11,VLOOKUP(GF11,$FX$4:$FX$15,1,FALSE)=GF11,VLOOKUP(GG11,$FX$4:$FX$15,1,FALSE)=GG11,VLOOKUP(GH11,$FX$4:$FX$15,1,FALSE)=GH11,VLOOKUP(GI11,$FX$4:$FX$15,1,FALSE)=GI11),FZ11,""),"")</f>
        <v/>
      </c>
      <c r="GX11" s="23" t="n"/>
    </row>
    <row r="12" ht="14.25" customFormat="1" customHeight="1" s="104">
      <c r="B12" s="106" t="inlineStr">
        <is>
          <t>Match</t>
        </is>
      </c>
      <c r="C12" s="107" t="inlineStr">
        <is>
          <t>Datum</t>
        </is>
      </c>
      <c r="D12" s="210" t="inlineStr">
        <is>
          <t>Match</t>
        </is>
      </c>
      <c r="E12" s="211" t="n"/>
      <c r="F12" s="212" t="n"/>
      <c r="G12" s="184" t="inlineStr">
        <is>
          <t>Resultat</t>
        </is>
      </c>
      <c r="H12" s="217" t="n"/>
      <c r="I12" s="217" t="n"/>
      <c r="J12" s="47" t="inlineStr">
        <is>
          <t>1X2</t>
        </is>
      </c>
      <c r="K12" s="48" t="inlineStr">
        <is>
          <t>Poäng</t>
        </is>
      </c>
      <c r="L12" s="49" t="n"/>
      <c r="M12" s="103" t="n"/>
      <c r="N12" s="103" t="n"/>
      <c r="O12" s="51" t="inlineStr">
        <is>
          <t>Lag</t>
        </is>
      </c>
      <c r="P12" s="186" t="inlineStr">
        <is>
          <t>V</t>
        </is>
      </c>
      <c r="Q12" s="186" t="inlineStr">
        <is>
          <t>O</t>
        </is>
      </c>
      <c r="R12" s="186" t="inlineStr">
        <is>
          <t>F</t>
        </is>
      </c>
      <c r="S12" s="186" t="inlineStr">
        <is>
          <t>GM</t>
        </is>
      </c>
      <c r="T12" s="186" t="inlineStr">
        <is>
          <t>IM</t>
        </is>
      </c>
      <c r="U12" s="186" t="inlineStr">
        <is>
          <t>+/-</t>
        </is>
      </c>
      <c r="V12" s="187" t="inlineStr">
        <is>
          <t>P</t>
        </is>
      </c>
      <c r="Y12" s="33" t="n"/>
      <c r="Z12" s="33" t="n"/>
      <c r="AA12" s="33" t="n"/>
      <c r="AC12" s="43" t="n"/>
      <c r="AE12" s="51" t="inlineStr">
        <is>
          <t>Datum</t>
        </is>
      </c>
      <c r="AF12" s="193" t="inlineStr">
        <is>
          <t>Match</t>
        </is>
      </c>
      <c r="AG12" s="211" t="n"/>
      <c r="AH12" s="211" t="n"/>
      <c r="AI12" s="182" t="inlineStr">
        <is>
          <t>Resultat</t>
        </is>
      </c>
      <c r="AJ12" s="211" t="n"/>
      <c r="AK12" s="211" t="n"/>
      <c r="AL12" s="47" t="inlineStr">
        <is>
          <t>Tecken</t>
        </is>
      </c>
      <c r="AM12" s="16" t="n"/>
      <c r="AN12" s="34" t="inlineStr">
        <is>
          <t>V1</t>
        </is>
      </c>
      <c r="AO12" s="34" t="inlineStr">
        <is>
          <t>V2</t>
        </is>
      </c>
      <c r="AP12" s="34" t="inlineStr">
        <is>
          <t>O1</t>
        </is>
      </c>
      <c r="AQ12" s="34" t="inlineStr">
        <is>
          <t>O2</t>
        </is>
      </c>
      <c r="AR12" s="34" t="inlineStr">
        <is>
          <t>F1</t>
        </is>
      </c>
      <c r="AS12" s="34" t="inlineStr">
        <is>
          <t>F2</t>
        </is>
      </c>
      <c r="AT12" s="35" t="inlineStr">
        <is>
          <t>V1</t>
        </is>
      </c>
      <c r="AU12" s="35" t="inlineStr">
        <is>
          <t>V2</t>
        </is>
      </c>
      <c r="AV12" s="35" t="inlineStr">
        <is>
          <t>O1</t>
        </is>
      </c>
      <c r="AW12" s="35" t="inlineStr">
        <is>
          <t>O2</t>
        </is>
      </c>
      <c r="AX12" s="35" t="inlineStr">
        <is>
          <t>F1</t>
        </is>
      </c>
      <c r="AY12" s="35" t="inlineStr">
        <is>
          <t>F2</t>
        </is>
      </c>
      <c r="AZ12" s="36" t="inlineStr">
        <is>
          <t>V1</t>
        </is>
      </c>
      <c r="BA12" s="36" t="inlineStr">
        <is>
          <t>V2</t>
        </is>
      </c>
      <c r="BB12" s="36" t="inlineStr">
        <is>
          <t>O1</t>
        </is>
      </c>
      <c r="BC12" s="36" t="inlineStr">
        <is>
          <t>O2</t>
        </is>
      </c>
      <c r="BD12" s="36" t="inlineStr">
        <is>
          <t>F1</t>
        </is>
      </c>
      <c r="BE12" s="36" t="inlineStr">
        <is>
          <t>F2</t>
        </is>
      </c>
      <c r="BF12" s="37" t="inlineStr">
        <is>
          <t>V1</t>
        </is>
      </c>
      <c r="BG12" s="37" t="inlineStr">
        <is>
          <t>V2</t>
        </is>
      </c>
      <c r="BH12" s="37" t="inlineStr">
        <is>
          <t>O1</t>
        </is>
      </c>
      <c r="BI12" s="37" t="inlineStr">
        <is>
          <t>O2</t>
        </is>
      </c>
      <c r="BJ12" s="37" t="inlineStr">
        <is>
          <t>F1</t>
        </is>
      </c>
      <c r="BK12" s="37" t="inlineStr">
        <is>
          <t>F2</t>
        </is>
      </c>
      <c r="BL12" s="38" t="inlineStr">
        <is>
          <t>V1</t>
        </is>
      </c>
      <c r="BM12" s="38" t="inlineStr">
        <is>
          <t>V2</t>
        </is>
      </c>
      <c r="BN12" s="38" t="inlineStr">
        <is>
          <t>O1</t>
        </is>
      </c>
      <c r="BO12" s="38" t="inlineStr">
        <is>
          <t>O2</t>
        </is>
      </c>
      <c r="BP12" s="38" t="inlineStr">
        <is>
          <t>F1</t>
        </is>
      </c>
      <c r="BQ12" s="38" t="inlineStr">
        <is>
          <t>F2</t>
        </is>
      </c>
      <c r="BR12" s="12" t="n"/>
      <c r="BS12" s="12" t="n"/>
      <c r="BT12" s="39" t="inlineStr">
        <is>
          <t>Lag</t>
        </is>
      </c>
      <c r="BU12" s="34" t="inlineStr">
        <is>
          <t>V</t>
        </is>
      </c>
      <c r="BV12" s="34" t="inlineStr">
        <is>
          <t>O</t>
        </is>
      </c>
      <c r="BW12" s="34" t="inlineStr">
        <is>
          <t>F</t>
        </is>
      </c>
      <c r="BX12" s="34" t="inlineStr">
        <is>
          <t>GM</t>
        </is>
      </c>
      <c r="BY12" s="34" t="inlineStr">
        <is>
          <t>IM</t>
        </is>
      </c>
      <c r="BZ12" s="34" t="inlineStr">
        <is>
          <t>+/-</t>
        </is>
      </c>
      <c r="CA12" s="34" t="inlineStr">
        <is>
          <t>P</t>
        </is>
      </c>
      <c r="CB12" s="39" t="inlineStr">
        <is>
          <t>Grupp</t>
        </is>
      </c>
      <c r="CC12" s="34" t="inlineStr">
        <is>
          <t>Rank P</t>
        </is>
      </c>
      <c r="CD12" s="34" t="inlineStr">
        <is>
          <t>Rank +/-</t>
        </is>
      </c>
      <c r="CE12" s="12" t="n"/>
      <c r="CF12" s="40" t="inlineStr">
        <is>
          <t>Lag</t>
        </is>
      </c>
      <c r="CG12" s="35" t="inlineStr">
        <is>
          <t>V</t>
        </is>
      </c>
      <c r="CH12" s="35" t="inlineStr">
        <is>
          <t>O</t>
        </is>
      </c>
      <c r="CI12" s="35" t="inlineStr">
        <is>
          <t>F</t>
        </is>
      </c>
      <c r="CJ12" s="35" t="inlineStr">
        <is>
          <t>P</t>
        </is>
      </c>
      <c r="CK12" s="35" t="inlineStr">
        <is>
          <t>Grupp</t>
        </is>
      </c>
      <c r="CL12" s="35" t="inlineStr">
        <is>
          <t>Rank P</t>
        </is>
      </c>
      <c r="CM12" s="56" t="inlineStr">
        <is>
          <t>+/-</t>
        </is>
      </c>
      <c r="CN12" s="56" t="inlineStr">
        <is>
          <t>+/- rank</t>
        </is>
      </c>
      <c r="CO12" s="56" t="inlineStr">
        <is>
          <t>GM</t>
        </is>
      </c>
      <c r="CP12" s="56" t="inlineStr">
        <is>
          <t>GM rank</t>
        </is>
      </c>
      <c r="CQ12" s="35" t="inlineStr">
        <is>
          <t>Rank internal</t>
        </is>
      </c>
      <c r="CR12" s="56" t="inlineStr">
        <is>
          <t>+/- all</t>
        </is>
      </c>
      <c r="CS12" s="56" t="inlineStr">
        <is>
          <t>+/- rank all</t>
        </is>
      </c>
      <c r="CT12" s="56" t="inlineStr">
        <is>
          <t>GM all</t>
        </is>
      </c>
      <c r="CU12" s="56" t="inlineStr">
        <is>
          <t>GM rank all</t>
        </is>
      </c>
      <c r="CV12" s="56" t="inlineStr">
        <is>
          <t>V all</t>
        </is>
      </c>
      <c r="CW12" s="56" t="inlineStr">
        <is>
          <t>V rank all</t>
        </is>
      </c>
      <c r="CX12" s="35" t="inlineStr">
        <is>
          <t>Rank all</t>
        </is>
      </c>
      <c r="CY12" s="12" t="n"/>
      <c r="CZ12" s="41" t="inlineStr">
        <is>
          <t>Lag</t>
        </is>
      </c>
      <c r="DA12" s="36" t="inlineStr">
        <is>
          <t>V</t>
        </is>
      </c>
      <c r="DB12" s="36" t="inlineStr">
        <is>
          <t>O</t>
        </is>
      </c>
      <c r="DC12" s="36" t="inlineStr">
        <is>
          <t>F</t>
        </is>
      </c>
      <c r="DD12" s="36" t="inlineStr">
        <is>
          <t>P</t>
        </is>
      </c>
      <c r="DE12" s="36" t="inlineStr">
        <is>
          <t>Grupp</t>
        </is>
      </c>
      <c r="DF12" s="36" t="inlineStr">
        <is>
          <t>Rank P</t>
        </is>
      </c>
      <c r="DG12" s="36" t="inlineStr">
        <is>
          <t>+/-</t>
        </is>
      </c>
      <c r="DH12" s="36" t="inlineStr">
        <is>
          <t>+/- rank</t>
        </is>
      </c>
      <c r="DI12" s="36" t="inlineStr">
        <is>
          <t>GM</t>
        </is>
      </c>
      <c r="DJ12" s="41" t="inlineStr">
        <is>
          <t>GM rank</t>
        </is>
      </c>
      <c r="DK12" s="41" t="inlineStr">
        <is>
          <t>Rank internal</t>
        </is>
      </c>
      <c r="DL12" s="41" t="inlineStr">
        <is>
          <t>+/- all</t>
        </is>
      </c>
      <c r="DM12" s="41" t="inlineStr">
        <is>
          <t>+/- rank all</t>
        </is>
      </c>
      <c r="DN12" s="41" t="inlineStr">
        <is>
          <t>GM all</t>
        </is>
      </c>
      <c r="DO12" s="41" t="inlineStr">
        <is>
          <t>GM rank all</t>
        </is>
      </c>
      <c r="DP12" s="41" t="inlineStr">
        <is>
          <t>V all</t>
        </is>
      </c>
      <c r="DQ12" s="41" t="inlineStr">
        <is>
          <t>V rank all</t>
        </is>
      </c>
      <c r="DR12" s="41" t="inlineStr">
        <is>
          <t>Rank all</t>
        </is>
      </c>
      <c r="DS12" s="12" t="n"/>
      <c r="DT12" s="37" t="inlineStr">
        <is>
          <t>Lag</t>
        </is>
      </c>
      <c r="DU12" s="37" t="inlineStr">
        <is>
          <t>V</t>
        </is>
      </c>
      <c r="DV12" s="37" t="inlineStr">
        <is>
          <t>O</t>
        </is>
      </c>
      <c r="DW12" s="37" t="inlineStr">
        <is>
          <t>F</t>
        </is>
      </c>
      <c r="DX12" s="37" t="inlineStr">
        <is>
          <t>P</t>
        </is>
      </c>
      <c r="DY12" s="37" t="inlineStr">
        <is>
          <t>Grupp</t>
        </is>
      </c>
      <c r="DZ12" s="37" t="inlineStr">
        <is>
          <t>Rank P</t>
        </is>
      </c>
      <c r="EA12" s="37" t="inlineStr">
        <is>
          <t>+/-</t>
        </is>
      </c>
      <c r="EB12" s="37" t="inlineStr">
        <is>
          <t>+/- rank</t>
        </is>
      </c>
      <c r="EC12" s="37" t="inlineStr">
        <is>
          <t>GM</t>
        </is>
      </c>
      <c r="ED12" s="37" t="inlineStr">
        <is>
          <t>GM rank</t>
        </is>
      </c>
      <c r="EE12" s="37" t="inlineStr">
        <is>
          <t>Rank internal</t>
        </is>
      </c>
      <c r="EF12" s="37" t="inlineStr">
        <is>
          <t>+/- all</t>
        </is>
      </c>
      <c r="EG12" s="37" t="inlineStr">
        <is>
          <t>+/- rank all</t>
        </is>
      </c>
      <c r="EH12" s="37" t="inlineStr">
        <is>
          <t>GM all</t>
        </is>
      </c>
      <c r="EI12" s="37" t="inlineStr">
        <is>
          <t>GM rank all</t>
        </is>
      </c>
      <c r="EJ12" s="37" t="inlineStr">
        <is>
          <t>V all</t>
        </is>
      </c>
      <c r="EK12" s="37" t="inlineStr">
        <is>
          <t>V rank all</t>
        </is>
      </c>
      <c r="EL12" s="37" t="inlineStr">
        <is>
          <t>Rank all</t>
        </is>
      </c>
      <c r="EM12" s="12" t="n"/>
      <c r="EN12" s="38" t="inlineStr">
        <is>
          <t>Lag</t>
        </is>
      </c>
      <c r="EO12" s="38" t="inlineStr">
        <is>
          <t>V</t>
        </is>
      </c>
      <c r="EP12" s="38" t="inlineStr">
        <is>
          <t>O</t>
        </is>
      </c>
      <c r="EQ12" s="38" t="inlineStr">
        <is>
          <t>F</t>
        </is>
      </c>
      <c r="ER12" s="38" t="inlineStr">
        <is>
          <t>P</t>
        </is>
      </c>
      <c r="ES12" s="38" t="inlineStr">
        <is>
          <t>Grupp</t>
        </is>
      </c>
      <c r="ET12" s="38" t="inlineStr">
        <is>
          <t>Rank P</t>
        </is>
      </c>
      <c r="EU12" s="38" t="inlineStr">
        <is>
          <t>+/-</t>
        </is>
      </c>
      <c r="EV12" s="38" t="inlineStr">
        <is>
          <t>+/- rank</t>
        </is>
      </c>
      <c r="EW12" s="38" t="inlineStr">
        <is>
          <t>GM</t>
        </is>
      </c>
      <c r="EX12" s="38" t="inlineStr">
        <is>
          <t>GM rank</t>
        </is>
      </c>
      <c r="EY12" s="38" t="inlineStr">
        <is>
          <t>Rank internal</t>
        </is>
      </c>
      <c r="EZ12" s="38" t="inlineStr">
        <is>
          <t>+/- all</t>
        </is>
      </c>
      <c r="FA12" s="38" t="inlineStr">
        <is>
          <t>+/- rank all</t>
        </is>
      </c>
      <c r="FB12" s="38" t="inlineStr">
        <is>
          <t>GM all</t>
        </is>
      </c>
      <c r="FC12" s="38" t="inlineStr">
        <is>
          <t>GM rank all</t>
        </is>
      </c>
      <c r="FD12" s="38" t="inlineStr">
        <is>
          <t>V all</t>
        </is>
      </c>
      <c r="FE12" s="38" t="inlineStr">
        <is>
          <t>V rank all</t>
        </is>
      </c>
      <c r="FF12" s="38" t="inlineStr">
        <is>
          <t>Rank all</t>
        </is>
      </c>
      <c r="FG12" s="12" t="n"/>
      <c r="FH12" s="38" t="inlineStr">
        <is>
          <t>Rank</t>
        </is>
      </c>
      <c r="FI12" s="38" t="inlineStr">
        <is>
          <t>Rank Ties</t>
        </is>
      </c>
      <c r="FJ12" s="12" t="n"/>
      <c r="FM12" s="76" t="inlineStr">
        <is>
          <t>I</t>
        </is>
      </c>
      <c r="FN12" s="9">
        <f>O78</f>
        <v/>
      </c>
      <c r="FO12" s="77">
        <f>RANK($FP12,$FP$4:$FP$15,1)+COUNTIF($FP12:$FP$15,$FP12)-1</f>
        <v/>
      </c>
      <c r="FP12" s="77">
        <f>FS12+FR12+FQ12</f>
        <v/>
      </c>
      <c r="FQ12" s="77">
        <f t="array" ref="FQ12">SUMPRODUCT(($FT$4:$FT$15=FT12)*($FU$4:$FU$15=FU12)*($FV$4:$FV$15&gt;FV12))</f>
        <v/>
      </c>
      <c r="FR12" s="73">
        <f t="array" ref="FR12">SUMPRODUCT(($FT$4:$FT$15=FT12)*($FU$4:$FU$15&gt;FU12))</f>
        <v/>
      </c>
      <c r="FS12" s="77">
        <f>RANK(FT12,$FT$4:$FT$15)</f>
        <v/>
      </c>
      <c r="FT12" s="9">
        <f>V78</f>
        <v/>
      </c>
      <c r="FU12" s="9">
        <f>U78</f>
        <v/>
      </c>
      <c r="FV12" s="9">
        <f>S78</f>
        <v/>
      </c>
      <c r="FW12" s="78">
        <f>FM12</f>
        <v/>
      </c>
      <c r="FX12" s="77">
        <f>IF(FO12&lt;9,FW12,)</f>
        <v/>
      </c>
      <c r="FZ12" s="79" t="n">
        <v>10</v>
      </c>
      <c r="GA12" s="3">
        <f>GB12&amp;GC12&amp;GD12&amp;GE12&amp;GF12&amp;GG12&amp;GH12&amp;GI12</f>
        <v/>
      </c>
      <c r="GB12" s="3" t="inlineStr">
        <is>
          <t>E</t>
        </is>
      </c>
      <c r="GC12" s="3" t="inlineStr">
        <is>
          <t>G</t>
        </is>
      </c>
      <c r="GD12" s="3" t="inlineStr">
        <is>
          <t>J</t>
        </is>
      </c>
      <c r="GE12" s="3" t="inlineStr">
        <is>
          <t>D</t>
        </is>
      </c>
      <c r="GF12" s="3" t="inlineStr">
        <is>
          <t>H</t>
        </is>
      </c>
      <c r="GG12" s="3" t="inlineStr">
        <is>
          <t>F</t>
        </is>
      </c>
      <c r="GH12" s="3" t="inlineStr">
        <is>
          <t>I</t>
        </is>
      </c>
      <c r="GI12" s="3" t="inlineStr">
        <is>
          <t>K</t>
        </is>
      </c>
      <c r="GJ12" s="9">
        <f>VLOOKUP(GB12,$FM$3:$FN$15,2,FALSE)</f>
        <v/>
      </c>
      <c r="GK12" s="9">
        <f>VLOOKUP(GC12,$FM$3:$FN$15,2,FALSE)</f>
        <v/>
      </c>
      <c r="GL12" s="9">
        <f>VLOOKUP(GD12,$FM$3:$FN$15,2,FALSE)</f>
        <v/>
      </c>
      <c r="GM12" s="9">
        <f>VLOOKUP(GE12,$FM$3:$FN$15,2,FALSE)</f>
        <v/>
      </c>
      <c r="GN12" s="9">
        <f>VLOOKUP(GF12,$FM$3:$FN$15,2,FALSE)</f>
        <v/>
      </c>
      <c r="GO12" s="9">
        <f>VLOOKUP(GG12,$FM$3:$FN$15,2,FALSE)</f>
        <v/>
      </c>
      <c r="GP12" s="9">
        <f>VLOOKUP(GH12,$FM$3:$FN$15,2,FALSE)</f>
        <v/>
      </c>
      <c r="GQ12" s="9">
        <f>VLOOKUP(GI12,$FM$3:$FN$15,2,FALSE)</f>
        <v/>
      </c>
      <c r="GR12" s="9">
        <f>IFERROR(IF(AND(VLOOKUP(GB12,$FX$4:$FX$15,1,FALSE)=GB12,VLOOKUP(GC12,$FX$4:$FX$15,1,FALSE)=GC12,VLOOKUP(GD12,$FX$4:$FX$15,1,FALSE)=GD12,VLOOKUP(GE12,$FX$4:$FX$15,1,FALSE)=GE12,VLOOKUP(GF12,$FX$4:$FX$15,1,FALSE)=GF12,VLOOKUP(GG12,$FX$4:$FX$15,1,FALSE)=GG12,VLOOKUP(GH12,$FX$4:$FX$15,1,FALSE)=GH12,VLOOKUP(GI12,$FX$4:$FX$15,1,FALSE)=GI12),FZ12,""),"")</f>
        <v/>
      </c>
      <c r="GX12" s="23" t="n"/>
    </row>
    <row r="13" ht="14.25" customHeight="1">
      <c r="B13" s="58" t="n">
        <v>3</v>
      </c>
      <c r="C13" s="59" t="n">
        <v>46185</v>
      </c>
      <c r="D13" s="60" t="inlineStr">
        <is>
          <t>Kanada</t>
        </is>
      </c>
      <c r="E13" s="61" t="inlineStr">
        <is>
          <t>-</t>
        </is>
      </c>
      <c r="F13" s="62" t="inlineStr">
        <is>
          <t>Bosnien-Herzigovina</t>
        </is>
      </c>
      <c r="G13" s="63" t="n">
        <v>2</v>
      </c>
      <c r="H13" s="64" t="inlineStr">
        <is>
          <t>-</t>
        </is>
      </c>
      <c r="I13" s="63" t="n">
        <v>0</v>
      </c>
      <c r="J13" s="65">
        <f>IF(OR(ISBLANK(G13),ISBLANK(I13)),"",IF(G13&gt;I13,1,IF(G13&lt;I13,2,"X")))</f>
        <v/>
      </c>
      <c r="K13" s="66">
        <f>IF(OR(G13="",I13="",'[1]Resultat &amp; tabell'!G13="",'[1]Resultat &amp; tabell'!I13=""),0,IF(G13='[1]Resultat &amp; tabell'!G13,2,0)+IF(I13='[1]Resultat &amp; tabell'!I13,2,0)+IF(J13='[1]Resultat &amp; tabell'!J13,2,0))</f>
        <v/>
      </c>
      <c r="L13" s="67" t="n"/>
      <c r="M13" s="29">
        <f>IF(VLOOKUP(D13,$BT$12:$CC$16,10,FALSE)=VLOOKUP(F13,$BT$12:$CC$16,10,FALSE),VLOOKUP(D13,$BT$12:$CC$16,10,FALSE),"-")</f>
        <v/>
      </c>
      <c r="N13" s="30" t="n">
        <v>1</v>
      </c>
      <c r="O13" s="68">
        <f>VLOOKUP(N13,FI13:FJ16,2,FALSE)</f>
        <v/>
      </c>
      <c r="P13" s="69">
        <f>VLOOKUP($O13,$BT$13:$CA$16,2,FALSE)</f>
        <v/>
      </c>
      <c r="Q13" s="69">
        <f>VLOOKUP($O13,$BT$13:$CA$16,3,FALSE)</f>
        <v/>
      </c>
      <c r="R13" s="69">
        <f>VLOOKUP($O13,$BT$13:$CA$16,4,FALSE)</f>
        <v/>
      </c>
      <c r="S13" s="69">
        <f>VLOOKUP($O13,$BT$13:$CA$16,5,FALSE)</f>
        <v/>
      </c>
      <c r="T13" s="69">
        <f>VLOOKUP($O13,$BT$13:$CA$16,6,FALSE)</f>
        <v/>
      </c>
      <c r="U13" s="69">
        <f>VLOOKUP($O13,$BT$13:$CA$16,7,FALSE)</f>
        <v/>
      </c>
      <c r="V13" s="70">
        <f>VLOOKUP($O13,$BT$13:$CA$16,8,FALSE)</f>
        <v/>
      </c>
      <c r="X13" s="104" t="n"/>
      <c r="Y13" s="79" t="n"/>
      <c r="Z13" s="79" t="n"/>
      <c r="AA13" s="79" t="n"/>
      <c r="AB13" s="9" t="n"/>
      <c r="AC13" s="108" t="n"/>
      <c r="AE13" s="72">
        <f>C13</f>
        <v/>
      </c>
      <c r="AF13" s="72">
        <f>D13</f>
        <v/>
      </c>
      <c r="AG13" s="72">
        <f>E13</f>
        <v/>
      </c>
      <c r="AH13" s="72">
        <f>F13</f>
        <v/>
      </c>
      <c r="AI13" s="63">
        <f>IF(G13="","",G13)</f>
        <v/>
      </c>
      <c r="AJ13" s="58">
        <f>H13</f>
        <v/>
      </c>
      <c r="AK13" s="63">
        <f>IF(I13="","",I13)</f>
        <v/>
      </c>
      <c r="AL13" s="65">
        <f>J13</f>
        <v/>
      </c>
      <c r="AM13" s="73" t="n"/>
      <c r="AN13" s="13">
        <f>IF(AI13&gt;AK13,1,0)</f>
        <v/>
      </c>
      <c r="AO13" s="13">
        <f>IF(AK13&gt;AI13,1,0)</f>
        <v/>
      </c>
      <c r="AP13" s="13">
        <f>IF(AND(AI13=AK13,AI13&lt;&gt;""),1,0)</f>
        <v/>
      </c>
      <c r="AQ13" s="13">
        <f>IF(AND(AI13=AK13,AI13&lt;&gt;""),1,0)</f>
        <v/>
      </c>
      <c r="AR13" s="13">
        <f>IF(AI13&lt;AK13,1,0)</f>
        <v/>
      </c>
      <c r="AS13" s="13">
        <f>IF(AK13&lt;AI13,1,)</f>
        <v/>
      </c>
      <c r="AT13" s="13">
        <f>IF(ISERROR(VLOOKUP(AF13,CF:CF,1,FALSE)),0,1)*IF(ISERROR(VLOOKUP(AH13,CF:CF,1,FALSE)),0,1)*AN13</f>
        <v/>
      </c>
      <c r="AU13" s="13">
        <f>IF(ISERROR(VLOOKUP(AF13,CF:CF,1,FALSE)),0,1)*IF(ISERROR(VLOOKUP(AH13,CF:CF,1,FALSE)),0,1)*AO13</f>
        <v/>
      </c>
      <c r="AV13" s="13">
        <f>IF(ISERROR(VLOOKUP(AF13,CF:CF,1,FALSE)),0,1)*IF(ISERROR(VLOOKUP(AH13,CF:CF,1,FALSE)),0,1)*AP13</f>
        <v/>
      </c>
      <c r="AW13" s="13">
        <f>IF(ISERROR(VLOOKUP(AF13,CF:CF,1,FALSE)),0,1)*IF(ISERROR(VLOOKUP(AH13,CF:CF,1,FALSE)),0,1)*AQ13</f>
        <v/>
      </c>
      <c r="AX13" s="13">
        <f>IF(ISERROR(VLOOKUP(AF13,CF:CF,1,FALSE)),0,1)*IF(ISERROR(VLOOKUP(AH13,CF:CF,1,FALSE)),0,1)*AR13</f>
        <v/>
      </c>
      <c r="AY13" s="13">
        <f>IF(ISERROR(VLOOKUP(AF13,CF:CF,1,FALSE)),0,1)*IF(ISERROR(VLOOKUP(AH13,CF:CF,1,FALSE)),0,1)*AS13</f>
        <v/>
      </c>
      <c r="AZ13" s="13">
        <f>IF(ISERROR(VLOOKUP(AF13,CZ:CZ,1,FALSE)),0,1)*IF(ISERROR(VLOOKUP(AH13,CZ:CZ,1,FALSE)),0,1)*AN13</f>
        <v/>
      </c>
      <c r="BA13" s="13">
        <f>IF(ISERROR(VLOOKUP(AF13,CZ:CZ,1,FALSE)),0,1)*IF(ISERROR(VLOOKUP(AH13,CZ:CZ,1,FALSE)),0,1)*AO13</f>
        <v/>
      </c>
      <c r="BB13" s="13">
        <f>IF(ISERROR(VLOOKUP(AF13,CZ:CZ,1,FALSE)),0,1)*IF(ISERROR(VLOOKUP(AH13,CZ:CZ,1,FALSE)),0,1)*AP13</f>
        <v/>
      </c>
      <c r="BC13" s="13">
        <f>IF(ISERROR(VLOOKUP(AF13,CZ:CZ,1,FALSE)),0,1)*IF(ISERROR(VLOOKUP(AH13,CZ:CZ,1,FALSE)),0,1)*AQ13</f>
        <v/>
      </c>
      <c r="BD13" s="13">
        <f>IF(ISERROR(VLOOKUP(AF13,CZ:CZ,1,FALSE)),0,1)*IF(ISERROR(VLOOKUP(AH13,CZ:CZ,1,FALSE)),0,1)*AR13</f>
        <v/>
      </c>
      <c r="BE13" s="13">
        <f>IF(ISERROR(VLOOKUP(AF13,CZ:CZ,1,FALSE)),0,1)*IF(ISERROR(VLOOKUP(AH13,CZ:CZ,1,FALSE)),0,1)*AS13</f>
        <v/>
      </c>
      <c r="BF13" s="13">
        <f>IF(ISERROR(VLOOKUP(AF13,DT:DT,1,FALSE)),0,1)*IF(ISERROR(VLOOKUP(AH13,DT:DT,1,FALSE)),0,1)*AN13</f>
        <v/>
      </c>
      <c r="BG13" s="13">
        <f>IF(ISERROR(VLOOKUP(AF13,DT:DT,1,FALSE)),0,1)*IF(ISERROR(VLOOKUP(AH13,DT:DT,1,FALSE)),0,1)*AO13</f>
        <v/>
      </c>
      <c r="BH13" s="13">
        <f>IF(ISERROR(VLOOKUP(AF13,DT:DT,1,FALSE)),0,1)*IF(ISERROR(VLOOKUP(AH13,DT:DT,1,FALSE)),0,1)*AP13</f>
        <v/>
      </c>
      <c r="BI13" s="13">
        <f>IF(ISERROR(VLOOKUP(AF13,DT:DT,1,FALSE)),0,1)*IF(ISERROR(VLOOKUP(AH13,DT:DT,1,FALSE)),0,1)*AQ13</f>
        <v/>
      </c>
      <c r="BJ13" s="13">
        <f>IF(ISERROR(VLOOKUP(AF13,DT:DT,1,FALSE)),0,1)*IF(ISERROR(VLOOKUP(AH13,DT:DT,1,FALSE)),0,1)*AR13</f>
        <v/>
      </c>
      <c r="BK13" s="13">
        <f>IF(ISERROR(VLOOKUP(AF13,DT:DT,1,FALSE)),0,1)*IF(ISERROR(VLOOKUP(AH13,DT:DT,1,FALSE)),0,1)*AS13</f>
        <v/>
      </c>
      <c r="BL13" s="13">
        <f>IF(ISERROR(VLOOKUP(AF13,EN:EN,1,FALSE)),0,1)*IF(ISERROR(VLOOKUP(AH13,EN:EN,1,FALSE)),0,1)*AN13</f>
        <v/>
      </c>
      <c r="BM13" s="13">
        <f>IF(ISERROR(VLOOKUP(AF13,EN:EN,1,FALSE)),0,1)*IF(ISERROR(VLOOKUP(AH13,EN:EN,1,FALSE)),0,1)*AO13</f>
        <v/>
      </c>
      <c r="BN13" s="13">
        <f>IF(ISERROR(VLOOKUP(AF13,EN:EN,1,FALSE)),0,1)*IF(ISERROR(VLOOKUP(AH13,EN:EN,1,FALSE)),0,1)*AP13</f>
        <v/>
      </c>
      <c r="BO13" s="13">
        <f>IF(ISERROR(VLOOKUP(AF13,EN:EN,1,FALSE)),0,1)*IF(ISERROR(VLOOKUP(AH13,EN:EN,1,FALSE)),0,1)*AQ13</f>
        <v/>
      </c>
      <c r="BP13" s="13">
        <f>IF(ISERROR(VLOOKUP(AF13,EN:EN,1,FALSE)),0,1)*IF(ISERROR(VLOOKUP(AH13,EN:EN,1,FALSE)),0,1)*AR13</f>
        <v/>
      </c>
      <c r="BQ13" s="13">
        <f>IF(ISERROR(VLOOKUP(AF13,EN:EN,1,FALSE)),0,1)*IF(ISERROR(VLOOKUP(AH13,EN:EN,1,FALSE)),0,1)*AS13</f>
        <v/>
      </c>
      <c r="BT13" s="12" t="inlineStr">
        <is>
          <t>Kanada</t>
        </is>
      </c>
      <c r="BU13" s="13">
        <f>(SUMIF(AF$4:AF$108,BT13,AN$4:AN$108)+SUMIF(AH$4:AH$108,BT13,AO$4:AO$108))</f>
        <v/>
      </c>
      <c r="BV13" s="13">
        <f>(SUMIF(AF$4:AF$108,BT13,AP$4:AP$108)+SUMIF(AH$4:AH$108,BT13,AQ$4:AQ$108))</f>
        <v/>
      </c>
      <c r="BW13" s="13">
        <f>(SUMIF(AF$4:AF$108,BT13,AR$4:AR$108)+SUMIF(AH$4:AH$108,BT13,AS$4:AS$108))</f>
        <v/>
      </c>
      <c r="BX13" s="13">
        <f>SUMIF($AF$4:$AF$108,BT13,$AI$4:$AI$108)+SUMIF($AH$4:$AH$108,BT13,$AK$4:$AK$108)</f>
        <v/>
      </c>
      <c r="BY13" s="13">
        <f>SUMIF($AF$4:$AF$108,BT13,$AK$4:$AK$108)+SUMIF($AH$4:$AH$108,BT13,$AI$4:$AI$108)</f>
        <v/>
      </c>
      <c r="BZ13" s="13">
        <f>BX13-BY13</f>
        <v/>
      </c>
      <c r="CA13" s="13">
        <f>IFERROR(BU13*3+BV13*1,0)</f>
        <v/>
      </c>
      <c r="CB13" s="13" t="inlineStr">
        <is>
          <t>B</t>
        </is>
      </c>
      <c r="CC13" s="74">
        <f>RANK(CA13,CA13:CA16)</f>
        <v/>
      </c>
      <c r="CD13" s="13">
        <f>SUMPRODUCT((CA13:CA16=CA13)*(BZ13:BZ16&gt;BZ13))</f>
        <v/>
      </c>
      <c r="CF13" s="12">
        <f>IF(CC13=1,BT13,)</f>
        <v/>
      </c>
      <c r="CG13" s="13">
        <f>(SUMIF($AF$4:$AF$108,$BT13,$AT$4:$AT$108)+SUMIF($AH$4:$AH$108,$BT13,$AU$4:$AU$108))</f>
        <v/>
      </c>
      <c r="CH13" s="13">
        <f>(SUMIF($AF$4:$AF$108,$BT13,$AV$4:$AV$108)+SUMIF($AH$4:$AH$108,$BT13,$AW$4:$AW$108))</f>
        <v/>
      </c>
      <c r="CI13" s="13">
        <f>(SUMIF($AF$4:$AF$108,$BT13,$AX$4:$AX$108)+SUMIF($AH$4:$AH$108,$BT13,$AY$4:$AY$108))</f>
        <v/>
      </c>
      <c r="CJ13" s="13">
        <f>IFERROR(CG13*3+CH13*1,0)</f>
        <v/>
      </c>
      <c r="CK13" s="13">
        <f>CB13</f>
        <v/>
      </c>
      <c r="CL13" s="13">
        <f>IF(CF13&gt;0,RANK(CJ13,CJ13:CJ16),)</f>
        <v/>
      </c>
      <c r="CM13" s="13">
        <f>IF(AND(CF13&gt;0,COUNTIF(CL13:CL16,CL13)&gt;1),SUMIFS($AI$4:$AI$108,$AF$4:$AF$108,$BT13,$M$4:$M$108,1)+SUMIFS($AK$4:$AK$108,$AH$4:$AH$108,$BT13,$M$4:$M$108,1)-SUMIFS($AK$4:$AK$108,$AF$4:$AF$108,$BT13,$M$4:$M$108,1)-SUMIFS($AI$4:$AI$108,$AH$4:$AH$108,$BT13,$M$4:$M$108,1),)</f>
        <v/>
      </c>
      <c r="CN13" s="13">
        <f>IF(AND(CF13&gt;0,COUNTIF(CL13:CL16,CL13)&gt;1),CL13+RANK(CM13,CM13:CM16)-1,CL13)</f>
        <v/>
      </c>
      <c r="CO13" s="13">
        <f>IF(AND(CF13&gt;0,COUNTIF(CN13:CN16,CN13)&gt;1),SUMIFS($AI$4:$AI$108,$AF$4:$AF$108,$BT13,$M$4:$M$108,1)+SUMIFS($AK$4:$AK$108,$AH$4:$AH$108,$BT13,$M$4:$M$108,1),)</f>
        <v/>
      </c>
      <c r="CP13" s="13">
        <f>IF(AND(CF13&gt;0,COUNTIF(CN13:CN16,CN13)&gt;1),CN13+RANK(CO13,CO13:CO16)-1,CN13)</f>
        <v/>
      </c>
      <c r="CQ13" s="13">
        <f>IF(CP13=0,"",CP13)</f>
        <v/>
      </c>
      <c r="CR13" s="13">
        <f>IF(OR(CQ13="",COUNTIF(CQ13:CQ16,CQ13)=1),"",$BZ13)</f>
        <v/>
      </c>
      <c r="CS13" s="13">
        <f>IF(CQ13="","",IF(COUNTIF(CQ13:CQ16,CQ13)=1,CQ13,CQ13+RANK(CR13,CR13:CR16,0)-1))</f>
        <v/>
      </c>
      <c r="CT13" s="13">
        <f>IF(OR(CS13="",COUNTIF(CS13:CS16,CS13)=1),"",$BX13)</f>
        <v/>
      </c>
      <c r="CU13" s="13">
        <f>IF(CQ13="","",IF(COUNTIF(CS13:CS16,CS13)=1,CS13,CS13+RANK(CT13,CT13:CT16,0)-1))</f>
        <v/>
      </c>
      <c r="CV13" s="13">
        <f>IF(OR(CU13="",COUNTIF(CU13:CU16,CU13)=1),"",$BU13)</f>
        <v/>
      </c>
      <c r="CW13" s="13">
        <f>IF(CQ13="","",IF(COUNTIF(CU13:CU16,CU13)=1,CU13,CU13+RANK(CV13,CV13:CV16,0)-1))</f>
        <v/>
      </c>
      <c r="CX13" s="13">
        <f>IF(CF13&gt;0,BM11+RANK(CW13,CW13:CW16,1),)</f>
        <v/>
      </c>
      <c r="CZ13" s="12">
        <f>IF(CC13=2,BT13,)</f>
        <v/>
      </c>
      <c r="DA13" s="13">
        <f>(SUMIF($AF$4:$AF$108,$BT13,$AZ$4:$AZ$108)+SUMIF($AH$4:$AH$108,$BT13,$BA$4:$BA$108))</f>
        <v/>
      </c>
      <c r="DB13" s="13">
        <f>(SUMIF($AF$4:$AF$108,$BT13,$BB$4:$BB$108)+SUMIF($AH$4:$AH$108,$BT13,$BC$4:$BC$108))</f>
        <v/>
      </c>
      <c r="DC13" s="13">
        <f>(SUMIF($AF$4:$AF$108,$BT13,$BD$4:$BD$108)+SUMIF($AH$4:$AH$108,$BT13,$BE$4:$BE$108))</f>
        <v/>
      </c>
      <c r="DD13" s="13">
        <f>IFERROR(DA13*3+DB13*1,0)</f>
        <v/>
      </c>
      <c r="DE13" s="13">
        <f>$CB13</f>
        <v/>
      </c>
      <c r="DF13" s="13">
        <f>IF(CZ13&gt;0,RANK(DD13,DD13:DD16)+CG11,)</f>
        <v/>
      </c>
      <c r="DG13" s="13">
        <f>IF(AND(CZ13&gt;0,COUNTIF(DF13:DF16,DF13)&gt;1),SUMIFS($AI$4:$AI$108,$AF$4:$AF$108,$BT13,$M$4:$M$108,2)+SUMIFS($AK$4:$AK$108,$AH$4:$AH108,$BT13,$M$4:$M$108,2)-SUMIFS($AK$4:$AK$108,$AF$4:$AF$108,$BT13,$M$4:$M$108,2)-SUMIFS($AI$4:$AI$108,$AH$4:$AH$108,$BT13,$M$4:$M$108,2),)</f>
        <v/>
      </c>
      <c r="DH13" s="13">
        <f>IF(AND(CZ13&gt;0,COUNTIF(DF13:DF16,DF13)&gt;1),DF13+RANK(DG13,DG13:DG16)-1,DF13)</f>
        <v/>
      </c>
      <c r="DI13" s="13">
        <f>IF(AND(CZ13&gt;0,COUNTIF(DH13:DH16,DH13)&gt;1),SUMIFS($AI$4:$AI$108,$AF$4:$AF$108,$BT13,$M$4:$M$108,2)+SUMIFS($AK$4:$AK$108,$AH$4:$AH$108,$BT13,$M$4:$M$108,2),)</f>
        <v/>
      </c>
      <c r="DJ13" s="13">
        <f>IF(AND(CZ13&gt;0,COUNTIF(DH13:DH16,DH13)&gt;1),DH13+RANK(DI13,DI13:DI16)-1,DH13)</f>
        <v/>
      </c>
      <c r="DK13" s="75">
        <f>IF(DJ13=0,"",DJ13)</f>
        <v/>
      </c>
      <c r="DL13" s="75">
        <f>IF(OR(DK13="",COUNTIF(DK13:DK16,DK13)=1),"",$BZ13)</f>
        <v/>
      </c>
      <c r="DM13" s="75">
        <f>IF(DK13="","",IF(COUNTIF(DK13:DK16,DK13)=1,DK13,DK13+RANK(DL13,DL13:DL16,0)-1))</f>
        <v/>
      </c>
      <c r="DN13" s="75">
        <f>IF(OR(DM13="",COUNTIF(DM13:DM16,DM13)=1),"",$BX13)</f>
        <v/>
      </c>
      <c r="DO13" s="75">
        <f>IF(DK13="","",IF(COUNTIF(DM13:DM16,DM13)=1,DM13,DM13+RANK(DN13,DN13:DN16,0)-1))</f>
        <v/>
      </c>
      <c r="DP13" s="75">
        <f>IF(OR(DO13="",COUNTIF(DO13:DO16,DO13)=1),"",$BU13)</f>
        <v/>
      </c>
      <c r="DQ13" s="75">
        <f>IF(DK13="","",IF(COUNTIF(DO13:DO16,DO13)=1,DO13,DO13+RANK(DP13,DP13:DP16,0)-1))</f>
        <v/>
      </c>
      <c r="DR13" s="13">
        <f>IF(CZ13&gt;0,CG11+RANK(DQ13,DQ13:DQ16,1),)</f>
        <v/>
      </c>
      <c r="DT13" s="13">
        <f>IF(CC13=3,BT13,)</f>
        <v/>
      </c>
      <c r="DU13" s="13">
        <f>(SUMIF($AF$4:$AF$108,BT13,$BF$4:$BF$108)+SUMIF($AH$4:$AH$108,BT13,$BG$4:$BG$108))</f>
        <v/>
      </c>
      <c r="DV13" s="13">
        <f>(SUMIF($AF$4:$AF$108,BT13,$BH$4:$BH$108)+SUMIF($AH$4:$AH$108,BT13,$BI$4:$BI$108))</f>
        <v/>
      </c>
      <c r="DW13" s="13">
        <f>(SUMIF($AF$4:$AF$108,BT13,$BJ$4:$BJ$108)+SUMIF($AH$4:$AH$108,BT13,$BK$4:$BK$108))</f>
        <v/>
      </c>
      <c r="DX13" s="13">
        <f>IFERROR(DU13*3+DV13*1,0)</f>
        <v/>
      </c>
      <c r="DY13" s="13">
        <f>CB13</f>
        <v/>
      </c>
      <c r="DZ13" s="13">
        <f>IF(DT13&gt;0,RANK(DX13,DX13:DX16)+CG11+DA11,)</f>
        <v/>
      </c>
      <c r="EA13" s="13">
        <f>IF(AND(DT13&gt;0,COUNTIF(DZ13:DZ16,DZ13)&gt;1),SUMIFS($AI$4:$AI$108,$AF$4:$AF$108,$BT13,$M$4:$M$108,3)+SUMIFS($AK$4:$AK$108,$AH$4:$AH$108,$BT13,$M$4:$M$108,3)-SUMIFS($AK$4:$AK$108,$AF$4:$AF$108,$BT13,$M$4:$M$108,3)-SUMIFS($AI$4:$AI$108,$AH$4:$AH$108,$BT13,$M$4:$M$108,3),)</f>
        <v/>
      </c>
      <c r="EB13" s="13">
        <f>IF(AND(DT13&gt;0,COUNTIF(DZ13:DZ16,DZ13)&gt;1),DZ13+RANK(EA13,EA13:EA16)-1,DZ13)</f>
        <v/>
      </c>
      <c r="EC13" s="13">
        <f>IF(AND(DT13&gt;0,COUNTIF(EB13:EB16,EB13)&gt;1),SUMIFS($AI$4:$AI$108,$AF$4:$AF$108,$BT13,$M$4:$M$108,3)+SUMIFS($AK$4:$AK$108,$AH$4:$AH$108,$BT13,$M$4:$M$108,3),)</f>
        <v/>
      </c>
      <c r="ED13" s="13">
        <f>IF(AND(DT13&gt;0,COUNTIF(EB13:EB16,EB13)&gt;1),EB13+RANK(EC13,EC13:EC16)-1,EB13)</f>
        <v/>
      </c>
      <c r="EE13" s="13">
        <f>IF(ED13=0,"",ED13)</f>
        <v/>
      </c>
      <c r="EF13" s="13">
        <f>IF(OR(EE13="",COUNTIF(EE13:EE16,EE13)=1),"",$BZ13)</f>
        <v/>
      </c>
      <c r="EG13" s="13">
        <f>IF(EE13="","",IF(COUNTIF(EE13:EE16,EE13)=1,EE13,EE13+RANK(EF13,EF13:EF16,0)-1))</f>
        <v/>
      </c>
      <c r="EH13" s="13">
        <f>IF(OR(EG13="",COUNTIF(EG13:EG16,EG13)=1),"",$BX13)</f>
        <v/>
      </c>
      <c r="EI13" s="13">
        <f>IF(EE13="","",IF(COUNTIF(EG13:EG16,EG13)=1,EG13,EG13+RANK(EH13,EH13:EH16,0)-1))</f>
        <v/>
      </c>
      <c r="EJ13" s="13">
        <f>IF(OR(EI13="",COUNTIF(EI13:EI16,EI13)=1),"",$BU13)</f>
        <v/>
      </c>
      <c r="EK13" s="13">
        <f>IF(EE13="","",IF(COUNTIF(EI13:EI16,EI13)=1,EI13,EI13+RANK(EJ13,EJ13:EJ16,0)-1))</f>
        <v/>
      </c>
      <c r="EL13" s="13">
        <f>IF(DT13&gt;0,CG11+DA11+RANK(EK13,EK13:EK16,1),)</f>
        <v/>
      </c>
      <c r="EN13" s="13">
        <f>IF(CC13=4,BT13,)</f>
        <v/>
      </c>
      <c r="EO13" s="13">
        <f>(SUMIF($AF$4:$AF$108,$BT13,$BL$4:$BL$108)+SUMIF($AH$4:$AH$108,$BT13,$BM$4:$BM$108))</f>
        <v/>
      </c>
      <c r="EP13" s="13">
        <f>(SUMIF($AF$4:$AF$108,$BT13,$BN$4:$BN$108)+SUMIF($AH$4:$AH$108,$BT13,$BO$4:$BO$108))</f>
        <v/>
      </c>
      <c r="EQ13" s="13">
        <f>(SUMIF($AF$4:$AF$108,$BT13,$BP$4:$BP$108)+SUMIF($AH$4:$AH$108,$BT13,$BQ$4:$BQ$108))</f>
        <v/>
      </c>
      <c r="ER13" s="13">
        <f>IFERROR(EO13*3+EP13*1,0)</f>
        <v/>
      </c>
      <c r="ES13" s="13">
        <f>$CB13</f>
        <v/>
      </c>
      <c r="ET13" s="13">
        <f>IF(EN13&gt;0,RANK(ER13,ER13:ER16)+CG11+DA11+DU11,)</f>
        <v/>
      </c>
      <c r="EU13" s="13">
        <f>IF(AND(EN13&gt;0,COUNTIF(ET13:ET16,ET13)&gt;1),SUMIFS($AI$4:$AI$108,$AF$4:$AF$108,$BT13,$M$4:$M$108,4)+SUMIFS($AK$4:$AK$108,$AH$4:$AH$108,$BT13,$M$4:$M$108,4)-SUMIFS($AK$4:$AK$108,$AF$4:$AF$108,$BT13,$M$4:$M$108,4)-SUMIFS($AI$4:$AI$108,$AH$4:$AH$108,$BT13,$M$4:$M$108,4),)</f>
        <v/>
      </c>
      <c r="EV13" s="13">
        <f>IF(AND(EN13&gt;0,COUNTIF(ET13:ET16,ET13)&gt;1),ET13+RANK(EU13,EU13:EU16)-1,ET13)</f>
        <v/>
      </c>
      <c r="EW13" s="13">
        <f>IF(AND(EN13&gt;0,COUNTIF(EV13:EV16,EV13)&gt;1),SUMIFS($AI$4:$AI$108,$AF$4:$AF$108,$BT13,$M$4:$M$108,4)+SUMIFS($AK$4:$AK$108,$AH$4:$AH$108,$BT13,$M$4:$M$108,4),)</f>
        <v/>
      </c>
      <c r="EX13" s="13">
        <f>IF(AND(EN13&gt;0,COUNTIF(EV13:EV16,EV13)&gt;1),EV13+RANK(EW13,EW13:EW16)-1,EV13)</f>
        <v/>
      </c>
      <c r="EY13" s="13">
        <f>IF(EX13=0,"",EX13)</f>
        <v/>
      </c>
      <c r="EZ13" s="13">
        <f>IF(OR(EY13="",COUNTIF(EY13:EY16,EY13)=1),"",$BZ13)</f>
        <v/>
      </c>
      <c r="FA13" s="13">
        <f>IF(EY13="","",IF(COUNTIF(EY13:EY16,EY13)=1,EY13,EY13+RANK(EZ13,EZ13:EZ16,0)-1))</f>
        <v/>
      </c>
      <c r="FB13" s="13">
        <f>IF(OR(FA13="",COUNTIF(FA13:FA16,FA13)=1),"",$BX13)</f>
        <v/>
      </c>
      <c r="FC13" s="13">
        <f>IF(EY13="","",IF(COUNTIF(FA13:FA16,FA13)=1,FA13,FA13+RANK(FB13,FB13:FB16,0)-1))</f>
        <v/>
      </c>
      <c r="FD13" s="13">
        <f>IF(OR(FC13="",COUNTIF(FC13:FC16,FC13)=1),"",$BU13)</f>
        <v/>
      </c>
      <c r="FE13" s="13">
        <f>IF(EY13="","",IF(COUNTIF(FC13:FC16,FC13)=1,FC13,FC13+RANK(FD13,FD13:FD16,0)-1))</f>
        <v/>
      </c>
      <c r="FF13" s="13">
        <f>IF(EN13&gt;0,CG11+DA11+DU11+RANK(FE13,FE13:FE16,1),)</f>
        <v/>
      </c>
      <c r="FH13" s="13">
        <f>IFERROR(VLOOKUP(FJ13,CF12:CX16,19,FALSE),IFERROR(VLOOKUP(FJ13,CZ12:DR16,19,FALSE),IFERROR(VLOOKUP(FJ13,DT12:EL16,19,FALSE),VLOOKUP(FJ13,EN12:FF16,19,FALSE))))</f>
        <v/>
      </c>
      <c r="FI13" s="13">
        <f>RANK(FH13,FH13:FH16,1)+COUNTIF(FH13:FH13,FH13)-1</f>
        <v/>
      </c>
      <c r="FJ13" s="12">
        <f>BT13</f>
        <v/>
      </c>
      <c r="FM13" s="76" t="inlineStr">
        <is>
          <t>J</t>
        </is>
      </c>
      <c r="FN13" s="9">
        <f>O87</f>
        <v/>
      </c>
      <c r="FO13" s="77">
        <f>RANK($FP13,$FP$4:$FP$15,1)+COUNTIF($FP13:$FP$15,$FP13)-1</f>
        <v/>
      </c>
      <c r="FP13" s="77">
        <f>FS13+FR13+FQ13</f>
        <v/>
      </c>
      <c r="FQ13" s="77">
        <f t="array" ref="FQ13">SUMPRODUCT(($FT$4:$FT$15=FT13)*($FU$4:$FU$15=FU13)*($FV$4:$FV$15&gt;FV13))</f>
        <v/>
      </c>
      <c r="FR13" s="73">
        <f t="array" ref="FR13">SUMPRODUCT(($FT$4:$FT$15=FT13)*($FU$4:$FU$15&gt;FU13))</f>
        <v/>
      </c>
      <c r="FS13" s="77">
        <f>RANK(FT13,$FT$4:$FT$15)</f>
        <v/>
      </c>
      <c r="FT13" s="9">
        <f>V87</f>
        <v/>
      </c>
      <c r="FU13" s="9">
        <f>U87</f>
        <v/>
      </c>
      <c r="FV13" s="9">
        <f>S87</f>
        <v/>
      </c>
      <c r="FW13" s="78">
        <f>FM13</f>
        <v/>
      </c>
      <c r="FX13" s="77">
        <f>IF(FO13&lt;9,FW13,)</f>
        <v/>
      </c>
      <c r="FZ13" s="79" t="n">
        <v>11</v>
      </c>
      <c r="GA13" s="3">
        <f>GB13&amp;GC13&amp;GD13&amp;GE13&amp;GF13&amp;GG13&amp;GH13&amp;GI13</f>
        <v/>
      </c>
      <c r="GB13" s="3" t="inlineStr">
        <is>
          <t>H</t>
        </is>
      </c>
      <c r="GC13" s="3" t="inlineStr">
        <is>
          <t>G</t>
        </is>
      </c>
      <c r="GD13" s="3" t="inlineStr">
        <is>
          <t>I</t>
        </is>
      </c>
      <c r="GE13" s="3" t="inlineStr">
        <is>
          <t>C</t>
        </is>
      </c>
      <c r="GF13" s="3" t="inlineStr">
        <is>
          <t>J</t>
        </is>
      </c>
      <c r="GG13" s="3" t="inlineStr">
        <is>
          <t>F</t>
        </is>
      </c>
      <c r="GH13" s="3" t="inlineStr">
        <is>
          <t>L</t>
        </is>
      </c>
      <c r="GI13" s="3" t="inlineStr">
        <is>
          <t>K</t>
        </is>
      </c>
      <c r="GJ13" s="9">
        <f>VLOOKUP(GB13,$FM$3:$FN$15,2,FALSE)</f>
        <v/>
      </c>
      <c r="GK13" s="9">
        <f>VLOOKUP(GC13,$FM$3:$FN$15,2,FALSE)</f>
        <v/>
      </c>
      <c r="GL13" s="9">
        <f>VLOOKUP(GD13,$FM$3:$FN$15,2,FALSE)</f>
        <v/>
      </c>
      <c r="GM13" s="9">
        <f>VLOOKUP(GE13,$FM$3:$FN$15,2,FALSE)</f>
        <v/>
      </c>
      <c r="GN13" s="9">
        <f>VLOOKUP(GF13,$FM$3:$FN$15,2,FALSE)</f>
        <v/>
      </c>
      <c r="GO13" s="9">
        <f>VLOOKUP(GG13,$FM$3:$FN$15,2,FALSE)</f>
        <v/>
      </c>
      <c r="GP13" s="9">
        <f>VLOOKUP(GH13,$FM$3:$FN$15,2,FALSE)</f>
        <v/>
      </c>
      <c r="GQ13" s="9">
        <f>VLOOKUP(GI13,$FM$3:$FN$15,2,FALSE)</f>
        <v/>
      </c>
      <c r="GR13" s="9">
        <f>IFERROR(IF(AND(VLOOKUP(GB13,$FX$4:$FX$15,1,FALSE)=GB13,VLOOKUP(GC13,$FX$4:$FX$15,1,FALSE)=GC13,VLOOKUP(GD13,$FX$4:$FX$15,1,FALSE)=GD13,VLOOKUP(GE13,$FX$4:$FX$15,1,FALSE)=GE13,VLOOKUP(GF13,$FX$4:$FX$15,1,FALSE)=GF13,VLOOKUP(GG13,$FX$4:$FX$15,1,FALSE)=GG13,VLOOKUP(GH13,$FX$4:$FX$15,1,FALSE)=GH13,VLOOKUP(GI13,$FX$4:$FX$15,1,FALSE)=GI13),FZ13,""),"")</f>
        <v/>
      </c>
      <c r="GX13" s="79" t="n"/>
    </row>
    <row r="14" ht="14.25" customHeight="1">
      <c r="B14" s="58" t="n">
        <v>8</v>
      </c>
      <c r="C14" s="59" t="n">
        <v>46186</v>
      </c>
      <c r="D14" s="60" t="inlineStr">
        <is>
          <t>Qatar</t>
        </is>
      </c>
      <c r="E14" s="61" t="inlineStr">
        <is>
          <t>-</t>
        </is>
      </c>
      <c r="F14" s="62" t="inlineStr">
        <is>
          <t>Schweiz</t>
        </is>
      </c>
      <c r="G14" s="63" t="n">
        <v>0</v>
      </c>
      <c r="H14" s="64" t="inlineStr">
        <is>
          <t>-</t>
        </is>
      </c>
      <c r="I14" s="63" t="n">
        <v>2</v>
      </c>
      <c r="J14" s="65">
        <f>IF(OR(ISBLANK(G14),ISBLANK(I14)),"",IF(G14&gt;I14,1,IF(G14&lt;I14,2,"X")))</f>
        <v/>
      </c>
      <c r="K14" s="66">
        <f>IF(OR(G14="",I14="",'[1]Resultat &amp; tabell'!G14="",'[1]Resultat &amp; tabell'!I14=""),0,IF(G14='[1]Resultat &amp; tabell'!G14,2,0)+IF(I14='[1]Resultat &amp; tabell'!I14,2,0)+IF(J14='[1]Resultat &amp; tabell'!J14,2,0))</f>
        <v/>
      </c>
      <c r="L14" s="67" t="n"/>
      <c r="M14" s="29">
        <f>IF(VLOOKUP(D14,$BT$12:$CC$16,10,FALSE)=VLOOKUP(F14,$BT$12:$CC$16,10,FALSE),VLOOKUP(D14,$BT$12:$CC$16,10,FALSE),"-")</f>
        <v/>
      </c>
      <c r="N14" s="30" t="n">
        <v>2</v>
      </c>
      <c r="O14" s="80">
        <f>VLOOKUP(N14,FI13:FJ16,2,FALSE)</f>
        <v/>
      </c>
      <c r="P14" s="81">
        <f>VLOOKUP($O14,$BT$13:$CA$16,2,FALSE)</f>
        <v/>
      </c>
      <c r="Q14" s="81">
        <f>VLOOKUP($O14,$BT$13:$CA$16,3,FALSE)</f>
        <v/>
      </c>
      <c r="R14" s="81">
        <f>VLOOKUP($O14,$BT$13:$CA$16,4,FALSE)</f>
        <v/>
      </c>
      <c r="S14" s="81">
        <f>VLOOKUP($O14,$BT$13:$CA$16,5,FALSE)</f>
        <v/>
      </c>
      <c r="T14" s="81">
        <f>VLOOKUP($O14,$BT$13:$CA$16,6,FALSE)</f>
        <v/>
      </c>
      <c r="U14" s="81">
        <f>VLOOKUP($O14,$BT$13:$CA$16,7,FALSE)</f>
        <v/>
      </c>
      <c r="V14" s="82">
        <f>VLOOKUP($O14,$BT$13:$CA$16,8,FALSE)</f>
        <v/>
      </c>
      <c r="Y14" s="79" t="n"/>
      <c r="Z14" s="79" t="n"/>
      <c r="AA14" s="79" t="n"/>
      <c r="AB14" s="9" t="n"/>
      <c r="AC14" s="108" t="n"/>
      <c r="AE14" s="72">
        <f>C14</f>
        <v/>
      </c>
      <c r="AF14" s="72">
        <f>D14</f>
        <v/>
      </c>
      <c r="AG14" s="72">
        <f>E14</f>
        <v/>
      </c>
      <c r="AH14" s="72">
        <f>F14</f>
        <v/>
      </c>
      <c r="AI14" s="63">
        <f>IF(G14="","",G14)</f>
        <v/>
      </c>
      <c r="AJ14" s="58">
        <f>H14</f>
        <v/>
      </c>
      <c r="AK14" s="63">
        <f>IF(I14="","",I14)</f>
        <v/>
      </c>
      <c r="AL14" s="65">
        <f>J14</f>
        <v/>
      </c>
      <c r="AM14" s="73" t="n"/>
      <c r="AN14" s="13">
        <f>IF(AI14&gt;AK14,1,0)</f>
        <v/>
      </c>
      <c r="AO14" s="13">
        <f>IF(AK14&gt;AI14,1,0)</f>
        <v/>
      </c>
      <c r="AP14" s="13">
        <f>IF(AND(AI14=AK14,AI14&lt;&gt;""),1,0)</f>
        <v/>
      </c>
      <c r="AQ14" s="13">
        <f>IF(AND(AI14=AK14,AI14&lt;&gt;""),1,0)</f>
        <v/>
      </c>
      <c r="AR14" s="13">
        <f>IF(AI14&lt;AK14,1,0)</f>
        <v/>
      </c>
      <c r="AS14" s="13">
        <f>IF(AK14&lt;AI14,1,)</f>
        <v/>
      </c>
      <c r="AT14" s="13">
        <f>IF(ISERROR(VLOOKUP(AF14,CF:CF,1,FALSE)),0,1)*IF(ISERROR(VLOOKUP(AH14,CF:CF,1,FALSE)),0,1)*AN14</f>
        <v/>
      </c>
      <c r="AU14" s="13">
        <f>IF(ISERROR(VLOOKUP(AF14,CF:CF,1,FALSE)),0,1)*IF(ISERROR(VLOOKUP(AH14,CF:CF,1,FALSE)),0,1)*AO14</f>
        <v/>
      </c>
      <c r="AV14" s="13">
        <f>IF(ISERROR(VLOOKUP(AF14,CF:CF,1,FALSE)),0,1)*IF(ISERROR(VLOOKUP(AH14,CF:CF,1,FALSE)),0,1)*AP14</f>
        <v/>
      </c>
      <c r="AW14" s="13">
        <f>IF(ISERROR(VLOOKUP(AF14,CF:CF,1,FALSE)),0,1)*IF(ISERROR(VLOOKUP(AH14,CF:CF,1,FALSE)),0,1)*AQ14</f>
        <v/>
      </c>
      <c r="AX14" s="13">
        <f>IF(ISERROR(VLOOKUP(AF14,CF:CF,1,FALSE)),0,1)*IF(ISERROR(VLOOKUP(AH14,CF:CF,1,FALSE)),0,1)*AR14</f>
        <v/>
      </c>
      <c r="AY14" s="13">
        <f>IF(ISERROR(VLOOKUP(AF14,CF:CF,1,FALSE)),0,1)*IF(ISERROR(VLOOKUP(AH14,CF:CF,1,FALSE)),0,1)*AS14</f>
        <v/>
      </c>
      <c r="AZ14" s="13">
        <f>IF(ISERROR(VLOOKUP(AF14,CZ:CZ,1,FALSE)),0,1)*IF(ISERROR(VLOOKUP(AH14,CZ:CZ,1,FALSE)),0,1)*AN14</f>
        <v/>
      </c>
      <c r="BA14" s="13">
        <f>IF(ISERROR(VLOOKUP(AF14,CZ:CZ,1,FALSE)),0,1)*IF(ISERROR(VLOOKUP(AH14,CZ:CZ,1,FALSE)),0,1)*AO14</f>
        <v/>
      </c>
      <c r="BB14" s="13">
        <f>IF(ISERROR(VLOOKUP(AF14,CZ:CZ,1,FALSE)),0,1)*IF(ISERROR(VLOOKUP(AH14,CZ:CZ,1,FALSE)),0,1)*AP14</f>
        <v/>
      </c>
      <c r="BC14" s="13">
        <f>IF(ISERROR(VLOOKUP(AF14,CZ:CZ,1,FALSE)),0,1)*IF(ISERROR(VLOOKUP(AH14,CZ:CZ,1,FALSE)),0,1)*AQ14</f>
        <v/>
      </c>
      <c r="BD14" s="13">
        <f>IF(ISERROR(VLOOKUP(AF14,CZ:CZ,1,FALSE)),0,1)*IF(ISERROR(VLOOKUP(AH14,CZ:CZ,1,FALSE)),0,1)*AR14</f>
        <v/>
      </c>
      <c r="BE14" s="13">
        <f>IF(ISERROR(VLOOKUP(AF14,CZ:CZ,1,FALSE)),0,1)*IF(ISERROR(VLOOKUP(AH14,CZ:CZ,1,FALSE)),0,1)*AS14</f>
        <v/>
      </c>
      <c r="BF14" s="13">
        <f>IF(ISERROR(VLOOKUP(AF14,DT:DT,1,FALSE)),0,1)*IF(ISERROR(VLOOKUP(AH14,DT:DT,1,FALSE)),0,1)*AN14</f>
        <v/>
      </c>
      <c r="BG14" s="13">
        <f>IF(ISERROR(VLOOKUP(AF14,DT:DT,1,FALSE)),0,1)*IF(ISERROR(VLOOKUP(AH14,DT:DT,1,FALSE)),0,1)*AO14</f>
        <v/>
      </c>
      <c r="BH14" s="13">
        <f>IF(ISERROR(VLOOKUP(AF14,DT:DT,1,FALSE)),0,1)*IF(ISERROR(VLOOKUP(AH14,DT:DT,1,FALSE)),0,1)*AP14</f>
        <v/>
      </c>
      <c r="BI14" s="13">
        <f>IF(ISERROR(VLOOKUP(AF14,DT:DT,1,FALSE)),0,1)*IF(ISERROR(VLOOKUP(AH14,DT:DT,1,FALSE)),0,1)*AQ14</f>
        <v/>
      </c>
      <c r="BJ14" s="13">
        <f>IF(ISERROR(VLOOKUP(AF14,DT:DT,1,FALSE)),0,1)*IF(ISERROR(VLOOKUP(AH14,DT:DT,1,FALSE)),0,1)*AR14</f>
        <v/>
      </c>
      <c r="BK14" s="13">
        <f>IF(ISERROR(VLOOKUP(AF14,DT:DT,1,FALSE)),0,1)*IF(ISERROR(VLOOKUP(AH14,DT:DT,1,FALSE)),0,1)*AS14</f>
        <v/>
      </c>
      <c r="BL14" s="13">
        <f>IF(ISERROR(VLOOKUP(AF14,EN:EN,1,FALSE)),0,1)*IF(ISERROR(VLOOKUP(AH14,EN:EN,1,FALSE)),0,1)*AN14</f>
        <v/>
      </c>
      <c r="BM14" s="13">
        <f>IF(ISERROR(VLOOKUP(AF14,EN:EN,1,FALSE)),0,1)*IF(ISERROR(VLOOKUP(AH14,EN:EN,1,FALSE)),0,1)*AO14</f>
        <v/>
      </c>
      <c r="BN14" s="13">
        <f>IF(ISERROR(VLOOKUP(AF14,EN:EN,1,FALSE)),0,1)*IF(ISERROR(VLOOKUP(AH14,EN:EN,1,FALSE)),0,1)*AP14</f>
        <v/>
      </c>
      <c r="BO14" s="13">
        <f>IF(ISERROR(VLOOKUP(AF14,EN:EN,1,FALSE)),0,1)*IF(ISERROR(VLOOKUP(AH14,EN:EN,1,FALSE)),0,1)*AQ14</f>
        <v/>
      </c>
      <c r="BP14" s="13">
        <f>IF(ISERROR(VLOOKUP(AF14,EN:EN,1,FALSE)),0,1)*IF(ISERROR(VLOOKUP(AH14,EN:EN,1,FALSE)),0,1)*AR14</f>
        <v/>
      </c>
      <c r="BQ14" s="13">
        <f>IF(ISERROR(VLOOKUP(AF14,EN:EN,1,FALSE)),0,1)*IF(ISERROR(VLOOKUP(AH14,EN:EN,1,FALSE)),0,1)*AS14</f>
        <v/>
      </c>
      <c r="BT14" s="12" t="inlineStr">
        <is>
          <t>Bosnien-Herzigovina</t>
        </is>
      </c>
      <c r="BU14" s="13">
        <f>(SUMIF(AF$4:AF$108,BT14,AN$4:AN$108)+SUMIF(AH$4:AH$108,BT14,AO$4:AO$108))</f>
        <v/>
      </c>
      <c r="BV14" s="13">
        <f>(SUMIF(AF$4:AF$108,BT14,AP$4:AP$108)+SUMIF(AH$4:AH$108,BT14,AQ$4:AQ$108))</f>
        <v/>
      </c>
      <c r="BW14" s="13">
        <f>(SUMIF(AF$4:AF$108,BT14,AR$4:AR$108)+SUMIF(AH$4:AH$108,BT14,AS$4:AS$108))</f>
        <v/>
      </c>
      <c r="BX14" s="13">
        <f>SUMIF($AF$4:$AF$108,BT14,$AI$4:$AI$108)+SUMIF($AH$4:$AH$108,BT14,$AK$4:$AK$108)</f>
        <v/>
      </c>
      <c r="BY14" s="13">
        <f>SUMIF($AF$4:$AF$108,BT14,$AK$4:$AK$108)+SUMIF($AH$4:$AH$108,BT14,$AI$4:$AI$108)</f>
        <v/>
      </c>
      <c r="BZ14" s="13">
        <f>BX14-BY14</f>
        <v/>
      </c>
      <c r="CA14" s="13">
        <f>IFERROR(BU14*3+BV14*1,0)</f>
        <v/>
      </c>
      <c r="CB14" s="13" t="inlineStr">
        <is>
          <t>B</t>
        </is>
      </c>
      <c r="CC14" s="74">
        <f>RANK(CA14,CA13:CA16)</f>
        <v/>
      </c>
      <c r="CD14" s="13">
        <f>SUMPRODUCT((CA13:CA16=CA14)*(BZ13:BZ16&gt;BZ14))</f>
        <v/>
      </c>
      <c r="CF14" s="12">
        <f>IF(CC14=1,BT14,)</f>
        <v/>
      </c>
      <c r="CG14" s="13">
        <f>(SUMIF($AF$4:$AF$108,$BT14,$AT$4:$AT$108)+SUMIF($AH$4:$AH$108,$BT14,$AU$4:$AU$108))</f>
        <v/>
      </c>
      <c r="CH14" s="13">
        <f>(SUMIF($AF$4:$AF$108,$BT14,$AV$4:$AV$108)+SUMIF($AH$4:$AH$108,$BT14,$AW$4:$AW$108))</f>
        <v/>
      </c>
      <c r="CI14" s="13">
        <f>(SUMIF($AF$4:$AF$108,$BT14,$AX$4:$AX$108)+SUMIF($AH$4:$AH$108,$BT14,$AY$4:$AY$108))</f>
        <v/>
      </c>
      <c r="CJ14" s="13">
        <f>IFERROR(CG14*3+CH14*1,0)</f>
        <v/>
      </c>
      <c r="CK14" s="13">
        <f>CB14</f>
        <v/>
      </c>
      <c r="CL14" s="13">
        <f>IF(CF14&gt;0,RANK(CJ14,CJ13:CJ16),)</f>
        <v/>
      </c>
      <c r="CM14" s="13">
        <f>IF(AND(CF14&gt;0,COUNTIF(CL13:CL16,CL14)&gt;1),SUMIFS($AI$4:$AI$108,$AF$4:$AF$108,$BT14,$M$4:$M$108,1)+SUMIFS($AK$4:$AK$108,$AH$4:$AH$108,$BT14,$M$4:$M$108,1)-SUMIFS($AK$4:$AK$108,$AF$4:$AF$108,$BT14,$M$4:$M$108,1)-SUMIFS($AI$4:$AI$108,$AH$4:$AH$108,$BT14,$M$4:$M$108,1),)</f>
        <v/>
      </c>
      <c r="CN14" s="13">
        <f>IF(AND(CF14&gt;0,COUNTIF(CL13:CL16,CL14)&gt;1),CL14+RANK(CM14,CM13:CM16)-1,CL14)</f>
        <v/>
      </c>
      <c r="CO14" s="13">
        <f>IF(AND(CF14&gt;0,COUNTIF(CN13:CN16,CN14)&gt;1),SUMIFS($AI$4:$AI$108,$AF$4:$AF$108,$BT14,$M$4:$M$108,1)+SUMIFS($AK$4:$AK$108,$AH$4:$AH$108,$BT14,$M$4:$M$108,1),)</f>
        <v/>
      </c>
      <c r="CP14" s="13">
        <f>IF(AND(CF14&gt;0,COUNTIF(CN13:CN16,CN14)&gt;1),CN14+RANK(CO14,CO13:CO16)-1,CN14)</f>
        <v/>
      </c>
      <c r="CQ14" s="13">
        <f>IF(CP14=0,"",CP14)</f>
        <v/>
      </c>
      <c r="CR14" s="13">
        <f>IF(OR(CQ14="",COUNTIF(CQ13:CQ16,CQ14)=1),"",$BZ14)</f>
        <v/>
      </c>
      <c r="CS14" s="13">
        <f>IF(CQ14="","",IF(COUNTIF(CQ13:CQ16,CQ14)=1,CQ14,CQ14+RANK(CR14,CR13:CR16,0)-1))</f>
        <v/>
      </c>
      <c r="CT14" s="13">
        <f>IF(OR(CS14="",COUNTIF(CS13:CS16,CS14)=1),"",$BX14)</f>
        <v/>
      </c>
      <c r="CU14" s="13">
        <f>IF(CQ14="","",IF(COUNTIF(CS13:CS16,CS14)=1,CS14,CS14+RANK(CT14,CT13:CT16,0)-1))</f>
        <v/>
      </c>
      <c r="CV14" s="13">
        <f>IF(OR(CU14="",COUNTIF(CU13:CU16,CU14)=1),"",$BU14)</f>
        <v/>
      </c>
      <c r="CW14" s="13">
        <f>IF(CQ14="","",IF(COUNTIF(CU13:CU16,CU14)=1,CU14,CU14+RANK(CV14,CV13:CV16,0)-1))</f>
        <v/>
      </c>
      <c r="CX14" s="13">
        <f>IF(CF14&gt;0,BM11+RANK(CW14,CW13:CW16,1),)</f>
        <v/>
      </c>
      <c r="CZ14" s="12">
        <f>IF(CC14=2,BT14,)</f>
        <v/>
      </c>
      <c r="DA14" s="13">
        <f>(SUMIF($AF$4:$AF$108,$BT14,$AZ$4:$AZ$108)+SUMIF($AH$4:$AH$108,$BT14,$BA$4:$BA$108))</f>
        <v/>
      </c>
      <c r="DB14" s="13">
        <f>(SUMIF($AF$4:$AF$108,$BT14,$BB$4:$BB$108)+SUMIF($AH$4:$AH$108,$BT14,$BC$4:$BC$108))</f>
        <v/>
      </c>
      <c r="DC14" s="13">
        <f>(SUMIF($AF$4:$AF$108,$BT14,$BD$4:$BD$108)+SUMIF($AH$4:$AH$108,$BT14,$BE$4:$BE$108))</f>
        <v/>
      </c>
      <c r="DD14" s="13">
        <f>IFERROR(DA14*3+DB14*1,0)</f>
        <v/>
      </c>
      <c r="DE14" s="13">
        <f>$CB14</f>
        <v/>
      </c>
      <c r="DF14" s="13">
        <f>IF(CZ14&gt;0,RANK(DD14,DD13:DD16)+CG11,)</f>
        <v/>
      </c>
      <c r="DG14" s="13">
        <f>IF(AND(CZ14&gt;0,COUNTIF(DF13:DF16,DF14)&gt;1),SUMIFS($AI$4:$AI$108,$AF$4:$AF$108,$BT14,$M$4:$M$108,2)+SUMIFS($AK$4:$AK$108,$AH$4:$AH108,$BT14,$M$4:$M$108,2)-SUMIFS($AK$4:$AK$108,$AF$4:$AF$108,$BT14,$M$4:$M$108,2)-SUMIFS($AI$4:$AI$108,$AH$4:$AH$108,$BT14,$M$4:$M$108,2),)</f>
        <v/>
      </c>
      <c r="DH14" s="13">
        <f>IF(AND(CZ14&gt;0,COUNTIF(DF13:DF16,DF14)&gt;1),DF14+RANK(DG14,DG13:DG16)-1,DF14)</f>
        <v/>
      </c>
      <c r="DI14" s="13">
        <f>IF(AND(CZ14&gt;0,COUNTIF(DH13:DH16,DH14)&gt;1),SUMIFS($AI$4:$AI$108,$AF$4:$AF$108,$BT14,$M$4:$M$108,2)+SUMIFS($AK$4:$AK$108,$AH$4:$AH$108,$BT14,$M$4:$M$108,2),)</f>
        <v/>
      </c>
      <c r="DJ14" s="13">
        <f>IF(AND(CZ14&gt;0,COUNTIF(DH13:DH16,DH14)&gt;1),DH14+RANK(DI14,DI13:DI16)-1,DH14)</f>
        <v/>
      </c>
      <c r="DK14" s="75">
        <f>IF(DJ14=0,"",DJ14)</f>
        <v/>
      </c>
      <c r="DL14" s="75">
        <f>IF(OR(DK14="",COUNTIF(DK13:DK16,DK14)=1),"",$BZ14)</f>
        <v/>
      </c>
      <c r="DM14" s="75">
        <f>IF(DK14="","",IF(COUNTIF(DK13:DK16,DK14)=1,DK14,DK14+RANK(DL14,DL13:DL16,0)-1))</f>
        <v/>
      </c>
      <c r="DN14" s="75">
        <f>IF(OR(DM14="",COUNTIF(DM13:DM16,DM14)=1),"",$BX14)</f>
        <v/>
      </c>
      <c r="DO14" s="75">
        <f>IF(DK14="","",IF(COUNTIF(DM13:DM16,DM14)=1,DM14,DM14+RANK(DN14,DN13:DN16,0)-1))</f>
        <v/>
      </c>
      <c r="DP14" s="75">
        <f>IF(OR(DO14="",COUNTIF(DO13:DO16,DO14)=1),"",$BU14)</f>
        <v/>
      </c>
      <c r="DQ14" s="75">
        <f>IF(DK14="","",IF(COUNTIF(DO13:DO16,DO14)=1,DO14,DO14+RANK(DP14,DP13:DP16,0)-1))</f>
        <v/>
      </c>
      <c r="DR14" s="13">
        <f>IF(CZ14&gt;0,CG11+RANK(DQ14,DQ13:DQ16,1),)</f>
        <v/>
      </c>
      <c r="DT14" s="13">
        <f>IF(CC14=3,BT14,)</f>
        <v/>
      </c>
      <c r="DU14" s="13">
        <f>(SUMIF($AF$4:$AF$108,BT14,$BF$4:$BF$108)+SUMIF($AH$4:$AH$108,BT14,$BG$4:$BG$108))</f>
        <v/>
      </c>
      <c r="DV14" s="13">
        <f>(SUMIF($AF$4:$AF$108,BT14,$BH$4:$BH$108)+SUMIF($AH$4:$AH$108,BT14,$BI$4:$BI$108))</f>
        <v/>
      </c>
      <c r="DW14" s="13">
        <f>(SUMIF($AF$4:$AF$108,BT14,$BJ$4:$BJ$108)+SUMIF($AH$4:$AH$108,BT14,$BK$4:$BK$108))</f>
        <v/>
      </c>
      <c r="DX14" s="13">
        <f>IFERROR(DU14*3+DV14*1,0)</f>
        <v/>
      </c>
      <c r="DY14" s="13">
        <f>CB14</f>
        <v/>
      </c>
      <c r="DZ14" s="13">
        <f>IF(DT14&gt;0,RANK(DX14,DX13:DX16)+CG11+DA11,)</f>
        <v/>
      </c>
      <c r="EA14" s="13">
        <f>IF(AND(DT14&gt;0,COUNTIF(DZ13:DZ16,DZ14)&gt;1),SUMIFS($AI$4:$AI$108,$AF$4:$AF$108,$BT14,$M$4:$M$108,3)+SUMIFS($AK$4:$AK$108,$AH$4:$AH$108,$BT14,$M$4:$M$108,3)-SUMIFS($AK$4:$AK$108,$AF$4:$AF$108,$BT14,$M$4:$M$108,3)-SUMIFS($AI$4:$AI$108,$AH$4:$AH$108,$BT14,$M$4:$M$108,3),)</f>
        <v/>
      </c>
      <c r="EB14" s="13">
        <f>IF(AND(DT14&gt;0,COUNTIF(DZ13:DZ16,DZ14)&gt;1),DZ14+RANK(EA14,EA13:EA16)-1,DZ14)</f>
        <v/>
      </c>
      <c r="EC14" s="13">
        <f>IF(AND(DT14&gt;0,COUNTIF(EB13:EB16,EB14)&gt;1),SUMIFS($AI$4:$AI$108,$AF$4:$AF$108,$BT14,$M$4:$M$108,3)+SUMIFS($AK$4:$AK$108,$AH$4:$AH$108,$BT14,$M$4:$M$108,3),)</f>
        <v/>
      </c>
      <c r="ED14" s="13">
        <f>IF(AND(DT14&gt;0,COUNTIF(EB13:EB16,EB14)&gt;1),EB14+RANK(EC14,EC13:EC16)-1,EB14)</f>
        <v/>
      </c>
      <c r="EE14" s="13">
        <f>IF(ED14=0,"",ED14)</f>
        <v/>
      </c>
      <c r="EF14" s="13">
        <f>IF(OR(EE14="",COUNTIF(EE13:EE16,EE14)=1),"",$BZ14)</f>
        <v/>
      </c>
      <c r="EG14" s="13">
        <f>IF(EE14="","",IF(COUNTIF(EE13:EE16,EE14)=1,EE14,EE14+RANK(EF14,EF13:EF16,0)-1))</f>
        <v/>
      </c>
      <c r="EH14" s="13">
        <f>IF(OR(EG14="",COUNTIF(EG13:EG16,EG14)=1),"",$BX14)</f>
        <v/>
      </c>
      <c r="EI14" s="13">
        <f>IF(EE14="","",IF(COUNTIF(EG13:EG16,EG14)=1,EG14,EG14+RANK(EH14,EH13:EH16,0)-1))</f>
        <v/>
      </c>
      <c r="EJ14" s="13">
        <f>IF(OR(EI14="",COUNTIF(EI13:EI16,EI14)=1),"",$BU14)</f>
        <v/>
      </c>
      <c r="EK14" s="13">
        <f>IF(EE14="","",IF(COUNTIF(EI13:EI16,EI14)=1,EI14,EI14+RANK(EJ14,EJ13:EJ16,0)-1))</f>
        <v/>
      </c>
      <c r="EL14" s="13">
        <f>IF(DT14&gt;0,CG11+DA11+RANK(EK14,EK13:EK16,1),)</f>
        <v/>
      </c>
      <c r="EN14" s="13">
        <f>IF(CC14=4,BT14,)</f>
        <v/>
      </c>
      <c r="EO14" s="13">
        <f>(SUMIF($AF$4:$AF$108,$BT14,$BL$4:$BL$108)+SUMIF($AH$4:$AH$108,$BT14,$BM$4:$BM$108))</f>
        <v/>
      </c>
      <c r="EP14" s="13">
        <f>(SUMIF($AF$4:$AF$108,$BT14,$BN$4:$BN$108)+SUMIF($AH$4:$AH$108,$BT14,$BO$4:$BO$108))</f>
        <v/>
      </c>
      <c r="EQ14" s="13">
        <f>(SUMIF($AF$4:$AF$108,$BT14,$BP$4:$BP$108)+SUMIF($AH$4:$AH$108,$BT14,$BQ$4:$BQ$108))</f>
        <v/>
      </c>
      <c r="ER14" s="13">
        <f>IFERROR(EO14*3+EP14*1,0)</f>
        <v/>
      </c>
      <c r="ES14" s="13">
        <f>$CB14</f>
        <v/>
      </c>
      <c r="ET14" s="13">
        <f>IF(EN14&gt;0,RANK(ER14,ER13:ER16)+CG11+DA11+DU11,)</f>
        <v/>
      </c>
      <c r="EU14" s="13">
        <f>IF(AND(EN14&gt;0,COUNTIF(ET13:ET16,ET14)&gt;1),SUMIFS($AI$4:$AI$108,$AF$4:$AF$108,$BT14,$M$4:$M$108,4)+SUMIFS($AK$4:$AK$108,$AH$4:$AH$108,$BT14,$M$4:$M$108,4)-SUMIFS($AK$4:$AK$108,$AF$4:$AF$108,$BT14,$M$4:$M$108,4)-SUMIFS($AI$4:$AI$108,$AH$4:$AH$108,$BT14,$M$4:$M$108,4),)</f>
        <v/>
      </c>
      <c r="EV14" s="13">
        <f>IF(AND(EN14&gt;0,COUNTIF(ET13:ET16,ET14)&gt;1),ET14+RANK(EU14,EU13:EU16)-1,ET14)</f>
        <v/>
      </c>
      <c r="EW14" s="13">
        <f>IF(AND(EN14&gt;0,COUNTIF(EV14:EV17,EV14)&gt;1),SUMIFS($AI$4:$AI$108,$AF$4:$AF$108,$BT14,$M$4:$M$108,4)+SUMIFS($AK$4:$AK$108,$AH$4:$AH$108,$BT14,$M$4:$M$108,4),)</f>
        <v/>
      </c>
      <c r="EX14" s="13">
        <f>IF(AND(EN14&gt;0,COUNTIF(EV13:EV16,EV14)&gt;1),EV14+RANK(EW14,EW13:EW16)-1,EV14)</f>
        <v/>
      </c>
      <c r="EY14" s="13">
        <f>IF(EX14=0,"",EX14)</f>
        <v/>
      </c>
      <c r="EZ14" s="13">
        <f>IF(OR(EY14="",COUNTIF(EY13:EY16,EY14)=1),"",$BZ14)</f>
        <v/>
      </c>
      <c r="FA14" s="13">
        <f>IF(EY14="","",IF(COUNTIF(EY13:EY16,EY14)=1,EY14,EY14+RANK(EZ14,EZ13:EZ16,0)-1))</f>
        <v/>
      </c>
      <c r="FB14" s="13">
        <f>IF(OR(FA14="",COUNTIF(FA13:FA16,FA14)=1),"",$BX14)</f>
        <v/>
      </c>
      <c r="FC14" s="13">
        <f>IF(EY14="","",IF(COUNTIF(FA13:FA16,FA14)=1,FA14,FA14+RANK(FB14,FB13:FB16,0)-1))</f>
        <v/>
      </c>
      <c r="FD14" s="13">
        <f>IF(OR(FC14="",COUNTIF(FC13:FC16,FC14)=1),"",$BU14)</f>
        <v/>
      </c>
      <c r="FE14" s="13">
        <f>IF(EY14="","",IF(COUNTIF(FC13:FC16,FC14)=1,FC14,FC14+RANK(FD14,FD13:FD16,0)-1))</f>
        <v/>
      </c>
      <c r="FF14" s="13">
        <f>IF(EN14&gt;0,CG11+DA11+DU11+RANK(FE14,FE13:FE16,1),)</f>
        <v/>
      </c>
      <c r="FH14" s="13">
        <f>IFERROR(VLOOKUP(FJ14,CF12:CX16,19,FALSE),IFERROR(VLOOKUP(FJ14,CZ12:DR16,19,FALSE),IFERROR(VLOOKUP(FJ14,DT12:EL16,19,FALSE),VLOOKUP(FJ14,EN12:FF16,19,FALSE))))</f>
        <v/>
      </c>
      <c r="FI14" s="13">
        <f>RANK(FH14,FH13:FH16,1)+COUNTIF(FH13:FH14,FH14)-1</f>
        <v/>
      </c>
      <c r="FJ14" s="12">
        <f>BT14</f>
        <v/>
      </c>
      <c r="FM14" s="76" t="inlineStr">
        <is>
          <t>K</t>
        </is>
      </c>
      <c r="FN14" s="9">
        <f>O96</f>
        <v/>
      </c>
      <c r="FO14" s="77">
        <f>RANK($FP14,$FP$4:$FP$15,1)+COUNTIF($FP14:$FP$15,$FP14)-1</f>
        <v/>
      </c>
      <c r="FP14" s="77">
        <f>FS14+FR14+FQ14</f>
        <v/>
      </c>
      <c r="FQ14" s="77">
        <f t="array" ref="FQ14">SUMPRODUCT(($FT$4:$FT$15=FT14)*($FU$4:$FU$15=FU14)*($FV$4:$FV$15&gt;FV14))</f>
        <v/>
      </c>
      <c r="FR14" s="73">
        <f t="array" ref="FR14">SUMPRODUCT(($FT$4:$FT$15=FT14)*($FU$4:$FU$15&gt;FU14))</f>
        <v/>
      </c>
      <c r="FS14" s="77">
        <f>RANK(FT14,$FT$4:$FT$15)</f>
        <v/>
      </c>
      <c r="FT14" s="9">
        <f>V96</f>
        <v/>
      </c>
      <c r="FU14" s="9">
        <f>U96</f>
        <v/>
      </c>
      <c r="FV14" s="9">
        <f>S96</f>
        <v/>
      </c>
      <c r="FW14" s="78">
        <f>FM14</f>
        <v/>
      </c>
      <c r="FX14" s="77">
        <f>IF(FO14&lt;9,FW14,)</f>
        <v/>
      </c>
      <c r="FZ14" s="79" t="n">
        <v>12</v>
      </c>
      <c r="GA14" s="3">
        <f>GB14&amp;GC14&amp;GD14&amp;GE14&amp;GF14&amp;GG14&amp;GH14&amp;GI14</f>
        <v/>
      </c>
      <c r="GB14" s="3" t="inlineStr">
        <is>
          <t>E</t>
        </is>
      </c>
      <c r="GC14" s="3" t="inlineStr">
        <is>
          <t>J</t>
        </is>
      </c>
      <c r="GD14" s="3" t="inlineStr">
        <is>
          <t>I</t>
        </is>
      </c>
      <c r="GE14" s="3" t="inlineStr">
        <is>
          <t>C</t>
        </is>
      </c>
      <c r="GF14" s="3" t="inlineStr">
        <is>
          <t>H</t>
        </is>
      </c>
      <c r="GG14" s="3" t="inlineStr">
        <is>
          <t>G</t>
        </is>
      </c>
      <c r="GH14" s="3" t="inlineStr">
        <is>
          <t>L</t>
        </is>
      </c>
      <c r="GI14" s="3" t="inlineStr">
        <is>
          <t>K</t>
        </is>
      </c>
      <c r="GJ14" s="9">
        <f>VLOOKUP(GB14,$FM$3:$FN$15,2,FALSE)</f>
        <v/>
      </c>
      <c r="GK14" s="9">
        <f>VLOOKUP(GC14,$FM$3:$FN$15,2,FALSE)</f>
        <v/>
      </c>
      <c r="GL14" s="9">
        <f>VLOOKUP(GD14,$FM$3:$FN$15,2,FALSE)</f>
        <v/>
      </c>
      <c r="GM14" s="9">
        <f>VLOOKUP(GE14,$FM$3:$FN$15,2,FALSE)</f>
        <v/>
      </c>
      <c r="GN14" s="9">
        <f>VLOOKUP(GF14,$FM$3:$FN$15,2,FALSE)</f>
        <v/>
      </c>
      <c r="GO14" s="9">
        <f>VLOOKUP(GG14,$FM$3:$FN$15,2,FALSE)</f>
        <v/>
      </c>
      <c r="GP14" s="9">
        <f>VLOOKUP(GH14,$FM$3:$FN$15,2,FALSE)</f>
        <v/>
      </c>
      <c r="GQ14" s="9">
        <f>VLOOKUP(GI14,$FM$3:$FN$15,2,FALSE)</f>
        <v/>
      </c>
      <c r="GR14" s="9">
        <f>IFERROR(IF(AND(VLOOKUP(GB14,$FX$4:$FX$15,1,FALSE)=GB14,VLOOKUP(GC14,$FX$4:$FX$15,1,FALSE)=GC14,VLOOKUP(GD14,$FX$4:$FX$15,1,FALSE)=GD14,VLOOKUP(GE14,$FX$4:$FX$15,1,FALSE)=GE14,VLOOKUP(GF14,$FX$4:$FX$15,1,FALSE)=GF14,VLOOKUP(GG14,$FX$4:$FX$15,1,FALSE)=GG14,VLOOKUP(GH14,$FX$4:$FX$15,1,FALSE)=GH14,VLOOKUP(GI14,$FX$4:$FX$15,1,FALSE)=GI14),FZ14,""),"")</f>
        <v/>
      </c>
      <c r="GX14" s="79" t="n"/>
    </row>
    <row r="15" ht="14.25" customHeight="1">
      <c r="B15" s="58" t="n">
        <v>26</v>
      </c>
      <c r="C15" s="59" t="n">
        <v>46191</v>
      </c>
      <c r="D15" s="60" t="inlineStr">
        <is>
          <t>Schweiz</t>
        </is>
      </c>
      <c r="E15" s="61" t="inlineStr">
        <is>
          <t>-</t>
        </is>
      </c>
      <c r="F15" s="62" t="inlineStr">
        <is>
          <t>Bosnien-Herzigovina</t>
        </is>
      </c>
      <c r="G15" s="63" t="n">
        <v>1</v>
      </c>
      <c r="H15" s="64" t="inlineStr">
        <is>
          <t>-</t>
        </is>
      </c>
      <c r="I15" s="63" t="n">
        <v>0</v>
      </c>
      <c r="J15" s="65">
        <f>IF(OR(ISBLANK(G15),ISBLANK(I15)),"",IF(G15&gt;I15,1,IF(G15&lt;I15,2,"X")))</f>
        <v/>
      </c>
      <c r="K15" s="66">
        <f>IF(OR(G15="",I15="",'[1]Resultat &amp; tabell'!G15="",'[1]Resultat &amp; tabell'!I15=""),0,IF(G15='[1]Resultat &amp; tabell'!G15,2,0)+IF(I15='[1]Resultat &amp; tabell'!I15,2,0)+IF(J15='[1]Resultat &amp; tabell'!J15,2,0))</f>
        <v/>
      </c>
      <c r="L15" s="67" t="n"/>
      <c r="M15" s="29">
        <f>IF(VLOOKUP(D15,$BT$12:$CC$16,10,FALSE)=VLOOKUP(F15,$BT$12:$CC$16,10,FALSE),VLOOKUP(D15,$BT$12:$CC$16,10,FALSE),"-")</f>
        <v/>
      </c>
      <c r="N15" s="30" t="n">
        <v>3</v>
      </c>
      <c r="O15" s="83">
        <f>VLOOKUP(N15,FI13:FJ16,2,FALSE)</f>
        <v/>
      </c>
      <c r="P15" s="84">
        <f>VLOOKUP($O15,$BT$13:$CA$16,2,FALSE)</f>
        <v/>
      </c>
      <c r="Q15" s="84">
        <f>VLOOKUP($O15,$BT$13:$CA$16,3,FALSE)</f>
        <v/>
      </c>
      <c r="R15" s="84">
        <f>VLOOKUP($O15,$BT$13:$CA$16,4,FALSE)</f>
        <v/>
      </c>
      <c r="S15" s="84">
        <f>VLOOKUP($O15,$BT$13:$CA$16,5,FALSE)</f>
        <v/>
      </c>
      <c r="T15" s="84">
        <f>VLOOKUP($O15,$BT$13:$CA$16,6,FALSE)</f>
        <v/>
      </c>
      <c r="U15" s="84">
        <f>VLOOKUP($O15,$BT$13:$CA$16,7,FALSE)</f>
        <v/>
      </c>
      <c r="V15" s="85">
        <f>VLOOKUP($O15,$BT$13:$CA$16,8,FALSE)</f>
        <v/>
      </c>
      <c r="X15" s="104" t="n"/>
      <c r="Y15" s="79" t="n"/>
      <c r="Z15" s="79" t="n"/>
      <c r="AA15" s="79" t="n"/>
      <c r="AB15" s="9" t="n"/>
      <c r="AC15" s="108" t="n"/>
      <c r="AE15" s="72">
        <f>C15</f>
        <v/>
      </c>
      <c r="AF15" s="72">
        <f>D15</f>
        <v/>
      </c>
      <c r="AG15" s="72">
        <f>E15</f>
        <v/>
      </c>
      <c r="AH15" s="72">
        <f>F15</f>
        <v/>
      </c>
      <c r="AI15" s="63">
        <f>IF(G15="","",G15)</f>
        <v/>
      </c>
      <c r="AJ15" s="58">
        <f>H15</f>
        <v/>
      </c>
      <c r="AK15" s="63">
        <f>IF(I15="","",I15)</f>
        <v/>
      </c>
      <c r="AL15" s="65">
        <f>J15</f>
        <v/>
      </c>
      <c r="AM15" s="73" t="n"/>
      <c r="AN15" s="13">
        <f>IF(AI15&gt;AK15,1,0)</f>
        <v/>
      </c>
      <c r="AO15" s="13">
        <f>IF(AK15&gt;AI15,1,0)</f>
        <v/>
      </c>
      <c r="AP15" s="13">
        <f>IF(AND(AI15=AK15,AI15&lt;&gt;""),1,0)</f>
        <v/>
      </c>
      <c r="AQ15" s="13">
        <f>IF(AND(AI15=AK15,AI15&lt;&gt;""),1,0)</f>
        <v/>
      </c>
      <c r="AR15" s="13">
        <f>IF(AI15&lt;AK15,1,0)</f>
        <v/>
      </c>
      <c r="AS15" s="13">
        <f>IF(AK15&lt;AI15,1,)</f>
        <v/>
      </c>
      <c r="AT15" s="13">
        <f>IF(ISERROR(VLOOKUP(AF15,CF:CF,1,FALSE)),0,1)*IF(ISERROR(VLOOKUP(AH15,CF:CF,1,FALSE)),0,1)*AN15</f>
        <v/>
      </c>
      <c r="AU15" s="13">
        <f>IF(ISERROR(VLOOKUP(AF15,CF:CF,1,FALSE)),0,1)*IF(ISERROR(VLOOKUP(AH15,CF:CF,1,FALSE)),0,1)*AO15</f>
        <v/>
      </c>
      <c r="AV15" s="13">
        <f>IF(ISERROR(VLOOKUP(AF15,CF:CF,1,FALSE)),0,1)*IF(ISERROR(VLOOKUP(AH15,CF:CF,1,FALSE)),0,1)*AP15</f>
        <v/>
      </c>
      <c r="AW15" s="13">
        <f>IF(ISERROR(VLOOKUP(AF15,CF:CF,1,FALSE)),0,1)*IF(ISERROR(VLOOKUP(AH15,CF:CF,1,FALSE)),0,1)*AQ15</f>
        <v/>
      </c>
      <c r="AX15" s="13">
        <f>IF(ISERROR(VLOOKUP(AF15,CF:CF,1,FALSE)),0,1)*IF(ISERROR(VLOOKUP(AH15,CF:CF,1,FALSE)),0,1)*AR15</f>
        <v/>
      </c>
      <c r="AY15" s="13">
        <f>IF(ISERROR(VLOOKUP(AF15,CF:CF,1,FALSE)),0,1)*IF(ISERROR(VLOOKUP(AH15,CF:CF,1,FALSE)),0,1)*AS15</f>
        <v/>
      </c>
      <c r="AZ15" s="13">
        <f>IF(ISERROR(VLOOKUP(AF15,CZ:CZ,1,FALSE)),0,1)*IF(ISERROR(VLOOKUP(AH15,CZ:CZ,1,FALSE)),0,1)*AN15</f>
        <v/>
      </c>
      <c r="BA15" s="13">
        <f>IF(ISERROR(VLOOKUP(AF15,CZ:CZ,1,FALSE)),0,1)*IF(ISERROR(VLOOKUP(AH15,CZ:CZ,1,FALSE)),0,1)*AO15</f>
        <v/>
      </c>
      <c r="BB15" s="13">
        <f>IF(ISERROR(VLOOKUP(AF15,CZ:CZ,1,FALSE)),0,1)*IF(ISERROR(VLOOKUP(AH15,CZ:CZ,1,FALSE)),0,1)*AP15</f>
        <v/>
      </c>
      <c r="BC15" s="13">
        <f>IF(ISERROR(VLOOKUP(AF15,CZ:CZ,1,FALSE)),0,1)*IF(ISERROR(VLOOKUP(AH15,CZ:CZ,1,FALSE)),0,1)*AQ15</f>
        <v/>
      </c>
      <c r="BD15" s="13">
        <f>IF(ISERROR(VLOOKUP(AF15,CZ:CZ,1,FALSE)),0,1)*IF(ISERROR(VLOOKUP(AH15,CZ:CZ,1,FALSE)),0,1)*AR15</f>
        <v/>
      </c>
      <c r="BE15" s="13">
        <f>IF(ISERROR(VLOOKUP(AF15,CZ:CZ,1,FALSE)),0,1)*IF(ISERROR(VLOOKUP(AH15,CZ:CZ,1,FALSE)),0,1)*AS15</f>
        <v/>
      </c>
      <c r="BF15" s="13">
        <f>IF(ISERROR(VLOOKUP(AF15,DT:DT,1,FALSE)),0,1)*IF(ISERROR(VLOOKUP(AH15,DT:DT,1,FALSE)),0,1)*AN15</f>
        <v/>
      </c>
      <c r="BG15" s="13">
        <f>IF(ISERROR(VLOOKUP(AF15,DT:DT,1,FALSE)),0,1)*IF(ISERROR(VLOOKUP(AH15,DT:DT,1,FALSE)),0,1)*AO15</f>
        <v/>
      </c>
      <c r="BH15" s="13">
        <f>IF(ISERROR(VLOOKUP(AF15,DT:DT,1,FALSE)),0,1)*IF(ISERROR(VLOOKUP(AH15,DT:DT,1,FALSE)),0,1)*AP15</f>
        <v/>
      </c>
      <c r="BI15" s="13">
        <f>IF(ISERROR(VLOOKUP(AF15,DT:DT,1,FALSE)),0,1)*IF(ISERROR(VLOOKUP(AH15,DT:DT,1,FALSE)),0,1)*AQ15</f>
        <v/>
      </c>
      <c r="BJ15" s="13">
        <f>IF(ISERROR(VLOOKUP(AF15,DT:DT,1,FALSE)),0,1)*IF(ISERROR(VLOOKUP(AH15,DT:DT,1,FALSE)),0,1)*AR15</f>
        <v/>
      </c>
      <c r="BK15" s="13">
        <f>IF(ISERROR(VLOOKUP(AF15,DT:DT,1,FALSE)),0,1)*IF(ISERROR(VLOOKUP(AH15,DT:DT,1,FALSE)),0,1)*AS15</f>
        <v/>
      </c>
      <c r="BL15" s="13">
        <f>IF(ISERROR(VLOOKUP(AF15,EN:EN,1,FALSE)),0,1)*IF(ISERROR(VLOOKUP(AH15,EN:EN,1,FALSE)),0,1)*AN15</f>
        <v/>
      </c>
      <c r="BM15" s="13">
        <f>IF(ISERROR(VLOOKUP(AF15,EN:EN,1,FALSE)),0,1)*IF(ISERROR(VLOOKUP(AH15,EN:EN,1,FALSE)),0,1)*AO15</f>
        <v/>
      </c>
      <c r="BN15" s="13">
        <f>IF(ISERROR(VLOOKUP(AF15,EN:EN,1,FALSE)),0,1)*IF(ISERROR(VLOOKUP(AH15,EN:EN,1,FALSE)),0,1)*AP15</f>
        <v/>
      </c>
      <c r="BO15" s="13">
        <f>IF(ISERROR(VLOOKUP(AF15,EN:EN,1,FALSE)),0,1)*IF(ISERROR(VLOOKUP(AH15,EN:EN,1,FALSE)),0,1)*AQ15</f>
        <v/>
      </c>
      <c r="BP15" s="13">
        <f>IF(ISERROR(VLOOKUP(AF15,EN:EN,1,FALSE)),0,1)*IF(ISERROR(VLOOKUP(AH15,EN:EN,1,FALSE)),0,1)*AR15</f>
        <v/>
      </c>
      <c r="BQ15" s="13">
        <f>IF(ISERROR(VLOOKUP(AF15,EN:EN,1,FALSE)),0,1)*IF(ISERROR(VLOOKUP(AH15,EN:EN,1,FALSE)),0,1)*AS15</f>
        <v/>
      </c>
      <c r="BT15" s="12" t="inlineStr">
        <is>
          <t>Qatar</t>
        </is>
      </c>
      <c r="BU15" s="13">
        <f>(SUMIF(AF$4:AF$108,BT15,AN$4:AN$108)+SUMIF(AH$4:AH$108,BT15,AO$4:AO$108))</f>
        <v/>
      </c>
      <c r="BV15" s="13">
        <f>(SUMIF(AF$4:AF$108,BT15,AP$4:AP$108)+SUMIF(AH$4:AH$108,BT15,AQ$4:AQ$108))</f>
        <v/>
      </c>
      <c r="BW15" s="13">
        <f>(SUMIF(AF$4:AF$108,BT15,AR$4:AR$108)+SUMIF(AH$4:AH$108,BT15,AS$4:AS$108))</f>
        <v/>
      </c>
      <c r="BX15" s="13">
        <f>SUMIF($AF$4:$AF$108,BT15,$AI$4:$AI$108)+SUMIF($AH$4:$AH$108,BT15,$AK$4:$AK$108)</f>
        <v/>
      </c>
      <c r="BY15" s="13">
        <f>SUMIF($AF$4:$AF$108,BT15,$AK$4:$AK$108)+SUMIF($AH$4:$AH$108,BT15,$AI$4:$AI$108)</f>
        <v/>
      </c>
      <c r="BZ15" s="13">
        <f>BX15-BY15</f>
        <v/>
      </c>
      <c r="CA15" s="13">
        <f>IFERROR(BU15*3+BV15*1,0)</f>
        <v/>
      </c>
      <c r="CB15" s="13" t="inlineStr">
        <is>
          <t>B</t>
        </is>
      </c>
      <c r="CC15" s="74">
        <f>RANK(CA15,CA13:CA16)</f>
        <v/>
      </c>
      <c r="CD15" s="13">
        <f>SUMPRODUCT((CA13:CA16=CA15)*(BZ13:BZ16&gt;BZ15))</f>
        <v/>
      </c>
      <c r="CF15" s="12">
        <f>IF(CC15=1,BT15,)</f>
        <v/>
      </c>
      <c r="CG15" s="13">
        <f>(SUMIF($AF$4:$AF$108,$BT15,$AT$4:$AT$108)+SUMIF($AH$4:$AH$108,$BT15,$AU$4:$AU$108))</f>
        <v/>
      </c>
      <c r="CH15" s="13">
        <f>(SUMIF($AF$4:$AF$108,$BT15,$AV$4:$AV$108)+SUMIF($AH$4:$AH$108,$BT15,$AW$4:$AW$108))</f>
        <v/>
      </c>
      <c r="CI15" s="13">
        <f>(SUMIF($AF$4:$AF$108,$BT15,$AX$4:$AX$108)+SUMIF($AH$4:$AH$108,$BT15,$AY$4:$AY$108))</f>
        <v/>
      </c>
      <c r="CJ15" s="13">
        <f>IFERROR(CG15*3+CH15*1,0)</f>
        <v/>
      </c>
      <c r="CK15" s="13">
        <f>CB15</f>
        <v/>
      </c>
      <c r="CL15" s="13">
        <f>IF(CF15&gt;0,RANK(CJ15,CJ13:CJ16),)</f>
        <v/>
      </c>
      <c r="CM15" s="13">
        <f>IF(AND(CF15&gt;0,COUNTIF(CL13:CL16,CL15)&gt;1),SUMIFS($AI$4:$AI$108,$AF$4:$AF$108,$BT15,$M$4:$M$108,1)+SUMIFS($AK$4:$AK$108,$AH$4:$AH$108,$BT15,$M$4:$M$108,1)-SUMIFS($AK$4:$AK$108,$AF$4:$AF$108,$BT15,$M$4:$M$108,1)-SUMIFS($AI$4:$AI$108,$AH$4:$AH$108,$BT15,$M$4:$M$108,1),)</f>
        <v/>
      </c>
      <c r="CN15" s="13">
        <f>IF(AND(CF15&gt;0,COUNTIF(CL13:CL16,CL15)&gt;1),CL15+RANK(CM15,CM13:CM16)-1,CL15)</f>
        <v/>
      </c>
      <c r="CO15" s="13">
        <f>IF(AND(CF15&gt;0,COUNTIF(CN13:CN16,CN15)&gt;1),SUMIFS($AI$4:$AI$108,$AF$4:$AF$108,$BT15,$M$4:$M$108,1)+SUMIFS($AK$4:$AK$108,$AH$4:$AH$108,$BT15,$M$4:$M$108,1),)</f>
        <v/>
      </c>
      <c r="CP15" s="13">
        <f>IF(AND(CF15&gt;0,COUNTIF(CN13:CN16,CN15)&gt;1),CN15+RANK(CO15,CO13:CO16)-1,CN15)</f>
        <v/>
      </c>
      <c r="CQ15" s="13">
        <f>IF(CP15=0,"",CP15)</f>
        <v/>
      </c>
      <c r="CR15" s="13">
        <f>IF(OR(CQ15="",COUNTIF(CQ13:CQ16,CQ15)=1),"",$BZ15)</f>
        <v/>
      </c>
      <c r="CS15" s="13">
        <f>IF(CQ15="","",IF(COUNTIF(CQ13:CQ16,CQ15)=1,CQ15,CQ15+RANK(CR15,CR13:CR16,0)-1))</f>
        <v/>
      </c>
      <c r="CT15" s="13">
        <f>IF(OR(CS15="",COUNTIF(CS13:CS16,CS15)=1),"",$BX15)</f>
        <v/>
      </c>
      <c r="CU15" s="13">
        <f>IF(CQ15="","",IF(COUNTIF(CS13:CS16,CS15)=1,CS15,CS15+RANK(CT15,CT13:CT16,0)-1))</f>
        <v/>
      </c>
      <c r="CV15" s="13">
        <f>IF(OR(CU15="",COUNTIF(CU13:CU16,CU15)=1),"",$BU15)</f>
        <v/>
      </c>
      <c r="CW15" s="13">
        <f>IF(CQ15="","",IF(COUNTIF(CU13:CU16,CU15)=1,CU15,CU15+RANK(CV15,CV13:CV16,0)-1))</f>
        <v/>
      </c>
      <c r="CX15" s="13">
        <f>IF(CF15&gt;0,BM11+RANK(CW15,CW13:CW16,1),)</f>
        <v/>
      </c>
      <c r="CZ15" s="12">
        <f>IF(CC15=2,BT15,)</f>
        <v/>
      </c>
      <c r="DA15" s="13">
        <f>(SUMIF($AF$4:$AF$108,$BT15,$AZ$4:$AZ$108)+SUMIF($AH$4:$AH$108,$BT15,$BA$4:$BA$108))</f>
        <v/>
      </c>
      <c r="DB15" s="13">
        <f>(SUMIF($AF$4:$AF$108,$BT15,$BB$4:$BB$108)+SUMIF($AH$4:$AH$108,$BT15,$BC$4:$BC$108))</f>
        <v/>
      </c>
      <c r="DC15" s="13">
        <f>(SUMIF($AF$4:$AF$108,$BT15,$BD$4:$BD$108)+SUMIF($AH$4:$AH$108,$BT15,$BE$4:$BE$108))</f>
        <v/>
      </c>
      <c r="DD15" s="13">
        <f>IFERROR(DA15*3+DB15*1,0)</f>
        <v/>
      </c>
      <c r="DE15" s="13">
        <f>$CB15</f>
        <v/>
      </c>
      <c r="DF15" s="13">
        <f>IF(CZ15&gt;0,RANK(DD15,DD13:DD16)+CG11,)</f>
        <v/>
      </c>
      <c r="DG15" s="13">
        <f>IF(AND(CZ15&gt;0,COUNTIF(DF13:DF16,DF15)&gt;1),SUMIFS($AI$4:$AI$108,$AF$4:$AF$108,$BT15,$M$4:$M$108,2)+SUMIFS($AK$4:$AK$108,$AH$4:$AH108,$BT15,$M$4:$M$108,2)-SUMIFS($AK$4:$AK$108,$AF$4:$AF$108,$BT15,$M$4:$M$108,2)-SUMIFS($AI$4:$AI$108,$AH$4:$AH$108,$BT15,$M$4:$M$108,2),)</f>
        <v/>
      </c>
      <c r="DH15" s="13">
        <f>IF(AND(CZ15&gt;0,COUNTIF(DF13:DF16,DF15)&gt;1),DF15+RANK(DG15,DG13:DG16)-1,DF15)</f>
        <v/>
      </c>
      <c r="DI15" s="13">
        <f>IF(AND(CZ15&gt;0,COUNTIF(DH13:DH16,DH15)&gt;1),SUMIFS($AI$4:$AI$108,$AF$4:$AF$108,$BT15,$M$4:$M$108,2)+SUMIFS($AK$4:$AK$108,$AH$4:$AH$108,$BT15,$M$4:$M$108,2),)</f>
        <v/>
      </c>
      <c r="DJ15" s="13">
        <f>IF(AND(CZ15&gt;0,COUNTIF(DH13:DH16,DH15)&gt;1),DH15+RANK(DI15,DI13:DI16)-1,DH15)</f>
        <v/>
      </c>
      <c r="DK15" s="75">
        <f>IF(DJ15=0,"",DJ15)</f>
        <v/>
      </c>
      <c r="DL15" s="75">
        <f>IF(OR(DK15="",COUNTIF(DK13:DK16,DK15)=1),"",$BZ15)</f>
        <v/>
      </c>
      <c r="DM15" s="75">
        <f>IF(DK15="","",IF(COUNTIF(DK13:DK16,DK15)=1,DK15,DK15+RANK(DL15,DL13:DL16,0)-1))</f>
        <v/>
      </c>
      <c r="DN15" s="75">
        <f>IF(OR(DM15="",COUNTIF(DM13:DM16,DM15)=1),"",$BX15)</f>
        <v/>
      </c>
      <c r="DO15" s="75">
        <f>IF(DK15="","",IF(COUNTIF(DM13:DM16,DM15)=1,DM15,DM15+RANK(DN15,DN13:DN16,0)-1))</f>
        <v/>
      </c>
      <c r="DP15" s="75">
        <f>IF(OR(DO15="",COUNTIF(DO13:DO16,DO15)=1),"",$BU15)</f>
        <v/>
      </c>
      <c r="DQ15" s="75">
        <f>IF(DK15="","",IF(COUNTIF(DO13:DO16,DO15)=1,DO15,DO15+RANK(DP15,DP13:DP16,0)-1))</f>
        <v/>
      </c>
      <c r="DR15" s="13">
        <f>IF(CZ15&gt;0,CG11+RANK(DQ15,DQ13:DQ16,1),)</f>
        <v/>
      </c>
      <c r="DT15" s="13">
        <f>IF(CC15=3,BT15,)</f>
        <v/>
      </c>
      <c r="DU15" s="13">
        <f>(SUMIF($AF$4:$AF$108,BT15,$BF$4:$BF$108)+SUMIF($AH$4:$AH$108,BT15,$BG$4:$BG$108))</f>
        <v/>
      </c>
      <c r="DV15" s="13">
        <f>(SUMIF($AF$4:$AF$108,BT15,$BH$4:$BH$108)+SUMIF($AH$4:$AH$108,BT15,$BI$4:$BI$108))</f>
        <v/>
      </c>
      <c r="DW15" s="13">
        <f>(SUMIF($AF$4:$AF$108,BT15,$BJ$4:$BJ$108)+SUMIF($AH$4:$AH$108,BT15,$BK$4:$BK$108))</f>
        <v/>
      </c>
      <c r="DX15" s="13">
        <f>IFERROR(DU15*3+DV15*1,0)</f>
        <v/>
      </c>
      <c r="DY15" s="13">
        <f>CB15</f>
        <v/>
      </c>
      <c r="DZ15" s="13">
        <f>IF(DT15&gt;0,RANK(DX15,DX13:DX16)+CG11+DA11,)</f>
        <v/>
      </c>
      <c r="EA15" s="13">
        <f>IF(AND(DT15&gt;0,COUNTIF(DZ13:DZ16,DZ15)&gt;1),SUMIFS($AI$4:$AI$108,$AF$4:$AF$108,$BT15,$M$4:$M$108,3)+SUMIFS($AK$4:$AK$108,$AH$4:$AH$108,$BT15,$M$4:$M$108,3)-SUMIFS($AK$4:$AK$108,$AF$4:$AF$108,$BT15,$M$4:$M$108,3)-SUMIFS($AI$4:$AI$108,$AH$4:$AH$108,$BT15,$M$4:$M$108,3),)</f>
        <v/>
      </c>
      <c r="EB15" s="13">
        <f>IF(AND(DT15&gt;0,COUNTIF(DZ13:DZ16,DZ15)&gt;1),DZ15+RANK(EA15,EA13:EA16)-1,DZ15)</f>
        <v/>
      </c>
      <c r="EC15" s="13">
        <f>IF(AND(DT15&gt;0,COUNTIF(EB13:EB16,EB15)&gt;1),SUMIFS($AI$4:$AI$108,$AF$4:$AF$108,$BT15,$M$4:$M$108,3)+SUMIFS($AK$4:$AK$108,$AH$4:$AH$108,$BT15,$M$4:$M$108,3),)</f>
        <v/>
      </c>
      <c r="ED15" s="13">
        <f>IF(AND(DT15&gt;0,COUNTIF(EB13:EB16,EB15)&gt;1),EB15+RANK(EC15,EC13:EC16)-1,EB15)</f>
        <v/>
      </c>
      <c r="EE15" s="13">
        <f>IF(ED15=0,"",ED15)</f>
        <v/>
      </c>
      <c r="EF15" s="13">
        <f>IF(OR(EE15="",COUNTIF(EE13:EE16,EE15)=1),"",$BZ15)</f>
        <v/>
      </c>
      <c r="EG15" s="13">
        <f>IF(EE15="","",IF(COUNTIF(EE13:EE16,EE15)=1,EE15,EE15+RANK(EF15,EF13:EF16,0)-1))</f>
        <v/>
      </c>
      <c r="EH15" s="13">
        <f>IF(OR(EG15="",COUNTIF(EG13:EG16,EG15)=1),"",$BX15)</f>
        <v/>
      </c>
      <c r="EI15" s="13">
        <f>IF(EE15="","",IF(COUNTIF(EG13:EG16,EG15)=1,EG15,EG15+RANK(EH15,EH13:EH16,0)-1))</f>
        <v/>
      </c>
      <c r="EJ15" s="13">
        <f>IF(OR(EI15="",COUNTIF(EI13:EI16,EI15)=1),"",$BU15)</f>
        <v/>
      </c>
      <c r="EK15" s="13">
        <f>IF(EE15="","",IF(COUNTIF(EI13:EI16,EI15)=1,EI15,EI15+RANK(EJ15,EJ13:EJ16,0)-1))</f>
        <v/>
      </c>
      <c r="EL15" s="13">
        <f>IF(DT15&gt;0,CG11+DA11+RANK(EK15,EK13:EK16,1),)</f>
        <v/>
      </c>
      <c r="EN15" s="13">
        <f>IF(CC15=4,BT15,)</f>
        <v/>
      </c>
      <c r="EO15" s="13">
        <f>(SUMIF($AF$4:$AF$108,$BT15,$BL$4:$BL$108)+SUMIF($AH$4:$AH$108,$BT15,$BM$4:$BM$108))</f>
        <v/>
      </c>
      <c r="EP15" s="13">
        <f>(SUMIF($AF$4:$AF$108,$BT15,$BN$4:$BN$108)+SUMIF($AH$4:$AH$108,$BT15,$BO$4:$BO$108))</f>
        <v/>
      </c>
      <c r="EQ15" s="13">
        <f>(SUMIF($AF$4:$AF$108,$BT15,$BP$4:$BP$108)+SUMIF($AH$4:$AH$108,$BT15,$BQ$4:$BQ$108))</f>
        <v/>
      </c>
      <c r="ER15" s="13">
        <f>IFERROR(EO15*3+EP15*1,0)</f>
        <v/>
      </c>
      <c r="ES15" s="13">
        <f>$CB15</f>
        <v/>
      </c>
      <c r="ET15" s="13">
        <f>IF(EN15&gt;0,RANK(ER15,ER13:ER16)+CG11+DA11+DU11,)</f>
        <v/>
      </c>
      <c r="EU15" s="13">
        <f>IF(AND(EN15&gt;0,COUNTIF(ET13:ET16,ET15)&gt;1),SUMIFS($AI$4:$AI$108,$AF$4:$AF$108,$BT15,$M$4:$M$108,4)+SUMIFS($AK$4:$AK$108,$AH$4:$AH$108,$BT15,$M$4:$M$108,4)-SUMIFS($AK$4:$AK$108,$AF$4:$AF$108,$BT15,$M$4:$M$108,4)-SUMIFS($AI$4:$AI$108,$AH$4:$AH$108,$BT15,$M$4:$M$108,4),)</f>
        <v/>
      </c>
      <c r="EV15" s="13">
        <f>IF(AND(EN15&gt;0,COUNTIF(ET13:ET16,ET15)&gt;1),ET15+RANK(EU15,EU13:EU16)-1,ET15)</f>
        <v/>
      </c>
      <c r="EW15" s="13">
        <f>IF(AND(EN15&gt;0,COUNTIF(EV15:EV18,EV15)&gt;1),SUMIFS($AI$4:$AI$108,$AF$4:$AF$108,$BT15,$M$4:$M$108,4)+SUMIFS($AK$4:$AK$108,$AH$4:$AH$108,$BT15,$M$4:$M$108,4),)</f>
        <v/>
      </c>
      <c r="EX15" s="13">
        <f>IF(AND(EN15&gt;0,COUNTIF(EV13:EV16,EV15)&gt;1),EV15+RANK(EW15,EW13:EW16)-1,EV15)</f>
        <v/>
      </c>
      <c r="EY15" s="13">
        <f>IF(EX15=0,"",EX15)</f>
        <v/>
      </c>
      <c r="EZ15" s="13">
        <f>IF(OR(EY15="",COUNTIF(EY13:EY16,EY15)=1),"",$BZ15)</f>
        <v/>
      </c>
      <c r="FA15" s="13">
        <f>IF(EY15="","",IF(COUNTIF(EY13:EY16,EY15)=1,EY15,EY15+RANK(EZ15,EZ13:EZ16,0)-1))</f>
        <v/>
      </c>
      <c r="FB15" s="13">
        <f>IF(OR(FA15="",COUNTIF(FA13:FA16,FA15)=1),"",$BX15)</f>
        <v/>
      </c>
      <c r="FC15" s="13">
        <f>IF(EY15="","",IF(COUNTIF(FA13:FA16,FA15)=1,FA15,FA15+RANK(FB15,FB13:FB16,0)-1))</f>
        <v/>
      </c>
      <c r="FD15" s="13">
        <f>IF(OR(FC15="",COUNTIF(FC13:FC16,FC15)=1),"",$BU15)</f>
        <v/>
      </c>
      <c r="FE15" s="13">
        <f>IF(EY15="","",IF(COUNTIF(FC13:FC16,FC15)=1,FC15,FC15+RANK(FD15,FD13:FD16,0)-1))</f>
        <v/>
      </c>
      <c r="FF15" s="13">
        <f>IF(EN15&gt;0,CG11+DA11+DU11+RANK(FE15,FE13:FE16,1),)</f>
        <v/>
      </c>
      <c r="FH15" s="13">
        <f>IFERROR(VLOOKUP(FJ15,CF12:CX16,19,FALSE),IFERROR(VLOOKUP(FJ15,CZ12:DR16,19,FALSE),IFERROR(VLOOKUP(FJ15,DT12:EL16,19,FALSE),VLOOKUP(FJ15,EN12:FF16,19,FALSE))))</f>
        <v/>
      </c>
      <c r="FI15" s="13">
        <f>RANK(FH15,FH13:FH16,1)+COUNTIF(FH13:FH15,FH15)-1</f>
        <v/>
      </c>
      <c r="FJ15" s="12">
        <f>BT15</f>
        <v/>
      </c>
      <c r="FM15" s="76" t="inlineStr">
        <is>
          <t>L</t>
        </is>
      </c>
      <c r="FN15" s="9">
        <f>O105</f>
        <v/>
      </c>
      <c r="FO15" s="77">
        <f>RANK($FP15,$FP$4:$FP$15,1)+COUNTIF($FP15:$FP$15,$FP15)-1</f>
        <v/>
      </c>
      <c r="FP15" s="77">
        <f>FS15+FR15+FQ15</f>
        <v/>
      </c>
      <c r="FQ15" s="77">
        <f t="array" ref="FQ15">SUMPRODUCT(($FT$4:$FT$15=FT15)*($FU$4:$FU$15=FU15)*($FV$4:$FV$15&gt;FV15))</f>
        <v/>
      </c>
      <c r="FR15" s="73">
        <f t="array" ref="FR15">SUMPRODUCT(($FT$4:$FT$15=FT15)*($FU$4:$FU$15&gt;FU15))</f>
        <v/>
      </c>
      <c r="FS15" s="77">
        <f>RANK(FT15,$FT$4:$FT$15)</f>
        <v/>
      </c>
      <c r="FT15" s="9">
        <f>V105</f>
        <v/>
      </c>
      <c r="FU15" s="9">
        <f>U105</f>
        <v/>
      </c>
      <c r="FV15" s="9">
        <f>S105</f>
        <v/>
      </c>
      <c r="FW15" s="78">
        <f>FM15</f>
        <v/>
      </c>
      <c r="FX15" s="77">
        <f>IF(FO15&lt;9,FW15,)</f>
        <v/>
      </c>
      <c r="FZ15" s="79" t="n">
        <v>13</v>
      </c>
      <c r="GA15" s="3">
        <f>GB15&amp;GC15&amp;GD15&amp;GE15&amp;GF15&amp;GG15&amp;GH15&amp;GI15</f>
        <v/>
      </c>
      <c r="GB15" s="3" t="inlineStr">
        <is>
          <t>E</t>
        </is>
      </c>
      <c r="GC15" s="3" t="inlineStr">
        <is>
          <t>J</t>
        </is>
      </c>
      <c r="GD15" s="3" t="inlineStr">
        <is>
          <t>I</t>
        </is>
      </c>
      <c r="GE15" s="3" t="inlineStr">
        <is>
          <t>C</t>
        </is>
      </c>
      <c r="GF15" s="3" t="inlineStr">
        <is>
          <t>H</t>
        </is>
      </c>
      <c r="GG15" s="3" t="inlineStr">
        <is>
          <t>F</t>
        </is>
      </c>
      <c r="GH15" s="3" t="inlineStr">
        <is>
          <t>L</t>
        </is>
      </c>
      <c r="GI15" s="3" t="inlineStr">
        <is>
          <t>K</t>
        </is>
      </c>
      <c r="GJ15" s="9">
        <f>VLOOKUP(GB15,$FM$3:$FN$15,2,FALSE)</f>
        <v/>
      </c>
      <c r="GK15" s="9">
        <f>VLOOKUP(GC15,$FM$3:$FN$15,2,FALSE)</f>
        <v/>
      </c>
      <c r="GL15" s="9">
        <f>VLOOKUP(GD15,$FM$3:$FN$15,2,FALSE)</f>
        <v/>
      </c>
      <c r="GM15" s="9">
        <f>VLOOKUP(GE15,$FM$3:$FN$15,2,FALSE)</f>
        <v/>
      </c>
      <c r="GN15" s="9">
        <f>VLOOKUP(GF15,$FM$3:$FN$15,2,FALSE)</f>
        <v/>
      </c>
      <c r="GO15" s="9">
        <f>VLOOKUP(GG15,$FM$3:$FN$15,2,FALSE)</f>
        <v/>
      </c>
      <c r="GP15" s="9">
        <f>VLOOKUP(GH15,$FM$3:$FN$15,2,FALSE)</f>
        <v/>
      </c>
      <c r="GQ15" s="9">
        <f>VLOOKUP(GI15,$FM$3:$FN$15,2,FALSE)</f>
        <v/>
      </c>
      <c r="GR15" s="9">
        <f>IFERROR(IF(AND(VLOOKUP(GB15,$FX$4:$FX$15,1,FALSE)=GB15,VLOOKUP(GC15,$FX$4:$FX$15,1,FALSE)=GC15,VLOOKUP(GD15,$FX$4:$FX$15,1,FALSE)=GD15,VLOOKUP(GE15,$FX$4:$FX$15,1,FALSE)=GE15,VLOOKUP(GF15,$FX$4:$FX$15,1,FALSE)=GF15,VLOOKUP(GG15,$FX$4:$FX$15,1,FALSE)=GG15,VLOOKUP(GH15,$FX$4:$FX$15,1,FALSE)=GH15,VLOOKUP(GI15,$FX$4:$FX$15,1,FALSE)=GI15),FZ15,""),"")</f>
        <v/>
      </c>
      <c r="GX15" s="79" t="n"/>
    </row>
    <row r="16" ht="14.25" customHeight="1">
      <c r="B16" s="58" t="n">
        <v>27</v>
      </c>
      <c r="C16" s="59" t="n">
        <v>46192</v>
      </c>
      <c r="D16" s="60" t="inlineStr">
        <is>
          <t>Kanada</t>
        </is>
      </c>
      <c r="E16" s="61" t="inlineStr">
        <is>
          <t>-</t>
        </is>
      </c>
      <c r="F16" s="62" t="inlineStr">
        <is>
          <t>Qatar</t>
        </is>
      </c>
      <c r="G16" s="63" t="n">
        <v>2</v>
      </c>
      <c r="H16" s="64" t="inlineStr">
        <is>
          <t>-</t>
        </is>
      </c>
      <c r="I16" s="63" t="n">
        <v>1</v>
      </c>
      <c r="J16" s="65">
        <f>IF(OR(ISBLANK(G16),ISBLANK(I16)),"",IF(G16&gt;I16,1,IF(G16&lt;I16,2,"X")))</f>
        <v/>
      </c>
      <c r="K16" s="66">
        <f>IF(OR(G16="",I16="",'[1]Resultat &amp; tabell'!G16="",'[1]Resultat &amp; tabell'!I16=""),0,IF(G16='[1]Resultat &amp; tabell'!G16,2,0)+IF(I16='[1]Resultat &amp; tabell'!I16,2,0)+IF(J16='[1]Resultat &amp; tabell'!J16,2,0))</f>
        <v/>
      </c>
      <c r="L16" s="67" t="n"/>
      <c r="M16" s="29">
        <f>IF(VLOOKUP(D16,$BT$12:$CC$16,10,FALSE)=VLOOKUP(F16,$BT$12:$CC$16,10,FALSE),VLOOKUP(D16,$BT$12:$CC$16,10,FALSE),"-")</f>
        <v/>
      </c>
      <c r="N16" s="30" t="n">
        <v>4</v>
      </c>
      <c r="O16" s="86">
        <f>VLOOKUP(N16,FI13:FJ16,2,FALSE)</f>
        <v/>
      </c>
      <c r="P16" s="87">
        <f>VLOOKUP($O16,$BT$13:$CA$16,2,FALSE)</f>
        <v/>
      </c>
      <c r="Q16" s="87">
        <f>VLOOKUP($O16,$BT$13:$CA$16,3,FALSE)</f>
        <v/>
      </c>
      <c r="R16" s="87">
        <f>VLOOKUP($O16,$BT$13:$CA$16,4,FALSE)</f>
        <v/>
      </c>
      <c r="S16" s="87">
        <f>VLOOKUP($O16,$BT$13:$CA$16,5,FALSE)</f>
        <v/>
      </c>
      <c r="T16" s="87">
        <f>VLOOKUP($O16,$BT$13:$CA$16,6,FALSE)</f>
        <v/>
      </c>
      <c r="U16" s="87">
        <f>VLOOKUP($O16,$BT$13:$CA$16,7,FALSE)</f>
        <v/>
      </c>
      <c r="V16" s="82">
        <f>VLOOKUP($O16,$BT$13:$CA$16,8,FALSE)</f>
        <v/>
      </c>
      <c r="X16" s="104" t="n"/>
      <c r="Y16" s="79" t="n"/>
      <c r="Z16" s="79" t="n"/>
      <c r="AA16" s="79" t="n"/>
      <c r="AB16" s="9" t="n"/>
      <c r="AC16" s="108" t="n"/>
      <c r="AE16" s="72">
        <f>C16</f>
        <v/>
      </c>
      <c r="AF16" s="72">
        <f>D16</f>
        <v/>
      </c>
      <c r="AG16" s="72">
        <f>E16</f>
        <v/>
      </c>
      <c r="AH16" s="72">
        <f>F16</f>
        <v/>
      </c>
      <c r="AI16" s="63">
        <f>IF(G16="","",G16)</f>
        <v/>
      </c>
      <c r="AJ16" s="58">
        <f>H16</f>
        <v/>
      </c>
      <c r="AK16" s="63">
        <f>IF(I16="","",I16)</f>
        <v/>
      </c>
      <c r="AL16" s="65">
        <f>J16</f>
        <v/>
      </c>
      <c r="AM16" s="73" t="n"/>
      <c r="AN16" s="13">
        <f>IF(AI16&gt;AK16,1,0)</f>
        <v/>
      </c>
      <c r="AO16" s="13">
        <f>IF(AK16&gt;AI16,1,0)</f>
        <v/>
      </c>
      <c r="AP16" s="13">
        <f>IF(AND(AI16=AK16,AI16&lt;&gt;""),1,0)</f>
        <v/>
      </c>
      <c r="AQ16" s="13">
        <f>IF(AND(AI16=AK16,AI16&lt;&gt;""),1,0)</f>
        <v/>
      </c>
      <c r="AR16" s="13">
        <f>IF(AI16&lt;AK16,1,0)</f>
        <v/>
      </c>
      <c r="AS16" s="13">
        <f>IF(AK16&lt;AI16,1,)</f>
        <v/>
      </c>
      <c r="AT16" s="13">
        <f>IF(ISERROR(VLOOKUP(AF16,CF:CF,1,FALSE)),0,1)*IF(ISERROR(VLOOKUP(AH16,CF:CF,1,FALSE)),0,1)*AN16</f>
        <v/>
      </c>
      <c r="AU16" s="13">
        <f>IF(ISERROR(VLOOKUP(AF16,CF:CF,1,FALSE)),0,1)*IF(ISERROR(VLOOKUP(AH16,CF:CF,1,FALSE)),0,1)*AO16</f>
        <v/>
      </c>
      <c r="AV16" s="13">
        <f>IF(ISERROR(VLOOKUP(AF16,CF:CF,1,FALSE)),0,1)*IF(ISERROR(VLOOKUP(AH16,CF:CF,1,FALSE)),0,1)*AP16</f>
        <v/>
      </c>
      <c r="AW16" s="13">
        <f>IF(ISERROR(VLOOKUP(AF16,CF:CF,1,FALSE)),0,1)*IF(ISERROR(VLOOKUP(AH16,CF:CF,1,FALSE)),0,1)*AQ16</f>
        <v/>
      </c>
      <c r="AX16" s="13">
        <f>IF(ISERROR(VLOOKUP(AF16,CF:CF,1,FALSE)),0,1)*IF(ISERROR(VLOOKUP(AH16,CF:CF,1,FALSE)),0,1)*AR16</f>
        <v/>
      </c>
      <c r="AY16" s="13">
        <f>IF(ISERROR(VLOOKUP(AF16,CF:CF,1,FALSE)),0,1)*IF(ISERROR(VLOOKUP(AH16,CF:CF,1,FALSE)),0,1)*AS16</f>
        <v/>
      </c>
      <c r="AZ16" s="13">
        <f>IF(ISERROR(VLOOKUP(AF16,CZ:CZ,1,FALSE)),0,1)*IF(ISERROR(VLOOKUP(AH16,CZ:CZ,1,FALSE)),0,1)*AN16</f>
        <v/>
      </c>
      <c r="BA16" s="13">
        <f>IF(ISERROR(VLOOKUP(AF16,CZ:CZ,1,FALSE)),0,1)*IF(ISERROR(VLOOKUP(AH16,CZ:CZ,1,FALSE)),0,1)*AO16</f>
        <v/>
      </c>
      <c r="BB16" s="13">
        <f>IF(ISERROR(VLOOKUP(AF16,CZ:CZ,1,FALSE)),0,1)*IF(ISERROR(VLOOKUP(AH16,CZ:CZ,1,FALSE)),0,1)*AP16</f>
        <v/>
      </c>
      <c r="BC16" s="13">
        <f>IF(ISERROR(VLOOKUP(AF16,CZ:CZ,1,FALSE)),0,1)*IF(ISERROR(VLOOKUP(AH16,CZ:CZ,1,FALSE)),0,1)*AQ16</f>
        <v/>
      </c>
      <c r="BD16" s="13">
        <f>IF(ISERROR(VLOOKUP(AF16,CZ:CZ,1,FALSE)),0,1)*IF(ISERROR(VLOOKUP(AH16,CZ:CZ,1,FALSE)),0,1)*AR16</f>
        <v/>
      </c>
      <c r="BE16" s="13">
        <f>IF(ISERROR(VLOOKUP(AF16,CZ:CZ,1,FALSE)),0,1)*IF(ISERROR(VLOOKUP(AH16,CZ:CZ,1,FALSE)),0,1)*AS16</f>
        <v/>
      </c>
      <c r="BF16" s="13">
        <f>IF(ISERROR(VLOOKUP(AF16,DT:DT,1,FALSE)),0,1)*IF(ISERROR(VLOOKUP(AH16,DT:DT,1,FALSE)),0,1)*AN16</f>
        <v/>
      </c>
      <c r="BG16" s="13">
        <f>IF(ISERROR(VLOOKUP(AF16,DT:DT,1,FALSE)),0,1)*IF(ISERROR(VLOOKUP(AH16,DT:DT,1,FALSE)),0,1)*AO16</f>
        <v/>
      </c>
      <c r="BH16" s="13">
        <f>IF(ISERROR(VLOOKUP(AF16,DT:DT,1,FALSE)),0,1)*IF(ISERROR(VLOOKUP(AH16,DT:DT,1,FALSE)),0,1)*AP16</f>
        <v/>
      </c>
      <c r="BI16" s="13">
        <f>IF(ISERROR(VLOOKUP(AF16,DT:DT,1,FALSE)),0,1)*IF(ISERROR(VLOOKUP(AH16,DT:DT,1,FALSE)),0,1)*AQ16</f>
        <v/>
      </c>
      <c r="BJ16" s="13">
        <f>IF(ISERROR(VLOOKUP(AF16,DT:DT,1,FALSE)),0,1)*IF(ISERROR(VLOOKUP(AH16,DT:DT,1,FALSE)),0,1)*AR16</f>
        <v/>
      </c>
      <c r="BK16" s="13">
        <f>IF(ISERROR(VLOOKUP(AF16,DT:DT,1,FALSE)),0,1)*IF(ISERROR(VLOOKUP(AH16,DT:DT,1,FALSE)),0,1)*AS16</f>
        <v/>
      </c>
      <c r="BL16" s="13">
        <f>IF(ISERROR(VLOOKUP(AF16,EN:EN,1,FALSE)),0,1)*IF(ISERROR(VLOOKUP(AH16,EN:EN,1,FALSE)),0,1)*AN16</f>
        <v/>
      </c>
      <c r="BM16" s="13">
        <f>IF(ISERROR(VLOOKUP(AF16,EN:EN,1,FALSE)),0,1)*IF(ISERROR(VLOOKUP(AH16,EN:EN,1,FALSE)),0,1)*AO16</f>
        <v/>
      </c>
      <c r="BN16" s="13">
        <f>IF(ISERROR(VLOOKUP(AF16,EN:EN,1,FALSE)),0,1)*IF(ISERROR(VLOOKUP(AH16,EN:EN,1,FALSE)),0,1)*AP16</f>
        <v/>
      </c>
      <c r="BO16" s="13">
        <f>IF(ISERROR(VLOOKUP(AF16,EN:EN,1,FALSE)),0,1)*IF(ISERROR(VLOOKUP(AH16,EN:EN,1,FALSE)),0,1)*AQ16</f>
        <v/>
      </c>
      <c r="BP16" s="13">
        <f>IF(ISERROR(VLOOKUP(AF16,EN:EN,1,FALSE)),0,1)*IF(ISERROR(VLOOKUP(AH16,EN:EN,1,FALSE)),0,1)*AR16</f>
        <v/>
      </c>
      <c r="BQ16" s="13">
        <f>IF(ISERROR(VLOOKUP(AF16,EN:EN,1,FALSE)),0,1)*IF(ISERROR(VLOOKUP(AH16,EN:EN,1,FALSE)),0,1)*AS16</f>
        <v/>
      </c>
      <c r="BT16" s="88" t="inlineStr">
        <is>
          <t>Schweiz</t>
        </is>
      </c>
      <c r="BU16" s="13">
        <f>(SUMIF(AF$4:AF$108,BT16,AN$4:AN$108)+SUMIF(AH$4:AH$108,BT16,AO$4:AO$108))</f>
        <v/>
      </c>
      <c r="BV16" s="13">
        <f>(SUMIF(AF$4:AF$108,BT16,AP$4:AP$108)+SUMIF(AH$4:AH$108,BT16,AQ$4:AQ$108))</f>
        <v/>
      </c>
      <c r="BW16" s="13">
        <f>(SUMIF(AF$4:AF$108,BT16,AR$4:AR$108)+SUMIF(AH$4:AH$108,BT16,AS$4:AS$108))</f>
        <v/>
      </c>
      <c r="BX16" s="13">
        <f>SUMIF($AF$4:$AF$108,BT16,$AI$4:$AI$108)+SUMIF($AH$4:$AH$108,BT16,$AK$4:$AK$108)</f>
        <v/>
      </c>
      <c r="BY16" s="13">
        <f>SUMIF($AF$4:$AF$108,BT16,$AK$4:$AK$108)+SUMIF($AH$4:$AH$108,BT16,$AI$4:$AI$108)</f>
        <v/>
      </c>
      <c r="BZ16" s="13">
        <f>BX16-BY16</f>
        <v/>
      </c>
      <c r="CA16" s="13">
        <f>IFERROR(BU16*3+BV16*1,0)</f>
        <v/>
      </c>
      <c r="CB16" s="89" t="inlineStr">
        <is>
          <t>B</t>
        </is>
      </c>
      <c r="CC16" s="74">
        <f>RANK(CA16,CA13:CA16)</f>
        <v/>
      </c>
      <c r="CD16" s="13">
        <f>SUMPRODUCT((CA13:CA16=CA16)*(BZ13:BZ16&gt;BZ16))</f>
        <v/>
      </c>
      <c r="CF16" s="12">
        <f>IF(CC16=1,BT16,)</f>
        <v/>
      </c>
      <c r="CG16" s="13">
        <f>(SUMIF($AF$4:$AF$108,$BT16,$AT$4:$AT$108)+SUMIF($AH$4:$AH$108,$BT16,$AU$4:$AU$108))</f>
        <v/>
      </c>
      <c r="CH16" s="13">
        <f>(SUMIF($AF$4:$AF$108,$BT16,$AV$4:$AV$108)+SUMIF($AH$4:$AH$108,$BT16,$AW$4:$AW$108))</f>
        <v/>
      </c>
      <c r="CI16" s="13">
        <f>(SUMIF($AF$4:$AF$108,$BT16,$AX$4:$AX$108)+SUMIF($AH$4:$AH$108,$BT16,$AY$4:$AY$108))</f>
        <v/>
      </c>
      <c r="CJ16" s="13">
        <f>IFERROR(CG16*3+CH16*1,0)</f>
        <v/>
      </c>
      <c r="CK16" s="13">
        <f>CB16</f>
        <v/>
      </c>
      <c r="CL16" s="13">
        <f>IF(CF16&gt;0,RANK(CJ16,CJ13:CJ16),)</f>
        <v/>
      </c>
      <c r="CM16" s="13">
        <f>IF(AND(CF16&gt;0,COUNTIF(CL13:CL16,CL16)&gt;1),SUMIFS($AI$4:$AI$108,$AF$4:$AF$108,$BT16,$M$4:$M$108,1)+SUMIFS($AK$4:$AK$108,$AH$4:$AH$108,$BT16,$M$4:$M$108,1)-SUMIFS($AK$4:$AK$108,$AF$4:$AF$108,$BT16,$M$4:$M$108,1)-SUMIFS($AI$4:$AI$108,$AH$4:$AH$108,$BT16,$M$4:$M$108,1),)</f>
        <v/>
      </c>
      <c r="CN16" s="13">
        <f>IF(AND(CF16&gt;0,COUNTIF(CL13:CL16,CL16)&gt;1),CL16+RANK(CM16,CM13:CM16)-1,CL16)</f>
        <v/>
      </c>
      <c r="CO16" s="13">
        <f>IF(AND(CF16&gt;0,COUNTIF(CN13:CN16,CN16)&gt;1),SUMIFS($AI$4:$AI$108,$AF$4:$AF$108,$BT16,$M$4:$M$108,1)+SUMIFS($AK$4:$AK$108,$AH$4:$AH$108,$BT16,$M$4:$M$108,1),)</f>
        <v/>
      </c>
      <c r="CP16" s="13">
        <f>IF(AND(CF16&gt;0,COUNTIF(CN13:CN16,CN16)&gt;1),CN16+RANK(CO16,CO13:CO16)-1,CN16)</f>
        <v/>
      </c>
      <c r="CQ16" s="13">
        <f>IF(CP16=0,"",CP16)</f>
        <v/>
      </c>
      <c r="CR16" s="13">
        <f>IF(OR(CQ16="",COUNTIF(CQ13:CQ16,CQ16)=1),"",$BZ16)</f>
        <v/>
      </c>
      <c r="CS16" s="13">
        <f>IF(CQ16="","",IF(COUNTIF(CQ13:CQ16,CQ16)=1,CQ16,CQ16+RANK(CR16,CR13:CR16,0)-1))</f>
        <v/>
      </c>
      <c r="CT16" s="13">
        <f>IF(OR(CS16="",COUNTIF(CS13:CS16,CS16)=1),"",$BX16)</f>
        <v/>
      </c>
      <c r="CU16" s="13">
        <f>IF(CQ16="","",IF(COUNTIF(CS13:CS16,CS16)=1,CS16,CS16+RANK(CT16,CT13:CT16,0)-1))</f>
        <v/>
      </c>
      <c r="CV16" s="13">
        <f>IF(OR(CU16="",COUNTIF(CU13:CU16,CU16)=1),"",$BU16)</f>
        <v/>
      </c>
      <c r="CW16" s="13">
        <f>IF(CQ16="","",IF(COUNTIF(CU13:CU16,CU16)=1,CU16,CU16+RANK(CV16,CV13:CV16,0)-1))</f>
        <v/>
      </c>
      <c r="CX16" s="13">
        <f>IF(CF16&gt;0,BM11+RANK(CW16,CW13:CW16,1),)</f>
        <v/>
      </c>
      <c r="CZ16" s="88">
        <f>IF(CC16=2,BT16,)</f>
        <v/>
      </c>
      <c r="DA16" s="13">
        <f>(SUMIF($AF$4:$AF$108,$BT16,$AZ$4:$AZ$108)+SUMIF($AH$4:$AH$108,$BT16,$BA$4:$BA$108))</f>
        <v/>
      </c>
      <c r="DB16" s="13">
        <f>(SUMIF($AF$4:$AF$108,$BT16,$BB$4:$BB$108)+SUMIF($AH$4:$AH$108,$BT16,$BC$4:$BC$108))</f>
        <v/>
      </c>
      <c r="DC16" s="13">
        <f>(SUMIF($AF$4:$AF$108,$BT16,$BD$4:$BD$108)+SUMIF($AH$4:$AH$108,$BT16,$BE$4:$BE$108))</f>
        <v/>
      </c>
      <c r="DD16" s="13">
        <f>IFERROR(DA16*3+DB16*1,0)</f>
        <v/>
      </c>
      <c r="DE16" s="13">
        <f>$CB16</f>
        <v/>
      </c>
      <c r="DF16" s="13">
        <f>IF(CZ16&gt;0,RANK(DD16,DD13:DD16)+CG11,)</f>
        <v/>
      </c>
      <c r="DG16" s="13">
        <f>IF(AND(CZ16&gt;0,COUNTIF(DF13:DF16,DF16)&gt;1),SUMIFS($AI$4:$AI$108,$AF$4:$AF$108,$BT16,$M$4:$M$108,2)+SUMIFS($AK$4:$AK$108,$AH$4:$AH108,$BT16,$M$4:$M$108,2)-SUMIFS($AK$4:$AK$108,$AF$4:$AF$108,$BT16,$M$4:$M$108,2)-SUMIFS($AI$4:$AI$108,$AH$4:$AH$108,$BT16,$M$4:$M$108,2),)</f>
        <v/>
      </c>
      <c r="DH16" s="13">
        <f>IF(AND(CZ16&gt;0,COUNTIF(DF13:DF16,DF16)&gt;1),DF16+RANK(DG16,DG13:DG16)-1,DF16)</f>
        <v/>
      </c>
      <c r="DI16" s="13">
        <f>IF(AND(CZ16&gt;0,COUNTIF(DH13:DH16,DH16)&gt;1),SUMIFS($AI$4:$AI$108,$AF$4:$AF$108,$BT16,$M$4:$M$108,2)+SUMIFS($AK$4:$AK$108,$AH$4:$AH$108,$BT16,$M$4:$M$108,2),)</f>
        <v/>
      </c>
      <c r="DJ16" s="13">
        <f>IF(AND(CZ16&gt;0,COUNTIF(DH13:DH16,DH16)&gt;1),DH16+RANK(DI16,DI13:DI16)-1,DH16)</f>
        <v/>
      </c>
      <c r="DK16" s="75">
        <f>IF(DJ16=0,"",DJ16)</f>
        <v/>
      </c>
      <c r="DL16" s="75">
        <f>IF(OR(DK16="",COUNTIF(DK13:DK16,DK16)=1),"",$BZ16)</f>
        <v/>
      </c>
      <c r="DM16" s="75">
        <f>IF(DK16="","",IF(COUNTIF(DK13:DK16,DK16)=1,DK16,DK16+RANK(DL16,DL13:DL16,0)-1))</f>
        <v/>
      </c>
      <c r="DN16" s="75">
        <f>IF(OR(DM16="",COUNTIF(DM13:DM16,DM16)=1),"",$BX16)</f>
        <v/>
      </c>
      <c r="DO16" s="75">
        <f>IF(DK16="","",IF(COUNTIF(DM13:DM16,DM16)=1,DM16,DM16+RANK(DN16,DN13:DN16,0)-1))</f>
        <v/>
      </c>
      <c r="DP16" s="75">
        <f>IF(OR(DO16="",COUNTIF(DO13:DO16,DO16)=1),"",$BU16)</f>
        <v/>
      </c>
      <c r="DQ16" s="75">
        <f>IF(DK16="","",IF(COUNTIF(DO13:DO16,DO16)=1,DO16,DO16+RANK(DP16,DP13:DP16,0)-1))</f>
        <v/>
      </c>
      <c r="DR16" s="13">
        <f>IF(CZ16&gt;0,CG11+RANK(DQ16,DQ13:DQ16,1),)</f>
        <v/>
      </c>
      <c r="DT16" s="89">
        <f>IF(CC16=3,BT16,)</f>
        <v/>
      </c>
      <c r="DU16" s="13">
        <f>(SUMIF($AF$4:$AF$108,BT16,$BF$4:$BF$108)+SUMIF($AH$4:$AH$108,BT16,$BG$4:$BG$108))</f>
        <v/>
      </c>
      <c r="DV16" s="13">
        <f>(SUMIF($AF$4:$AF$108,BT16,$BH$4:$BH$108)+SUMIF($AH$4:$AH$108,BT16,$BI$4:$BI$108))</f>
        <v/>
      </c>
      <c r="DW16" s="13">
        <f>(SUMIF($AF$4:$AF$108,BT16,$BJ$4:$BJ$108)+SUMIF($AH$4:$AH$108,BT16,$BK$4:$BK$108))</f>
        <v/>
      </c>
      <c r="DX16" s="13">
        <f>IFERROR(DU16*3+DV16*1,0)</f>
        <v/>
      </c>
      <c r="DY16" s="13">
        <f>CB16</f>
        <v/>
      </c>
      <c r="DZ16" s="13">
        <f>IF(DT16&gt;0,RANK(DX16,DX13:DX16)+CG11+DA11,)</f>
        <v/>
      </c>
      <c r="EA16" s="13">
        <f>IF(AND(DT16&gt;0,COUNTIF(DZ13:DZ16,DZ16)&gt;1),SUMIFS($AI$4:$AI$108,$AF$4:$AF$108,$BT16,$M$4:$M$108,3)+SUMIFS($AK$4:$AK$108,$AH$4:$AH$108,$BT16,$M$4:$M$108,3)-SUMIFS($AK$4:$AK$108,$AF$4:$AF$108,$BT16,$M$4:$M$108,3)-SUMIFS($AI$4:$AI$108,$AH$4:$AH$108,$BT16,$M$4:$M$108,3),)</f>
        <v/>
      </c>
      <c r="EB16" s="13">
        <f>IF(AND(DT16&gt;0,COUNTIF(DZ13:DZ16,DZ16)&gt;1),DZ16+RANK(EA16,EA13:EA16)-1,DZ16)</f>
        <v/>
      </c>
      <c r="EC16" s="13">
        <f>IF(AND(DT16&gt;0,COUNTIF(EB13:EB16,EB16)&gt;1),SUMIFS($AI$4:$AI$108,$AF$4:$AF$108,$BT16,$M$4:$M$108,3)+SUMIFS($AK$4:$AK$108,$AH$4:$AH$108,$BT16,$M$4:$M$108,3),)</f>
        <v/>
      </c>
      <c r="ED16" s="13">
        <f>IF(AND(DT16&gt;0,COUNTIF(EB13:EB16,EB16)&gt;1),EB16+RANK(EC16,EC13:EC16)-1,EB16)</f>
        <v/>
      </c>
      <c r="EE16" s="13">
        <f>IF(ED16=0,"",ED16)</f>
        <v/>
      </c>
      <c r="EF16" s="13">
        <f>IF(OR(EE16="",COUNTIF(EE13:EE16,EE16)=1),"",$BZ16)</f>
        <v/>
      </c>
      <c r="EG16" s="13">
        <f>IF(EE16="","",IF(COUNTIF(EE13:EE16,EE16)=1,EE16,EE16+RANK(EF16,EF13:EF16,0)-1))</f>
        <v/>
      </c>
      <c r="EH16" s="13">
        <f>IF(OR(EG16="",COUNTIF(EG13:EG16,EG16)=1),"",$BX16)</f>
        <v/>
      </c>
      <c r="EI16" s="13">
        <f>IF(EE16="","",IF(COUNTIF(EG13:EG16,EG16)=1,EG16,EG16+RANK(EH16,EH13:EH16,0)-1))</f>
        <v/>
      </c>
      <c r="EJ16" s="13">
        <f>IF(OR(EI16="",COUNTIF(EI13:EI16,EI16)=1),"",$BU16)</f>
        <v/>
      </c>
      <c r="EK16" s="13">
        <f>IF(EE16="","",IF(COUNTIF(EI13:EI16,EI16)=1,EI16,EI16+RANK(EJ16,EJ13:EJ16,0)-1))</f>
        <v/>
      </c>
      <c r="EL16" s="13">
        <f>IF(DT16&gt;0,CG11+DA11+RANK(EK16,EK13:EK16,1),)</f>
        <v/>
      </c>
      <c r="EN16" s="13">
        <f>IF(CC16=4,BT16,)</f>
        <v/>
      </c>
      <c r="EO16" s="13">
        <f>(SUMIF($AF$4:$AF$108,$BT16,$BL$4:$BL$108)+SUMIF($AH$4:$AH$108,$BT16,$BM$4:$BM$108))</f>
        <v/>
      </c>
      <c r="EP16" s="13">
        <f>(SUMIF($AF$4:$AF$108,$BT16,$BN$4:$BN$108)+SUMIF($AH$4:$AH$108,$BT16,$BO$4:$BO$108))</f>
        <v/>
      </c>
      <c r="EQ16" s="13">
        <f>(SUMIF($AF$4:$AF$108,$BT16,$BP$4:$BP$108)+SUMIF($AH$4:$AH$108,$BT16,$BQ$4:$BQ$108))</f>
        <v/>
      </c>
      <c r="ER16" s="13">
        <f>IFERROR(EO16*3+EP16*1,0)</f>
        <v/>
      </c>
      <c r="ES16" s="13">
        <f>$CB16</f>
        <v/>
      </c>
      <c r="ET16" s="13">
        <f>IF(EN16&gt;0,RANK(ER16,ER13:ER16)+CG11+DA11+DU11,)</f>
        <v/>
      </c>
      <c r="EU16" s="13">
        <f>IF(AND(EN16&gt;0,COUNTIF(ET13:ET16,ET16)&gt;1),SUMIFS($AI$4:$AI$108,$AF$4:$AF$108,$BT16,$M$4:$M$108,4)+SUMIFS($AK$4:$AK$108,$AH$4:$AH$108,$BT16,$M$4:$M$108,4)-SUMIFS($AK$4:$AK$108,$AF$4:$AF$108,$BT16,$M$4:$M$108,4)-SUMIFS($AI$4:$AI$108,$AH$4:$AH$108,$BT16,$M$4:$M$108,4),)</f>
        <v/>
      </c>
      <c r="EV16" s="13">
        <f>IF(AND(EN16&gt;0,COUNTIF(ET13:ET16,ET16)&gt;1),ET16+RANK(EU16,EU13:EU16)-1,ET16)</f>
        <v/>
      </c>
      <c r="EW16" s="13">
        <f>IF(AND(EN16&gt;0,COUNTIF(EV16:EV19,EV16)&gt;1),SUMIFS($AI$4:$AI$108,$AF$4:$AF$108,$BT16,$M$4:$M$108,4)+SUMIFS($AK$4:$AK$108,$AH$4:$AH$108,$BT16,$M$4:$M$108,4),)</f>
        <v/>
      </c>
      <c r="EX16" s="13">
        <f>IF(AND(EN16&gt;0,COUNTIF(EV13:EV16,EV16)&gt;1),EV16+RANK(EW16,EW13:EW16)-1,EV16)</f>
        <v/>
      </c>
      <c r="EY16" s="13">
        <f>IF(EX16=0,"",EX16)</f>
        <v/>
      </c>
      <c r="EZ16" s="13">
        <f>IF(OR(EY16="",COUNTIF(EY13:EY16,EY16)=1),"",$BZ16)</f>
        <v/>
      </c>
      <c r="FA16" s="13">
        <f>IF(EY16="","",IF(COUNTIF(EY13:EY16,EY16)=1,EY16,EY16+RANK(EZ16,EZ13:EZ16,0)-1))</f>
        <v/>
      </c>
      <c r="FB16" s="13">
        <f>IF(OR(FA16="",COUNTIF(FA13:FA16,FA16)=1),"",$BX16)</f>
        <v/>
      </c>
      <c r="FC16" s="13">
        <f>IF(EY16="","",IF(COUNTIF(FA13:FA16,FA16)=1,FA16,FA16+RANK(FB16,FB13:FB16,0)-1))</f>
        <v/>
      </c>
      <c r="FD16" s="13">
        <f>IF(OR(FC16="",COUNTIF(FC13:FC16,FC16)=1),"",$BU16)</f>
        <v/>
      </c>
      <c r="FE16" s="13">
        <f>IF(EY16="","",IF(COUNTIF(FC13:FC16,FC16)=1,FC16,FC16+RANK(FD16,FD13:FD16,0)-1))</f>
        <v/>
      </c>
      <c r="FF16" s="13">
        <f>IF(EN16&gt;0,CG11+DA11+DU11+RANK(FE16,FE13:FE16,1),)</f>
        <v/>
      </c>
      <c r="FH16" s="13">
        <f>IFERROR(VLOOKUP(FJ16,CF12:CX16,19,FALSE),IFERROR(VLOOKUP(FJ16,CZ12:DR16,19,FALSE),IFERROR(VLOOKUP(FJ16,DT12:EL16,19,FALSE),VLOOKUP(FJ16,EN12:FF16,19,FALSE))))</f>
        <v/>
      </c>
      <c r="FI16" s="13">
        <f>RANK(FH16,FH13:FH16,1)+COUNTIF(FH13:FH16,FH16)-1</f>
        <v/>
      </c>
      <c r="FJ16" s="12">
        <f>BT16</f>
        <v/>
      </c>
      <c r="FZ16" s="79" t="n">
        <v>14</v>
      </c>
      <c r="GA16" s="3">
        <f>GB16&amp;GC16&amp;GD16&amp;GE16&amp;GF16&amp;GG16&amp;GH16&amp;GI16</f>
        <v/>
      </c>
      <c r="GB16" s="3" t="inlineStr">
        <is>
          <t>E</t>
        </is>
      </c>
      <c r="GC16" s="3" t="inlineStr">
        <is>
          <t>G</t>
        </is>
      </c>
      <c r="GD16" s="3" t="inlineStr">
        <is>
          <t>I</t>
        </is>
      </c>
      <c r="GE16" s="3" t="inlineStr">
        <is>
          <t>C</t>
        </is>
      </c>
      <c r="GF16" s="3" t="inlineStr">
        <is>
          <t>J</t>
        </is>
      </c>
      <c r="GG16" s="3" t="inlineStr">
        <is>
          <t>F</t>
        </is>
      </c>
      <c r="GH16" s="3" t="inlineStr">
        <is>
          <t>L</t>
        </is>
      </c>
      <c r="GI16" s="3" t="inlineStr">
        <is>
          <t>K</t>
        </is>
      </c>
      <c r="GJ16" s="9">
        <f>VLOOKUP(GB16,$FM$3:$FN$15,2,FALSE)</f>
        <v/>
      </c>
      <c r="GK16" s="9">
        <f>VLOOKUP(GC16,$FM$3:$FN$15,2,FALSE)</f>
        <v/>
      </c>
      <c r="GL16" s="9">
        <f>VLOOKUP(GD16,$FM$3:$FN$15,2,FALSE)</f>
        <v/>
      </c>
      <c r="GM16" s="9">
        <f>VLOOKUP(GE16,$FM$3:$FN$15,2,FALSE)</f>
        <v/>
      </c>
      <c r="GN16" s="9">
        <f>VLOOKUP(GF16,$FM$3:$FN$15,2,FALSE)</f>
        <v/>
      </c>
      <c r="GO16" s="9">
        <f>VLOOKUP(GG16,$FM$3:$FN$15,2,FALSE)</f>
        <v/>
      </c>
      <c r="GP16" s="9">
        <f>VLOOKUP(GH16,$FM$3:$FN$15,2,FALSE)</f>
        <v/>
      </c>
      <c r="GQ16" s="9">
        <f>VLOOKUP(GI16,$FM$3:$FN$15,2,FALSE)</f>
        <v/>
      </c>
      <c r="GR16" s="9">
        <f>IFERROR(IF(AND(VLOOKUP(GB16,$FX$4:$FX$15,1,FALSE)=GB16,VLOOKUP(GC16,$FX$4:$FX$15,1,FALSE)=GC16,VLOOKUP(GD16,$FX$4:$FX$15,1,FALSE)=GD16,VLOOKUP(GE16,$FX$4:$FX$15,1,FALSE)=GE16,VLOOKUP(GF16,$FX$4:$FX$15,1,FALSE)=GF16,VLOOKUP(GG16,$FX$4:$FX$15,1,FALSE)=GG16,VLOOKUP(GH16,$FX$4:$FX$15,1,FALSE)=GH16,VLOOKUP(GI16,$FX$4:$FX$15,1,FALSE)=GI16),FZ16,""),"")</f>
        <v/>
      </c>
      <c r="GX16" s="79" t="n"/>
    </row>
    <row r="17" ht="14.25" customHeight="1">
      <c r="B17" s="58" t="n">
        <v>51</v>
      </c>
      <c r="C17" s="59" t="n">
        <v>46197</v>
      </c>
      <c r="D17" s="60" t="inlineStr">
        <is>
          <t>Schweiz</t>
        </is>
      </c>
      <c r="E17" s="61" t="inlineStr">
        <is>
          <t>-</t>
        </is>
      </c>
      <c r="F17" s="62" t="inlineStr">
        <is>
          <t>Kanada</t>
        </is>
      </c>
      <c r="G17" s="63" t="n">
        <v>2</v>
      </c>
      <c r="H17" s="64" t="inlineStr">
        <is>
          <t>-</t>
        </is>
      </c>
      <c r="I17" s="63" t="n">
        <v>1</v>
      </c>
      <c r="J17" s="65">
        <f>IF(OR(ISBLANK(G17),ISBLANK(I17)),"",IF(G17&gt;I17,1,IF(G17&lt;I17,2,"X")))</f>
        <v/>
      </c>
      <c r="K17" s="66">
        <f>IF(OR(G17="",I17="",'[1]Resultat &amp; tabell'!G17="",'[1]Resultat &amp; tabell'!I17=""),0,IF(G17='[1]Resultat &amp; tabell'!G17,2,0)+IF(I17='[1]Resultat &amp; tabell'!I17,2,0)+IF(J17='[1]Resultat &amp; tabell'!J17,2,0))</f>
        <v/>
      </c>
      <c r="L17" s="67" t="n"/>
      <c r="M17" s="29">
        <f>IF(VLOOKUP(D17,$BT$12:$CC$16,10,FALSE)=VLOOKUP(F17,$BT$12:$CC$16,10,FALSE),VLOOKUP(D17,$BT$12:$CC$16,10,FALSE),"-")</f>
        <v/>
      </c>
      <c r="O17" s="91">
        <f>IF(COUNTBLANK(G13:G18)+COUNTBLANK(I13:I18)=0,"Resultat OK","Fyll i resultat")</f>
        <v/>
      </c>
      <c r="P17" s="92" t="n"/>
      <c r="Q17" s="92" t="n"/>
      <c r="R17" s="92" t="n"/>
      <c r="S17" s="92" t="n"/>
      <c r="T17" s="92" t="n"/>
      <c r="U17" s="92" t="n"/>
      <c r="V17" s="3" t="n"/>
      <c r="Y17" s="79" t="n"/>
      <c r="AA17" s="79" t="n"/>
      <c r="AB17" s="9" t="n"/>
      <c r="AC17" s="108" t="n"/>
      <c r="AE17" s="72">
        <f>C17</f>
        <v/>
      </c>
      <c r="AF17" s="72">
        <f>D17</f>
        <v/>
      </c>
      <c r="AG17" s="72">
        <f>E17</f>
        <v/>
      </c>
      <c r="AH17" s="72">
        <f>F17</f>
        <v/>
      </c>
      <c r="AI17" s="63">
        <f>IF(G17="","",G17)</f>
        <v/>
      </c>
      <c r="AJ17" s="58">
        <f>H17</f>
        <v/>
      </c>
      <c r="AK17" s="63">
        <f>IF(I17="","",I17)</f>
        <v/>
      </c>
      <c r="AL17" s="65">
        <f>J17</f>
        <v/>
      </c>
      <c r="AM17" s="73" t="n"/>
      <c r="AN17" s="13">
        <f>IF(AI17&gt;AK17,1,0)</f>
        <v/>
      </c>
      <c r="AO17" s="13">
        <f>IF(AK17&gt;AI17,1,0)</f>
        <v/>
      </c>
      <c r="AP17" s="13">
        <f>IF(AND(AI17=AK17,AI17&lt;&gt;""),1,0)</f>
        <v/>
      </c>
      <c r="AQ17" s="13">
        <f>IF(AND(AI17=AK17,AI17&lt;&gt;""),1,0)</f>
        <v/>
      </c>
      <c r="AR17" s="13">
        <f>IF(AI17&lt;AK17,1,0)</f>
        <v/>
      </c>
      <c r="AS17" s="13">
        <f>IF(AK17&lt;AI17,1,)</f>
        <v/>
      </c>
      <c r="AT17" s="13">
        <f>IF(ISERROR(VLOOKUP(AF17,CF:CF,1,FALSE)),0,1)*IF(ISERROR(VLOOKUP(AH17,CF:CF,1,FALSE)),0,1)*AN17</f>
        <v/>
      </c>
      <c r="AU17" s="13">
        <f>IF(ISERROR(VLOOKUP(AF17,CF:CF,1,FALSE)),0,1)*IF(ISERROR(VLOOKUP(AH17,CF:CF,1,FALSE)),0,1)*AO17</f>
        <v/>
      </c>
      <c r="AV17" s="13">
        <f>IF(ISERROR(VLOOKUP(AF17,CF:CF,1,FALSE)),0,1)*IF(ISERROR(VLOOKUP(AH17,CF:CF,1,FALSE)),0,1)*AP17</f>
        <v/>
      </c>
      <c r="AW17" s="13">
        <f>IF(ISERROR(VLOOKUP(AF17,CF:CF,1,FALSE)),0,1)*IF(ISERROR(VLOOKUP(AH17,CF:CF,1,FALSE)),0,1)*AQ17</f>
        <v/>
      </c>
      <c r="AX17" s="13">
        <f>IF(ISERROR(VLOOKUP(AF17,CF:CF,1,FALSE)),0,1)*IF(ISERROR(VLOOKUP(AH17,CF:CF,1,FALSE)),0,1)*AR17</f>
        <v/>
      </c>
      <c r="AY17" s="13">
        <f>IF(ISERROR(VLOOKUP(AF17,CF:CF,1,FALSE)),0,1)*IF(ISERROR(VLOOKUP(AH17,CF:CF,1,FALSE)),0,1)*AS17</f>
        <v/>
      </c>
      <c r="AZ17" s="13">
        <f>IF(ISERROR(VLOOKUP(AF17,CZ:CZ,1,FALSE)),0,1)*IF(ISERROR(VLOOKUP(AH17,CZ:CZ,1,FALSE)),0,1)*AN17</f>
        <v/>
      </c>
      <c r="BA17" s="13">
        <f>IF(ISERROR(VLOOKUP(AF17,CZ:CZ,1,FALSE)),0,1)*IF(ISERROR(VLOOKUP(AH17,CZ:CZ,1,FALSE)),0,1)*AO17</f>
        <v/>
      </c>
      <c r="BB17" s="13">
        <f>IF(ISERROR(VLOOKUP(AF17,CZ:CZ,1,FALSE)),0,1)*IF(ISERROR(VLOOKUP(AH17,CZ:CZ,1,FALSE)),0,1)*AP17</f>
        <v/>
      </c>
      <c r="BC17" s="13">
        <f>IF(ISERROR(VLOOKUP(AF17,CZ:CZ,1,FALSE)),0,1)*IF(ISERROR(VLOOKUP(AH17,CZ:CZ,1,FALSE)),0,1)*AQ17</f>
        <v/>
      </c>
      <c r="BD17" s="13">
        <f>IF(ISERROR(VLOOKUP(AF17,CZ:CZ,1,FALSE)),0,1)*IF(ISERROR(VLOOKUP(AH17,CZ:CZ,1,FALSE)),0,1)*AR17</f>
        <v/>
      </c>
      <c r="BE17" s="13">
        <f>IF(ISERROR(VLOOKUP(AF17,CZ:CZ,1,FALSE)),0,1)*IF(ISERROR(VLOOKUP(AH17,CZ:CZ,1,FALSE)),0,1)*AS17</f>
        <v/>
      </c>
      <c r="BF17" s="13">
        <f>IF(ISERROR(VLOOKUP(AF17,DT:DT,1,FALSE)),0,1)*IF(ISERROR(VLOOKUP(AH17,DT:DT,1,FALSE)),0,1)*AN17</f>
        <v/>
      </c>
      <c r="BG17" s="13">
        <f>IF(ISERROR(VLOOKUP(AF17,DT:DT,1,FALSE)),0,1)*IF(ISERROR(VLOOKUP(AH17,DT:DT,1,FALSE)),0,1)*AO17</f>
        <v/>
      </c>
      <c r="BH17" s="13">
        <f>IF(ISERROR(VLOOKUP(AF17,DT:DT,1,FALSE)),0,1)*IF(ISERROR(VLOOKUP(AH17,DT:DT,1,FALSE)),0,1)*AP17</f>
        <v/>
      </c>
      <c r="BI17" s="13">
        <f>IF(ISERROR(VLOOKUP(AF17,DT:DT,1,FALSE)),0,1)*IF(ISERROR(VLOOKUP(AH17,DT:DT,1,FALSE)),0,1)*AQ17</f>
        <v/>
      </c>
      <c r="BJ17" s="13">
        <f>IF(ISERROR(VLOOKUP(AF17,DT:DT,1,FALSE)),0,1)*IF(ISERROR(VLOOKUP(AH17,DT:DT,1,FALSE)),0,1)*AR17</f>
        <v/>
      </c>
      <c r="BK17" s="13">
        <f>IF(ISERROR(VLOOKUP(AF17,DT:DT,1,FALSE)),0,1)*IF(ISERROR(VLOOKUP(AH17,DT:DT,1,FALSE)),0,1)*AS17</f>
        <v/>
      </c>
      <c r="BL17" s="13">
        <f>IF(ISERROR(VLOOKUP(AF17,EN:EN,1,FALSE)),0,1)*IF(ISERROR(VLOOKUP(AH17,EN:EN,1,FALSE)),0,1)*AN17</f>
        <v/>
      </c>
      <c r="BM17" s="13">
        <f>IF(ISERROR(VLOOKUP(AF17,EN:EN,1,FALSE)),0,1)*IF(ISERROR(VLOOKUP(AH17,EN:EN,1,FALSE)),0,1)*AO17</f>
        <v/>
      </c>
      <c r="BN17" s="13">
        <f>IF(ISERROR(VLOOKUP(AF17,EN:EN,1,FALSE)),0,1)*IF(ISERROR(VLOOKUP(AH17,EN:EN,1,FALSE)),0,1)*AP17</f>
        <v/>
      </c>
      <c r="BO17" s="13">
        <f>IF(ISERROR(VLOOKUP(AF17,EN:EN,1,FALSE)),0,1)*IF(ISERROR(VLOOKUP(AH17,EN:EN,1,FALSE)),0,1)*AQ17</f>
        <v/>
      </c>
      <c r="BP17" s="13">
        <f>IF(ISERROR(VLOOKUP(AF17,EN:EN,1,FALSE)),0,1)*IF(ISERROR(VLOOKUP(AH17,EN:EN,1,FALSE)),0,1)*AR17</f>
        <v/>
      </c>
      <c r="BQ17" s="13">
        <f>IF(ISERROR(VLOOKUP(AF17,EN:EN,1,FALSE)),0,1)*IF(ISERROR(VLOOKUP(AH17,EN:EN,1,FALSE)),0,1)*AS17</f>
        <v/>
      </c>
      <c r="FZ17" s="79" t="n">
        <v>15</v>
      </c>
      <c r="GA17" s="3">
        <f>GB17&amp;GC17&amp;GD17&amp;GE17&amp;GF17&amp;GG17&amp;GH17&amp;GI17</f>
        <v/>
      </c>
      <c r="GB17" s="3" t="inlineStr">
        <is>
          <t>E</t>
        </is>
      </c>
      <c r="GC17" s="3" t="inlineStr">
        <is>
          <t>G</t>
        </is>
      </c>
      <c r="GD17" s="3" t="inlineStr">
        <is>
          <t>J</t>
        </is>
      </c>
      <c r="GE17" s="3" t="inlineStr">
        <is>
          <t>C</t>
        </is>
      </c>
      <c r="GF17" s="3" t="inlineStr">
        <is>
          <t>H</t>
        </is>
      </c>
      <c r="GG17" s="3" t="inlineStr">
        <is>
          <t>F</t>
        </is>
      </c>
      <c r="GH17" s="3" t="inlineStr">
        <is>
          <t>L</t>
        </is>
      </c>
      <c r="GI17" s="3" t="inlineStr">
        <is>
          <t>K</t>
        </is>
      </c>
      <c r="GJ17" s="9">
        <f>VLOOKUP(GB17,$FM$3:$FN$15,2,FALSE)</f>
        <v/>
      </c>
      <c r="GK17" s="9">
        <f>VLOOKUP(GC17,$FM$3:$FN$15,2,FALSE)</f>
        <v/>
      </c>
      <c r="GL17" s="9">
        <f>VLOOKUP(GD17,$FM$3:$FN$15,2,FALSE)</f>
        <v/>
      </c>
      <c r="GM17" s="9">
        <f>VLOOKUP(GE17,$FM$3:$FN$15,2,FALSE)</f>
        <v/>
      </c>
      <c r="GN17" s="9">
        <f>VLOOKUP(GF17,$FM$3:$FN$15,2,FALSE)</f>
        <v/>
      </c>
      <c r="GO17" s="9">
        <f>VLOOKUP(GG17,$FM$3:$FN$15,2,FALSE)</f>
        <v/>
      </c>
      <c r="GP17" s="9">
        <f>VLOOKUP(GH17,$FM$3:$FN$15,2,FALSE)</f>
        <v/>
      </c>
      <c r="GQ17" s="9">
        <f>VLOOKUP(GI17,$FM$3:$FN$15,2,FALSE)</f>
        <v/>
      </c>
      <c r="GR17" s="9">
        <f>IFERROR(IF(AND(VLOOKUP(GB17,$FX$4:$FX$15,1,FALSE)=GB17,VLOOKUP(GC17,$FX$4:$FX$15,1,FALSE)=GC17,VLOOKUP(GD17,$FX$4:$FX$15,1,FALSE)=GD17,VLOOKUP(GE17,$FX$4:$FX$15,1,FALSE)=GE17,VLOOKUP(GF17,$FX$4:$FX$15,1,FALSE)=GF17,VLOOKUP(GG17,$FX$4:$FX$15,1,FALSE)=GG17,VLOOKUP(GH17,$FX$4:$FX$15,1,FALSE)=GH17,VLOOKUP(GI17,$FX$4:$FX$15,1,FALSE)=GI17),FZ17,""),"")</f>
        <v/>
      </c>
      <c r="GX17" s="79" t="n"/>
    </row>
    <row r="18" ht="14.25" customHeight="1" thickBot="1">
      <c r="B18" s="58" t="n">
        <v>52</v>
      </c>
      <c r="C18" s="59" t="n">
        <v>46197</v>
      </c>
      <c r="D18" s="60" t="inlineStr">
        <is>
          <t>Bosnien-Herzigovina</t>
        </is>
      </c>
      <c r="E18" s="61" t="inlineStr">
        <is>
          <t>-</t>
        </is>
      </c>
      <c r="F18" s="62" t="inlineStr">
        <is>
          <t>Qatar</t>
        </is>
      </c>
      <c r="G18" s="63" t="n">
        <v>2</v>
      </c>
      <c r="H18" s="64" t="inlineStr">
        <is>
          <t>-</t>
        </is>
      </c>
      <c r="I18" s="63" t="n">
        <v>1</v>
      </c>
      <c r="J18" s="65">
        <f>IF(OR(ISBLANK(G18),ISBLANK(I18)),"",IF(G18&gt;I18,1,IF(G18&lt;I18,2,"X")))</f>
        <v/>
      </c>
      <c r="K18" s="66">
        <f>IF(OR(G18="",I18="",'[1]Resultat &amp; tabell'!G18="",'[1]Resultat &amp; tabell'!I18=""),0,IF(G18='[1]Resultat &amp; tabell'!G18,2,0)+IF(I18='[1]Resultat &amp; tabell'!I18,2,0)+IF(J18='[1]Resultat &amp; tabell'!J18,2,0))</f>
        <v/>
      </c>
      <c r="L18" s="67" t="n"/>
      <c r="M18" s="29">
        <f>IF(VLOOKUP(D18,$BT$12:$CC$16,10,FALSE)=VLOOKUP(F18,$BT$12:$CC$16,10,FALSE),VLOOKUP(D18,$BT$12:$CC$16,10,FALSE),"-")</f>
        <v/>
      </c>
      <c r="V18" s="3" t="n"/>
      <c r="X18" s="104" t="n"/>
      <c r="Y18" s="79" t="n"/>
      <c r="Z18" s="79" t="n"/>
      <c r="AA18" s="79" t="n"/>
      <c r="AB18" s="9" t="n"/>
      <c r="AC18" s="108" t="n"/>
      <c r="AE18" s="72">
        <f>C18</f>
        <v/>
      </c>
      <c r="AF18" s="72">
        <f>D18</f>
        <v/>
      </c>
      <c r="AG18" s="72">
        <f>E18</f>
        <v/>
      </c>
      <c r="AH18" s="72">
        <f>F18</f>
        <v/>
      </c>
      <c r="AI18" s="63">
        <f>IF(G18="","",G18)</f>
        <v/>
      </c>
      <c r="AJ18" s="58">
        <f>H18</f>
        <v/>
      </c>
      <c r="AK18" s="63">
        <f>IF(I18="","",I18)</f>
        <v/>
      </c>
      <c r="AL18" s="65">
        <f>J18</f>
        <v/>
      </c>
      <c r="AM18" s="73" t="n"/>
      <c r="AN18" s="13">
        <f>IF(AI18&gt;AK18,1,0)</f>
        <v/>
      </c>
      <c r="AO18" s="13">
        <f>IF(AK18&gt;AI18,1,0)</f>
        <v/>
      </c>
      <c r="AP18" s="13">
        <f>IF(AND(AI18=AK18,AI18&lt;&gt;""),1,0)</f>
        <v/>
      </c>
      <c r="AQ18" s="13">
        <f>IF(AND(AI18=AK18,AI18&lt;&gt;""),1,0)</f>
        <v/>
      </c>
      <c r="AR18" s="13">
        <f>IF(AI18&lt;AK18,1,0)</f>
        <v/>
      </c>
      <c r="AS18" s="13">
        <f>IF(AK18&lt;AI18,1,)</f>
        <v/>
      </c>
      <c r="AT18" s="13">
        <f>IF(ISERROR(VLOOKUP(AF18,CF:CF,1,FALSE)),0,1)*IF(ISERROR(VLOOKUP(AH18,CF:CF,1,FALSE)),0,1)*AN18</f>
        <v/>
      </c>
      <c r="AU18" s="13">
        <f>IF(ISERROR(VLOOKUP(AF18,CF:CF,1,FALSE)),0,1)*IF(ISERROR(VLOOKUP(AH18,CF:CF,1,FALSE)),0,1)*AO18</f>
        <v/>
      </c>
      <c r="AV18" s="13">
        <f>IF(ISERROR(VLOOKUP(AF18,CF:CF,1,FALSE)),0,1)*IF(ISERROR(VLOOKUP(AH18,CF:CF,1,FALSE)),0,1)*AP18</f>
        <v/>
      </c>
      <c r="AW18" s="13">
        <f>IF(ISERROR(VLOOKUP(AF18,CF:CF,1,FALSE)),0,1)*IF(ISERROR(VLOOKUP(AH18,CF:CF,1,FALSE)),0,1)*AQ18</f>
        <v/>
      </c>
      <c r="AX18" s="13">
        <f>IF(ISERROR(VLOOKUP(AF18,CF:CF,1,FALSE)),0,1)*IF(ISERROR(VLOOKUP(AH18,CF:CF,1,FALSE)),0,1)*AR18</f>
        <v/>
      </c>
      <c r="AY18" s="13">
        <f>IF(ISERROR(VLOOKUP(AF18,CF:CF,1,FALSE)),0,1)*IF(ISERROR(VLOOKUP(AH18,CF:CF,1,FALSE)),0,1)*AS18</f>
        <v/>
      </c>
      <c r="AZ18" s="13">
        <f>IF(ISERROR(VLOOKUP(AF18,CZ:CZ,1,FALSE)),0,1)*IF(ISERROR(VLOOKUP(AH18,CZ:CZ,1,FALSE)),0,1)*AN18</f>
        <v/>
      </c>
      <c r="BA18" s="13">
        <f>IF(ISERROR(VLOOKUP(AF18,CZ:CZ,1,FALSE)),0,1)*IF(ISERROR(VLOOKUP(AH18,CZ:CZ,1,FALSE)),0,1)*AO18</f>
        <v/>
      </c>
      <c r="BB18" s="13">
        <f>IF(ISERROR(VLOOKUP(AF18,CZ:CZ,1,FALSE)),0,1)*IF(ISERROR(VLOOKUP(AH18,CZ:CZ,1,FALSE)),0,1)*AP18</f>
        <v/>
      </c>
      <c r="BC18" s="13">
        <f>IF(ISERROR(VLOOKUP(AF18,CZ:CZ,1,FALSE)),0,1)*IF(ISERROR(VLOOKUP(AH18,CZ:CZ,1,FALSE)),0,1)*AQ18</f>
        <v/>
      </c>
      <c r="BD18" s="13">
        <f>IF(ISERROR(VLOOKUP(AF18,CZ:CZ,1,FALSE)),0,1)*IF(ISERROR(VLOOKUP(AH18,CZ:CZ,1,FALSE)),0,1)*AR18</f>
        <v/>
      </c>
      <c r="BE18" s="13">
        <f>IF(ISERROR(VLOOKUP(AF18,CZ:CZ,1,FALSE)),0,1)*IF(ISERROR(VLOOKUP(AH18,CZ:CZ,1,FALSE)),0,1)*AS18</f>
        <v/>
      </c>
      <c r="BF18" s="13">
        <f>IF(ISERROR(VLOOKUP(AF18,DT:DT,1,FALSE)),0,1)*IF(ISERROR(VLOOKUP(AH18,DT:DT,1,FALSE)),0,1)*AN18</f>
        <v/>
      </c>
      <c r="BG18" s="13">
        <f>IF(ISERROR(VLOOKUP(AF18,DT:DT,1,FALSE)),0,1)*IF(ISERROR(VLOOKUP(AH18,DT:DT,1,FALSE)),0,1)*AO18</f>
        <v/>
      </c>
      <c r="BH18" s="13">
        <f>IF(ISERROR(VLOOKUP(AF18,DT:DT,1,FALSE)),0,1)*IF(ISERROR(VLOOKUP(AH18,DT:DT,1,FALSE)),0,1)*AP18</f>
        <v/>
      </c>
      <c r="BI18" s="13">
        <f>IF(ISERROR(VLOOKUP(AF18,DT:DT,1,FALSE)),0,1)*IF(ISERROR(VLOOKUP(AH18,DT:DT,1,FALSE)),0,1)*AQ18</f>
        <v/>
      </c>
      <c r="BJ18" s="13">
        <f>IF(ISERROR(VLOOKUP(AF18,DT:DT,1,FALSE)),0,1)*IF(ISERROR(VLOOKUP(AH18,DT:DT,1,FALSE)),0,1)*AR18</f>
        <v/>
      </c>
      <c r="BK18" s="13">
        <f>IF(ISERROR(VLOOKUP(AF18,DT:DT,1,FALSE)),0,1)*IF(ISERROR(VLOOKUP(AH18,DT:DT,1,FALSE)),0,1)*AS18</f>
        <v/>
      </c>
      <c r="BL18" s="13">
        <f>IF(ISERROR(VLOOKUP(AF18,EN:EN,1,FALSE)),0,1)*IF(ISERROR(VLOOKUP(AH18,EN:EN,1,FALSE)),0,1)*AN18</f>
        <v/>
      </c>
      <c r="BM18" s="13">
        <f>IF(ISERROR(VLOOKUP(AF18,EN:EN,1,FALSE)),0,1)*IF(ISERROR(VLOOKUP(AH18,EN:EN,1,FALSE)),0,1)*AO18</f>
        <v/>
      </c>
      <c r="BN18" s="13">
        <f>IF(ISERROR(VLOOKUP(AF18,EN:EN,1,FALSE)),0,1)*IF(ISERROR(VLOOKUP(AH18,EN:EN,1,FALSE)),0,1)*AP18</f>
        <v/>
      </c>
      <c r="BO18" s="13">
        <f>IF(ISERROR(VLOOKUP(AF18,EN:EN,1,FALSE)),0,1)*IF(ISERROR(VLOOKUP(AH18,EN:EN,1,FALSE)),0,1)*AQ18</f>
        <v/>
      </c>
      <c r="BP18" s="13">
        <f>IF(ISERROR(VLOOKUP(AF18,EN:EN,1,FALSE)),0,1)*IF(ISERROR(VLOOKUP(AH18,EN:EN,1,FALSE)),0,1)*AR18</f>
        <v/>
      </c>
      <c r="BQ18" s="13">
        <f>IF(ISERROR(VLOOKUP(AF18,EN:EN,1,FALSE)),0,1)*IF(ISERROR(VLOOKUP(AH18,EN:EN,1,FALSE)),0,1)*AS18</f>
        <v/>
      </c>
      <c r="FZ18" s="79" t="n">
        <v>16</v>
      </c>
      <c r="GA18" s="3">
        <f>GB18&amp;GC18&amp;GD18&amp;GE18&amp;GF18&amp;GG18&amp;GH18&amp;GI18</f>
        <v/>
      </c>
      <c r="GB18" s="3" t="inlineStr">
        <is>
          <t>E</t>
        </is>
      </c>
      <c r="GC18" s="3" t="inlineStr">
        <is>
          <t>G</t>
        </is>
      </c>
      <c r="GD18" s="3" t="inlineStr">
        <is>
          <t>I</t>
        </is>
      </c>
      <c r="GE18" s="3" t="inlineStr">
        <is>
          <t>C</t>
        </is>
      </c>
      <c r="GF18" s="3" t="inlineStr">
        <is>
          <t>H</t>
        </is>
      </c>
      <c r="GG18" s="3" t="inlineStr">
        <is>
          <t>F</t>
        </is>
      </c>
      <c r="GH18" s="3" t="inlineStr">
        <is>
          <t>L</t>
        </is>
      </c>
      <c r="GI18" s="3" t="inlineStr">
        <is>
          <t>K</t>
        </is>
      </c>
      <c r="GJ18" s="9">
        <f>VLOOKUP(GB18,$FM$3:$FN$15,2,FALSE)</f>
        <v/>
      </c>
      <c r="GK18" s="9">
        <f>VLOOKUP(GC18,$FM$3:$FN$15,2,FALSE)</f>
        <v/>
      </c>
      <c r="GL18" s="9">
        <f>VLOOKUP(GD18,$FM$3:$FN$15,2,FALSE)</f>
        <v/>
      </c>
      <c r="GM18" s="9">
        <f>VLOOKUP(GE18,$FM$3:$FN$15,2,FALSE)</f>
        <v/>
      </c>
      <c r="GN18" s="9">
        <f>VLOOKUP(GF18,$FM$3:$FN$15,2,FALSE)</f>
        <v/>
      </c>
      <c r="GO18" s="9">
        <f>VLOOKUP(GG18,$FM$3:$FN$15,2,FALSE)</f>
        <v/>
      </c>
      <c r="GP18" s="9">
        <f>VLOOKUP(GH18,$FM$3:$FN$15,2,FALSE)</f>
        <v/>
      </c>
      <c r="GQ18" s="9">
        <f>VLOOKUP(GI18,$FM$3:$FN$15,2,FALSE)</f>
        <v/>
      </c>
      <c r="GR18" s="9">
        <f>IFERROR(IF(AND(VLOOKUP(GB18,$FX$4:$FX$15,1,FALSE)=GB18,VLOOKUP(GC18,$FX$4:$FX$15,1,FALSE)=GC18,VLOOKUP(GD18,$FX$4:$FX$15,1,FALSE)=GD18,VLOOKUP(GE18,$FX$4:$FX$15,1,FALSE)=GE18,VLOOKUP(GF18,$FX$4:$FX$15,1,FALSE)=GF18,VLOOKUP(GG18,$FX$4:$FX$15,1,FALSE)=GG18,VLOOKUP(GH18,$FX$4:$FX$15,1,FALSE)=GH18,VLOOKUP(GI18,$FX$4:$FX$15,1,FALSE)=GI18),FZ18,""),"")</f>
        <v/>
      </c>
      <c r="GX18" s="79" t="n"/>
    </row>
    <row r="19" ht="14.25" customHeight="1" thickBot="1">
      <c r="C19" s="94" t="n"/>
      <c r="E19" s="12" t="n"/>
      <c r="I19" s="109" t="n"/>
      <c r="J19" s="23" t="n"/>
      <c r="K19" s="16" t="n"/>
      <c r="L19" s="49" t="n"/>
      <c r="V19" s="3" t="n"/>
      <c r="Y19" s="79" t="n"/>
      <c r="Z19" s="110" t="n"/>
      <c r="AA19" s="79" t="n"/>
      <c r="AB19" s="104" t="n"/>
      <c r="AC19" s="43" t="n"/>
      <c r="AE19" s="111" t="n"/>
      <c r="AF19" s="112" t="n"/>
      <c r="AG19" s="113" t="n"/>
      <c r="AH19" s="113" t="n"/>
      <c r="AK19" s="114" t="n"/>
      <c r="AL19" s="23" t="n"/>
      <c r="AM19" s="16" t="n"/>
      <c r="FM19" s="42" t="inlineStr">
        <is>
          <t>Fyll i resultat</t>
        </is>
      </c>
      <c r="FN19" s="115">
        <f>OR(O8="Fyll i resultat",O17="Fyll i resultat",O26="Fyll i resultat",O35="Fyll i resultat",O44="Fyll i resultat",O53="Fyll i resultat",O62="Fyll i resultat",O71="Fyll i resultat",O80="Fyll i resultat",O89="Fyll i resultat",O98="Fyll i resultat",O107="Fyll i resultat")</f>
        <v/>
      </c>
      <c r="FZ19" s="79" t="n">
        <v>17</v>
      </c>
      <c r="GA19" s="3">
        <f>GB19&amp;GC19&amp;GD19&amp;GE19&amp;GF19&amp;GG19&amp;GH19&amp;GI19</f>
        <v/>
      </c>
      <c r="GB19" s="3" t="inlineStr">
        <is>
          <t>E</t>
        </is>
      </c>
      <c r="GC19" s="3" t="inlineStr">
        <is>
          <t>G</t>
        </is>
      </c>
      <c r="GD19" s="3" t="inlineStr">
        <is>
          <t>J</t>
        </is>
      </c>
      <c r="GE19" s="3" t="inlineStr">
        <is>
          <t>C</t>
        </is>
      </c>
      <c r="GF19" s="3" t="inlineStr">
        <is>
          <t>H</t>
        </is>
      </c>
      <c r="GG19" s="3" t="inlineStr">
        <is>
          <t>F</t>
        </is>
      </c>
      <c r="GH19" s="3" t="inlineStr">
        <is>
          <t>L</t>
        </is>
      </c>
      <c r="GI19" s="3" t="inlineStr">
        <is>
          <t>I</t>
        </is>
      </c>
      <c r="GJ19" s="9">
        <f>VLOOKUP(GB19,$FM$3:$FN$15,2,FALSE)</f>
        <v/>
      </c>
      <c r="GK19" s="9">
        <f>VLOOKUP(GC19,$FM$3:$FN$15,2,FALSE)</f>
        <v/>
      </c>
      <c r="GL19" s="9">
        <f>VLOOKUP(GD19,$FM$3:$FN$15,2,FALSE)</f>
        <v/>
      </c>
      <c r="GM19" s="9">
        <f>VLOOKUP(GE19,$FM$3:$FN$15,2,FALSE)</f>
        <v/>
      </c>
      <c r="GN19" s="9">
        <f>VLOOKUP(GF19,$FM$3:$FN$15,2,FALSE)</f>
        <v/>
      </c>
      <c r="GO19" s="9">
        <f>VLOOKUP(GG19,$FM$3:$FN$15,2,FALSE)</f>
        <v/>
      </c>
      <c r="GP19" s="9">
        <f>VLOOKUP(GH19,$FM$3:$FN$15,2,FALSE)</f>
        <v/>
      </c>
      <c r="GQ19" s="9">
        <f>VLOOKUP(GI19,$FM$3:$FN$15,2,FALSE)</f>
        <v/>
      </c>
      <c r="GR19" s="9">
        <f>IFERROR(IF(AND(VLOOKUP(GB19,$FX$4:$FX$15,1,FALSE)=GB19,VLOOKUP(GC19,$FX$4:$FX$15,1,FALSE)=GC19,VLOOKUP(GD19,$FX$4:$FX$15,1,FALSE)=GD19,VLOOKUP(GE19,$FX$4:$FX$15,1,FALSE)=GE19,VLOOKUP(GF19,$FX$4:$FX$15,1,FALSE)=GF19,VLOOKUP(GG19,$FX$4:$FX$15,1,FALSE)=GG19,VLOOKUP(GH19,$FX$4:$FX$15,1,FALSE)=GH19,VLOOKUP(GI19,$FX$4:$FX$15,1,FALSE)=GI19),FZ19,""),"")</f>
        <v/>
      </c>
      <c r="GX19" s="79" t="n"/>
    </row>
    <row r="20" ht="12.75" customFormat="1" customHeight="1" s="104">
      <c r="B20" s="19" t="inlineStr">
        <is>
          <t>Grupp C</t>
        </is>
      </c>
      <c r="C20" s="97" t="n"/>
      <c r="D20" s="98" t="n"/>
      <c r="E20" s="33" t="n"/>
      <c r="F20" s="98" t="n"/>
      <c r="G20" s="25" t="n"/>
      <c r="H20" s="25" t="n"/>
      <c r="I20" s="7" t="n"/>
      <c r="J20" s="12" t="n"/>
      <c r="K20" s="12" t="n"/>
      <c r="L20" s="116" t="n"/>
      <c r="M20" s="103" t="n"/>
      <c r="N20" s="103" t="n"/>
      <c r="O20" s="19" t="inlineStr">
        <is>
          <t>Grupp C</t>
        </is>
      </c>
      <c r="V20" s="33" t="n"/>
      <c r="X20" s="104" t="inlineStr">
        <is>
          <t>Dina poäng</t>
        </is>
      </c>
      <c r="AC20" s="43" t="n"/>
      <c r="AE20" s="32" t="inlineStr">
        <is>
          <t>Grupp C</t>
        </is>
      </c>
      <c r="AF20" s="9" t="n"/>
      <c r="AG20" s="9" t="n"/>
      <c r="AH20" s="9" t="n"/>
      <c r="AI20" s="33" t="n"/>
      <c r="AJ20" s="33" t="n"/>
      <c r="AK20" s="12" t="n"/>
      <c r="AL20" s="12" t="n"/>
      <c r="AM20" s="12" t="n"/>
      <c r="AN20" s="13" t="n"/>
      <c r="AO20" s="13" t="n"/>
      <c r="AP20" s="13" t="n"/>
      <c r="AQ20" s="13" t="n"/>
      <c r="AR20" s="13" t="n"/>
      <c r="AS20" s="13" t="n"/>
      <c r="AT20" s="13" t="n"/>
      <c r="AU20" s="13" t="n"/>
      <c r="AV20" s="13" t="n"/>
      <c r="AW20" s="13" t="n"/>
      <c r="AX20" s="13" t="n"/>
      <c r="AY20" s="13" t="n"/>
      <c r="AZ20" s="13" t="n"/>
      <c r="BA20" s="13" t="n"/>
      <c r="BB20" s="13" t="n"/>
      <c r="BC20" s="13" t="n"/>
      <c r="BD20" s="13" t="n"/>
      <c r="BE20" s="13" t="n"/>
      <c r="BF20" s="13" t="n"/>
      <c r="BG20" s="13" t="n"/>
      <c r="BH20" s="13" t="n"/>
      <c r="BI20" s="13" t="n"/>
      <c r="BJ20" s="13" t="n"/>
      <c r="BK20" s="13" t="n"/>
      <c r="BL20" s="13" t="n"/>
      <c r="BM20" s="13" t="n"/>
      <c r="BN20" s="13" t="n"/>
      <c r="BO20" s="13" t="n"/>
      <c r="BP20" s="13" t="n"/>
      <c r="BQ20" s="13" t="n"/>
      <c r="BR20" s="12" t="n"/>
      <c r="BS20" s="12" t="n"/>
      <c r="BT20" s="39" t="inlineStr">
        <is>
          <t>Rank 0</t>
        </is>
      </c>
      <c r="BU20" s="34" t="n"/>
      <c r="BV20" s="34" t="n"/>
      <c r="BW20" s="34" t="n"/>
      <c r="BX20" s="34" t="n"/>
      <c r="BY20" s="34" t="n"/>
      <c r="BZ20" s="34" t="n"/>
      <c r="CA20" s="34" t="n"/>
      <c r="CB20" s="39" t="n"/>
      <c r="CC20" s="34" t="n"/>
      <c r="CD20" s="34" t="n"/>
      <c r="CE20" s="12" t="n"/>
      <c r="CF20" s="40" t="inlineStr">
        <is>
          <t>Rank 1</t>
        </is>
      </c>
      <c r="CG20" s="35">
        <f>COUNTIF(CC22:CC25,1)</f>
        <v/>
      </c>
      <c r="CH20" s="35" t="n"/>
      <c r="CI20" s="35" t="n"/>
      <c r="CJ20" s="35" t="n"/>
      <c r="CK20" s="35" t="n"/>
      <c r="CL20" s="35" t="n"/>
      <c r="CM20" s="35" t="n"/>
      <c r="CN20" s="35" t="n"/>
      <c r="CO20" s="35" t="n"/>
      <c r="CP20" s="35" t="n"/>
      <c r="CQ20" s="13" t="n"/>
      <c r="CR20" s="13" t="n"/>
      <c r="CS20" s="13" t="n"/>
      <c r="CT20" s="13" t="n"/>
      <c r="CU20" s="13" t="n"/>
      <c r="CV20" s="13" t="n"/>
      <c r="CW20" s="13" t="n"/>
      <c r="CX20" s="13" t="n"/>
      <c r="CY20" s="12" t="n"/>
      <c r="CZ20" s="41" t="inlineStr">
        <is>
          <t>Rank 2</t>
        </is>
      </c>
      <c r="DA20" s="36">
        <f>COUNTIF(CC22:CC25,2)</f>
        <v/>
      </c>
      <c r="DB20" s="36" t="n"/>
      <c r="DC20" s="36" t="n"/>
      <c r="DD20" s="36" t="n"/>
      <c r="DE20" s="36" t="n"/>
      <c r="DF20" s="36" t="n"/>
      <c r="DG20" s="36" t="n"/>
      <c r="DH20" s="36" t="n"/>
      <c r="DI20" s="36" t="n"/>
      <c r="DJ20" s="41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37" t="inlineStr">
        <is>
          <t>Rank 3</t>
        </is>
      </c>
      <c r="DU20" s="37">
        <f>COUNTIF(CC22:CC25,3)</f>
        <v/>
      </c>
      <c r="DV20" s="37" t="n"/>
      <c r="DW20" s="37" t="n"/>
      <c r="DX20" s="37" t="n"/>
      <c r="DY20" s="37" t="n"/>
      <c r="DZ20" s="37" t="n"/>
      <c r="EA20" s="37" t="n"/>
      <c r="EB20" s="37" t="n"/>
      <c r="EC20" s="37" t="n"/>
      <c r="ED20" s="37" t="n"/>
      <c r="EE20" s="13" t="n"/>
      <c r="EF20" s="13" t="n"/>
      <c r="EG20" s="13" t="n"/>
      <c r="EH20" s="13" t="n"/>
      <c r="EI20" s="13" t="n"/>
      <c r="EJ20" s="13" t="n"/>
      <c r="EK20" s="13" t="n"/>
      <c r="EL20" s="13" t="n"/>
      <c r="EM20" s="12" t="n"/>
      <c r="EN20" s="38" t="inlineStr">
        <is>
          <t>Rank 4</t>
        </is>
      </c>
      <c r="EO20" s="38">
        <f>COUNTIF(CC22:CC25,4)</f>
        <v/>
      </c>
      <c r="EP20" s="38" t="n"/>
      <c r="EQ20" s="38" t="n"/>
      <c r="ER20" s="38" t="n"/>
      <c r="ES20" s="38" t="n"/>
      <c r="ET20" s="38" t="n"/>
      <c r="EU20" s="38" t="n"/>
      <c r="EV20" s="38" t="n"/>
      <c r="EW20" s="38" t="n"/>
      <c r="EX20" s="38" t="n"/>
      <c r="EY20" s="13" t="n"/>
      <c r="EZ20" s="13" t="n"/>
      <c r="FA20" s="13" t="n"/>
      <c r="FB20" s="13" t="n"/>
      <c r="FC20" s="13" t="n"/>
      <c r="FD20" s="13" t="n"/>
      <c r="FE20" s="13" t="n"/>
      <c r="FF20" s="13" t="n"/>
      <c r="FG20" s="12" t="n"/>
      <c r="FH20" s="13" t="n"/>
      <c r="FI20" s="13" t="n"/>
      <c r="FJ20" s="12" t="n"/>
      <c r="FZ20" s="79" t="n">
        <v>18</v>
      </c>
      <c r="GA20" s="3">
        <f>GB20&amp;GC20&amp;GD20&amp;GE20&amp;GF20&amp;GG20&amp;GH20&amp;GI20</f>
        <v/>
      </c>
      <c r="GB20" s="3" t="inlineStr">
        <is>
          <t>E</t>
        </is>
      </c>
      <c r="GC20" s="3" t="inlineStr">
        <is>
          <t>G</t>
        </is>
      </c>
      <c r="GD20" s="3" t="inlineStr">
        <is>
          <t>J</t>
        </is>
      </c>
      <c r="GE20" s="3" t="inlineStr">
        <is>
          <t>C</t>
        </is>
      </c>
      <c r="GF20" s="3" t="inlineStr">
        <is>
          <t>H</t>
        </is>
      </c>
      <c r="GG20" s="3" t="inlineStr">
        <is>
          <t>F</t>
        </is>
      </c>
      <c r="GH20" s="3" t="inlineStr">
        <is>
          <t>I</t>
        </is>
      </c>
      <c r="GI20" s="3" t="inlineStr">
        <is>
          <t>K</t>
        </is>
      </c>
      <c r="GJ20" s="9">
        <f>VLOOKUP(GB20,$FM$3:$FN$15,2,FALSE)</f>
        <v/>
      </c>
      <c r="GK20" s="9">
        <f>VLOOKUP(GC20,$FM$3:$FN$15,2,FALSE)</f>
        <v/>
      </c>
      <c r="GL20" s="9">
        <f>VLOOKUP(GD20,$FM$3:$FN$15,2,FALSE)</f>
        <v/>
      </c>
      <c r="GM20" s="9">
        <f>VLOOKUP(GE20,$FM$3:$FN$15,2,FALSE)</f>
        <v/>
      </c>
      <c r="GN20" s="9">
        <f>VLOOKUP(GF20,$FM$3:$FN$15,2,FALSE)</f>
        <v/>
      </c>
      <c r="GO20" s="9">
        <f>VLOOKUP(GG20,$FM$3:$FN$15,2,FALSE)</f>
        <v/>
      </c>
      <c r="GP20" s="9">
        <f>VLOOKUP(GH20,$FM$3:$FN$15,2,FALSE)</f>
        <v/>
      </c>
      <c r="GQ20" s="9">
        <f>VLOOKUP(GI20,$FM$3:$FN$15,2,FALSE)</f>
        <v/>
      </c>
      <c r="GR20" s="9">
        <f>IFERROR(IF(AND(VLOOKUP(GB20,$FX$4:$FX$15,1,FALSE)=GB20,VLOOKUP(GC20,$FX$4:$FX$15,1,FALSE)=GC20,VLOOKUP(GD20,$FX$4:$FX$15,1,FALSE)=GD20,VLOOKUP(GE20,$FX$4:$FX$15,1,FALSE)=GE20,VLOOKUP(GF20,$FX$4:$FX$15,1,FALSE)=GF20,VLOOKUP(GG20,$FX$4:$FX$15,1,FALSE)=GG20,VLOOKUP(GH20,$FX$4:$FX$15,1,FALSE)=GH20,VLOOKUP(GI20,$FX$4:$FX$15,1,FALSE)=GI20),FZ20,""),"")</f>
        <v/>
      </c>
      <c r="GX20" s="23" t="n"/>
    </row>
    <row r="21" ht="14.25" customFormat="1" customHeight="1" s="104">
      <c r="B21" s="117" t="inlineStr">
        <is>
          <t>Match</t>
        </is>
      </c>
      <c r="C21" s="107" t="inlineStr">
        <is>
          <t>Datum</t>
        </is>
      </c>
      <c r="D21" s="210" t="inlineStr">
        <is>
          <t>Match</t>
        </is>
      </c>
      <c r="E21" s="211" t="n"/>
      <c r="F21" s="212" t="n"/>
      <c r="G21" s="184" t="inlineStr">
        <is>
          <t>Resultat</t>
        </is>
      </c>
      <c r="H21" s="217" t="n"/>
      <c r="I21" s="217" t="n"/>
      <c r="J21" s="47" t="inlineStr">
        <is>
          <t>1X2</t>
        </is>
      </c>
      <c r="K21" s="48" t="inlineStr">
        <is>
          <t>Poäng</t>
        </is>
      </c>
      <c r="L21" s="49" t="n"/>
      <c r="M21" s="103" t="n"/>
      <c r="N21" s="103" t="n"/>
      <c r="O21" s="51" t="inlineStr">
        <is>
          <t>Lag</t>
        </is>
      </c>
      <c r="P21" s="186" t="inlineStr">
        <is>
          <t>V</t>
        </is>
      </c>
      <c r="Q21" s="186" t="inlineStr">
        <is>
          <t>O</t>
        </is>
      </c>
      <c r="R21" s="186" t="inlineStr">
        <is>
          <t>F</t>
        </is>
      </c>
      <c r="S21" s="186" t="inlineStr">
        <is>
          <t>GM</t>
        </is>
      </c>
      <c r="T21" s="186" t="inlineStr">
        <is>
          <t>IM</t>
        </is>
      </c>
      <c r="U21" s="186" t="inlineStr">
        <is>
          <t>+/-</t>
        </is>
      </c>
      <c r="V21" s="187" t="inlineStr">
        <is>
          <t>P</t>
        </is>
      </c>
      <c r="X21" s="118" t="inlineStr">
        <is>
          <t>Kategori</t>
        </is>
      </c>
      <c r="Y21" s="200" t="inlineStr">
        <is>
          <t>Poäng</t>
        </is>
      </c>
      <c r="Z21" s="200" t="inlineStr">
        <is>
          <t>Bonus</t>
        </is>
      </c>
      <c r="AA21" s="54" t="inlineStr">
        <is>
          <t>Totalt</t>
        </is>
      </c>
      <c r="AB21" s="108" t="n"/>
      <c r="AC21" s="108" t="n"/>
      <c r="AE21" s="51" t="inlineStr">
        <is>
          <t>Datum</t>
        </is>
      </c>
      <c r="AF21" s="193" t="inlineStr">
        <is>
          <t>Match</t>
        </is>
      </c>
      <c r="AG21" s="211" t="n"/>
      <c r="AH21" s="211" t="n"/>
      <c r="AI21" s="182" t="inlineStr">
        <is>
          <t>Resultat</t>
        </is>
      </c>
      <c r="AJ21" s="211" t="n"/>
      <c r="AK21" s="211" t="n"/>
      <c r="AL21" s="47" t="inlineStr">
        <is>
          <t>Tecken</t>
        </is>
      </c>
      <c r="AM21" s="16" t="n"/>
      <c r="AN21" s="34" t="inlineStr">
        <is>
          <t>V1</t>
        </is>
      </c>
      <c r="AO21" s="34" t="inlineStr">
        <is>
          <t>V2</t>
        </is>
      </c>
      <c r="AP21" s="34" t="inlineStr">
        <is>
          <t>O1</t>
        </is>
      </c>
      <c r="AQ21" s="34" t="inlineStr">
        <is>
          <t>O2</t>
        </is>
      </c>
      <c r="AR21" s="34" t="inlineStr">
        <is>
          <t>F1</t>
        </is>
      </c>
      <c r="AS21" s="34" t="inlineStr">
        <is>
          <t>F2</t>
        </is>
      </c>
      <c r="AT21" s="35" t="inlineStr">
        <is>
          <t>V1</t>
        </is>
      </c>
      <c r="AU21" s="35" t="inlineStr">
        <is>
          <t>V2</t>
        </is>
      </c>
      <c r="AV21" s="35" t="inlineStr">
        <is>
          <t>O1</t>
        </is>
      </c>
      <c r="AW21" s="35" t="inlineStr">
        <is>
          <t>O2</t>
        </is>
      </c>
      <c r="AX21" s="35" t="inlineStr">
        <is>
          <t>F1</t>
        </is>
      </c>
      <c r="AY21" s="35" t="inlineStr">
        <is>
          <t>F2</t>
        </is>
      </c>
      <c r="AZ21" s="36" t="inlineStr">
        <is>
          <t>V1</t>
        </is>
      </c>
      <c r="BA21" s="36" t="inlineStr">
        <is>
          <t>V2</t>
        </is>
      </c>
      <c r="BB21" s="36" t="inlineStr">
        <is>
          <t>O1</t>
        </is>
      </c>
      <c r="BC21" s="36" t="inlineStr">
        <is>
          <t>O2</t>
        </is>
      </c>
      <c r="BD21" s="36" t="inlineStr">
        <is>
          <t>F1</t>
        </is>
      </c>
      <c r="BE21" s="36" t="inlineStr">
        <is>
          <t>F2</t>
        </is>
      </c>
      <c r="BF21" s="37" t="inlineStr">
        <is>
          <t>V1</t>
        </is>
      </c>
      <c r="BG21" s="37" t="inlineStr">
        <is>
          <t>V2</t>
        </is>
      </c>
      <c r="BH21" s="37" t="inlineStr">
        <is>
          <t>O1</t>
        </is>
      </c>
      <c r="BI21" s="37" t="inlineStr">
        <is>
          <t>O2</t>
        </is>
      </c>
      <c r="BJ21" s="37" t="inlineStr">
        <is>
          <t>F1</t>
        </is>
      </c>
      <c r="BK21" s="37" t="inlineStr">
        <is>
          <t>F2</t>
        </is>
      </c>
      <c r="BL21" s="38" t="inlineStr">
        <is>
          <t>V1</t>
        </is>
      </c>
      <c r="BM21" s="38" t="inlineStr">
        <is>
          <t>V2</t>
        </is>
      </c>
      <c r="BN21" s="38" t="inlineStr">
        <is>
          <t>O1</t>
        </is>
      </c>
      <c r="BO21" s="38" t="inlineStr">
        <is>
          <t>O2</t>
        </is>
      </c>
      <c r="BP21" s="38" t="inlineStr">
        <is>
          <t>F1</t>
        </is>
      </c>
      <c r="BQ21" s="38" t="inlineStr">
        <is>
          <t>F2</t>
        </is>
      </c>
      <c r="BR21" s="12" t="n"/>
      <c r="BS21" s="12" t="n"/>
      <c r="BT21" s="39" t="inlineStr">
        <is>
          <t>Lag</t>
        </is>
      </c>
      <c r="BU21" s="34" t="inlineStr">
        <is>
          <t>V</t>
        </is>
      </c>
      <c r="BV21" s="34" t="inlineStr">
        <is>
          <t>O</t>
        </is>
      </c>
      <c r="BW21" s="34" t="inlineStr">
        <is>
          <t>F</t>
        </is>
      </c>
      <c r="BX21" s="34" t="inlineStr">
        <is>
          <t>GM</t>
        </is>
      </c>
      <c r="BY21" s="34" t="inlineStr">
        <is>
          <t>IM</t>
        </is>
      </c>
      <c r="BZ21" s="34" t="inlineStr">
        <is>
          <t>+/-</t>
        </is>
      </c>
      <c r="CA21" s="34" t="inlineStr">
        <is>
          <t>P</t>
        </is>
      </c>
      <c r="CB21" s="39" t="inlineStr">
        <is>
          <t>Grupp</t>
        </is>
      </c>
      <c r="CC21" s="34" t="inlineStr">
        <is>
          <t>Rank P</t>
        </is>
      </c>
      <c r="CD21" s="34" t="inlineStr">
        <is>
          <t>Rank +/-</t>
        </is>
      </c>
      <c r="CE21" s="12" t="n"/>
      <c r="CF21" s="40" t="inlineStr">
        <is>
          <t>Lag</t>
        </is>
      </c>
      <c r="CG21" s="35" t="inlineStr">
        <is>
          <t>V</t>
        </is>
      </c>
      <c r="CH21" s="35" t="inlineStr">
        <is>
          <t>O</t>
        </is>
      </c>
      <c r="CI21" s="35" t="inlineStr">
        <is>
          <t>F</t>
        </is>
      </c>
      <c r="CJ21" s="35" t="inlineStr">
        <is>
          <t>P</t>
        </is>
      </c>
      <c r="CK21" s="35" t="inlineStr">
        <is>
          <t>Grupp</t>
        </is>
      </c>
      <c r="CL21" s="35" t="inlineStr">
        <is>
          <t>Rank P</t>
        </is>
      </c>
      <c r="CM21" s="56" t="inlineStr">
        <is>
          <t>+/-</t>
        </is>
      </c>
      <c r="CN21" s="56" t="inlineStr">
        <is>
          <t>+/- rank</t>
        </is>
      </c>
      <c r="CO21" s="56" t="inlineStr">
        <is>
          <t>GM</t>
        </is>
      </c>
      <c r="CP21" s="56" t="inlineStr">
        <is>
          <t>GM rank</t>
        </is>
      </c>
      <c r="CQ21" s="35" t="inlineStr">
        <is>
          <t>Rank internal</t>
        </is>
      </c>
      <c r="CR21" s="56" t="inlineStr">
        <is>
          <t>+/- all</t>
        </is>
      </c>
      <c r="CS21" s="56" t="inlineStr">
        <is>
          <t>+/- rank all</t>
        </is>
      </c>
      <c r="CT21" s="56" t="inlineStr">
        <is>
          <t>GM all</t>
        </is>
      </c>
      <c r="CU21" s="56" t="inlineStr">
        <is>
          <t>GM rank all</t>
        </is>
      </c>
      <c r="CV21" s="56" t="inlineStr">
        <is>
          <t>V all</t>
        </is>
      </c>
      <c r="CW21" s="56" t="inlineStr">
        <is>
          <t>V rank all</t>
        </is>
      </c>
      <c r="CX21" s="35" t="inlineStr">
        <is>
          <t>Rank all</t>
        </is>
      </c>
      <c r="CY21" s="12" t="n"/>
      <c r="CZ21" s="41" t="inlineStr">
        <is>
          <t>Lag</t>
        </is>
      </c>
      <c r="DA21" s="36" t="inlineStr">
        <is>
          <t>V</t>
        </is>
      </c>
      <c r="DB21" s="36" t="inlineStr">
        <is>
          <t>O</t>
        </is>
      </c>
      <c r="DC21" s="36" t="inlineStr">
        <is>
          <t>F</t>
        </is>
      </c>
      <c r="DD21" s="36" t="inlineStr">
        <is>
          <t>P</t>
        </is>
      </c>
      <c r="DE21" s="36" t="inlineStr">
        <is>
          <t>Grupp</t>
        </is>
      </c>
      <c r="DF21" s="36" t="inlineStr">
        <is>
          <t>Rank P</t>
        </is>
      </c>
      <c r="DG21" s="36" t="inlineStr">
        <is>
          <t>+/-</t>
        </is>
      </c>
      <c r="DH21" s="36" t="inlineStr">
        <is>
          <t>+/- rank</t>
        </is>
      </c>
      <c r="DI21" s="36" t="inlineStr">
        <is>
          <t>GM</t>
        </is>
      </c>
      <c r="DJ21" s="41" t="inlineStr">
        <is>
          <t>GM rank</t>
        </is>
      </c>
      <c r="DK21" s="41" t="inlineStr">
        <is>
          <t>Rank internal</t>
        </is>
      </c>
      <c r="DL21" s="41" t="inlineStr">
        <is>
          <t>+/- all</t>
        </is>
      </c>
      <c r="DM21" s="41" t="inlineStr">
        <is>
          <t>+/- rank all</t>
        </is>
      </c>
      <c r="DN21" s="41" t="inlineStr">
        <is>
          <t>GM all</t>
        </is>
      </c>
      <c r="DO21" s="41" t="inlineStr">
        <is>
          <t>GM rank all</t>
        </is>
      </c>
      <c r="DP21" s="41" t="inlineStr">
        <is>
          <t>V all</t>
        </is>
      </c>
      <c r="DQ21" s="41" t="inlineStr">
        <is>
          <t>V rank all</t>
        </is>
      </c>
      <c r="DR21" s="41" t="inlineStr">
        <is>
          <t>Rank all</t>
        </is>
      </c>
      <c r="DS21" s="12" t="n"/>
      <c r="DT21" s="37" t="inlineStr">
        <is>
          <t>Lag</t>
        </is>
      </c>
      <c r="DU21" s="37" t="inlineStr">
        <is>
          <t>V</t>
        </is>
      </c>
      <c r="DV21" s="37" t="inlineStr">
        <is>
          <t>O</t>
        </is>
      </c>
      <c r="DW21" s="37" t="inlineStr">
        <is>
          <t>F</t>
        </is>
      </c>
      <c r="DX21" s="37" t="inlineStr">
        <is>
          <t>P</t>
        </is>
      </c>
      <c r="DY21" s="37" t="inlineStr">
        <is>
          <t>Grupp</t>
        </is>
      </c>
      <c r="DZ21" s="37" t="inlineStr">
        <is>
          <t>Rank P</t>
        </is>
      </c>
      <c r="EA21" s="37" t="inlineStr">
        <is>
          <t>+/-</t>
        </is>
      </c>
      <c r="EB21" s="37" t="inlineStr">
        <is>
          <t>+/- rank</t>
        </is>
      </c>
      <c r="EC21" s="37" t="inlineStr">
        <is>
          <t>GM</t>
        </is>
      </c>
      <c r="ED21" s="37" t="inlineStr">
        <is>
          <t>GM rank</t>
        </is>
      </c>
      <c r="EE21" s="37" t="inlineStr">
        <is>
          <t>Rank internal</t>
        </is>
      </c>
      <c r="EF21" s="37" t="inlineStr">
        <is>
          <t>+/- all</t>
        </is>
      </c>
      <c r="EG21" s="37" t="inlineStr">
        <is>
          <t>+/- rank all</t>
        </is>
      </c>
      <c r="EH21" s="37" t="inlineStr">
        <is>
          <t>GM all</t>
        </is>
      </c>
      <c r="EI21" s="37" t="inlineStr">
        <is>
          <t>GM rank all</t>
        </is>
      </c>
      <c r="EJ21" s="37" t="inlineStr">
        <is>
          <t>V all</t>
        </is>
      </c>
      <c r="EK21" s="37" t="inlineStr">
        <is>
          <t>V rank all</t>
        </is>
      </c>
      <c r="EL21" s="37" t="inlineStr">
        <is>
          <t>Rank all</t>
        </is>
      </c>
      <c r="EM21" s="12" t="n"/>
      <c r="EN21" s="38" t="inlineStr">
        <is>
          <t>Lag</t>
        </is>
      </c>
      <c r="EO21" s="38" t="inlineStr">
        <is>
          <t>V</t>
        </is>
      </c>
      <c r="EP21" s="38" t="inlineStr">
        <is>
          <t>O</t>
        </is>
      </c>
      <c r="EQ21" s="38" t="inlineStr">
        <is>
          <t>F</t>
        </is>
      </c>
      <c r="ER21" s="38" t="inlineStr">
        <is>
          <t>P</t>
        </is>
      </c>
      <c r="ES21" s="38" t="inlineStr">
        <is>
          <t>Grupp</t>
        </is>
      </c>
      <c r="ET21" s="38" t="inlineStr">
        <is>
          <t>Rank P</t>
        </is>
      </c>
      <c r="EU21" s="38" t="inlineStr">
        <is>
          <t>+/-</t>
        </is>
      </c>
      <c r="EV21" s="38" t="inlineStr">
        <is>
          <t>+/- rank</t>
        </is>
      </c>
      <c r="EW21" s="38" t="inlineStr">
        <is>
          <t>GM</t>
        </is>
      </c>
      <c r="EX21" s="38" t="inlineStr">
        <is>
          <t>GM rank</t>
        </is>
      </c>
      <c r="EY21" s="38" t="inlineStr">
        <is>
          <t>Rank internal</t>
        </is>
      </c>
      <c r="EZ21" s="38" t="inlineStr">
        <is>
          <t>+/- all</t>
        </is>
      </c>
      <c r="FA21" s="38" t="inlineStr">
        <is>
          <t>+/- rank all</t>
        </is>
      </c>
      <c r="FB21" s="38" t="inlineStr">
        <is>
          <t>GM all</t>
        </is>
      </c>
      <c r="FC21" s="38" t="inlineStr">
        <is>
          <t>GM rank all</t>
        </is>
      </c>
      <c r="FD21" s="38" t="inlineStr">
        <is>
          <t>V all</t>
        </is>
      </c>
      <c r="FE21" s="38" t="inlineStr">
        <is>
          <t>V rank all</t>
        </is>
      </c>
      <c r="FF21" s="38" t="inlineStr">
        <is>
          <t>Rank all</t>
        </is>
      </c>
      <c r="FG21" s="12" t="n"/>
      <c r="FH21" s="38" t="inlineStr">
        <is>
          <t>Rank</t>
        </is>
      </c>
      <c r="FI21" s="38" t="inlineStr">
        <is>
          <t>Rank Ties</t>
        </is>
      </c>
      <c r="FJ21" s="12" t="n"/>
      <c r="FZ21" s="79" t="n">
        <v>19</v>
      </c>
      <c r="GA21" s="3">
        <f>GB21&amp;GC21&amp;GD21&amp;GE21&amp;GF21&amp;GG21&amp;GH21&amp;GI21</f>
        <v/>
      </c>
      <c r="GB21" s="3" t="inlineStr">
        <is>
          <t>H</t>
        </is>
      </c>
      <c r="GC21" s="3" t="inlineStr">
        <is>
          <t>G</t>
        </is>
      </c>
      <c r="GD21" s="3" t="inlineStr">
        <is>
          <t>I</t>
        </is>
      </c>
      <c r="GE21" s="3" t="inlineStr">
        <is>
          <t>C</t>
        </is>
      </c>
      <c r="GF21" s="3" t="inlineStr">
        <is>
          <t>J</t>
        </is>
      </c>
      <c r="GG21" s="3" t="inlineStr">
        <is>
          <t>D</t>
        </is>
      </c>
      <c r="GH21" s="3" t="inlineStr">
        <is>
          <t>L</t>
        </is>
      </c>
      <c r="GI21" s="3" t="inlineStr">
        <is>
          <t>K</t>
        </is>
      </c>
      <c r="GJ21" s="9">
        <f>VLOOKUP(GB21,$FM$3:$FN$15,2,FALSE)</f>
        <v/>
      </c>
      <c r="GK21" s="9">
        <f>VLOOKUP(GC21,$FM$3:$FN$15,2,FALSE)</f>
        <v/>
      </c>
      <c r="GL21" s="9">
        <f>VLOOKUP(GD21,$FM$3:$FN$15,2,FALSE)</f>
        <v/>
      </c>
      <c r="GM21" s="9">
        <f>VLOOKUP(GE21,$FM$3:$FN$15,2,FALSE)</f>
        <v/>
      </c>
      <c r="GN21" s="9">
        <f>VLOOKUP(GF21,$FM$3:$FN$15,2,FALSE)</f>
        <v/>
      </c>
      <c r="GO21" s="9">
        <f>VLOOKUP(GG21,$FM$3:$FN$15,2,FALSE)</f>
        <v/>
      </c>
      <c r="GP21" s="9">
        <f>VLOOKUP(GH21,$FM$3:$FN$15,2,FALSE)</f>
        <v/>
      </c>
      <c r="GQ21" s="9">
        <f>VLOOKUP(GI21,$FM$3:$FN$15,2,FALSE)</f>
        <v/>
      </c>
      <c r="GR21" s="9">
        <f>IFERROR(IF(AND(VLOOKUP(GB21,$FX$4:$FX$15,1,FALSE)=GB21,VLOOKUP(GC21,$FX$4:$FX$15,1,FALSE)=GC21,VLOOKUP(GD21,$FX$4:$FX$15,1,FALSE)=GD21,VLOOKUP(GE21,$FX$4:$FX$15,1,FALSE)=GE21,VLOOKUP(GF21,$FX$4:$FX$15,1,FALSE)=GF21,VLOOKUP(GG21,$FX$4:$FX$15,1,FALSE)=GG21,VLOOKUP(GH21,$FX$4:$FX$15,1,FALSE)=GH21,VLOOKUP(GI21,$FX$4:$FX$15,1,FALSE)=GI21),FZ21,""),"")</f>
        <v/>
      </c>
      <c r="GX21" s="23" t="n"/>
    </row>
    <row r="22" ht="14.25" customHeight="1">
      <c r="B22" s="58" t="n">
        <v>7</v>
      </c>
      <c r="C22" s="59" t="n">
        <v>46187</v>
      </c>
      <c r="D22" s="60" t="inlineStr">
        <is>
          <t>Brasilien</t>
        </is>
      </c>
      <c r="E22" s="61" t="inlineStr">
        <is>
          <t>-</t>
        </is>
      </c>
      <c r="F22" s="62" t="inlineStr">
        <is>
          <t>Marocko</t>
        </is>
      </c>
      <c r="G22" s="63" t="n">
        <v>2</v>
      </c>
      <c r="H22" s="64" t="inlineStr">
        <is>
          <t>-</t>
        </is>
      </c>
      <c r="I22" s="63" t="n">
        <v>0</v>
      </c>
      <c r="J22" s="65">
        <f>IF(OR(ISBLANK(G22),ISBLANK(I22)),"",IF(G22&gt;I22,1,IF(G22&lt;I22,2,"X")))</f>
        <v/>
      </c>
      <c r="K22" s="66">
        <f>IF(OR(G22="",I22="",'[1]Resultat &amp; tabell'!G22="",'[1]Resultat &amp; tabell'!I22=""),0,IF(G22='[1]Resultat &amp; tabell'!G22,2,0)+IF(I22='[1]Resultat &amp; tabell'!I22,2,0)+IF(J22='[1]Resultat &amp; tabell'!J22,2,0))</f>
        <v/>
      </c>
      <c r="L22" s="67" t="n"/>
      <c r="M22" s="29">
        <f>IF(VLOOKUP(D22,$BT$21:$CC$25,10,FALSE)=VLOOKUP(F22,$BT$21:$CC$25,10,FALSE),VLOOKUP(D22,$BT$21:$CC$25,10,FALSE),"-")</f>
        <v/>
      </c>
      <c r="N22" s="30" t="n">
        <v>1</v>
      </c>
      <c r="O22" s="68">
        <f>VLOOKUP(N22,FI22:FJ25,2,FALSE)</f>
        <v/>
      </c>
      <c r="P22" s="69">
        <f>VLOOKUP($O22,$BT$22:$CA$25,2,FALSE)</f>
        <v/>
      </c>
      <c r="Q22" s="69">
        <f>VLOOKUP($O22,$BT$22:$CA$25,3,FALSE)</f>
        <v/>
      </c>
      <c r="R22" s="69">
        <f>VLOOKUP($O22,$BT$22:$CA$25,4,FALSE)</f>
        <v/>
      </c>
      <c r="S22" s="69">
        <f>VLOOKUP($O22,$BT$22:$CA$25,5,FALSE)</f>
        <v/>
      </c>
      <c r="T22" s="69">
        <f>VLOOKUP($O22,$BT$22:$CA$25,6,FALSE)</f>
        <v/>
      </c>
      <c r="U22" s="69">
        <f>VLOOKUP($O22,$BT$22:$CA$25,7,FALSE)</f>
        <v/>
      </c>
      <c r="V22" s="70">
        <f>VLOOKUP($O22,$BT$22:$CA$25,8,FALSE)</f>
        <v/>
      </c>
      <c r="X22" s="119" t="inlineStr">
        <is>
          <t>Gruppspel</t>
        </is>
      </c>
      <c r="Y22" s="120">
        <f>SUM(K4:K108)</f>
        <v/>
      </c>
      <c r="Z22" s="120" t="n">
        <v>0</v>
      </c>
      <c r="AA22" s="121">
        <f>Y22+Z22</f>
        <v/>
      </c>
      <c r="AB22" s="9" t="n"/>
      <c r="AC22" s="108" t="n"/>
      <c r="AE22" s="72">
        <f>C22</f>
        <v/>
      </c>
      <c r="AF22" s="72">
        <f>D22</f>
        <v/>
      </c>
      <c r="AG22" s="72">
        <f>E22</f>
        <v/>
      </c>
      <c r="AH22" s="72">
        <f>F22</f>
        <v/>
      </c>
      <c r="AI22" s="63">
        <f>IF(G22="","",G22)</f>
        <v/>
      </c>
      <c r="AJ22" s="58">
        <f>H22</f>
        <v/>
      </c>
      <c r="AK22" s="63">
        <f>IF(I22="","",I22)</f>
        <v/>
      </c>
      <c r="AL22" s="65">
        <f>J22</f>
        <v/>
      </c>
      <c r="AM22" s="73" t="n"/>
      <c r="AN22" s="13">
        <f>IF(AI22&gt;AK22,1,0)</f>
        <v/>
      </c>
      <c r="AO22" s="13">
        <f>IF(AK22&gt;AI22,1,0)</f>
        <v/>
      </c>
      <c r="AP22" s="13">
        <f>IF(AND(AI22=AK22,AI22&lt;&gt;""),1,0)</f>
        <v/>
      </c>
      <c r="AQ22" s="13">
        <f>IF(AND(AI22=AK22,AI22&lt;&gt;""),1,0)</f>
        <v/>
      </c>
      <c r="AR22" s="13">
        <f>IF(AI22&lt;AK22,1,0)</f>
        <v/>
      </c>
      <c r="AS22" s="13">
        <f>IF(AK22&lt;AI22,1,)</f>
        <v/>
      </c>
      <c r="AT22" s="13">
        <f>IF(ISERROR(VLOOKUP(AF22,CF:CF,1,FALSE)),0,1)*IF(ISERROR(VLOOKUP(AH22,CF:CF,1,FALSE)),0,1)*AN22</f>
        <v/>
      </c>
      <c r="AU22" s="13">
        <f>IF(ISERROR(VLOOKUP(AF22,CF:CF,1,FALSE)),0,1)*IF(ISERROR(VLOOKUP(AH22,CF:CF,1,FALSE)),0,1)*AO22</f>
        <v/>
      </c>
      <c r="AV22" s="13">
        <f>IF(ISERROR(VLOOKUP(AF22,CF:CF,1,FALSE)),0,1)*IF(ISERROR(VLOOKUP(AH22,CF:CF,1,FALSE)),0,1)*AP22</f>
        <v/>
      </c>
      <c r="AW22" s="13">
        <f>IF(ISERROR(VLOOKUP(AF22,CF:CF,1,FALSE)),0,1)*IF(ISERROR(VLOOKUP(AH22,CF:CF,1,FALSE)),0,1)*AQ22</f>
        <v/>
      </c>
      <c r="AX22" s="13">
        <f>IF(ISERROR(VLOOKUP(AF22,CF:CF,1,FALSE)),0,1)*IF(ISERROR(VLOOKUP(AH22,CF:CF,1,FALSE)),0,1)*AR22</f>
        <v/>
      </c>
      <c r="AY22" s="13">
        <f>IF(ISERROR(VLOOKUP(AF22,CF:CF,1,FALSE)),0,1)*IF(ISERROR(VLOOKUP(AH22,CF:CF,1,FALSE)),0,1)*AS22</f>
        <v/>
      </c>
      <c r="AZ22" s="13">
        <f>IF(ISERROR(VLOOKUP(AF22,CZ:CZ,1,FALSE)),0,1)*IF(ISERROR(VLOOKUP(AH22,CZ:CZ,1,FALSE)),0,1)*AN22</f>
        <v/>
      </c>
      <c r="BA22" s="13">
        <f>IF(ISERROR(VLOOKUP(AF22,CZ:CZ,1,FALSE)),0,1)*IF(ISERROR(VLOOKUP(AH22,CZ:CZ,1,FALSE)),0,1)*AO22</f>
        <v/>
      </c>
      <c r="BB22" s="13">
        <f>IF(ISERROR(VLOOKUP(AF22,CZ:CZ,1,FALSE)),0,1)*IF(ISERROR(VLOOKUP(AH22,CZ:CZ,1,FALSE)),0,1)*AP22</f>
        <v/>
      </c>
      <c r="BC22" s="13">
        <f>IF(ISERROR(VLOOKUP(AF22,CZ:CZ,1,FALSE)),0,1)*IF(ISERROR(VLOOKUP(AH22,CZ:CZ,1,FALSE)),0,1)*AQ22</f>
        <v/>
      </c>
      <c r="BD22" s="13">
        <f>IF(ISERROR(VLOOKUP(AF22,CZ:CZ,1,FALSE)),0,1)*IF(ISERROR(VLOOKUP(AH22,CZ:CZ,1,FALSE)),0,1)*AR22</f>
        <v/>
      </c>
      <c r="BE22" s="13">
        <f>IF(ISERROR(VLOOKUP(AF22,CZ:CZ,1,FALSE)),0,1)*IF(ISERROR(VLOOKUP(AH22,CZ:CZ,1,FALSE)),0,1)*AS22</f>
        <v/>
      </c>
      <c r="BF22" s="13">
        <f>IF(ISERROR(VLOOKUP(AF22,DT:DT,1,FALSE)),0,1)*IF(ISERROR(VLOOKUP(AH22,DT:DT,1,FALSE)),0,1)*AN22</f>
        <v/>
      </c>
      <c r="BG22" s="13">
        <f>IF(ISERROR(VLOOKUP(AF22,DT:DT,1,FALSE)),0,1)*IF(ISERROR(VLOOKUP(AH22,DT:DT,1,FALSE)),0,1)*AO22</f>
        <v/>
      </c>
      <c r="BH22" s="13">
        <f>IF(ISERROR(VLOOKUP(AF22,DT:DT,1,FALSE)),0,1)*IF(ISERROR(VLOOKUP(AH22,DT:DT,1,FALSE)),0,1)*AP22</f>
        <v/>
      </c>
      <c r="BI22" s="13">
        <f>IF(ISERROR(VLOOKUP(AF22,DT:DT,1,FALSE)),0,1)*IF(ISERROR(VLOOKUP(AH22,DT:DT,1,FALSE)),0,1)*AQ22</f>
        <v/>
      </c>
      <c r="BJ22" s="13">
        <f>IF(ISERROR(VLOOKUP(AF22,DT:DT,1,FALSE)),0,1)*IF(ISERROR(VLOOKUP(AH22,DT:DT,1,FALSE)),0,1)*AR22</f>
        <v/>
      </c>
      <c r="BK22" s="13">
        <f>IF(ISERROR(VLOOKUP(AF22,DT:DT,1,FALSE)),0,1)*IF(ISERROR(VLOOKUP(AH22,DT:DT,1,FALSE)),0,1)*AS22</f>
        <v/>
      </c>
      <c r="BL22" s="13">
        <f>IF(ISERROR(VLOOKUP(AF22,EN:EN,1,FALSE)),0,1)*IF(ISERROR(VLOOKUP(AH22,EN:EN,1,FALSE)),0,1)*AN22</f>
        <v/>
      </c>
      <c r="BM22" s="13">
        <f>IF(ISERROR(VLOOKUP(AF22,EN:EN,1,FALSE)),0,1)*IF(ISERROR(VLOOKUP(AH22,EN:EN,1,FALSE)),0,1)*AO22</f>
        <v/>
      </c>
      <c r="BN22" s="13">
        <f>IF(ISERROR(VLOOKUP(AF22,EN:EN,1,FALSE)),0,1)*IF(ISERROR(VLOOKUP(AH22,EN:EN,1,FALSE)),0,1)*AP22</f>
        <v/>
      </c>
      <c r="BO22" s="13">
        <f>IF(ISERROR(VLOOKUP(AF22,EN:EN,1,FALSE)),0,1)*IF(ISERROR(VLOOKUP(AH22,EN:EN,1,FALSE)),0,1)*AQ22</f>
        <v/>
      </c>
      <c r="BP22" s="13">
        <f>IF(ISERROR(VLOOKUP(AF22,EN:EN,1,FALSE)),0,1)*IF(ISERROR(VLOOKUP(AH22,EN:EN,1,FALSE)),0,1)*AR22</f>
        <v/>
      </c>
      <c r="BQ22" s="13">
        <f>IF(ISERROR(VLOOKUP(AF22,EN:EN,1,FALSE)),0,1)*IF(ISERROR(VLOOKUP(AH22,EN:EN,1,FALSE)),0,1)*AS22</f>
        <v/>
      </c>
      <c r="BT22" s="12" t="inlineStr">
        <is>
          <t>Brasilien</t>
        </is>
      </c>
      <c r="BU22" s="13">
        <f>(SUMIF(AF$4:AF$108,BT22,AN$4:AN$108)+SUMIF(AH$4:AH$108,BT22,AO$4:AO$108))</f>
        <v/>
      </c>
      <c r="BV22" s="13">
        <f>(SUMIF(AF$4:AF$108,BT22,AP$4:AP$108)+SUMIF(AH$4:AH$108,BT22,AQ$4:AQ$108))</f>
        <v/>
      </c>
      <c r="BW22" s="13">
        <f>(SUMIF(AF$4:AF$108,BT22,AR$4:AR$108)+SUMIF(AH$4:AH$108,BT22,AS$4:AS$108))</f>
        <v/>
      </c>
      <c r="BX22" s="13">
        <f>SUMIF($AF$4:$AF$108,BT22,$AI$4:$AI$108)+SUMIF($AH$4:$AH$108,BT22,$AK$4:$AK$108)</f>
        <v/>
      </c>
      <c r="BY22" s="13">
        <f>SUMIF($AF$4:$AF$108,BT22,$AK$4:$AK$108)+SUMIF($AH$4:$AH$108,BT22,$AI$4:$AI$108)</f>
        <v/>
      </c>
      <c r="BZ22" s="13">
        <f>BX22-BY22</f>
        <v/>
      </c>
      <c r="CA22" s="13">
        <f>IFERROR(BU22*3+BV22*1,0)</f>
        <v/>
      </c>
      <c r="CB22" s="13" t="inlineStr">
        <is>
          <t>C</t>
        </is>
      </c>
      <c r="CC22" s="74">
        <f>RANK(CA22,CA22:CA25)</f>
        <v/>
      </c>
      <c r="CD22" s="13">
        <f>SUMPRODUCT((CA22:CA25=CA22)*(BZ22:BZ25&gt;BZ22))</f>
        <v/>
      </c>
      <c r="CF22" s="12">
        <f>IF(CC22=1,BT22,)</f>
        <v/>
      </c>
      <c r="CG22" s="13">
        <f>(SUMIF($AF$4:$AF$108,$BT22,$AT$4:$AT$108)+SUMIF($AH$4:$AH$108,$BT22,$AU$4:$AU$108))</f>
        <v/>
      </c>
      <c r="CH22" s="13">
        <f>(SUMIF($AF$4:$AF$108,$BT22,$AV$4:$AV$108)+SUMIF($AH$4:$AH$108,$BT22,$AW$4:$AW$108))</f>
        <v/>
      </c>
      <c r="CI22" s="13">
        <f>(SUMIF($AF$4:$AF$108,$BT22,$AX$4:$AX$108)+SUMIF($AH$4:$AH$108,$BT22,$AY$4:$AY$108))</f>
        <v/>
      </c>
      <c r="CJ22" s="13">
        <f>IFERROR(CG22*3+CH22*1,0)</f>
        <v/>
      </c>
      <c r="CK22" s="13">
        <f>CB22</f>
        <v/>
      </c>
      <c r="CL22" s="13">
        <f>IF(CF22&gt;0,RANK(CJ22,CJ22:CJ25),)</f>
        <v/>
      </c>
      <c r="CM22" s="13">
        <f>IF(AND(CF22&gt;0,COUNTIF(CL22:CL25,CL22)&gt;1),SUMIFS($AI$4:$AI$108,$AF$4:$AF$108,$BT22,$M$4:$M$108,1)+SUMIFS($AK$4:$AK$108,$AH$4:$AH$108,$BT22,$M$4:$M$108,1)-SUMIFS($AK$4:$AK$108,$AF$4:$AF$108,$BT22,$M$4:$M$108,1)-SUMIFS($AI$4:$AI$108,$AH$4:$AH$108,$BT22,$M$4:$M$108,1),)</f>
        <v/>
      </c>
      <c r="CN22" s="13">
        <f>IF(AND(CF22&gt;0,COUNTIF(CL22:CL25,CL22)&gt;1),CL22+RANK(CM22,CM22:CM25)-1,CL22)</f>
        <v/>
      </c>
      <c r="CO22" s="13">
        <f>IF(AND(CF22&gt;0,COUNTIF(CN22:CN25,CN22)&gt;1),SUMIFS($AI$4:$AI$108,$AF$4:$AF$108,$BT22,$M$4:$M$108,1)+SUMIFS($AK$4:$AK$108,$AH$4:$AH$108,$BT22,$M$4:$M$108,1),)</f>
        <v/>
      </c>
      <c r="CP22" s="13">
        <f>IF(AND(CF22&gt;0,COUNTIF(CN22:CN25,CN22)&gt;1),CN22+RANK(CO22,CO22:CO25)-1,CN22)</f>
        <v/>
      </c>
      <c r="CQ22" s="13">
        <f>IF(CP22=0,"",CP22)</f>
        <v/>
      </c>
      <c r="CR22" s="13">
        <f>IF(OR(CQ22="",COUNTIF(CQ22:CQ25,CQ22)=1),"",$BZ22)</f>
        <v/>
      </c>
      <c r="CS22" s="13">
        <f>IF(CQ22="","",IF(COUNTIF(CQ22:CQ25,CQ22)=1,CQ22,CQ22+RANK(CR22,CR22:CR25,0)-1))</f>
        <v/>
      </c>
      <c r="CT22" s="13">
        <f>IF(OR(CS22="",COUNTIF(CS22:CS25,CS22)=1),"",$BX22)</f>
        <v/>
      </c>
      <c r="CU22" s="13">
        <f>IF(CQ22="","",IF(COUNTIF(CS22:CS25,CS22)=1,CS22,CS22+RANK(CT22,CT22:CT25,0)-1))</f>
        <v/>
      </c>
      <c r="CV22" s="13">
        <f>IF(OR(CU22="",COUNTIF(CU22:CU25,CU22)=1),"",$BU22)</f>
        <v/>
      </c>
      <c r="CW22" s="13">
        <f>IF(CQ22="","",IF(COUNTIF(CU22:CU25,CU22)=1,CU22,CU22+RANK(CV22,CV22:CV25,0)-1))</f>
        <v/>
      </c>
      <c r="CX22" s="13">
        <f>IF(CF22&gt;0,BM20+RANK(CW22,CW22:CW25,1),)</f>
        <v/>
      </c>
      <c r="CZ22" s="12">
        <f>IF(CC22=2,BT22,)</f>
        <v/>
      </c>
      <c r="DA22" s="13">
        <f>(SUMIF($AF$4:$AF$108,$BT22,$AZ$4:$AZ$108)+SUMIF($AH$4:$AH$108,$BT22,$BA$4:$BA$108))</f>
        <v/>
      </c>
      <c r="DB22" s="13">
        <f>(SUMIF($AF$4:$AF$108,$BT22,$BB$4:$BB$108)+SUMIF($AH$4:$AH$108,$BT22,$BC$4:$BC$108))</f>
        <v/>
      </c>
      <c r="DC22" s="13">
        <f>(SUMIF($AF$4:$AF$108,$BT22,$BD$4:$BD$108)+SUMIF($AH$4:$AH$108,$BT22,$BE$4:$BE$108))</f>
        <v/>
      </c>
      <c r="DD22" s="13">
        <f>IFERROR(DA22*3+DB22*1,0)</f>
        <v/>
      </c>
      <c r="DE22" s="13">
        <f>$CB22</f>
        <v/>
      </c>
      <c r="DF22" s="13">
        <f>IF(CZ22&gt;0,RANK(DD22,DD22:DD25)+CG20,)</f>
        <v/>
      </c>
      <c r="DG22" s="13">
        <f>IF(AND(CZ22&gt;0,COUNTIF(DF22:DF25,DF22)&gt;1),SUMIFS($AI$4:$AI$108,$AF$4:$AF$108,$BT22,$M$4:$M$108,2)+SUMIFS($AK$4:$AK$108,$AH$4:$AH108,$BT22,$M$4:$M$108,2)-SUMIFS($AK$4:$AK$108,$AF$4:$AF$108,$BT22,$M$4:$M$108,2)-SUMIFS($AI$4:$AI$108,$AH$4:$AH$108,$BT22,$M$4:$M$108,2),)</f>
        <v/>
      </c>
      <c r="DH22" s="13">
        <f>IF(AND(CZ22&gt;0,COUNTIF(DF22:DF25,DF22)&gt;1),DF22+RANK(DG22,DG22:DG25)-1,DF22)</f>
        <v/>
      </c>
      <c r="DI22" s="13">
        <f>IF(AND(CZ22&gt;0,COUNTIF(DH22:DH25,DH22)&gt;1),SUMIFS($AI$4:$AI$108,$AF$4:$AF$108,$BT22,$M$4:$M$108,2)+SUMIFS($AK$4:$AK$108,$AH$4:$AH$108,$BT22,$M$4:$M$108,2),)</f>
        <v/>
      </c>
      <c r="DJ22" s="13">
        <f>IF(AND(CZ22&gt;0,COUNTIF(DH22:DH25,DH22)&gt;1),DH22+RANK(DI22,DI22:DI25)-1,DH22)</f>
        <v/>
      </c>
      <c r="DK22" s="75">
        <f>IF(DJ22=0,"",DJ22)</f>
        <v/>
      </c>
      <c r="DL22" s="75">
        <f>IF(OR(DK22="",COUNTIF(DK22:DK25,DK22)=1),"",$BZ22)</f>
        <v/>
      </c>
      <c r="DM22" s="75">
        <f>IF(DK22="","",IF(COUNTIF(DK22:DK25,DK22)=1,DK22,DK22+RANK(DL22,DL22:DL25,0)-1))</f>
        <v/>
      </c>
      <c r="DN22" s="75">
        <f>IF(OR(DM22="",COUNTIF(DM22:DM25,DM22)=1),"",$BX22)</f>
        <v/>
      </c>
      <c r="DO22" s="75">
        <f>IF(DK22="","",IF(COUNTIF(DM22:DM25,DM22)=1,DM22,DM22+RANK(DN22,DN22:DN25,0)-1))</f>
        <v/>
      </c>
      <c r="DP22" s="75">
        <f>IF(OR(DO22="",COUNTIF(DO22:DO25,DO22)=1),"",$BU22)</f>
        <v/>
      </c>
      <c r="DQ22" s="75">
        <f>IF(DK22="","",IF(COUNTIF(DO22:DO25,DO22)=1,DO22,DO22+RANK(DP22,DP22:DP25,0)-1))</f>
        <v/>
      </c>
      <c r="DR22" s="13">
        <f>IF(CZ22&gt;0,CG20+RANK(DQ22,DQ22:DQ25,1),)</f>
        <v/>
      </c>
      <c r="DT22" s="13">
        <f>IF(CC22=3,BT22,)</f>
        <v/>
      </c>
      <c r="DU22" s="13">
        <f>(SUMIF($AF$4:$AF$108,BT22,$BF$4:$BF$108)+SUMIF($AH$4:$AH$108,BT22,$BG$4:$BG$108))</f>
        <v/>
      </c>
      <c r="DV22" s="13">
        <f>(SUMIF($AF$4:$AF$108,BT22,$BH$4:$BH$108)+SUMIF($AH$4:$AH$108,BT22,$BI$4:$BI$108))</f>
        <v/>
      </c>
      <c r="DW22" s="13">
        <f>(SUMIF($AF$4:$AF$108,BT22,$BJ$4:$BJ$108)+SUMIF($AH$4:$AH$108,BT22,$BK$4:$BK$108))</f>
        <v/>
      </c>
      <c r="DX22" s="13">
        <f>IFERROR(DU22*3+DV22*1,0)</f>
        <v/>
      </c>
      <c r="DY22" s="13">
        <f>CB22</f>
        <v/>
      </c>
      <c r="DZ22" s="13">
        <f>IF(DT22&gt;0,RANK(DX22,DX22:DX25)+CG20+DA20,)</f>
        <v/>
      </c>
      <c r="EA22" s="13">
        <f>IF(AND(DT22&gt;0,COUNTIF(DZ22:DZ25,DZ22)&gt;1),SUMIFS($AI$4:$AI$108,$AF$4:$AF$108,$BT22,$M$4:$M$108,3)+SUMIFS($AK$4:$AK$108,$AH$4:$AH$108,$BT22,$M$4:$M$108,3)-SUMIFS($AK$4:$AK$108,$AF$4:$AF$108,$BT22,$M$4:$M$108,3)-SUMIFS($AI$4:$AI$108,$AH$4:$AH$108,$BT22,$M$4:$M$108,3),)</f>
        <v/>
      </c>
      <c r="EB22" s="13">
        <f>IF(AND(DT22&gt;0,COUNTIF(DZ22:DZ25,DZ22)&gt;1),DZ22+RANK(EA22,EA22:EA25)-1,DZ22)</f>
        <v/>
      </c>
      <c r="EC22" s="13">
        <f>IF(AND(DT22&gt;0,COUNTIF(EB22:EB25,EB22)&gt;1),SUMIFS($AI$4:$AI$108,$AF$4:$AF$108,$BT22,$M$4:$M$108,3)+SUMIFS($AK$4:$AK$108,$AH$4:$AH$108,$BT22,$M$4:$M$108,3),)</f>
        <v/>
      </c>
      <c r="ED22" s="13">
        <f>IF(AND(DT22&gt;0,COUNTIF(EB22:EB25,EB22)&gt;1),EB22+RANK(EC22,EC22:EC25)-1,EB22)</f>
        <v/>
      </c>
      <c r="EE22" s="13">
        <f>IF(ED22=0,"",ED22)</f>
        <v/>
      </c>
      <c r="EF22" s="13">
        <f>IF(OR(EE22="",COUNTIF(EE22:EE25,EE22)=1),"",$BZ22)</f>
        <v/>
      </c>
      <c r="EG22" s="13">
        <f>IF(EE22="","",IF(COUNTIF(EE22:EE25,EE22)=1,EE22,EE22+RANK(EF22,EF22:EF25,0)-1))</f>
        <v/>
      </c>
      <c r="EH22" s="13">
        <f>IF(OR(EG22="",COUNTIF(EG22:EG25,EG22)=1),"",$BX22)</f>
        <v/>
      </c>
      <c r="EI22" s="13">
        <f>IF(EE22="","",IF(COUNTIF(EG22:EG25,EG22)=1,EG22,EG22+RANK(EH22,EH22:EH25,0)-1))</f>
        <v/>
      </c>
      <c r="EJ22" s="13">
        <f>IF(OR(EI22="",COUNTIF(EI22:EI25,EI22)=1),"",$BU22)</f>
        <v/>
      </c>
      <c r="EK22" s="13">
        <f>IF(EE22="","",IF(COUNTIF(EI22:EI25,EI22)=1,EI22,EI22+RANK(EJ22,EJ22:EJ25,0)-1))</f>
        <v/>
      </c>
      <c r="EL22" s="13">
        <f>IF(DT22&gt;0,CG20+DA20+RANK(EK22,EK22:EK25,1),)</f>
        <v/>
      </c>
      <c r="EN22" s="13">
        <f>IF(CC22=4,BT22,)</f>
        <v/>
      </c>
      <c r="EO22" s="13">
        <f>(SUMIF($AF$4:$AF$108,$BT22,$BL$4:$BL$108)+SUMIF($AH$4:$AH$108,$BT22,$BM$4:$BM$108))</f>
        <v/>
      </c>
      <c r="EP22" s="13">
        <f>(SUMIF($AF$4:$AF$108,$BT22,$BN$4:$BN$108)+SUMIF($AH$4:$AH$108,$BT22,$BO$4:$BO$108))</f>
        <v/>
      </c>
      <c r="EQ22" s="13">
        <f>(SUMIF($AF$4:$AF$108,$BT22,$BP$4:$BP$108)+SUMIF($AH$4:$AH$108,$BT22,$BQ$4:$BQ$108))</f>
        <v/>
      </c>
      <c r="ER22" s="13">
        <f>IFERROR(EO22*3+EP22*1,0)</f>
        <v/>
      </c>
      <c r="ES22" s="13">
        <f>$CB22</f>
        <v/>
      </c>
      <c r="ET22" s="13">
        <f>IF(EN22&gt;0,RANK(ER22,ER22:ER25)+CG20+DA20+DU20,)</f>
        <v/>
      </c>
      <c r="EU22" s="13">
        <f>IF(AND(EN22&gt;0,COUNTIF(ET22:ET25,ET22)&gt;1),SUMIFS($AI$4:$AI$108,$AF$4:$AF$108,$BT22,$M$4:$M$108,4)+SUMIFS($AK$4:$AK$108,$AH$4:$AH$108,$BT22,$M$4:$M$108,4)-SUMIFS($AK$4:$AK$108,$AF$4:$AF$108,$BT22,$M$4:$M$108,4)-SUMIFS($AI$4:$AI$108,$AH$4:$AH$108,$BT22,$M$4:$M$108,4),)</f>
        <v/>
      </c>
      <c r="EV22" s="13">
        <f>IF(AND(EN22&gt;0,COUNTIF(ET22:ET25,ET22)&gt;1),ET22+RANK(EU22,EU22:EU25)-1,ET22)</f>
        <v/>
      </c>
      <c r="EW22" s="13">
        <f>IF(AND(EN22&gt;0,COUNTIF(EV22:EV25,EV22)&gt;1),SUMIFS($AI$4:$AI$108,$AF$4:$AF$108,$BT22,$M$4:$M$108,4)+SUMIFS($AK$4:$AK$108,$AH$4:$AH$108,$BT22,$M$4:$M$108,4),)</f>
        <v/>
      </c>
      <c r="EX22" s="13">
        <f>IF(AND(EN22&gt;0,COUNTIF(EV22:EV25,EV22)&gt;1),EV22+RANK(EW22,EW22:EW25)-1,EV22)</f>
        <v/>
      </c>
      <c r="EY22" s="13">
        <f>IF(EX22=0,"",EX22)</f>
        <v/>
      </c>
      <c r="EZ22" s="13">
        <f>IF(OR(EY22="",COUNTIF(EY22:EY25,EY22)=1),"",$BZ22)</f>
        <v/>
      </c>
      <c r="FA22" s="13">
        <f>IF(EY22="","",IF(COUNTIF(EY22:EY25,EY22)=1,EY22,EY22+RANK(EZ22,EZ22:EZ25,0)-1))</f>
        <v/>
      </c>
      <c r="FB22" s="13">
        <f>IF(OR(FA22="",COUNTIF(FA22:FA25,FA22)=1),"",$BX22)</f>
        <v/>
      </c>
      <c r="FC22" s="13">
        <f>IF(EY22="","",IF(COUNTIF(FA22:FA25,FA22)=1,FA22,FA22+RANK(FB22,FB22:FB25,0)-1))</f>
        <v/>
      </c>
      <c r="FD22" s="13">
        <f>IF(OR(FC22="",COUNTIF(FC22:FC25,FC22)=1),"",$BU22)</f>
        <v/>
      </c>
      <c r="FE22" s="13">
        <f>IF(EY22="","",IF(COUNTIF(FC22:FC25,FC22)=1,FC22,FC22+RANK(FD22,FD22:FD25,0)-1))</f>
        <v/>
      </c>
      <c r="FF22" s="13">
        <f>IF(EN22&gt;0,CG20+DA20+DU20+RANK(FE22,FE22:FE25,1),)</f>
        <v/>
      </c>
      <c r="FH22" s="13">
        <f>IFERROR(VLOOKUP(FJ22,CF21:CX25,19,FALSE),IFERROR(VLOOKUP(FJ22,CZ21:DR25,19,FALSE),IFERROR(VLOOKUP(FJ22,DT21:EL25,19,FALSE),VLOOKUP(FJ22,EN21:FF25,19,FALSE))))</f>
        <v/>
      </c>
      <c r="FI22" s="13">
        <f>RANK(FH22,FH22:FH25,1)+COUNTIF(FH22:FH22,FH22)-1</f>
        <v/>
      </c>
      <c r="FJ22" s="12">
        <f>BT22</f>
        <v/>
      </c>
      <c r="FZ22" s="79" t="n">
        <v>20</v>
      </c>
      <c r="GA22" s="3">
        <f>GB22&amp;GC22&amp;GD22&amp;GE22&amp;GF22&amp;GG22&amp;GH22&amp;GI22</f>
        <v/>
      </c>
      <c r="GB22" s="3" t="inlineStr">
        <is>
          <t>C</t>
        </is>
      </c>
      <c r="GC22" s="3" t="inlineStr">
        <is>
          <t>J</t>
        </is>
      </c>
      <c r="GD22" s="3" t="inlineStr">
        <is>
          <t>I</t>
        </is>
      </c>
      <c r="GE22" s="3" t="inlineStr">
        <is>
          <t>D</t>
        </is>
      </c>
      <c r="GF22" s="3" t="inlineStr">
        <is>
          <t>H</t>
        </is>
      </c>
      <c r="GG22" s="3" t="inlineStr">
        <is>
          <t>F</t>
        </is>
      </c>
      <c r="GH22" s="3" t="inlineStr">
        <is>
          <t>L</t>
        </is>
      </c>
      <c r="GI22" s="3" t="inlineStr">
        <is>
          <t>K</t>
        </is>
      </c>
      <c r="GJ22" s="9">
        <f>VLOOKUP(GB22,$FM$3:$FN$15,2,FALSE)</f>
        <v/>
      </c>
      <c r="GK22" s="9">
        <f>VLOOKUP(GC22,$FM$3:$FN$15,2,FALSE)</f>
        <v/>
      </c>
      <c r="GL22" s="9">
        <f>VLOOKUP(GD22,$FM$3:$FN$15,2,FALSE)</f>
        <v/>
      </c>
      <c r="GM22" s="9">
        <f>VLOOKUP(GE22,$FM$3:$FN$15,2,FALSE)</f>
        <v/>
      </c>
      <c r="GN22" s="9">
        <f>VLOOKUP(GF22,$FM$3:$FN$15,2,FALSE)</f>
        <v/>
      </c>
      <c r="GO22" s="9">
        <f>VLOOKUP(GG22,$FM$3:$FN$15,2,FALSE)</f>
        <v/>
      </c>
      <c r="GP22" s="9">
        <f>VLOOKUP(GH22,$FM$3:$FN$15,2,FALSE)</f>
        <v/>
      </c>
      <c r="GQ22" s="9">
        <f>VLOOKUP(GI22,$FM$3:$FN$15,2,FALSE)</f>
        <v/>
      </c>
      <c r="GR22" s="9">
        <f>IFERROR(IF(AND(VLOOKUP(GB22,$FX$4:$FX$15,1,FALSE)=GB22,VLOOKUP(GC22,$FX$4:$FX$15,1,FALSE)=GC22,VLOOKUP(GD22,$FX$4:$FX$15,1,FALSE)=GD22,VLOOKUP(GE22,$FX$4:$FX$15,1,FALSE)=GE22,VLOOKUP(GF22,$FX$4:$FX$15,1,FALSE)=GF22,VLOOKUP(GG22,$FX$4:$FX$15,1,FALSE)=GG22,VLOOKUP(GH22,$FX$4:$FX$15,1,FALSE)=GH22,VLOOKUP(GI22,$FX$4:$FX$15,1,FALSE)=GI22),FZ22,""),"")</f>
        <v/>
      </c>
      <c r="GX22" s="79" t="n"/>
    </row>
    <row r="23" ht="14.25" customHeight="1">
      <c r="B23" s="58" t="n">
        <v>5</v>
      </c>
      <c r="C23" s="59" t="n">
        <v>46187</v>
      </c>
      <c r="D23" s="60" t="inlineStr">
        <is>
          <t>Haiti</t>
        </is>
      </c>
      <c r="E23" s="61" t="inlineStr">
        <is>
          <t>-</t>
        </is>
      </c>
      <c r="F23" s="62" t="inlineStr">
        <is>
          <t>Skottland</t>
        </is>
      </c>
      <c r="G23" s="63" t="n">
        <v>0</v>
      </c>
      <c r="H23" s="64" t="inlineStr">
        <is>
          <t>-</t>
        </is>
      </c>
      <c r="I23" s="63" t="n">
        <v>1</v>
      </c>
      <c r="J23" s="65">
        <f>IF(OR(ISBLANK(G23),ISBLANK(I23)),"",IF(G23&gt;I23,1,IF(G23&lt;I23,2,"X")))</f>
        <v/>
      </c>
      <c r="K23" s="66">
        <f>IF(OR(G23="",I23="",'[1]Resultat &amp; tabell'!G23="",'[1]Resultat &amp; tabell'!I23=""),0,IF(G23='[1]Resultat &amp; tabell'!G23,2,0)+IF(I23='[1]Resultat &amp; tabell'!I23,2,0)+IF(J23='[1]Resultat &amp; tabell'!J23,2,0))</f>
        <v/>
      </c>
      <c r="L23" s="67" t="n"/>
      <c r="M23" s="29">
        <f>IF(VLOOKUP(D23,$BT$21:$CC$25,10,FALSE)=VLOOKUP(F23,$BT$21:$CC$25,10,FALSE),VLOOKUP(D23,$BT$21:$CC$25,10,FALSE),"-")</f>
        <v/>
      </c>
      <c r="N23" s="30" t="n">
        <v>2</v>
      </c>
      <c r="O23" s="80">
        <f>VLOOKUP(N23,FI22:FJ25,2,FALSE)</f>
        <v/>
      </c>
      <c r="P23" s="81">
        <f>VLOOKUP($O23,$BT$22:$CA$25,2,FALSE)</f>
        <v/>
      </c>
      <c r="Q23" s="81">
        <f>VLOOKUP($O23,$BT$22:$CA$25,3,FALSE)</f>
        <v/>
      </c>
      <c r="R23" s="81">
        <f>VLOOKUP($O23,$BT$22:$CA$25,4,FALSE)</f>
        <v/>
      </c>
      <c r="S23" s="81">
        <f>VLOOKUP($O23,$BT$22:$CA$25,5,FALSE)</f>
        <v/>
      </c>
      <c r="T23" s="81">
        <f>VLOOKUP($O23,$BT$22:$CA$25,6,FALSE)</f>
        <v/>
      </c>
      <c r="U23" s="81">
        <f>VLOOKUP($O23,$BT$22:$CA$25,7,FALSE)</f>
        <v/>
      </c>
      <c r="V23" s="82">
        <f>VLOOKUP($O23,$BT$22:$CA$25,8,FALSE)</f>
        <v/>
      </c>
      <c r="X23" s="122" t="inlineStr">
        <is>
          <t>Sextondelsfinaler</t>
        </is>
      </c>
      <c r="Y23" s="3">
        <f>SUM(K112:K127)</f>
        <v/>
      </c>
      <c r="Z23" s="3">
        <f>R112</f>
        <v/>
      </c>
      <c r="AA23" s="123">
        <f>Y23+Z23</f>
        <v/>
      </c>
      <c r="AB23" s="9" t="n"/>
      <c r="AC23" s="108" t="n"/>
      <c r="AE23" s="72">
        <f>C23</f>
        <v/>
      </c>
      <c r="AF23" s="72">
        <f>D23</f>
        <v/>
      </c>
      <c r="AG23" s="72">
        <f>E23</f>
        <v/>
      </c>
      <c r="AH23" s="72">
        <f>F23</f>
        <v/>
      </c>
      <c r="AI23" s="63">
        <f>IF(G23="","",G23)</f>
        <v/>
      </c>
      <c r="AJ23" s="58">
        <f>H23</f>
        <v/>
      </c>
      <c r="AK23" s="63">
        <f>IF(I23="","",I23)</f>
        <v/>
      </c>
      <c r="AL23" s="65">
        <f>J23</f>
        <v/>
      </c>
      <c r="AM23" s="73" t="n"/>
      <c r="AN23" s="13">
        <f>IF(AI23&gt;AK23,1,0)</f>
        <v/>
      </c>
      <c r="AO23" s="13">
        <f>IF(AK23&gt;AI23,1,0)</f>
        <v/>
      </c>
      <c r="AP23" s="13">
        <f>IF(AND(AI23=AK23,AI23&lt;&gt;""),1,0)</f>
        <v/>
      </c>
      <c r="AQ23" s="13">
        <f>IF(AND(AI23=AK23,AI23&lt;&gt;""),1,0)</f>
        <v/>
      </c>
      <c r="AR23" s="13">
        <f>IF(AI23&lt;AK23,1,0)</f>
        <v/>
      </c>
      <c r="AS23" s="13">
        <f>IF(AK23&lt;AI23,1,)</f>
        <v/>
      </c>
      <c r="AT23" s="13">
        <f>IF(ISERROR(VLOOKUP(AF23,CF:CF,1,FALSE)),0,1)*IF(ISERROR(VLOOKUP(AH23,CF:CF,1,FALSE)),0,1)*AN23</f>
        <v/>
      </c>
      <c r="AU23" s="13">
        <f>IF(ISERROR(VLOOKUP(AF23,CF:CF,1,FALSE)),0,1)*IF(ISERROR(VLOOKUP(AH23,CF:CF,1,FALSE)),0,1)*AO23</f>
        <v/>
      </c>
      <c r="AV23" s="13">
        <f>IF(ISERROR(VLOOKUP(AF23,CF:CF,1,FALSE)),0,1)*IF(ISERROR(VLOOKUP(AH23,CF:CF,1,FALSE)),0,1)*AP23</f>
        <v/>
      </c>
      <c r="AW23" s="13">
        <f>IF(ISERROR(VLOOKUP(AF23,CF:CF,1,FALSE)),0,1)*IF(ISERROR(VLOOKUP(AH23,CF:CF,1,FALSE)),0,1)*AQ23</f>
        <v/>
      </c>
      <c r="AX23" s="13">
        <f>IF(ISERROR(VLOOKUP(AF23,CF:CF,1,FALSE)),0,1)*IF(ISERROR(VLOOKUP(AH23,CF:CF,1,FALSE)),0,1)*AR23</f>
        <v/>
      </c>
      <c r="AY23" s="13">
        <f>IF(ISERROR(VLOOKUP(AF23,CF:CF,1,FALSE)),0,1)*IF(ISERROR(VLOOKUP(AH23,CF:CF,1,FALSE)),0,1)*AS23</f>
        <v/>
      </c>
      <c r="AZ23" s="13">
        <f>IF(ISERROR(VLOOKUP(AF23,CZ:CZ,1,FALSE)),0,1)*IF(ISERROR(VLOOKUP(AH23,CZ:CZ,1,FALSE)),0,1)*AN23</f>
        <v/>
      </c>
      <c r="BA23" s="13">
        <f>IF(ISERROR(VLOOKUP(AF23,CZ:CZ,1,FALSE)),0,1)*IF(ISERROR(VLOOKUP(AH23,CZ:CZ,1,FALSE)),0,1)*AO23</f>
        <v/>
      </c>
      <c r="BB23" s="13">
        <f>IF(ISERROR(VLOOKUP(AF23,CZ:CZ,1,FALSE)),0,1)*IF(ISERROR(VLOOKUP(AH23,CZ:CZ,1,FALSE)),0,1)*AP23</f>
        <v/>
      </c>
      <c r="BC23" s="13">
        <f>IF(ISERROR(VLOOKUP(AF23,CZ:CZ,1,FALSE)),0,1)*IF(ISERROR(VLOOKUP(AH23,CZ:CZ,1,FALSE)),0,1)*AQ23</f>
        <v/>
      </c>
      <c r="BD23" s="13">
        <f>IF(ISERROR(VLOOKUP(AF23,CZ:CZ,1,FALSE)),0,1)*IF(ISERROR(VLOOKUP(AH23,CZ:CZ,1,FALSE)),0,1)*AR23</f>
        <v/>
      </c>
      <c r="BE23" s="13">
        <f>IF(ISERROR(VLOOKUP(AF23,CZ:CZ,1,FALSE)),0,1)*IF(ISERROR(VLOOKUP(AH23,CZ:CZ,1,FALSE)),0,1)*AS23</f>
        <v/>
      </c>
      <c r="BF23" s="13">
        <f>IF(ISERROR(VLOOKUP(AF23,DT:DT,1,FALSE)),0,1)*IF(ISERROR(VLOOKUP(AH23,DT:DT,1,FALSE)),0,1)*AN23</f>
        <v/>
      </c>
      <c r="BG23" s="13">
        <f>IF(ISERROR(VLOOKUP(AF23,DT:DT,1,FALSE)),0,1)*IF(ISERROR(VLOOKUP(AH23,DT:DT,1,FALSE)),0,1)*AO23</f>
        <v/>
      </c>
      <c r="BH23" s="13">
        <f>IF(ISERROR(VLOOKUP(AF23,DT:DT,1,FALSE)),0,1)*IF(ISERROR(VLOOKUP(AH23,DT:DT,1,FALSE)),0,1)*AP23</f>
        <v/>
      </c>
      <c r="BI23" s="13">
        <f>IF(ISERROR(VLOOKUP(AF23,DT:DT,1,FALSE)),0,1)*IF(ISERROR(VLOOKUP(AH23,DT:DT,1,FALSE)),0,1)*AQ23</f>
        <v/>
      </c>
      <c r="BJ23" s="13">
        <f>IF(ISERROR(VLOOKUP(AF23,DT:DT,1,FALSE)),0,1)*IF(ISERROR(VLOOKUP(AH23,DT:DT,1,FALSE)),0,1)*AR23</f>
        <v/>
      </c>
      <c r="BK23" s="13">
        <f>IF(ISERROR(VLOOKUP(AF23,DT:DT,1,FALSE)),0,1)*IF(ISERROR(VLOOKUP(AH23,DT:DT,1,FALSE)),0,1)*AS23</f>
        <v/>
      </c>
      <c r="BL23" s="13">
        <f>IF(ISERROR(VLOOKUP(AF23,EN:EN,1,FALSE)),0,1)*IF(ISERROR(VLOOKUP(AH23,EN:EN,1,FALSE)),0,1)*AN23</f>
        <v/>
      </c>
      <c r="BM23" s="13">
        <f>IF(ISERROR(VLOOKUP(AF23,EN:EN,1,FALSE)),0,1)*IF(ISERROR(VLOOKUP(AH23,EN:EN,1,FALSE)),0,1)*AO23</f>
        <v/>
      </c>
      <c r="BN23" s="13">
        <f>IF(ISERROR(VLOOKUP(AF23,EN:EN,1,FALSE)),0,1)*IF(ISERROR(VLOOKUP(AH23,EN:EN,1,FALSE)),0,1)*AP23</f>
        <v/>
      </c>
      <c r="BO23" s="13">
        <f>IF(ISERROR(VLOOKUP(AF23,EN:EN,1,FALSE)),0,1)*IF(ISERROR(VLOOKUP(AH23,EN:EN,1,FALSE)),0,1)*AQ23</f>
        <v/>
      </c>
      <c r="BP23" s="13">
        <f>IF(ISERROR(VLOOKUP(AF23,EN:EN,1,FALSE)),0,1)*IF(ISERROR(VLOOKUP(AH23,EN:EN,1,FALSE)),0,1)*AR23</f>
        <v/>
      </c>
      <c r="BQ23" s="13">
        <f>IF(ISERROR(VLOOKUP(AF23,EN:EN,1,FALSE)),0,1)*IF(ISERROR(VLOOKUP(AH23,EN:EN,1,FALSE)),0,1)*AS23</f>
        <v/>
      </c>
      <c r="BT23" s="12" t="inlineStr">
        <is>
          <t>Marocko</t>
        </is>
      </c>
      <c r="BU23" s="13">
        <f>(SUMIF(AF$4:AF$108,BT23,AN$4:AN$108)+SUMIF(AH$4:AH$108,BT23,AO$4:AO$108))</f>
        <v/>
      </c>
      <c r="BV23" s="13">
        <f>(SUMIF(AF$4:AF$108,BT23,AP$4:AP$108)+SUMIF(AH$4:AH$108,BT23,AQ$4:AQ$108))</f>
        <v/>
      </c>
      <c r="BW23" s="13">
        <f>(SUMIF(AF$4:AF$108,BT23,AR$4:AR$108)+SUMIF(AH$4:AH$108,BT23,AS$4:AS$108))</f>
        <v/>
      </c>
      <c r="BX23" s="13">
        <f>SUMIF($AF$4:$AF$108,BT23,$AI$4:$AI$108)+SUMIF($AH$4:$AH$108,BT23,$AK$4:$AK$108)</f>
        <v/>
      </c>
      <c r="BY23" s="13">
        <f>SUMIF($AF$4:$AF$108,BT23,$AK$4:$AK$108)+SUMIF($AH$4:$AH$108,BT23,$AI$4:$AI$108)</f>
        <v/>
      </c>
      <c r="BZ23" s="13">
        <f>BX23-BY23</f>
        <v/>
      </c>
      <c r="CA23" s="13">
        <f>IFERROR(BU23*3+BV23*1,0)</f>
        <v/>
      </c>
      <c r="CB23" s="13" t="inlineStr">
        <is>
          <t>C</t>
        </is>
      </c>
      <c r="CC23" s="74">
        <f>RANK(CA23,CA22:CA25)</f>
        <v/>
      </c>
      <c r="CD23" s="13">
        <f>SUMPRODUCT((CA22:CA25=CA23)*(BZ22:BZ25&gt;BZ23))</f>
        <v/>
      </c>
      <c r="CF23" s="12">
        <f>IF(CC23=1,BT23,)</f>
        <v/>
      </c>
      <c r="CG23" s="13">
        <f>(SUMIF($AF$4:$AF$108,$BT23,$AT$4:$AT$108)+SUMIF($AH$4:$AH$108,$BT23,$AU$4:$AU$108))</f>
        <v/>
      </c>
      <c r="CH23" s="13">
        <f>(SUMIF($AF$4:$AF$108,$BT23,$AV$4:$AV$108)+SUMIF($AH$4:$AH$108,$BT23,$AW$4:$AW$108))</f>
        <v/>
      </c>
      <c r="CI23" s="13">
        <f>(SUMIF($AF$4:$AF$108,$BT23,$AX$4:$AX$108)+SUMIF($AH$4:$AH$108,$BT23,$AY$4:$AY$108))</f>
        <v/>
      </c>
      <c r="CJ23" s="13">
        <f>IFERROR(CG23*3+CH23*1,0)</f>
        <v/>
      </c>
      <c r="CK23" s="13">
        <f>CB23</f>
        <v/>
      </c>
      <c r="CL23" s="13">
        <f>IF(CF23&gt;0,RANK(CJ23,CJ22:CJ25),)</f>
        <v/>
      </c>
      <c r="CM23" s="13">
        <f>IF(AND(CF23&gt;0,COUNTIF(CL22:CL25,CL23)&gt;1),SUMIFS($AI$4:$AI$108,$AF$4:$AF$108,$BT23,$M$4:$M$108,1)+SUMIFS($AK$4:$AK$108,$AH$4:$AH$108,$BT23,$M$4:$M$108,1)-SUMIFS($AK$4:$AK$108,$AF$4:$AF$108,$BT23,$M$4:$M$108,1)-SUMIFS($AI$4:$AI$108,$AH$4:$AH$108,$BT23,$M$4:$M$108,1),)</f>
        <v/>
      </c>
      <c r="CN23" s="13">
        <f>IF(AND(CF23&gt;0,COUNTIF(CL22:CL25,CL23)&gt;1),CL23+RANK(CM23,CM22:CM25)-1,CL23)</f>
        <v/>
      </c>
      <c r="CO23" s="13">
        <f>IF(AND(CF23&gt;0,COUNTIF(CN22:CN25,CN23)&gt;1),SUMIFS($AI$4:$AI$108,$AF$4:$AF$108,$BT23,$M$4:$M$108,1)+SUMIFS($AK$4:$AK$108,$AH$4:$AH$108,$BT23,$M$4:$M$108,1),)</f>
        <v/>
      </c>
      <c r="CP23" s="13">
        <f>IF(AND(CF23&gt;0,COUNTIF(CN22:CN25,CN23)&gt;1),CN23+RANK(CO23,CO22:CO25)-1,CN23)</f>
        <v/>
      </c>
      <c r="CQ23" s="13">
        <f>IF(CP23=0,"",CP23)</f>
        <v/>
      </c>
      <c r="CR23" s="13">
        <f>IF(OR(CQ23="",COUNTIF(CQ22:CQ25,CQ23)=1),"",$BZ23)</f>
        <v/>
      </c>
      <c r="CS23" s="13">
        <f>IF(CQ23="","",IF(COUNTIF(CQ22:CQ25,CQ23)=1,CQ23,CQ23+RANK(CR23,CR22:CR25,0)-1))</f>
        <v/>
      </c>
      <c r="CT23" s="13">
        <f>IF(OR(CS23="",COUNTIF(CS22:CS25,CS23)=1),"",$BX23)</f>
        <v/>
      </c>
      <c r="CU23" s="13">
        <f>IF(CQ23="","",IF(COUNTIF(CS22:CS25,CS23)=1,CS23,CS23+RANK(CT23,CT22:CT25,0)-1))</f>
        <v/>
      </c>
      <c r="CV23" s="13">
        <f>IF(OR(CU23="",COUNTIF(CU22:CU25,CU23)=1),"",$BU23)</f>
        <v/>
      </c>
      <c r="CW23" s="13">
        <f>IF(CQ23="","",IF(COUNTIF(CU22:CU25,CU23)=1,CU23,CU23+RANK(CV23,CV22:CV25,0)-1))</f>
        <v/>
      </c>
      <c r="CX23" s="13">
        <f>IF(CF23&gt;0,BM20+RANK(CW23,CW22:CW25,1),)</f>
        <v/>
      </c>
      <c r="CZ23" s="12">
        <f>IF(CC23=2,BT23,)</f>
        <v/>
      </c>
      <c r="DA23" s="13">
        <f>(SUMIF($AF$4:$AF$108,$BT23,$AZ$4:$AZ$108)+SUMIF($AH$4:$AH$108,$BT23,$BA$4:$BA$108))</f>
        <v/>
      </c>
      <c r="DB23" s="13">
        <f>(SUMIF($AF$4:$AF$108,$BT23,$BB$4:$BB$108)+SUMIF($AH$4:$AH$108,$BT23,$BC$4:$BC$108))</f>
        <v/>
      </c>
      <c r="DC23" s="13">
        <f>(SUMIF($AF$4:$AF$108,$BT23,$BD$4:$BD$108)+SUMIF($AH$4:$AH$108,$BT23,$BE$4:$BE$108))</f>
        <v/>
      </c>
      <c r="DD23" s="13">
        <f>IFERROR(DA23*3+DB23*1,0)</f>
        <v/>
      </c>
      <c r="DE23" s="13">
        <f>$CB23</f>
        <v/>
      </c>
      <c r="DF23" s="13">
        <f>IF(CZ23&gt;0,RANK(DD23,DD22:DD25)+CG20,)</f>
        <v/>
      </c>
      <c r="DG23" s="13">
        <f>IF(AND(CZ23&gt;0,COUNTIF(DF22:DF25,DF23)&gt;1),SUMIFS($AI$4:$AI$108,$AF$4:$AF$108,$BT23,$M$4:$M$108,2)+SUMIFS($AK$4:$AK$108,$AH$4:$AH108,$BT23,$M$4:$M$108,2)-SUMIFS($AK$4:$AK$108,$AF$4:$AF$108,$BT23,$M$4:$M$108,2)-SUMIFS($AI$4:$AI$108,$AH$4:$AH$108,$BT23,$M$4:$M$108,2),)</f>
        <v/>
      </c>
      <c r="DH23" s="13">
        <f>IF(AND(CZ23&gt;0,COUNTIF(DF22:DF25,DF23)&gt;1),DF23+RANK(DG23,DG22:DG25)-1,DF23)</f>
        <v/>
      </c>
      <c r="DI23" s="13">
        <f>IF(AND(CZ23&gt;0,COUNTIF(DH22:DH25,DH23)&gt;1),SUMIFS($AI$4:$AI$108,$AF$4:$AF$108,$BT23,$M$4:$M$108,2)+SUMIFS($AK$4:$AK$108,$AH$4:$AH$108,$BT23,$M$4:$M$108,2),)</f>
        <v/>
      </c>
      <c r="DJ23" s="13">
        <f>IF(AND(CZ23&gt;0,COUNTIF(DH22:DH25,DH23)&gt;1),DH23+RANK(DI23,DI22:DI25)-1,DH23)</f>
        <v/>
      </c>
      <c r="DK23" s="75">
        <f>IF(DJ23=0,"",DJ23)</f>
        <v/>
      </c>
      <c r="DL23" s="75">
        <f>IF(OR(DK23="",COUNTIF(DK22:DK25,DK23)=1),"",$BZ23)</f>
        <v/>
      </c>
      <c r="DM23" s="75">
        <f>IF(DK23="","",IF(COUNTIF(DK22:DK25,DK23)=1,DK23,DK23+RANK(DL23,DL22:DL25,0)-1))</f>
        <v/>
      </c>
      <c r="DN23" s="75">
        <f>IF(OR(DM23="",COUNTIF(DM22:DM25,DM23)=1),"",$BX23)</f>
        <v/>
      </c>
      <c r="DO23" s="75">
        <f>IF(DK23="","",IF(COUNTIF(DM22:DM25,DM23)=1,DM23,DM23+RANK(DN23,DN22:DN25,0)-1))</f>
        <v/>
      </c>
      <c r="DP23" s="75">
        <f>IF(OR(DO23="",COUNTIF(DO22:DO25,DO23)=1),"",$BU23)</f>
        <v/>
      </c>
      <c r="DQ23" s="75">
        <f>IF(DK23="","",IF(COUNTIF(DO22:DO25,DO23)=1,DO23,DO23+RANK(DP23,DP22:DP25,0)-1))</f>
        <v/>
      </c>
      <c r="DR23" s="13">
        <f>IF(CZ23&gt;0,CG20+RANK(DQ23,DQ22:DQ25,1),)</f>
        <v/>
      </c>
      <c r="DT23" s="13">
        <f>IF(CC23=3,BT23,)</f>
        <v/>
      </c>
      <c r="DU23" s="13">
        <f>(SUMIF($AF$4:$AF$108,BT23,$BF$4:$BF$108)+SUMIF($AH$4:$AH$108,BT23,$BG$4:$BG$108))</f>
        <v/>
      </c>
      <c r="DV23" s="13">
        <f>(SUMIF($AF$4:$AF$108,BT23,$BH$4:$BH$108)+SUMIF($AH$4:$AH$108,BT23,$BI$4:$BI$108))</f>
        <v/>
      </c>
      <c r="DW23" s="13">
        <f>(SUMIF($AF$4:$AF$108,BT23,$BJ$4:$BJ$108)+SUMIF($AH$4:$AH$108,BT23,$BK$4:$BK$108))</f>
        <v/>
      </c>
      <c r="DX23" s="13">
        <f>IFERROR(DU23*3+DV23*1,0)</f>
        <v/>
      </c>
      <c r="DY23" s="13">
        <f>CB23</f>
        <v/>
      </c>
      <c r="DZ23" s="13">
        <f>IF(DT23&gt;0,RANK(DX23,DX22:DX25)+CG20+DA20,)</f>
        <v/>
      </c>
      <c r="EA23" s="13">
        <f>IF(AND(DT23&gt;0,COUNTIF(DZ22:DZ25,DZ23)&gt;1),SUMIFS($AI$4:$AI$108,$AF$4:$AF$108,$BT23,$M$4:$M$108,3)+SUMIFS($AK$4:$AK$108,$AH$4:$AH$108,$BT23,$M$4:$M$108,3)-SUMIFS($AK$4:$AK$108,$AF$4:$AF$108,$BT23,$M$4:$M$108,3)-SUMIFS($AI$4:$AI$108,$AH$4:$AH$108,$BT23,$M$4:$M$108,3),)</f>
        <v/>
      </c>
      <c r="EB23" s="13">
        <f>IF(AND(DT23&gt;0,COUNTIF(DZ22:DZ25,DZ23)&gt;1),DZ23+RANK(EA23,EA22:EA25)-1,DZ23)</f>
        <v/>
      </c>
      <c r="EC23" s="13">
        <f>IF(AND(DT23&gt;0,COUNTIF(EB22:EB25,EB23)&gt;1),SUMIFS($AI$4:$AI$108,$AF$4:$AF$108,$BT23,$M$4:$M$108,3)+SUMIFS($AK$4:$AK$108,$AH$4:$AH$108,$BT23,$M$4:$M$108,3),)</f>
        <v/>
      </c>
      <c r="ED23" s="13">
        <f>IF(AND(DT23&gt;0,COUNTIF(EB22:EB25,EB23)&gt;1),EB23+RANK(EC23,EC22:EC25)-1,EB23)</f>
        <v/>
      </c>
      <c r="EE23" s="13">
        <f>IF(ED23=0,"",ED23)</f>
        <v/>
      </c>
      <c r="EF23" s="13">
        <f>IF(OR(EE23="",COUNTIF(EE22:EE25,EE23)=1),"",$BZ23)</f>
        <v/>
      </c>
      <c r="EG23" s="13">
        <f>IF(EE23="","",IF(COUNTIF(EE22:EE25,EE23)=1,EE23,EE23+RANK(EF23,EF22:EF25,0)-1))</f>
        <v/>
      </c>
      <c r="EH23" s="13">
        <f>IF(OR(EG23="",COUNTIF(EG22:EG25,EG23)=1),"",$BX23)</f>
        <v/>
      </c>
      <c r="EI23" s="13">
        <f>IF(EE23="","",IF(COUNTIF(EG22:EG25,EG23)=1,EG23,EG23+RANK(EH23,EH22:EH25,0)-1))</f>
        <v/>
      </c>
      <c r="EJ23" s="13">
        <f>IF(OR(EI23="",COUNTIF(EI22:EI25,EI23)=1),"",$BU23)</f>
        <v/>
      </c>
      <c r="EK23" s="13">
        <f>IF(EE23="","",IF(COUNTIF(EI22:EI25,EI23)=1,EI23,EI23+RANK(EJ23,EJ22:EJ25,0)-1))</f>
        <v/>
      </c>
      <c r="EL23" s="13">
        <f>IF(DT23&gt;0,CG20+DA20+RANK(EK23,EK22:EK25,1),)</f>
        <v/>
      </c>
      <c r="EN23" s="13">
        <f>IF(CC23=4,BT23,)</f>
        <v/>
      </c>
      <c r="EO23" s="13">
        <f>(SUMIF($AF$4:$AF$108,$BT23,$BL$4:$BL$108)+SUMIF($AH$4:$AH$108,$BT23,$BM$4:$BM$108))</f>
        <v/>
      </c>
      <c r="EP23" s="13">
        <f>(SUMIF($AF$4:$AF$108,$BT23,$BN$4:$BN$108)+SUMIF($AH$4:$AH$108,$BT23,$BO$4:$BO$108))</f>
        <v/>
      </c>
      <c r="EQ23" s="13">
        <f>(SUMIF($AF$4:$AF$108,$BT23,$BP$4:$BP$108)+SUMIF($AH$4:$AH$108,$BT23,$BQ$4:$BQ$108))</f>
        <v/>
      </c>
      <c r="ER23" s="13">
        <f>IFERROR(EO23*3+EP23*1,0)</f>
        <v/>
      </c>
      <c r="ES23" s="13">
        <f>$CB23</f>
        <v/>
      </c>
      <c r="ET23" s="13">
        <f>IF(EN23&gt;0,RANK(ER23,ER22:ER25)+CG20+DA20+DU20,)</f>
        <v/>
      </c>
      <c r="EU23" s="13">
        <f>IF(AND(EN23&gt;0,COUNTIF(ET22:ET25,ET23)&gt;1),SUMIFS($AI$4:$AI$108,$AF$4:$AF$108,$BT23,$M$4:$M$108,4)+SUMIFS($AK$4:$AK$108,$AH$4:$AH$108,$BT23,$M$4:$M$108,4)-SUMIFS($AK$4:$AK$108,$AF$4:$AF$108,$BT23,$M$4:$M$108,4)-SUMIFS($AI$4:$AI$108,$AH$4:$AH$108,$BT23,$M$4:$M$108,4),)</f>
        <v/>
      </c>
      <c r="EV23" s="13">
        <f>IF(AND(EN23&gt;0,COUNTIF(ET22:ET25,ET23)&gt;1),ET23+RANK(EU23,EU22:EU25)-1,ET23)</f>
        <v/>
      </c>
      <c r="EW23" s="13">
        <f>IF(AND(EN23&gt;0,COUNTIF(EV23:EV26,EV23)&gt;1),SUMIFS($AI$4:$AI$108,$AF$4:$AF$108,$BT23,$M$4:$M$108,4)+SUMIFS($AK$4:$AK$108,$AH$4:$AH$108,$BT23,$M$4:$M$108,4),)</f>
        <v/>
      </c>
      <c r="EX23" s="13">
        <f>IF(AND(EN23&gt;0,COUNTIF(EV22:EV25,EV23)&gt;1),EV23+RANK(EW23,EW22:EW25)-1,EV23)</f>
        <v/>
      </c>
      <c r="EY23" s="13">
        <f>IF(EX23=0,"",EX23)</f>
        <v/>
      </c>
      <c r="EZ23" s="13">
        <f>IF(OR(EY23="",COUNTIF(EY22:EY25,EY23)=1),"",$BZ23)</f>
        <v/>
      </c>
      <c r="FA23" s="13">
        <f>IF(EY23="","",IF(COUNTIF(EY22:EY25,EY23)=1,EY23,EY23+RANK(EZ23,EZ22:EZ25,0)-1))</f>
        <v/>
      </c>
      <c r="FB23" s="13">
        <f>IF(OR(FA23="",COUNTIF(FA22:FA25,FA23)=1),"",$BX23)</f>
        <v/>
      </c>
      <c r="FC23" s="13">
        <f>IF(EY23="","",IF(COUNTIF(FA22:FA25,FA23)=1,FA23,FA23+RANK(FB23,FB22:FB25,0)-1))</f>
        <v/>
      </c>
      <c r="FD23" s="13">
        <f>IF(OR(FC23="",COUNTIF(FC22:FC25,FC23)=1),"",$BU23)</f>
        <v/>
      </c>
      <c r="FE23" s="13">
        <f>IF(EY23="","",IF(COUNTIF(FC22:FC25,FC23)=1,FC23,FC23+RANK(FD23,FD22:FD25,0)-1))</f>
        <v/>
      </c>
      <c r="FF23" s="13">
        <f>IF(EN23&gt;0,CG20+DA20+DU20+RANK(FE23,FE22:FE25,1),)</f>
        <v/>
      </c>
      <c r="FH23" s="13">
        <f>IFERROR(VLOOKUP(FJ23,CF21:CX25,19,FALSE),IFERROR(VLOOKUP(FJ23,CZ21:DR25,19,FALSE),IFERROR(VLOOKUP(FJ23,DT21:EL25,19,FALSE),VLOOKUP(FJ23,EN21:FF25,19,FALSE))))</f>
        <v/>
      </c>
      <c r="FI23" s="13">
        <f>RANK(FH23,FH22:FH25,1)+COUNTIF(FH22:FH23,FH23)-1</f>
        <v/>
      </c>
      <c r="FJ23" s="12">
        <f>BT23</f>
        <v/>
      </c>
      <c r="FZ23" s="79" t="n">
        <v>21</v>
      </c>
      <c r="GA23" s="3">
        <f>GB23&amp;GC23&amp;GD23&amp;GE23&amp;GF23&amp;GG23&amp;GH23&amp;GI23</f>
        <v/>
      </c>
      <c r="GB23" s="3" t="inlineStr">
        <is>
          <t>C</t>
        </is>
      </c>
      <c r="GC23" s="3" t="inlineStr">
        <is>
          <t>G</t>
        </is>
      </c>
      <c r="GD23" s="3" t="inlineStr">
        <is>
          <t>I</t>
        </is>
      </c>
      <c r="GE23" s="3" t="inlineStr">
        <is>
          <t>D</t>
        </is>
      </c>
      <c r="GF23" s="3" t="inlineStr">
        <is>
          <t>J</t>
        </is>
      </c>
      <c r="GG23" s="3" t="inlineStr">
        <is>
          <t>F</t>
        </is>
      </c>
      <c r="GH23" s="3" t="inlineStr">
        <is>
          <t>L</t>
        </is>
      </c>
      <c r="GI23" s="3" t="inlineStr">
        <is>
          <t>K</t>
        </is>
      </c>
      <c r="GJ23" s="9">
        <f>VLOOKUP(GB23,$FM$3:$FN$15,2,FALSE)</f>
        <v/>
      </c>
      <c r="GK23" s="9">
        <f>VLOOKUP(GC23,$FM$3:$FN$15,2,FALSE)</f>
        <v/>
      </c>
      <c r="GL23" s="9">
        <f>VLOOKUP(GD23,$FM$3:$FN$15,2,FALSE)</f>
        <v/>
      </c>
      <c r="GM23" s="9">
        <f>VLOOKUP(GE23,$FM$3:$FN$15,2,FALSE)</f>
        <v/>
      </c>
      <c r="GN23" s="9">
        <f>VLOOKUP(GF23,$FM$3:$FN$15,2,FALSE)</f>
        <v/>
      </c>
      <c r="GO23" s="9">
        <f>VLOOKUP(GG23,$FM$3:$FN$15,2,FALSE)</f>
        <v/>
      </c>
      <c r="GP23" s="9">
        <f>VLOOKUP(GH23,$FM$3:$FN$15,2,FALSE)</f>
        <v/>
      </c>
      <c r="GQ23" s="9">
        <f>VLOOKUP(GI23,$FM$3:$FN$15,2,FALSE)</f>
        <v/>
      </c>
      <c r="GR23" s="9">
        <f>IFERROR(IF(AND(VLOOKUP(GB23,$FX$4:$FX$15,1,FALSE)=GB23,VLOOKUP(GC23,$FX$4:$FX$15,1,FALSE)=GC23,VLOOKUP(GD23,$FX$4:$FX$15,1,FALSE)=GD23,VLOOKUP(GE23,$FX$4:$FX$15,1,FALSE)=GE23,VLOOKUP(GF23,$FX$4:$FX$15,1,FALSE)=GF23,VLOOKUP(GG23,$FX$4:$FX$15,1,FALSE)=GG23,VLOOKUP(GH23,$FX$4:$FX$15,1,FALSE)=GH23,VLOOKUP(GI23,$FX$4:$FX$15,1,FALSE)=GI23),FZ23,""),"")</f>
        <v/>
      </c>
      <c r="GX23" s="79" t="n"/>
    </row>
    <row r="24" ht="14.25" customHeight="1">
      <c r="B24" s="58" t="n">
        <v>30</v>
      </c>
      <c r="C24" s="59" t="n">
        <v>46193</v>
      </c>
      <c r="D24" s="60" t="inlineStr">
        <is>
          <t>Skottland</t>
        </is>
      </c>
      <c r="E24" s="61" t="inlineStr">
        <is>
          <t>-</t>
        </is>
      </c>
      <c r="F24" s="62" t="inlineStr">
        <is>
          <t>Marocko</t>
        </is>
      </c>
      <c r="G24" s="63" t="n">
        <v>1</v>
      </c>
      <c r="H24" s="64" t="inlineStr">
        <is>
          <t>-</t>
        </is>
      </c>
      <c r="I24" s="63" t="n">
        <v>1</v>
      </c>
      <c r="J24" s="65">
        <f>IF(OR(ISBLANK(G24),ISBLANK(I24)),"",IF(G24&gt;I24,1,IF(G24&lt;I24,2,"X")))</f>
        <v/>
      </c>
      <c r="K24" s="66">
        <f>IF(OR(G24="",I24="",'[1]Resultat &amp; tabell'!G24="",'[1]Resultat &amp; tabell'!I24=""),0,IF(G24='[1]Resultat &amp; tabell'!G24,2,0)+IF(I24='[1]Resultat &amp; tabell'!I24,2,0)+IF(J24='[1]Resultat &amp; tabell'!J24,2,0))</f>
        <v/>
      </c>
      <c r="L24" s="67" t="n"/>
      <c r="M24" s="29">
        <f>IF(VLOOKUP(D24,$BT$21:$CC$25,10,FALSE)=VLOOKUP(F24,$BT$21:$CC$25,10,FALSE),VLOOKUP(D24,$BT$21:$CC$25,10,FALSE),"-")</f>
        <v/>
      </c>
      <c r="N24" s="30" t="n">
        <v>3</v>
      </c>
      <c r="O24" s="83">
        <f>VLOOKUP(N24,FI22:FJ25,2,FALSE)</f>
        <v/>
      </c>
      <c r="P24" s="84">
        <f>VLOOKUP($O24,$BT$22:$CA$25,2,FALSE)</f>
        <v/>
      </c>
      <c r="Q24" s="84">
        <f>VLOOKUP($O24,$BT$22:$CA$25,3,FALSE)</f>
        <v/>
      </c>
      <c r="R24" s="84">
        <f>VLOOKUP($O24,$BT$22:$CA$25,4,FALSE)</f>
        <v/>
      </c>
      <c r="S24" s="84">
        <f>VLOOKUP($O24,$BT$22:$CA$25,5,FALSE)</f>
        <v/>
      </c>
      <c r="T24" s="84">
        <f>VLOOKUP($O24,$BT$22:$CA$25,6,FALSE)</f>
        <v/>
      </c>
      <c r="U24" s="84">
        <f>VLOOKUP($O24,$BT$22:$CA$25,7,FALSE)</f>
        <v/>
      </c>
      <c r="V24" s="85">
        <f>VLOOKUP($O24,$BT$22:$CA$25,8,FALSE)</f>
        <v/>
      </c>
      <c r="X24" s="122" t="inlineStr">
        <is>
          <t>Åttondelsfinaler</t>
        </is>
      </c>
      <c r="Y24" s="3">
        <f>SUM(K131:K138)</f>
        <v/>
      </c>
      <c r="Z24" s="3">
        <f>R131</f>
        <v/>
      </c>
      <c r="AA24" s="123">
        <f>Y24+Z24</f>
        <v/>
      </c>
      <c r="AB24" s="9" t="n"/>
      <c r="AC24" s="108" t="n"/>
      <c r="AE24" s="72">
        <f>C24</f>
        <v/>
      </c>
      <c r="AF24" s="72">
        <f>D24</f>
        <v/>
      </c>
      <c r="AG24" s="72">
        <f>E24</f>
        <v/>
      </c>
      <c r="AH24" s="72">
        <f>F24</f>
        <v/>
      </c>
      <c r="AI24" s="63">
        <f>IF(G24="","",G24)</f>
        <v/>
      </c>
      <c r="AJ24" s="58">
        <f>H24</f>
        <v/>
      </c>
      <c r="AK24" s="63">
        <f>IF(I24="","",I24)</f>
        <v/>
      </c>
      <c r="AL24" s="65">
        <f>J24</f>
        <v/>
      </c>
      <c r="AM24" s="73" t="n"/>
      <c r="AN24" s="13">
        <f>IF(AI24&gt;AK24,1,0)</f>
        <v/>
      </c>
      <c r="AO24" s="13">
        <f>IF(AK24&gt;AI24,1,0)</f>
        <v/>
      </c>
      <c r="AP24" s="13">
        <f>IF(AND(AI24=AK24,AI24&lt;&gt;""),1,0)</f>
        <v/>
      </c>
      <c r="AQ24" s="13">
        <f>IF(AND(AI24=AK24,AI24&lt;&gt;""),1,0)</f>
        <v/>
      </c>
      <c r="AR24" s="13">
        <f>IF(AI24&lt;AK24,1,0)</f>
        <v/>
      </c>
      <c r="AS24" s="13">
        <f>IF(AK24&lt;AI24,1,)</f>
        <v/>
      </c>
      <c r="AT24" s="13">
        <f>IF(ISERROR(VLOOKUP(AF24,CF:CF,1,FALSE)),0,1)*IF(ISERROR(VLOOKUP(AH24,CF:CF,1,FALSE)),0,1)*AN24</f>
        <v/>
      </c>
      <c r="AU24" s="13">
        <f>IF(ISERROR(VLOOKUP(AF24,CF:CF,1,FALSE)),0,1)*IF(ISERROR(VLOOKUP(AH24,CF:CF,1,FALSE)),0,1)*AO24</f>
        <v/>
      </c>
      <c r="AV24" s="13">
        <f>IF(ISERROR(VLOOKUP(AF24,CF:CF,1,FALSE)),0,1)*IF(ISERROR(VLOOKUP(AH24,CF:CF,1,FALSE)),0,1)*AP24</f>
        <v/>
      </c>
      <c r="AW24" s="13">
        <f>IF(ISERROR(VLOOKUP(AF24,CF:CF,1,FALSE)),0,1)*IF(ISERROR(VLOOKUP(AH24,CF:CF,1,FALSE)),0,1)*AQ24</f>
        <v/>
      </c>
      <c r="AX24" s="13">
        <f>IF(ISERROR(VLOOKUP(AF24,CF:CF,1,FALSE)),0,1)*IF(ISERROR(VLOOKUP(AH24,CF:CF,1,FALSE)),0,1)*AR24</f>
        <v/>
      </c>
      <c r="AY24" s="13">
        <f>IF(ISERROR(VLOOKUP(AF24,CF:CF,1,FALSE)),0,1)*IF(ISERROR(VLOOKUP(AH24,CF:CF,1,FALSE)),0,1)*AS24</f>
        <v/>
      </c>
      <c r="AZ24" s="13">
        <f>IF(ISERROR(VLOOKUP(AF24,CZ:CZ,1,FALSE)),0,1)*IF(ISERROR(VLOOKUP(AH24,CZ:CZ,1,FALSE)),0,1)*AN24</f>
        <v/>
      </c>
      <c r="BA24" s="13">
        <f>IF(ISERROR(VLOOKUP(AF24,CZ:CZ,1,FALSE)),0,1)*IF(ISERROR(VLOOKUP(AH24,CZ:CZ,1,FALSE)),0,1)*AO24</f>
        <v/>
      </c>
      <c r="BB24" s="13">
        <f>IF(ISERROR(VLOOKUP(AF24,CZ:CZ,1,FALSE)),0,1)*IF(ISERROR(VLOOKUP(AH24,CZ:CZ,1,FALSE)),0,1)*AP24</f>
        <v/>
      </c>
      <c r="BC24" s="13">
        <f>IF(ISERROR(VLOOKUP(AF24,CZ:CZ,1,FALSE)),0,1)*IF(ISERROR(VLOOKUP(AH24,CZ:CZ,1,FALSE)),0,1)*AQ24</f>
        <v/>
      </c>
      <c r="BD24" s="13">
        <f>IF(ISERROR(VLOOKUP(AF24,CZ:CZ,1,FALSE)),0,1)*IF(ISERROR(VLOOKUP(AH24,CZ:CZ,1,FALSE)),0,1)*AR24</f>
        <v/>
      </c>
      <c r="BE24" s="13">
        <f>IF(ISERROR(VLOOKUP(AF24,CZ:CZ,1,FALSE)),0,1)*IF(ISERROR(VLOOKUP(AH24,CZ:CZ,1,FALSE)),0,1)*AS24</f>
        <v/>
      </c>
      <c r="BF24" s="13">
        <f>IF(ISERROR(VLOOKUP(AF24,DT:DT,1,FALSE)),0,1)*IF(ISERROR(VLOOKUP(AH24,DT:DT,1,FALSE)),0,1)*AN24</f>
        <v/>
      </c>
      <c r="BG24" s="13">
        <f>IF(ISERROR(VLOOKUP(AF24,DT:DT,1,FALSE)),0,1)*IF(ISERROR(VLOOKUP(AH24,DT:DT,1,FALSE)),0,1)*AO24</f>
        <v/>
      </c>
      <c r="BH24" s="13">
        <f>IF(ISERROR(VLOOKUP(AF24,DT:DT,1,FALSE)),0,1)*IF(ISERROR(VLOOKUP(AH24,DT:DT,1,FALSE)),0,1)*AP24</f>
        <v/>
      </c>
      <c r="BI24" s="13">
        <f>IF(ISERROR(VLOOKUP(AF24,DT:DT,1,FALSE)),0,1)*IF(ISERROR(VLOOKUP(AH24,DT:DT,1,FALSE)),0,1)*AQ24</f>
        <v/>
      </c>
      <c r="BJ24" s="13">
        <f>IF(ISERROR(VLOOKUP(AF24,DT:DT,1,FALSE)),0,1)*IF(ISERROR(VLOOKUP(AH24,DT:DT,1,FALSE)),0,1)*AR24</f>
        <v/>
      </c>
      <c r="BK24" s="13">
        <f>IF(ISERROR(VLOOKUP(AF24,DT:DT,1,FALSE)),0,1)*IF(ISERROR(VLOOKUP(AH24,DT:DT,1,FALSE)),0,1)*AS24</f>
        <v/>
      </c>
      <c r="BL24" s="13">
        <f>IF(ISERROR(VLOOKUP(AF24,EN:EN,1,FALSE)),0,1)*IF(ISERROR(VLOOKUP(AH24,EN:EN,1,FALSE)),0,1)*AN24</f>
        <v/>
      </c>
      <c r="BM24" s="13">
        <f>IF(ISERROR(VLOOKUP(AF24,EN:EN,1,FALSE)),0,1)*IF(ISERROR(VLOOKUP(AH24,EN:EN,1,FALSE)),0,1)*AO24</f>
        <v/>
      </c>
      <c r="BN24" s="13">
        <f>IF(ISERROR(VLOOKUP(AF24,EN:EN,1,FALSE)),0,1)*IF(ISERROR(VLOOKUP(AH24,EN:EN,1,FALSE)),0,1)*AP24</f>
        <v/>
      </c>
      <c r="BO24" s="13">
        <f>IF(ISERROR(VLOOKUP(AF24,EN:EN,1,FALSE)),0,1)*IF(ISERROR(VLOOKUP(AH24,EN:EN,1,FALSE)),0,1)*AQ24</f>
        <v/>
      </c>
      <c r="BP24" s="13">
        <f>IF(ISERROR(VLOOKUP(AF24,EN:EN,1,FALSE)),0,1)*IF(ISERROR(VLOOKUP(AH24,EN:EN,1,FALSE)),0,1)*AR24</f>
        <v/>
      </c>
      <c r="BQ24" s="13">
        <f>IF(ISERROR(VLOOKUP(AF24,EN:EN,1,FALSE)),0,1)*IF(ISERROR(VLOOKUP(AH24,EN:EN,1,FALSE)),0,1)*AS24</f>
        <v/>
      </c>
      <c r="BT24" s="12" t="inlineStr">
        <is>
          <t>Haiti</t>
        </is>
      </c>
      <c r="BU24" s="13">
        <f>(SUMIF(AF$4:AF$108,BT24,AN$4:AN$108)+SUMIF(AH$4:AH$108,BT24,AO$4:AO$108))</f>
        <v/>
      </c>
      <c r="BV24" s="13">
        <f>(SUMIF(AF$4:AF$108,BT24,AP$4:AP$108)+SUMIF(AH$4:AH$108,BT24,AQ$4:AQ$108))</f>
        <v/>
      </c>
      <c r="BW24" s="13">
        <f>(SUMIF(AF$4:AF$108,BT24,AR$4:AR$108)+SUMIF(AH$4:AH$108,BT24,AS$4:AS$108))</f>
        <v/>
      </c>
      <c r="BX24" s="13">
        <f>SUMIF($AF$4:$AF$108,BT24,$AI$4:$AI$108)+SUMIF($AH$4:$AH$108,BT24,$AK$4:$AK$108)</f>
        <v/>
      </c>
      <c r="BY24" s="13">
        <f>SUMIF($AF$4:$AF$108,BT24,$AK$4:$AK$108)+SUMIF($AH$4:$AH$108,BT24,$AI$4:$AI$108)</f>
        <v/>
      </c>
      <c r="BZ24" s="13">
        <f>BX24-BY24</f>
        <v/>
      </c>
      <c r="CA24" s="13">
        <f>IFERROR(BU24*3+BV24*1,0)</f>
        <v/>
      </c>
      <c r="CB24" s="13" t="inlineStr">
        <is>
          <t>C</t>
        </is>
      </c>
      <c r="CC24" s="74">
        <f>RANK(CA24,CA22:CA25)</f>
        <v/>
      </c>
      <c r="CD24" s="13">
        <f>SUMPRODUCT((CA22:CA25=CA24)*(BZ22:BZ25&gt;BZ24))</f>
        <v/>
      </c>
      <c r="CF24" s="12">
        <f>IF(CC24=1,BT24,)</f>
        <v/>
      </c>
      <c r="CG24" s="13">
        <f>(SUMIF($AF$4:$AF$108,$BT24,$AT$4:$AT$108)+SUMIF($AH$4:$AH$108,$BT24,$AU$4:$AU$108))</f>
        <v/>
      </c>
      <c r="CH24" s="13">
        <f>(SUMIF($AF$4:$AF$108,$BT24,$AV$4:$AV$108)+SUMIF($AH$4:$AH$108,$BT24,$AW$4:$AW$108))</f>
        <v/>
      </c>
      <c r="CI24" s="13">
        <f>(SUMIF($AF$4:$AF$108,$BT24,$AX$4:$AX$108)+SUMIF($AH$4:$AH$108,$BT24,$AY$4:$AY$108))</f>
        <v/>
      </c>
      <c r="CJ24" s="13">
        <f>IFERROR(CG24*3+CH24*1,0)</f>
        <v/>
      </c>
      <c r="CK24" s="13">
        <f>CB24</f>
        <v/>
      </c>
      <c r="CL24" s="13">
        <f>IF(CF24&gt;0,RANK(CJ24,CJ22:CJ25),)</f>
        <v/>
      </c>
      <c r="CM24" s="13">
        <f>IF(AND(CF24&gt;0,COUNTIF(CL22:CL25,CL24)&gt;1),SUMIFS($AI$4:$AI$108,$AF$4:$AF$108,$BT24,$M$4:$M$108,1)+SUMIFS($AK$4:$AK$108,$AH$4:$AH$108,$BT24,$M$4:$M$108,1)-SUMIFS($AK$4:$AK$108,$AF$4:$AF$108,$BT24,$M$4:$M$108,1)-SUMIFS($AI$4:$AI$108,$AH$4:$AH$108,$BT24,$M$4:$M$108,1),)</f>
        <v/>
      </c>
      <c r="CN24" s="13">
        <f>IF(AND(CF24&gt;0,COUNTIF(CL22:CL25,CL24)&gt;1),CL24+RANK(CM24,CM22:CM25)-1,CL24)</f>
        <v/>
      </c>
      <c r="CO24" s="13">
        <f>IF(AND(CF24&gt;0,COUNTIF(CN22:CN25,CN24)&gt;1),SUMIFS($AI$4:$AI$108,$AF$4:$AF$108,$BT24,$M$4:$M$108,1)+SUMIFS($AK$4:$AK$108,$AH$4:$AH$108,$BT24,$M$4:$M$108,1),)</f>
        <v/>
      </c>
      <c r="CP24" s="13">
        <f>IF(AND(CF24&gt;0,COUNTIF(CN22:CN25,CN24)&gt;1),CN24+RANK(CO24,CO22:CO25)-1,CN24)</f>
        <v/>
      </c>
      <c r="CQ24" s="13">
        <f>IF(CP24=0,"",CP24)</f>
        <v/>
      </c>
      <c r="CR24" s="13">
        <f>IF(OR(CQ24="",COUNTIF(CQ22:CQ25,CQ24)=1),"",$BZ24)</f>
        <v/>
      </c>
      <c r="CS24" s="13">
        <f>IF(CQ24="","",IF(COUNTIF(CQ22:CQ25,CQ24)=1,CQ24,CQ24+RANK(CR24,CR22:CR25,0)-1))</f>
        <v/>
      </c>
      <c r="CT24" s="13">
        <f>IF(OR(CS24="",COUNTIF(CS22:CS25,CS24)=1),"",$BX24)</f>
        <v/>
      </c>
      <c r="CU24" s="13">
        <f>IF(CQ24="","",IF(COUNTIF(CS22:CS25,CS24)=1,CS24,CS24+RANK(CT24,CT22:CT25,0)-1))</f>
        <v/>
      </c>
      <c r="CV24" s="13">
        <f>IF(OR(CU24="",COUNTIF(CU22:CU25,CU24)=1),"",$BU24)</f>
        <v/>
      </c>
      <c r="CW24" s="13">
        <f>IF(CQ24="","",IF(COUNTIF(CU22:CU25,CU24)=1,CU24,CU24+RANK(CV24,CV22:CV25,0)-1))</f>
        <v/>
      </c>
      <c r="CX24" s="13">
        <f>IF(CF24&gt;0,BM20+RANK(CW24,CW22:CW25,1),)</f>
        <v/>
      </c>
      <c r="CZ24" s="12">
        <f>IF(CC24=2,BT24,)</f>
        <v/>
      </c>
      <c r="DA24" s="13">
        <f>(SUMIF($AF$4:$AF$108,$BT24,$AZ$4:$AZ$108)+SUMIF($AH$4:$AH$108,$BT24,$BA$4:$BA$108))</f>
        <v/>
      </c>
      <c r="DB24" s="13">
        <f>(SUMIF($AF$4:$AF$108,$BT24,$BB$4:$BB$108)+SUMIF($AH$4:$AH$108,$BT24,$BC$4:$BC$108))</f>
        <v/>
      </c>
      <c r="DC24" s="13">
        <f>(SUMIF($AF$4:$AF$108,$BT24,$BD$4:$BD$108)+SUMIF($AH$4:$AH$108,$BT24,$BE$4:$BE$108))</f>
        <v/>
      </c>
      <c r="DD24" s="13">
        <f>IFERROR(DA24*3+DB24*1,0)</f>
        <v/>
      </c>
      <c r="DE24" s="13">
        <f>$CB24</f>
        <v/>
      </c>
      <c r="DF24" s="13">
        <f>IF(CZ24&gt;0,RANK(DD24,DD22:DD25)+CG20,)</f>
        <v/>
      </c>
      <c r="DG24" s="13">
        <f>IF(AND(CZ24&gt;0,COUNTIF(DF22:DF25,DF24)&gt;1),SUMIFS($AI$4:$AI$108,$AF$4:$AF$108,$BT24,$M$4:$M$108,2)+SUMIFS($AK$4:$AK$108,$AH$4:$AH108,$BT24,$M$4:$M$108,2)-SUMIFS($AK$4:$AK$108,$AF$4:$AF$108,$BT24,$M$4:$M$108,2)-SUMIFS($AI$4:$AI$108,$AH$4:$AH$108,$BT24,$M$4:$M$108,2),)</f>
        <v/>
      </c>
      <c r="DH24" s="13">
        <f>IF(AND(CZ24&gt;0,COUNTIF(DF22:DF25,DF24)&gt;1),DF24+RANK(DG24,DG22:DG25)-1,DF24)</f>
        <v/>
      </c>
      <c r="DI24" s="13">
        <f>IF(AND(CZ24&gt;0,COUNTIF(DH22:DH25,DH24)&gt;1),SUMIFS($AI$4:$AI$108,$AF$4:$AF$108,$BT24,$M$4:$M$108,2)+SUMIFS($AK$4:$AK$108,$AH$4:$AH$108,$BT24,$M$4:$M$108,2),)</f>
        <v/>
      </c>
      <c r="DJ24" s="13">
        <f>IF(AND(CZ24&gt;0,COUNTIF(DH22:DH25,DH24)&gt;1),DH24+RANK(DI24,DI22:DI25)-1,DH24)</f>
        <v/>
      </c>
      <c r="DK24" s="75">
        <f>IF(DJ24=0,"",DJ24)</f>
        <v/>
      </c>
      <c r="DL24" s="75">
        <f>IF(OR(DK24="",COUNTIF(DK22:DK25,DK24)=1),"",$BZ24)</f>
        <v/>
      </c>
      <c r="DM24" s="75">
        <f>IF(DK24="","",IF(COUNTIF(DK22:DK25,DK24)=1,DK24,DK24+RANK(DL24,DL22:DL25,0)-1))</f>
        <v/>
      </c>
      <c r="DN24" s="75">
        <f>IF(OR(DM24="",COUNTIF(DM22:DM25,DM24)=1),"",$BX24)</f>
        <v/>
      </c>
      <c r="DO24" s="75">
        <f>IF(DK24="","",IF(COUNTIF(DM22:DM25,DM24)=1,DM24,DM24+RANK(DN24,DN22:DN25,0)-1))</f>
        <v/>
      </c>
      <c r="DP24" s="75">
        <f>IF(OR(DO24="",COUNTIF(DO22:DO25,DO24)=1),"",$BU24)</f>
        <v/>
      </c>
      <c r="DQ24" s="75">
        <f>IF(DK24="","",IF(COUNTIF(DO22:DO25,DO24)=1,DO24,DO24+RANK(DP24,DP22:DP25,0)-1))</f>
        <v/>
      </c>
      <c r="DR24" s="13">
        <f>IF(CZ24&gt;0,CG20+RANK(DQ24,DQ22:DQ25,1),)</f>
        <v/>
      </c>
      <c r="DT24" s="13">
        <f>IF(CC24=3,BT24,)</f>
        <v/>
      </c>
      <c r="DU24" s="13">
        <f>(SUMIF($AF$4:$AF$108,BT24,$BF$4:$BF$108)+SUMIF($AH$4:$AH$108,BT24,$BG$4:$BG$108))</f>
        <v/>
      </c>
      <c r="DV24" s="13">
        <f>(SUMIF($AF$4:$AF$108,BT24,$BH$4:$BH$108)+SUMIF($AH$4:$AH$108,BT24,$BI$4:$BI$108))</f>
        <v/>
      </c>
      <c r="DW24" s="13">
        <f>(SUMIF($AF$4:$AF$108,BT24,$BJ$4:$BJ$108)+SUMIF($AH$4:$AH$108,BT24,$BK$4:$BK$108))</f>
        <v/>
      </c>
      <c r="DX24" s="13">
        <f>IFERROR(DU24*3+DV24*1,0)</f>
        <v/>
      </c>
      <c r="DY24" s="13">
        <f>CB24</f>
        <v/>
      </c>
      <c r="DZ24" s="13">
        <f>IF(DT24&gt;0,RANK(DX24,DX22:DX25)+CG20+DA20,)</f>
        <v/>
      </c>
      <c r="EA24" s="13">
        <f>IF(AND(DT24&gt;0,COUNTIF(DZ22:DZ25,DZ24)&gt;1),SUMIFS($AI$4:$AI$108,$AF$4:$AF$108,$BT24,$M$4:$M$108,3)+SUMIFS($AK$4:$AK$108,$AH$4:$AH$108,$BT24,$M$4:$M$108,3)-SUMIFS($AK$4:$AK$108,$AF$4:$AF$108,$BT24,$M$4:$M$108,3)-SUMIFS($AI$4:$AI$108,$AH$4:$AH$108,$BT24,$M$4:$M$108,3),)</f>
        <v/>
      </c>
      <c r="EB24" s="13">
        <f>IF(AND(DT24&gt;0,COUNTIF(DZ22:DZ25,DZ24)&gt;1),DZ24+RANK(EA24,EA22:EA25)-1,DZ24)</f>
        <v/>
      </c>
      <c r="EC24" s="13">
        <f>IF(AND(DT24&gt;0,COUNTIF(EB22:EB25,EB24)&gt;1),SUMIFS($AI$4:$AI$108,$AF$4:$AF$108,$BT24,$M$4:$M$108,3)+SUMIFS($AK$4:$AK$108,$AH$4:$AH$108,$BT24,$M$4:$M$108,3),)</f>
        <v/>
      </c>
      <c r="ED24" s="13">
        <f>IF(AND(DT24&gt;0,COUNTIF(EB22:EB25,EB24)&gt;1),EB24+RANK(EC24,EC22:EC25)-1,EB24)</f>
        <v/>
      </c>
      <c r="EE24" s="13">
        <f>IF(ED24=0,"",ED24)</f>
        <v/>
      </c>
      <c r="EF24" s="13">
        <f>IF(OR(EE24="",COUNTIF(EE22:EE25,EE24)=1),"",$BZ24)</f>
        <v/>
      </c>
      <c r="EG24" s="13">
        <f>IF(EE24="","",IF(COUNTIF(EE22:EE25,EE24)=1,EE24,EE24+RANK(EF24,EF22:EF25,0)-1))</f>
        <v/>
      </c>
      <c r="EH24" s="13">
        <f>IF(OR(EG24="",COUNTIF(EG22:EG25,EG24)=1),"",$BX24)</f>
        <v/>
      </c>
      <c r="EI24" s="13">
        <f>IF(EE24="","",IF(COUNTIF(EG22:EG25,EG24)=1,EG24,EG24+RANK(EH24,EH22:EH25,0)-1))</f>
        <v/>
      </c>
      <c r="EJ24" s="13">
        <f>IF(OR(EI24="",COUNTIF(EI22:EI25,EI24)=1),"",$BU24)</f>
        <v/>
      </c>
      <c r="EK24" s="13">
        <f>IF(EE24="","",IF(COUNTIF(EI22:EI25,EI24)=1,EI24,EI24+RANK(EJ24,EJ22:EJ25,0)-1))</f>
        <v/>
      </c>
      <c r="EL24" s="13">
        <f>IF(DT24&gt;0,CG20+DA20+RANK(EK24,EK22:EK25,1),)</f>
        <v/>
      </c>
      <c r="EN24" s="13">
        <f>IF(CC24=4,BT24,)</f>
        <v/>
      </c>
      <c r="EO24" s="13">
        <f>(SUMIF($AF$4:$AF$108,$BT24,$BL$4:$BL$108)+SUMIF($AH$4:$AH$108,$BT24,$BM$4:$BM$108))</f>
        <v/>
      </c>
      <c r="EP24" s="13">
        <f>(SUMIF($AF$4:$AF$108,$BT24,$BN$4:$BN$108)+SUMIF($AH$4:$AH$108,$BT24,$BO$4:$BO$108))</f>
        <v/>
      </c>
      <c r="EQ24" s="13">
        <f>(SUMIF($AF$4:$AF$108,$BT24,$BP$4:$BP$108)+SUMIF($AH$4:$AH$108,$BT24,$BQ$4:$BQ$108))</f>
        <v/>
      </c>
      <c r="ER24" s="13">
        <f>IFERROR(EO24*3+EP24*1,0)</f>
        <v/>
      </c>
      <c r="ES24" s="13">
        <f>$CB24</f>
        <v/>
      </c>
      <c r="ET24" s="13">
        <f>IF(EN24&gt;0,RANK(ER24,ER22:ER25)+CG20+DA20+DU20,)</f>
        <v/>
      </c>
      <c r="EU24" s="13">
        <f>IF(AND(EN24&gt;0,COUNTIF(ET22:ET25,ET24)&gt;1),SUMIFS($AI$4:$AI$108,$AF$4:$AF$108,$BT24,$M$4:$M$108,4)+SUMIFS($AK$4:$AK$108,$AH$4:$AH$108,$BT24,$M$4:$M$108,4)-SUMIFS($AK$4:$AK$108,$AF$4:$AF$108,$BT24,$M$4:$M$108,4)-SUMIFS($AI$4:$AI$108,$AH$4:$AH$108,$BT24,$M$4:$M$108,4),)</f>
        <v/>
      </c>
      <c r="EV24" s="13">
        <f>IF(AND(EN24&gt;0,COUNTIF(ET22:ET25,ET24)&gt;1),ET24+RANK(EU24,EU22:EU25)-1,ET24)</f>
        <v/>
      </c>
      <c r="EW24" s="13">
        <f>IF(AND(EN24&gt;0,COUNTIF(EV24:EV27,EV24)&gt;1),SUMIFS($AI$4:$AI$108,$AF$4:$AF$108,$BT24,$M$4:$M$108,4)+SUMIFS($AK$4:$AK$108,$AH$4:$AH$108,$BT24,$M$4:$M$108,4),)</f>
        <v/>
      </c>
      <c r="EX24" s="13">
        <f>IF(AND(EN24&gt;0,COUNTIF(EV22:EV25,EV24)&gt;1),EV24+RANK(EW24,EW22:EW25)-1,EV24)</f>
        <v/>
      </c>
      <c r="EY24" s="13">
        <f>IF(EX24=0,"",EX24)</f>
        <v/>
      </c>
      <c r="EZ24" s="13">
        <f>IF(OR(EY24="",COUNTIF(EY22:EY25,EY24)=1),"",$BZ24)</f>
        <v/>
      </c>
      <c r="FA24" s="13">
        <f>IF(EY24="","",IF(COUNTIF(EY22:EY25,EY24)=1,EY24,EY24+RANK(EZ24,EZ22:EZ25,0)-1))</f>
        <v/>
      </c>
      <c r="FB24" s="13">
        <f>IF(OR(FA24="",COUNTIF(FA22:FA25,FA24)=1),"",$BX24)</f>
        <v/>
      </c>
      <c r="FC24" s="13">
        <f>IF(EY24="","",IF(COUNTIF(FA22:FA25,FA24)=1,FA24,FA24+RANK(FB24,FB22:FB25,0)-1))</f>
        <v/>
      </c>
      <c r="FD24" s="13">
        <f>IF(OR(FC24="",COUNTIF(FC22:FC25,FC24)=1),"",$BU24)</f>
        <v/>
      </c>
      <c r="FE24" s="13">
        <f>IF(EY24="","",IF(COUNTIF(FC22:FC25,FC24)=1,FC24,FC24+RANK(FD24,FD22:FD25,0)-1))</f>
        <v/>
      </c>
      <c r="FF24" s="13">
        <f>IF(EN24&gt;0,CG20+DA20+DU20+RANK(FE24,FE22:FE25,1),)</f>
        <v/>
      </c>
      <c r="FH24" s="13">
        <f>IFERROR(VLOOKUP(FJ24,CF21:CX25,19,FALSE),IFERROR(VLOOKUP(FJ24,CZ21:DR25,19,FALSE),IFERROR(VLOOKUP(FJ24,DT21:EL25,19,FALSE),VLOOKUP(FJ24,EN21:FF25,19,FALSE))))</f>
        <v/>
      </c>
      <c r="FI24" s="13">
        <f>RANK(FH24,FH22:FH25,1)+COUNTIF(FH22:FH24,FH24)-1</f>
        <v/>
      </c>
      <c r="FJ24" s="12">
        <f>BT24</f>
        <v/>
      </c>
      <c r="FZ24" s="79" t="n">
        <v>22</v>
      </c>
      <c r="GA24" s="3">
        <f>GB24&amp;GC24&amp;GD24&amp;GE24&amp;GF24&amp;GG24&amp;GH24&amp;GI24</f>
        <v/>
      </c>
      <c r="GB24" s="3" t="inlineStr">
        <is>
          <t>C</t>
        </is>
      </c>
      <c r="GC24" s="3" t="inlineStr">
        <is>
          <t>G</t>
        </is>
      </c>
      <c r="GD24" s="3" t="inlineStr">
        <is>
          <t>J</t>
        </is>
      </c>
      <c r="GE24" s="3" t="inlineStr">
        <is>
          <t>D</t>
        </is>
      </c>
      <c r="GF24" s="3" t="inlineStr">
        <is>
          <t>H</t>
        </is>
      </c>
      <c r="GG24" s="3" t="inlineStr">
        <is>
          <t>F</t>
        </is>
      </c>
      <c r="GH24" s="3" t="inlineStr">
        <is>
          <t>L</t>
        </is>
      </c>
      <c r="GI24" s="3" t="inlineStr">
        <is>
          <t>K</t>
        </is>
      </c>
      <c r="GJ24" s="9">
        <f>VLOOKUP(GB24,$FM$3:$FN$15,2,FALSE)</f>
        <v/>
      </c>
      <c r="GK24" s="9">
        <f>VLOOKUP(GC24,$FM$3:$FN$15,2,FALSE)</f>
        <v/>
      </c>
      <c r="GL24" s="9">
        <f>VLOOKUP(GD24,$FM$3:$FN$15,2,FALSE)</f>
        <v/>
      </c>
      <c r="GM24" s="9">
        <f>VLOOKUP(GE24,$FM$3:$FN$15,2,FALSE)</f>
        <v/>
      </c>
      <c r="GN24" s="9">
        <f>VLOOKUP(GF24,$FM$3:$FN$15,2,FALSE)</f>
        <v/>
      </c>
      <c r="GO24" s="9">
        <f>VLOOKUP(GG24,$FM$3:$FN$15,2,FALSE)</f>
        <v/>
      </c>
      <c r="GP24" s="9">
        <f>VLOOKUP(GH24,$FM$3:$FN$15,2,FALSE)</f>
        <v/>
      </c>
      <c r="GQ24" s="9">
        <f>VLOOKUP(GI24,$FM$3:$FN$15,2,FALSE)</f>
        <v/>
      </c>
      <c r="GR24" s="9">
        <f>IFERROR(IF(AND(VLOOKUP(GB24,$FX$4:$FX$15,1,FALSE)=GB24,VLOOKUP(GC24,$FX$4:$FX$15,1,FALSE)=GC24,VLOOKUP(GD24,$FX$4:$FX$15,1,FALSE)=GD24,VLOOKUP(GE24,$FX$4:$FX$15,1,FALSE)=GE24,VLOOKUP(GF24,$FX$4:$FX$15,1,FALSE)=GF24,VLOOKUP(GG24,$FX$4:$FX$15,1,FALSE)=GG24,VLOOKUP(GH24,$FX$4:$FX$15,1,FALSE)=GH24,VLOOKUP(GI24,$FX$4:$FX$15,1,FALSE)=GI24),FZ24,""),"")</f>
        <v/>
      </c>
      <c r="GX24" s="79" t="n"/>
    </row>
    <row r="25" ht="14.25" customHeight="1">
      <c r="B25" s="58" t="n">
        <v>29</v>
      </c>
      <c r="C25" s="59" t="n">
        <v>46193</v>
      </c>
      <c r="D25" s="60" t="inlineStr">
        <is>
          <t>Brasilien</t>
        </is>
      </c>
      <c r="E25" s="61" t="inlineStr">
        <is>
          <t>-</t>
        </is>
      </c>
      <c r="F25" s="62" t="inlineStr">
        <is>
          <t>Haiti</t>
        </is>
      </c>
      <c r="G25" s="63" t="n">
        <v>3</v>
      </c>
      <c r="H25" s="64" t="inlineStr">
        <is>
          <t>-</t>
        </is>
      </c>
      <c r="I25" s="63" t="n">
        <v>0</v>
      </c>
      <c r="J25" s="65">
        <f>IF(OR(ISBLANK(G25),ISBLANK(I25)),"",IF(G25&gt;I25,1,IF(G25&lt;I25,2,"X")))</f>
        <v/>
      </c>
      <c r="K25" s="66">
        <f>IF(OR(G25="",I25="",'[1]Resultat &amp; tabell'!G25="",'[1]Resultat &amp; tabell'!I25=""),0,IF(G25='[1]Resultat &amp; tabell'!G25,2,0)+IF(I25='[1]Resultat &amp; tabell'!I25,2,0)+IF(J25='[1]Resultat &amp; tabell'!J25,2,0))</f>
        <v/>
      </c>
      <c r="L25" s="67" t="n"/>
      <c r="M25" s="29">
        <f>IF(VLOOKUP(D25,$BT$21:$CC$25,10,FALSE)=VLOOKUP(F25,$BT$21:$CC$25,10,FALSE),VLOOKUP(D25,$BT$21:$CC$25,10,FALSE),"-")</f>
        <v/>
      </c>
      <c r="N25" s="30" t="n">
        <v>4</v>
      </c>
      <c r="O25" s="86">
        <f>VLOOKUP(N25,FI22:FJ25,2,FALSE)</f>
        <v/>
      </c>
      <c r="P25" s="87">
        <f>VLOOKUP($O25,$BT$22:$CA$25,2,FALSE)</f>
        <v/>
      </c>
      <c r="Q25" s="87">
        <f>VLOOKUP($O25,$BT$22:$CA$25,3,FALSE)</f>
        <v/>
      </c>
      <c r="R25" s="87">
        <f>VLOOKUP($O25,$BT$22:$CA$25,4,FALSE)</f>
        <v/>
      </c>
      <c r="S25" s="87">
        <f>VLOOKUP($O25,$BT$22:$CA$25,5,FALSE)</f>
        <v/>
      </c>
      <c r="T25" s="87">
        <f>VLOOKUP($O25,$BT$22:$CA$25,6,FALSE)</f>
        <v/>
      </c>
      <c r="U25" s="87">
        <f>VLOOKUP($O25,$BT$22:$CA$25,7,FALSE)</f>
        <v/>
      </c>
      <c r="V25" s="82">
        <f>VLOOKUP($O25,$BT$22:$CA$25,8,FALSE)</f>
        <v/>
      </c>
      <c r="X25" s="122" t="inlineStr">
        <is>
          <t>Kvartsfinaler</t>
        </is>
      </c>
      <c r="Y25" s="3">
        <f>SUM(K142:K145)</f>
        <v/>
      </c>
      <c r="Z25" s="3">
        <f>R142</f>
        <v/>
      </c>
      <c r="AA25" s="123">
        <f>Y25+Z25</f>
        <v/>
      </c>
      <c r="AB25" s="9" t="n"/>
      <c r="AC25" s="108" t="n"/>
      <c r="AE25" s="72">
        <f>C25</f>
        <v/>
      </c>
      <c r="AF25" s="72">
        <f>D25</f>
        <v/>
      </c>
      <c r="AG25" s="72">
        <f>E25</f>
        <v/>
      </c>
      <c r="AH25" s="72">
        <f>F25</f>
        <v/>
      </c>
      <c r="AI25" s="63">
        <f>IF(G25="","",G25)</f>
        <v/>
      </c>
      <c r="AJ25" s="58">
        <f>H25</f>
        <v/>
      </c>
      <c r="AK25" s="63">
        <f>IF(I25="","",I25)</f>
        <v/>
      </c>
      <c r="AL25" s="65">
        <f>J25</f>
        <v/>
      </c>
      <c r="AM25" s="73" t="n"/>
      <c r="AN25" s="13">
        <f>IF(AI25&gt;AK25,1,0)</f>
        <v/>
      </c>
      <c r="AO25" s="13">
        <f>IF(AK25&gt;AI25,1,0)</f>
        <v/>
      </c>
      <c r="AP25" s="13">
        <f>IF(AND(AI25=AK25,AI25&lt;&gt;""),1,0)</f>
        <v/>
      </c>
      <c r="AQ25" s="13">
        <f>IF(AND(AI25=AK25,AI25&lt;&gt;""),1,0)</f>
        <v/>
      </c>
      <c r="AR25" s="13">
        <f>IF(AI25&lt;AK25,1,0)</f>
        <v/>
      </c>
      <c r="AS25" s="13">
        <f>IF(AK25&lt;AI25,1,)</f>
        <v/>
      </c>
      <c r="AT25" s="13">
        <f>IF(ISERROR(VLOOKUP(AF25,CF:CF,1,FALSE)),0,1)*IF(ISERROR(VLOOKUP(AH25,CF:CF,1,FALSE)),0,1)*AN25</f>
        <v/>
      </c>
      <c r="AU25" s="13">
        <f>IF(ISERROR(VLOOKUP(AF25,CF:CF,1,FALSE)),0,1)*IF(ISERROR(VLOOKUP(AH25,CF:CF,1,FALSE)),0,1)*AO25</f>
        <v/>
      </c>
      <c r="AV25" s="13">
        <f>IF(ISERROR(VLOOKUP(AF25,CF:CF,1,FALSE)),0,1)*IF(ISERROR(VLOOKUP(AH25,CF:CF,1,FALSE)),0,1)*AP25</f>
        <v/>
      </c>
      <c r="AW25" s="13">
        <f>IF(ISERROR(VLOOKUP(AF25,CF:CF,1,FALSE)),0,1)*IF(ISERROR(VLOOKUP(AH25,CF:CF,1,FALSE)),0,1)*AQ25</f>
        <v/>
      </c>
      <c r="AX25" s="13">
        <f>IF(ISERROR(VLOOKUP(AF25,CF:CF,1,FALSE)),0,1)*IF(ISERROR(VLOOKUP(AH25,CF:CF,1,FALSE)),0,1)*AR25</f>
        <v/>
      </c>
      <c r="AY25" s="13">
        <f>IF(ISERROR(VLOOKUP(AF25,CF:CF,1,FALSE)),0,1)*IF(ISERROR(VLOOKUP(AH25,CF:CF,1,FALSE)),0,1)*AS25</f>
        <v/>
      </c>
      <c r="AZ25" s="13">
        <f>IF(ISERROR(VLOOKUP(AF25,CZ:CZ,1,FALSE)),0,1)*IF(ISERROR(VLOOKUP(AH25,CZ:CZ,1,FALSE)),0,1)*AN25</f>
        <v/>
      </c>
      <c r="BA25" s="13">
        <f>IF(ISERROR(VLOOKUP(AF25,CZ:CZ,1,FALSE)),0,1)*IF(ISERROR(VLOOKUP(AH25,CZ:CZ,1,FALSE)),0,1)*AO25</f>
        <v/>
      </c>
      <c r="BB25" s="13">
        <f>IF(ISERROR(VLOOKUP(AF25,CZ:CZ,1,FALSE)),0,1)*IF(ISERROR(VLOOKUP(AH25,CZ:CZ,1,FALSE)),0,1)*AP25</f>
        <v/>
      </c>
      <c r="BC25" s="13">
        <f>IF(ISERROR(VLOOKUP(AF25,CZ:CZ,1,FALSE)),0,1)*IF(ISERROR(VLOOKUP(AH25,CZ:CZ,1,FALSE)),0,1)*AQ25</f>
        <v/>
      </c>
      <c r="BD25" s="13">
        <f>IF(ISERROR(VLOOKUP(AF25,CZ:CZ,1,FALSE)),0,1)*IF(ISERROR(VLOOKUP(AH25,CZ:CZ,1,FALSE)),0,1)*AR25</f>
        <v/>
      </c>
      <c r="BE25" s="13">
        <f>IF(ISERROR(VLOOKUP(AF25,CZ:CZ,1,FALSE)),0,1)*IF(ISERROR(VLOOKUP(AH25,CZ:CZ,1,FALSE)),0,1)*AS25</f>
        <v/>
      </c>
      <c r="BF25" s="13">
        <f>IF(ISERROR(VLOOKUP(AF25,DT:DT,1,FALSE)),0,1)*IF(ISERROR(VLOOKUP(AH25,DT:DT,1,FALSE)),0,1)*AN25</f>
        <v/>
      </c>
      <c r="BG25" s="13">
        <f>IF(ISERROR(VLOOKUP(AF25,DT:DT,1,FALSE)),0,1)*IF(ISERROR(VLOOKUP(AH25,DT:DT,1,FALSE)),0,1)*AO25</f>
        <v/>
      </c>
      <c r="BH25" s="13">
        <f>IF(ISERROR(VLOOKUP(AF25,DT:DT,1,FALSE)),0,1)*IF(ISERROR(VLOOKUP(AH25,DT:DT,1,FALSE)),0,1)*AP25</f>
        <v/>
      </c>
      <c r="BI25" s="13">
        <f>IF(ISERROR(VLOOKUP(AF25,DT:DT,1,FALSE)),0,1)*IF(ISERROR(VLOOKUP(AH25,DT:DT,1,FALSE)),0,1)*AQ25</f>
        <v/>
      </c>
      <c r="BJ25" s="13">
        <f>IF(ISERROR(VLOOKUP(AF25,DT:DT,1,FALSE)),0,1)*IF(ISERROR(VLOOKUP(AH25,DT:DT,1,FALSE)),0,1)*AR25</f>
        <v/>
      </c>
      <c r="BK25" s="13">
        <f>IF(ISERROR(VLOOKUP(AF25,DT:DT,1,FALSE)),0,1)*IF(ISERROR(VLOOKUP(AH25,DT:DT,1,FALSE)),0,1)*AS25</f>
        <v/>
      </c>
      <c r="BL25" s="13">
        <f>IF(ISERROR(VLOOKUP(AF25,EN:EN,1,FALSE)),0,1)*IF(ISERROR(VLOOKUP(AH25,EN:EN,1,FALSE)),0,1)*AN25</f>
        <v/>
      </c>
      <c r="BM25" s="13">
        <f>IF(ISERROR(VLOOKUP(AF25,EN:EN,1,FALSE)),0,1)*IF(ISERROR(VLOOKUP(AH25,EN:EN,1,FALSE)),0,1)*AO25</f>
        <v/>
      </c>
      <c r="BN25" s="13">
        <f>IF(ISERROR(VLOOKUP(AF25,EN:EN,1,FALSE)),0,1)*IF(ISERROR(VLOOKUP(AH25,EN:EN,1,FALSE)),0,1)*AP25</f>
        <v/>
      </c>
      <c r="BO25" s="13">
        <f>IF(ISERROR(VLOOKUP(AF25,EN:EN,1,FALSE)),0,1)*IF(ISERROR(VLOOKUP(AH25,EN:EN,1,FALSE)),0,1)*AQ25</f>
        <v/>
      </c>
      <c r="BP25" s="13">
        <f>IF(ISERROR(VLOOKUP(AF25,EN:EN,1,FALSE)),0,1)*IF(ISERROR(VLOOKUP(AH25,EN:EN,1,FALSE)),0,1)*AR25</f>
        <v/>
      </c>
      <c r="BQ25" s="13">
        <f>IF(ISERROR(VLOOKUP(AF25,EN:EN,1,FALSE)),0,1)*IF(ISERROR(VLOOKUP(AH25,EN:EN,1,FALSE)),0,1)*AS25</f>
        <v/>
      </c>
      <c r="BT25" s="88" t="inlineStr">
        <is>
          <t>Skottland</t>
        </is>
      </c>
      <c r="BU25" s="13">
        <f>(SUMIF(AF$4:AF$108,BT25,AN$4:AN$108)+SUMIF(AH$4:AH$108,BT25,AO$4:AO$108))</f>
        <v/>
      </c>
      <c r="BV25" s="13">
        <f>(SUMIF(AF$4:AF$108,BT25,AP$4:AP$108)+SUMIF(AH$4:AH$108,BT25,AQ$4:AQ$108))</f>
        <v/>
      </c>
      <c r="BW25" s="13">
        <f>(SUMIF(AF$4:AF$108,BT25,AR$4:AR$108)+SUMIF(AH$4:AH$108,BT25,AS$4:AS$108))</f>
        <v/>
      </c>
      <c r="BX25" s="13">
        <f>SUMIF($AF$4:$AF$108,BT25,$AI$4:$AI$108)+SUMIF($AH$4:$AH$108,BT25,$AK$4:$AK$108)</f>
        <v/>
      </c>
      <c r="BY25" s="13">
        <f>SUMIF($AF$4:$AF$108,BT25,$AK$4:$AK$108)+SUMIF($AH$4:$AH$108,BT25,$AI$4:$AI$108)</f>
        <v/>
      </c>
      <c r="BZ25" s="13">
        <f>BX25-BY25</f>
        <v/>
      </c>
      <c r="CA25" s="13">
        <f>IFERROR(BU25*3+BV25*1,0)</f>
        <v/>
      </c>
      <c r="CB25" s="89" t="inlineStr">
        <is>
          <t>C</t>
        </is>
      </c>
      <c r="CC25" s="74">
        <f>RANK(CA25,CA22:CA25)</f>
        <v/>
      </c>
      <c r="CD25" s="13">
        <f>SUMPRODUCT((CA22:CA25=CA25)*(BZ22:BZ25&gt;BZ25))</f>
        <v/>
      </c>
      <c r="CF25" s="88">
        <f>IF(CC25=1,BT25,)</f>
        <v/>
      </c>
      <c r="CG25" s="13">
        <f>(SUMIF($AF$4:$AF$108,$BT25,$AT$4:$AT$108)+SUMIF($AH$4:$AH$108,$BT25,$AU$4:$AU$108))</f>
        <v/>
      </c>
      <c r="CH25" s="13">
        <f>(SUMIF($AF$4:$AF$108,$BT25,$AV$4:$AV$108)+SUMIF($AH$4:$AH$108,$BT25,$AW$4:$AW$108))</f>
        <v/>
      </c>
      <c r="CI25" s="13">
        <f>(SUMIF($AF$4:$AF$108,$BT25,$AX$4:$AX$108)+SUMIF($AH$4:$AH$108,$BT25,$AY$4:$AY$108))</f>
        <v/>
      </c>
      <c r="CJ25" s="13">
        <f>IFERROR(CG25*3+CH25*1,0)</f>
        <v/>
      </c>
      <c r="CK25" s="13">
        <f>CB25</f>
        <v/>
      </c>
      <c r="CL25" s="13">
        <f>IF(CF25&gt;0,RANK(CJ25,CJ22:CJ25),)</f>
        <v/>
      </c>
      <c r="CM25" s="13">
        <f>IF(AND(CF25&gt;0,COUNTIF(CL22:CL25,CL25)&gt;1),SUMIFS($AI$4:$AI$108,$AF$4:$AF$108,$BT25,$M$4:$M$108,1)+SUMIFS($AK$4:$AK$108,$AH$4:$AH$108,$BT25,$M$4:$M$108,1)-SUMIFS($AK$4:$AK$108,$AF$4:$AF$108,$BT25,$M$4:$M$108,1)-SUMIFS($AI$4:$AI$108,$AH$4:$AH$108,$BT25,$M$4:$M$108,1),)</f>
        <v/>
      </c>
      <c r="CN25" s="13">
        <f>IF(AND(CF25&gt;0,COUNTIF(CL22:CL25,CL25)&gt;1),CL25+RANK(CM25,CM22:CM25)-1,CL25)</f>
        <v/>
      </c>
      <c r="CO25" s="13">
        <f>IF(AND(CF25&gt;0,COUNTIF(CN22:CN25,CN25)&gt;1),SUMIFS($AI$4:$AI$108,$AF$4:$AF$108,$BT25,$M$4:$M$108,1)+SUMIFS($AK$4:$AK$108,$AH$4:$AH$108,$BT25,$M$4:$M$108,1),)</f>
        <v/>
      </c>
      <c r="CP25" s="13">
        <f>IF(AND(CF25&gt;0,COUNTIF(CN22:CN25,CN25)&gt;1),CN25+RANK(CO25,CO22:CO25)-1,CN25)</f>
        <v/>
      </c>
      <c r="CQ25" s="13">
        <f>IF(CP25=0,"",CP25)</f>
        <v/>
      </c>
      <c r="CR25" s="13">
        <f>IF(OR(CQ25="",COUNTIF(CQ22:CQ25,CQ25)=1),"",$BZ25)</f>
        <v/>
      </c>
      <c r="CS25" s="13">
        <f>IF(CQ25="","",IF(COUNTIF(CQ22:CQ25,CQ25)=1,CQ25,CQ25+RANK(CR25,CR22:CR25,0)-1))</f>
        <v/>
      </c>
      <c r="CT25" s="13">
        <f>IF(OR(CS25="",COUNTIF(CS22:CS25,CS25)=1),"",$BX25)</f>
        <v/>
      </c>
      <c r="CU25" s="13">
        <f>IF(CQ25="","",IF(COUNTIF(CS22:CS25,CS25)=1,CS25,CS25+RANK(CT25,CT22:CT25,0)-1))</f>
        <v/>
      </c>
      <c r="CV25" s="13">
        <f>IF(OR(CU25="",COUNTIF(CU22:CU25,CU25)=1),"",$BU25)</f>
        <v/>
      </c>
      <c r="CW25" s="13">
        <f>IF(CQ25="","",IF(COUNTIF(CU22:CU25,CU25)=1,CU25,CU25+RANK(CV25,CV22:CV25,0)-1))</f>
        <v/>
      </c>
      <c r="CX25" s="13">
        <f>IF(CF25&gt;0,BM20+RANK(CW25,CW22:CW25,1),)</f>
        <v/>
      </c>
      <c r="CZ25" s="88">
        <f>IF(CC25=2,BT25,)</f>
        <v/>
      </c>
      <c r="DA25" s="13">
        <f>(SUMIF($AF$4:$AF$108,$BT25,$AZ$4:$AZ$108)+SUMIF($AH$4:$AH$108,$BT25,$BA$4:$BA$108))</f>
        <v/>
      </c>
      <c r="DB25" s="13">
        <f>(SUMIF($AF$4:$AF$108,$BT25,$BB$4:$BB$108)+SUMIF($AH$4:$AH$108,$BT25,$BC$4:$BC$108))</f>
        <v/>
      </c>
      <c r="DC25" s="13">
        <f>(SUMIF($AF$4:$AF$108,$BT25,$BD$4:$BD$108)+SUMIF($AH$4:$AH$108,$BT25,$BE$4:$BE$108))</f>
        <v/>
      </c>
      <c r="DD25" s="13">
        <f>IFERROR(DA25*3+DB25*1,0)</f>
        <v/>
      </c>
      <c r="DE25" s="13">
        <f>$CB25</f>
        <v/>
      </c>
      <c r="DF25" s="13">
        <f>IF(CZ25&gt;0,RANK(DD25,DD22:DD25)+CG20,)</f>
        <v/>
      </c>
      <c r="DG25" s="13">
        <f>IF(AND(CZ25&gt;0,COUNTIF(DF22:DF25,DF25)&gt;1),SUMIFS($AI$4:$AI$108,$AF$4:$AF$108,$BT25,$M$4:$M$108,2)+SUMIFS($AK$4:$AK$108,$AH$4:$AH108,$BT25,$M$4:$M$108,2)-SUMIFS($AK$4:$AK$108,$AF$4:$AF$108,$BT25,$M$4:$M$108,2)-SUMIFS($AI$4:$AI$108,$AH$4:$AH$108,$BT25,$M$4:$M$108,2),)</f>
        <v/>
      </c>
      <c r="DH25" s="13">
        <f>IF(AND(CZ25&gt;0,COUNTIF(DF22:DF25,DF25)&gt;1),DF25+RANK(DG25,DG22:DG25)-1,DF25)</f>
        <v/>
      </c>
      <c r="DI25" s="13">
        <f>IF(AND(CZ25&gt;0,COUNTIF(DH22:DH25,DH25)&gt;1),SUMIFS($AI$4:$AI$108,$AF$4:$AF$108,$BT25,$M$4:$M$108,2)+SUMIFS($AK$4:$AK$108,$AH$4:$AH$108,$BT25,$M$4:$M$108,2),)</f>
        <v/>
      </c>
      <c r="DJ25" s="13">
        <f>IF(AND(CZ25&gt;0,COUNTIF(DH22:DH25,DH25)&gt;1),DH25+RANK(DI25,DI22:DI25)-1,DH25)</f>
        <v/>
      </c>
      <c r="DK25" s="75">
        <f>IF(DJ25=0,"",DJ25)</f>
        <v/>
      </c>
      <c r="DL25" s="75">
        <f>IF(OR(DK25="",COUNTIF(DK22:DK25,DK25)=1),"",$BZ25)</f>
        <v/>
      </c>
      <c r="DM25" s="75">
        <f>IF(DK25="","",IF(COUNTIF(DK22:DK25,DK25)=1,DK25,DK25+RANK(DL25,DL22:DL25,0)-1))</f>
        <v/>
      </c>
      <c r="DN25" s="75">
        <f>IF(OR(DM25="",COUNTIF(DM22:DM25,DM25)=1),"",$BX25)</f>
        <v/>
      </c>
      <c r="DO25" s="75">
        <f>IF(DK25="","",IF(COUNTIF(DM22:DM25,DM25)=1,DM25,DM25+RANK(DN25,DN22:DN25,0)-1))</f>
        <v/>
      </c>
      <c r="DP25" s="75">
        <f>IF(OR(DO25="",COUNTIF(DO22:DO25,DO25)=1),"",$BU25)</f>
        <v/>
      </c>
      <c r="DQ25" s="75">
        <f>IF(DK25="","",IF(COUNTIF(DO22:DO25,DO25)=1,DO25,DO25+RANK(DP25,DP22:DP25,0)-1))</f>
        <v/>
      </c>
      <c r="DR25" s="13">
        <f>IF(CZ25&gt;0,CG20+RANK(DQ25,DQ22:DQ25,1),)</f>
        <v/>
      </c>
      <c r="DT25" s="89">
        <f>IF(CC25=3,BT25,)</f>
        <v/>
      </c>
      <c r="DU25" s="13">
        <f>(SUMIF($AF$4:$AF$108,BT25,$BF$4:$BF$108)+SUMIF($AH$4:$AH$108,BT25,$BG$4:$BG$108))</f>
        <v/>
      </c>
      <c r="DV25" s="13">
        <f>(SUMIF($AF$4:$AF$108,BT25,$BH$4:$BH$108)+SUMIF($AH$4:$AH$108,BT25,$BI$4:$BI$108))</f>
        <v/>
      </c>
      <c r="DW25" s="13">
        <f>(SUMIF($AF$4:$AF$108,BT25,$BJ$4:$BJ$108)+SUMIF($AH$4:$AH$108,BT25,$BK$4:$BK$108))</f>
        <v/>
      </c>
      <c r="DX25" s="13">
        <f>IFERROR(DU25*3+DV25*1,0)</f>
        <v/>
      </c>
      <c r="DY25" s="13">
        <f>CB25</f>
        <v/>
      </c>
      <c r="DZ25" s="13">
        <f>IF(DT25&gt;0,RANK(DX25,DX22:DX25)+CG20+DA20,)</f>
        <v/>
      </c>
      <c r="EA25" s="13">
        <f>IF(AND(DT25&gt;0,COUNTIF(DZ22:DZ25,DZ25)&gt;1),SUMIFS($AI$4:$AI$108,$AF$4:$AF$108,$BT25,$M$4:$M$108,3)+SUMIFS($AK$4:$AK$108,$AH$4:$AH$108,$BT25,$M$4:$M$108,3)-SUMIFS($AK$4:$AK$108,$AF$4:$AF$108,$BT25,$M$4:$M$108,3)-SUMIFS($AI$4:$AI$108,$AH$4:$AH$108,$BT25,$M$4:$M$108,3),)</f>
        <v/>
      </c>
      <c r="EB25" s="13">
        <f>IF(AND(DT25&gt;0,COUNTIF(DZ22:DZ25,DZ25)&gt;1),DZ25+RANK(EA25,EA22:EA25)-1,DZ25)</f>
        <v/>
      </c>
      <c r="EC25" s="13">
        <f>IF(AND(DT25&gt;0,COUNTIF(EB22:EB25,EB25)&gt;1),SUMIFS($AI$4:$AI$108,$AF$4:$AF$108,$BT25,$M$4:$M$108,3)+SUMIFS($AK$4:$AK$108,$AH$4:$AH$108,$BT25,$M$4:$M$108,3),)</f>
        <v/>
      </c>
      <c r="ED25" s="13">
        <f>IF(AND(DT25&gt;0,COUNTIF(EB22:EB25,EB25)&gt;1),EB25+RANK(EC25,EC22:EC25)-1,EB25)</f>
        <v/>
      </c>
      <c r="EE25" s="13">
        <f>IF(ED25=0,"",ED25)</f>
        <v/>
      </c>
      <c r="EF25" s="13">
        <f>IF(OR(EE25="",COUNTIF(EE22:EE25,EE25)=1),"",$BZ25)</f>
        <v/>
      </c>
      <c r="EG25" s="13">
        <f>IF(EE25="","",IF(COUNTIF(EE22:EE25,EE25)=1,EE25,EE25+RANK(EF25,EF22:EF25,0)-1))</f>
        <v/>
      </c>
      <c r="EH25" s="13">
        <f>IF(OR(EG25="",COUNTIF(EG22:EG25,EG25)=1),"",$BX25)</f>
        <v/>
      </c>
      <c r="EI25" s="13">
        <f>IF(EE25="","",IF(COUNTIF(EG22:EG25,EG25)=1,EG25,EG25+RANK(EH25,EH22:EH25,0)-1))</f>
        <v/>
      </c>
      <c r="EJ25" s="13">
        <f>IF(OR(EI25="",COUNTIF(EI22:EI25,EI25)=1),"",$BU25)</f>
        <v/>
      </c>
      <c r="EK25" s="13">
        <f>IF(EE25="","",IF(COUNTIF(EI22:EI25,EI25)=1,EI25,EI25+RANK(EJ25,EJ22:EJ25,0)-1))</f>
        <v/>
      </c>
      <c r="EL25" s="13">
        <f>IF(DT25&gt;0,CG20+DA20+RANK(EK25,EK22:EK25,1),)</f>
        <v/>
      </c>
      <c r="EN25" s="13">
        <f>IF(CC25=4,BT25,)</f>
        <v/>
      </c>
      <c r="EO25" s="13">
        <f>(SUMIF($AF$4:$AF$108,$BT25,$BL$4:$BL$108)+SUMIF($AH$4:$AH$108,$BT25,$BM$4:$BM$108))</f>
        <v/>
      </c>
      <c r="EP25" s="13">
        <f>(SUMIF($AF$4:$AF$108,$BT25,$BN$4:$BN$108)+SUMIF($AH$4:$AH$108,$BT25,$BO$4:$BO$108))</f>
        <v/>
      </c>
      <c r="EQ25" s="13">
        <f>(SUMIF($AF$4:$AF$108,$BT25,$BP$4:$BP$108)+SUMIF($AH$4:$AH$108,$BT25,$BQ$4:$BQ$108))</f>
        <v/>
      </c>
      <c r="ER25" s="13">
        <f>IFERROR(EO25*3+EP25*1,0)</f>
        <v/>
      </c>
      <c r="ES25" s="13">
        <f>$CB25</f>
        <v/>
      </c>
      <c r="ET25" s="13">
        <f>IF(EN25&gt;0,RANK(ER25,ER22:ER25)+CG20+DA20+DU20,)</f>
        <v/>
      </c>
      <c r="EU25" s="13">
        <f>IF(AND(EN25&gt;0,COUNTIF(ET22:ET25,ET25)&gt;1),SUMIFS($AI$4:$AI$108,$AF$4:$AF$108,$BT25,$M$4:$M$108,4)+SUMIFS($AK$4:$AK$108,$AH$4:$AH$108,$BT25,$M$4:$M$108,4)-SUMIFS($AK$4:$AK$108,$AF$4:$AF$108,$BT25,$M$4:$M$108,4)-SUMIFS($AI$4:$AI$108,$AH$4:$AH$108,$BT25,$M$4:$M$108,4),)</f>
        <v/>
      </c>
      <c r="EV25" s="13">
        <f>IF(AND(EN25&gt;0,COUNTIF(ET22:ET25,ET25)&gt;1),ET25+RANK(EU25,EU22:EU25)-1,ET25)</f>
        <v/>
      </c>
      <c r="EW25" s="13">
        <f>IF(AND(EN25&gt;0,COUNTIF(EV25:EV28,EV25)&gt;1),SUMIFS($AI$4:$AI$108,$AF$4:$AF$108,$BT25,$M$4:$M$108,4)+SUMIFS($AK$4:$AK$108,$AH$4:$AH$108,$BT25,$M$4:$M$108,4),)</f>
        <v/>
      </c>
      <c r="EX25" s="13">
        <f>IF(AND(EN25&gt;0,COUNTIF(EV22:EV25,EV25)&gt;1),EV25+RANK(EW25,EW22:EW25)-1,EV25)</f>
        <v/>
      </c>
      <c r="EY25" s="13">
        <f>IF(EX25=0,"",EX25)</f>
        <v/>
      </c>
      <c r="EZ25" s="13">
        <f>IF(OR(EY25="",COUNTIF(EY22:EY25,EY25)=1),"",$BZ25)</f>
        <v/>
      </c>
      <c r="FA25" s="13">
        <f>IF(EY25="","",IF(COUNTIF(EY22:EY25,EY25)=1,EY25,EY25+RANK(EZ25,EZ22:EZ25,0)-1))</f>
        <v/>
      </c>
      <c r="FB25" s="13">
        <f>IF(OR(FA25="",COUNTIF(FA22:FA25,FA25)=1),"",$BX25)</f>
        <v/>
      </c>
      <c r="FC25" s="13">
        <f>IF(EY25="","",IF(COUNTIF(FA22:FA25,FA25)=1,FA25,FA25+RANK(FB25,FB22:FB25,0)-1))</f>
        <v/>
      </c>
      <c r="FD25" s="13">
        <f>IF(OR(FC25="",COUNTIF(FC22:FC25,FC25)=1),"",$BU25)</f>
        <v/>
      </c>
      <c r="FE25" s="13">
        <f>IF(EY25="","",IF(COUNTIF(FC22:FC25,FC25)=1,FC25,FC25+RANK(FD25,FD22:FD25,0)-1))</f>
        <v/>
      </c>
      <c r="FF25" s="13">
        <f>IF(EN25&gt;0,CG20+DA20+DU20+RANK(FE25,FE22:FE25,1),)</f>
        <v/>
      </c>
      <c r="FH25" s="13">
        <f>IFERROR(VLOOKUP(FJ25,CF21:CX25,19,FALSE),IFERROR(VLOOKUP(FJ25,CZ21:DR25,19,FALSE),IFERROR(VLOOKUP(FJ25,DT21:EL25,19,FALSE),VLOOKUP(FJ25,EN21:FF25,19,FALSE))))</f>
        <v/>
      </c>
      <c r="FI25" s="13">
        <f>RANK(FH25,FH22:FH25,1)+COUNTIF(FH22:FH25,FH25)-1</f>
        <v/>
      </c>
      <c r="FJ25" s="12">
        <f>BT25</f>
        <v/>
      </c>
      <c r="FZ25" s="79" t="n">
        <v>23</v>
      </c>
      <c r="GA25" s="3">
        <f>GB25&amp;GC25&amp;GD25&amp;GE25&amp;GF25&amp;GG25&amp;GH25&amp;GI25</f>
        <v/>
      </c>
      <c r="GB25" s="3" t="inlineStr">
        <is>
          <t>C</t>
        </is>
      </c>
      <c r="GC25" s="3" t="inlineStr">
        <is>
          <t>G</t>
        </is>
      </c>
      <c r="GD25" s="3" t="inlineStr">
        <is>
          <t>I</t>
        </is>
      </c>
      <c r="GE25" s="3" t="inlineStr">
        <is>
          <t>D</t>
        </is>
      </c>
      <c r="GF25" s="3" t="inlineStr">
        <is>
          <t>H</t>
        </is>
      </c>
      <c r="GG25" s="3" t="inlineStr">
        <is>
          <t>F</t>
        </is>
      </c>
      <c r="GH25" s="3" t="inlineStr">
        <is>
          <t>L</t>
        </is>
      </c>
      <c r="GI25" s="3" t="inlineStr">
        <is>
          <t>K</t>
        </is>
      </c>
      <c r="GJ25" s="9">
        <f>VLOOKUP(GB25,$FM$3:$FN$15,2,FALSE)</f>
        <v/>
      </c>
      <c r="GK25" s="9">
        <f>VLOOKUP(GC25,$FM$3:$FN$15,2,FALSE)</f>
        <v/>
      </c>
      <c r="GL25" s="9">
        <f>VLOOKUP(GD25,$FM$3:$FN$15,2,FALSE)</f>
        <v/>
      </c>
      <c r="GM25" s="9">
        <f>VLOOKUP(GE25,$FM$3:$FN$15,2,FALSE)</f>
        <v/>
      </c>
      <c r="GN25" s="9">
        <f>VLOOKUP(GF25,$FM$3:$FN$15,2,FALSE)</f>
        <v/>
      </c>
      <c r="GO25" s="9">
        <f>VLOOKUP(GG25,$FM$3:$FN$15,2,FALSE)</f>
        <v/>
      </c>
      <c r="GP25" s="9">
        <f>VLOOKUP(GH25,$FM$3:$FN$15,2,FALSE)</f>
        <v/>
      </c>
      <c r="GQ25" s="9">
        <f>VLOOKUP(GI25,$FM$3:$FN$15,2,FALSE)</f>
        <v/>
      </c>
      <c r="GR25" s="9">
        <f>IFERROR(IF(AND(VLOOKUP(GB25,$FX$4:$FX$15,1,FALSE)=GB25,VLOOKUP(GC25,$FX$4:$FX$15,1,FALSE)=GC25,VLOOKUP(GD25,$FX$4:$FX$15,1,FALSE)=GD25,VLOOKUP(GE25,$FX$4:$FX$15,1,FALSE)=GE25,VLOOKUP(GF25,$FX$4:$FX$15,1,FALSE)=GF25,VLOOKUP(GG25,$FX$4:$FX$15,1,FALSE)=GG25,VLOOKUP(GH25,$FX$4:$FX$15,1,FALSE)=GH25,VLOOKUP(GI25,$FX$4:$FX$15,1,FALSE)=GI25),FZ25,""),"")</f>
        <v/>
      </c>
      <c r="GX25" s="79" t="n"/>
    </row>
    <row r="26" ht="14.25" customHeight="1">
      <c r="B26" s="58" t="n">
        <v>49</v>
      </c>
      <c r="C26" s="59" t="n">
        <v>46198</v>
      </c>
      <c r="D26" s="60" t="inlineStr">
        <is>
          <t>Skottland</t>
        </is>
      </c>
      <c r="E26" s="61" t="inlineStr">
        <is>
          <t>-</t>
        </is>
      </c>
      <c r="F26" s="62" t="inlineStr">
        <is>
          <t>Brasilien</t>
        </is>
      </c>
      <c r="G26" s="63" t="n">
        <v>0</v>
      </c>
      <c r="H26" s="64" t="inlineStr">
        <is>
          <t>-</t>
        </is>
      </c>
      <c r="I26" s="63" t="n">
        <v>2</v>
      </c>
      <c r="J26" s="65">
        <f>IF(OR(ISBLANK(G26),ISBLANK(I26)),"",IF(G26&gt;I26,1,IF(G26&lt;I26,2,"X")))</f>
        <v/>
      </c>
      <c r="K26" s="66">
        <f>IF(OR(G26="",I26="",'[1]Resultat &amp; tabell'!G26="",'[1]Resultat &amp; tabell'!I26=""),0,IF(G26='[1]Resultat &amp; tabell'!G26,2,0)+IF(I26='[1]Resultat &amp; tabell'!I26,2,0)+IF(J26='[1]Resultat &amp; tabell'!J26,2,0))</f>
        <v/>
      </c>
      <c r="L26" s="67" t="n"/>
      <c r="M26" s="29">
        <f>IF(VLOOKUP(D26,$BT$21:$CC$25,10,FALSE)=VLOOKUP(F26,$BT$21:$CC$25,10,FALSE),VLOOKUP(D26,$BT$21:$CC$25,10,FALSE),"-")</f>
        <v/>
      </c>
      <c r="O26" s="91">
        <f>IF(COUNTBLANK(G22:G27)+COUNTBLANK(I22:I27)=0,"Resultat OK","Fyll i resultat")</f>
        <v/>
      </c>
      <c r="P26" s="92" t="n"/>
      <c r="Q26" s="92" t="n"/>
      <c r="R26" s="92" t="n"/>
      <c r="S26" s="92" t="n"/>
      <c r="T26" s="92" t="n"/>
      <c r="U26" s="92" t="n"/>
      <c r="V26" s="3" t="n"/>
      <c r="X26" s="122" t="inlineStr">
        <is>
          <t>Semifinaler</t>
        </is>
      </c>
      <c r="Y26" s="124">
        <f>SUM(K149:K150)</f>
        <v/>
      </c>
      <c r="Z26" s="3">
        <f>R149</f>
        <v/>
      </c>
      <c r="AA26" s="123">
        <f>Y26+Z26</f>
        <v/>
      </c>
      <c r="AB26" s="9" t="n"/>
      <c r="AC26" s="108" t="n"/>
      <c r="AE26" s="72">
        <f>C26</f>
        <v/>
      </c>
      <c r="AF26" s="72">
        <f>D26</f>
        <v/>
      </c>
      <c r="AG26" s="72">
        <f>E26</f>
        <v/>
      </c>
      <c r="AH26" s="72">
        <f>F26</f>
        <v/>
      </c>
      <c r="AI26" s="63">
        <f>IF(G26="","",G26)</f>
        <v/>
      </c>
      <c r="AJ26" s="58">
        <f>H26</f>
        <v/>
      </c>
      <c r="AK26" s="63">
        <f>IF(I26="","",I26)</f>
        <v/>
      </c>
      <c r="AL26" s="65">
        <f>J26</f>
        <v/>
      </c>
      <c r="AM26" s="73" t="n"/>
      <c r="AN26" s="13">
        <f>IF(AI26&gt;AK26,1,0)</f>
        <v/>
      </c>
      <c r="AO26" s="13">
        <f>IF(AK26&gt;AI26,1,0)</f>
        <v/>
      </c>
      <c r="AP26" s="13">
        <f>IF(AND(AI26=AK26,AI26&lt;&gt;""),1,0)</f>
        <v/>
      </c>
      <c r="AQ26" s="13">
        <f>IF(AND(AI26=AK26,AI26&lt;&gt;""),1,0)</f>
        <v/>
      </c>
      <c r="AR26" s="13">
        <f>IF(AI26&lt;AK26,1,0)</f>
        <v/>
      </c>
      <c r="AS26" s="13">
        <f>IF(AK26&lt;AI26,1,)</f>
        <v/>
      </c>
      <c r="AT26" s="13">
        <f>IF(ISERROR(VLOOKUP(AF26,CF:CF,1,FALSE)),0,1)*IF(ISERROR(VLOOKUP(AH26,CF:CF,1,FALSE)),0,1)*AN26</f>
        <v/>
      </c>
      <c r="AU26" s="13">
        <f>IF(ISERROR(VLOOKUP(AF26,CF:CF,1,FALSE)),0,1)*IF(ISERROR(VLOOKUP(AH26,CF:CF,1,FALSE)),0,1)*AO26</f>
        <v/>
      </c>
      <c r="AV26" s="13">
        <f>IF(ISERROR(VLOOKUP(AF26,CF:CF,1,FALSE)),0,1)*IF(ISERROR(VLOOKUP(AH26,CF:CF,1,FALSE)),0,1)*AP26</f>
        <v/>
      </c>
      <c r="AW26" s="13">
        <f>IF(ISERROR(VLOOKUP(AF26,CF:CF,1,FALSE)),0,1)*IF(ISERROR(VLOOKUP(AH26,CF:CF,1,FALSE)),0,1)*AQ26</f>
        <v/>
      </c>
      <c r="AX26" s="13">
        <f>IF(ISERROR(VLOOKUP(AF26,CF:CF,1,FALSE)),0,1)*IF(ISERROR(VLOOKUP(AH26,CF:CF,1,FALSE)),0,1)*AR26</f>
        <v/>
      </c>
      <c r="AY26" s="13">
        <f>IF(ISERROR(VLOOKUP(AF26,CF:CF,1,FALSE)),0,1)*IF(ISERROR(VLOOKUP(AH26,CF:CF,1,FALSE)),0,1)*AS26</f>
        <v/>
      </c>
      <c r="AZ26" s="13">
        <f>IF(ISERROR(VLOOKUP(AF26,CZ:CZ,1,FALSE)),0,1)*IF(ISERROR(VLOOKUP(AH26,CZ:CZ,1,FALSE)),0,1)*AN26</f>
        <v/>
      </c>
      <c r="BA26" s="13">
        <f>IF(ISERROR(VLOOKUP(AF26,CZ:CZ,1,FALSE)),0,1)*IF(ISERROR(VLOOKUP(AH26,CZ:CZ,1,FALSE)),0,1)*AO26</f>
        <v/>
      </c>
      <c r="BB26" s="13">
        <f>IF(ISERROR(VLOOKUP(AF26,CZ:CZ,1,FALSE)),0,1)*IF(ISERROR(VLOOKUP(AH26,CZ:CZ,1,FALSE)),0,1)*AP26</f>
        <v/>
      </c>
      <c r="BC26" s="13">
        <f>IF(ISERROR(VLOOKUP(AF26,CZ:CZ,1,FALSE)),0,1)*IF(ISERROR(VLOOKUP(AH26,CZ:CZ,1,FALSE)),0,1)*AQ26</f>
        <v/>
      </c>
      <c r="BD26" s="13">
        <f>IF(ISERROR(VLOOKUP(AF26,CZ:CZ,1,FALSE)),0,1)*IF(ISERROR(VLOOKUP(AH26,CZ:CZ,1,FALSE)),0,1)*AR26</f>
        <v/>
      </c>
      <c r="BE26" s="13">
        <f>IF(ISERROR(VLOOKUP(AF26,CZ:CZ,1,FALSE)),0,1)*IF(ISERROR(VLOOKUP(AH26,CZ:CZ,1,FALSE)),0,1)*AS26</f>
        <v/>
      </c>
      <c r="BF26" s="13">
        <f>IF(ISERROR(VLOOKUP(AF26,DT:DT,1,FALSE)),0,1)*IF(ISERROR(VLOOKUP(AH26,DT:DT,1,FALSE)),0,1)*AN26</f>
        <v/>
      </c>
      <c r="BG26" s="13">
        <f>IF(ISERROR(VLOOKUP(AF26,DT:DT,1,FALSE)),0,1)*IF(ISERROR(VLOOKUP(AH26,DT:DT,1,FALSE)),0,1)*AO26</f>
        <v/>
      </c>
      <c r="BH26" s="13">
        <f>IF(ISERROR(VLOOKUP(AF26,DT:DT,1,FALSE)),0,1)*IF(ISERROR(VLOOKUP(AH26,DT:DT,1,FALSE)),0,1)*AP26</f>
        <v/>
      </c>
      <c r="BI26" s="13">
        <f>IF(ISERROR(VLOOKUP(AF26,DT:DT,1,FALSE)),0,1)*IF(ISERROR(VLOOKUP(AH26,DT:DT,1,FALSE)),0,1)*AQ26</f>
        <v/>
      </c>
      <c r="BJ26" s="13">
        <f>IF(ISERROR(VLOOKUP(AF26,DT:DT,1,FALSE)),0,1)*IF(ISERROR(VLOOKUP(AH26,DT:DT,1,FALSE)),0,1)*AR26</f>
        <v/>
      </c>
      <c r="BK26" s="13">
        <f>IF(ISERROR(VLOOKUP(AF26,DT:DT,1,FALSE)),0,1)*IF(ISERROR(VLOOKUP(AH26,DT:DT,1,FALSE)),0,1)*AS26</f>
        <v/>
      </c>
      <c r="BL26" s="13">
        <f>IF(ISERROR(VLOOKUP(AF26,EN:EN,1,FALSE)),0,1)*IF(ISERROR(VLOOKUP(AH26,EN:EN,1,FALSE)),0,1)*AN26</f>
        <v/>
      </c>
      <c r="BM26" s="13">
        <f>IF(ISERROR(VLOOKUP(AF26,EN:EN,1,FALSE)),0,1)*IF(ISERROR(VLOOKUP(AH26,EN:EN,1,FALSE)),0,1)*AO26</f>
        <v/>
      </c>
      <c r="BN26" s="13">
        <f>IF(ISERROR(VLOOKUP(AF26,EN:EN,1,FALSE)),0,1)*IF(ISERROR(VLOOKUP(AH26,EN:EN,1,FALSE)),0,1)*AP26</f>
        <v/>
      </c>
      <c r="BO26" s="13">
        <f>IF(ISERROR(VLOOKUP(AF26,EN:EN,1,FALSE)),0,1)*IF(ISERROR(VLOOKUP(AH26,EN:EN,1,FALSE)),0,1)*AQ26</f>
        <v/>
      </c>
      <c r="BP26" s="13">
        <f>IF(ISERROR(VLOOKUP(AF26,EN:EN,1,FALSE)),0,1)*IF(ISERROR(VLOOKUP(AH26,EN:EN,1,FALSE)),0,1)*AR26</f>
        <v/>
      </c>
      <c r="BQ26" s="13">
        <f>IF(ISERROR(VLOOKUP(AF26,EN:EN,1,FALSE)),0,1)*IF(ISERROR(VLOOKUP(AH26,EN:EN,1,FALSE)),0,1)*AS26</f>
        <v/>
      </c>
      <c r="FZ26" s="79" t="n">
        <v>24</v>
      </c>
      <c r="GA26" s="3">
        <f>GB26&amp;GC26&amp;GD26&amp;GE26&amp;GF26&amp;GG26&amp;GH26&amp;GI26</f>
        <v/>
      </c>
      <c r="GB26" s="3" t="inlineStr">
        <is>
          <t>C</t>
        </is>
      </c>
      <c r="GC26" s="3" t="inlineStr">
        <is>
          <t>G</t>
        </is>
      </c>
      <c r="GD26" s="3" t="inlineStr">
        <is>
          <t>J</t>
        </is>
      </c>
      <c r="GE26" s="3" t="inlineStr">
        <is>
          <t>D</t>
        </is>
      </c>
      <c r="GF26" s="3" t="inlineStr">
        <is>
          <t>H</t>
        </is>
      </c>
      <c r="GG26" s="3" t="inlineStr">
        <is>
          <t>F</t>
        </is>
      </c>
      <c r="GH26" s="3" t="inlineStr">
        <is>
          <t>L</t>
        </is>
      </c>
      <c r="GI26" s="3" t="inlineStr">
        <is>
          <t>I</t>
        </is>
      </c>
      <c r="GJ26" s="9">
        <f>VLOOKUP(GB26,$FM$3:$FN$15,2,FALSE)</f>
        <v/>
      </c>
      <c r="GK26" s="9">
        <f>VLOOKUP(GC26,$FM$3:$FN$15,2,FALSE)</f>
        <v/>
      </c>
      <c r="GL26" s="9">
        <f>VLOOKUP(GD26,$FM$3:$FN$15,2,FALSE)</f>
        <v/>
      </c>
      <c r="GM26" s="9">
        <f>VLOOKUP(GE26,$FM$3:$FN$15,2,FALSE)</f>
        <v/>
      </c>
      <c r="GN26" s="9">
        <f>VLOOKUP(GF26,$FM$3:$FN$15,2,FALSE)</f>
        <v/>
      </c>
      <c r="GO26" s="9">
        <f>VLOOKUP(GG26,$FM$3:$FN$15,2,FALSE)</f>
        <v/>
      </c>
      <c r="GP26" s="9">
        <f>VLOOKUP(GH26,$FM$3:$FN$15,2,FALSE)</f>
        <v/>
      </c>
      <c r="GQ26" s="9">
        <f>VLOOKUP(GI26,$FM$3:$FN$15,2,FALSE)</f>
        <v/>
      </c>
      <c r="GR26" s="9">
        <f>IFERROR(IF(AND(VLOOKUP(GB26,$FX$4:$FX$15,1,FALSE)=GB26,VLOOKUP(GC26,$FX$4:$FX$15,1,FALSE)=GC26,VLOOKUP(GD26,$FX$4:$FX$15,1,FALSE)=GD26,VLOOKUP(GE26,$FX$4:$FX$15,1,FALSE)=GE26,VLOOKUP(GF26,$FX$4:$FX$15,1,FALSE)=GF26,VLOOKUP(GG26,$FX$4:$FX$15,1,FALSE)=GG26,VLOOKUP(GH26,$FX$4:$FX$15,1,FALSE)=GH26,VLOOKUP(GI26,$FX$4:$FX$15,1,FALSE)=GI26),FZ26,""),"")</f>
        <v/>
      </c>
      <c r="GX26" s="79" t="n"/>
    </row>
    <row r="27" ht="14.25" customHeight="1">
      <c r="B27" s="58" t="n">
        <v>50</v>
      </c>
      <c r="C27" s="59" t="n">
        <v>46198</v>
      </c>
      <c r="D27" s="60" t="inlineStr">
        <is>
          <t>Marocko</t>
        </is>
      </c>
      <c r="E27" s="61" t="inlineStr">
        <is>
          <t>-</t>
        </is>
      </c>
      <c r="F27" s="62" t="inlineStr">
        <is>
          <t>Haiti</t>
        </is>
      </c>
      <c r="G27" s="63" t="n">
        <v>2</v>
      </c>
      <c r="H27" s="64" t="inlineStr">
        <is>
          <t>-</t>
        </is>
      </c>
      <c r="I27" s="63" t="n">
        <v>0</v>
      </c>
      <c r="J27" s="65">
        <f>IF(OR(ISBLANK(G27),ISBLANK(I27)),"",IF(G27&gt;I27,1,IF(G27&lt;I27,2,"X")))</f>
        <v/>
      </c>
      <c r="K27" s="66">
        <f>IF(OR(G27="",I27="",'[1]Resultat &amp; tabell'!G27="",'[1]Resultat &amp; tabell'!I27=""),0,IF(G27='[1]Resultat &amp; tabell'!G27,2,0)+IF(I27='[1]Resultat &amp; tabell'!I27,2,0)+IF(J27='[1]Resultat &amp; tabell'!J27,2,0))</f>
        <v/>
      </c>
      <c r="L27" s="67" t="n"/>
      <c r="M27" s="29">
        <f>IF(VLOOKUP(D27,$BT$21:$CC$25,10,FALSE)=VLOOKUP(F27,$BT$21:$CC$25,10,FALSE),VLOOKUP(D27,$BT$21:$CC$25,10,FALSE),"-")</f>
        <v/>
      </c>
      <c r="V27" s="3" t="n"/>
      <c r="X27" s="122" t="inlineStr">
        <is>
          <t>Bronsmatch</t>
        </is>
      </c>
      <c r="Y27" s="3">
        <f>SUM(K154)</f>
        <v/>
      </c>
      <c r="Z27" s="124">
        <f>R154</f>
        <v/>
      </c>
      <c r="AA27" s="123">
        <f>Y27+Z27</f>
        <v/>
      </c>
      <c r="AB27" s="9" t="n"/>
      <c r="AC27" s="108" t="n"/>
      <c r="AE27" s="72">
        <f>C27</f>
        <v/>
      </c>
      <c r="AF27" s="72">
        <f>D27</f>
        <v/>
      </c>
      <c r="AG27" s="72">
        <f>E27</f>
        <v/>
      </c>
      <c r="AH27" s="72">
        <f>F27</f>
        <v/>
      </c>
      <c r="AI27" s="63">
        <f>IF(G27="","",G27)</f>
        <v/>
      </c>
      <c r="AJ27" s="58">
        <f>H27</f>
        <v/>
      </c>
      <c r="AK27" s="63">
        <f>IF(I27="","",I27)</f>
        <v/>
      </c>
      <c r="AL27" s="65">
        <f>J27</f>
        <v/>
      </c>
      <c r="AM27" s="73" t="n"/>
      <c r="AN27" s="13">
        <f>IF(AI27&gt;AK27,1,0)</f>
        <v/>
      </c>
      <c r="AO27" s="13">
        <f>IF(AK27&gt;AI27,1,0)</f>
        <v/>
      </c>
      <c r="AP27" s="13">
        <f>IF(AND(AI27=AK27,AI27&lt;&gt;""),1,0)</f>
        <v/>
      </c>
      <c r="AQ27" s="13">
        <f>IF(AND(AI27=AK27,AI27&lt;&gt;""),1,0)</f>
        <v/>
      </c>
      <c r="AR27" s="13">
        <f>IF(AI27&lt;AK27,1,0)</f>
        <v/>
      </c>
      <c r="AS27" s="13">
        <f>IF(AK27&lt;AI27,1,)</f>
        <v/>
      </c>
      <c r="AT27" s="13">
        <f>IF(ISERROR(VLOOKUP(AF27,CF:CF,1,FALSE)),0,1)*IF(ISERROR(VLOOKUP(AH27,CF:CF,1,FALSE)),0,1)*AN27</f>
        <v/>
      </c>
      <c r="AU27" s="13">
        <f>IF(ISERROR(VLOOKUP(AF27,CF:CF,1,FALSE)),0,1)*IF(ISERROR(VLOOKUP(AH27,CF:CF,1,FALSE)),0,1)*AO27</f>
        <v/>
      </c>
      <c r="AV27" s="13">
        <f>IF(ISERROR(VLOOKUP(AF27,CF:CF,1,FALSE)),0,1)*IF(ISERROR(VLOOKUP(AH27,CF:CF,1,FALSE)),0,1)*AP27</f>
        <v/>
      </c>
      <c r="AW27" s="13">
        <f>IF(ISERROR(VLOOKUP(AF27,CF:CF,1,FALSE)),0,1)*IF(ISERROR(VLOOKUP(AH27,CF:CF,1,FALSE)),0,1)*AQ27</f>
        <v/>
      </c>
      <c r="AX27" s="13">
        <f>IF(ISERROR(VLOOKUP(AF27,CF:CF,1,FALSE)),0,1)*IF(ISERROR(VLOOKUP(AH27,CF:CF,1,FALSE)),0,1)*AR27</f>
        <v/>
      </c>
      <c r="AY27" s="13">
        <f>IF(ISERROR(VLOOKUP(AF27,CF:CF,1,FALSE)),0,1)*IF(ISERROR(VLOOKUP(AH27,CF:CF,1,FALSE)),0,1)*AS27</f>
        <v/>
      </c>
      <c r="AZ27" s="13">
        <f>IF(ISERROR(VLOOKUP(AF27,CZ:CZ,1,FALSE)),0,1)*IF(ISERROR(VLOOKUP(AH27,CZ:CZ,1,FALSE)),0,1)*AN27</f>
        <v/>
      </c>
      <c r="BA27" s="13">
        <f>IF(ISERROR(VLOOKUP(AF27,CZ:CZ,1,FALSE)),0,1)*IF(ISERROR(VLOOKUP(AH27,CZ:CZ,1,FALSE)),0,1)*AO27</f>
        <v/>
      </c>
      <c r="BB27" s="13">
        <f>IF(ISERROR(VLOOKUP(AF27,CZ:CZ,1,FALSE)),0,1)*IF(ISERROR(VLOOKUP(AH27,CZ:CZ,1,FALSE)),0,1)*AP27</f>
        <v/>
      </c>
      <c r="BC27" s="13">
        <f>IF(ISERROR(VLOOKUP(AF27,CZ:CZ,1,FALSE)),0,1)*IF(ISERROR(VLOOKUP(AH27,CZ:CZ,1,FALSE)),0,1)*AQ27</f>
        <v/>
      </c>
      <c r="BD27" s="13">
        <f>IF(ISERROR(VLOOKUP(AF27,CZ:CZ,1,FALSE)),0,1)*IF(ISERROR(VLOOKUP(AH27,CZ:CZ,1,FALSE)),0,1)*AR27</f>
        <v/>
      </c>
      <c r="BE27" s="13">
        <f>IF(ISERROR(VLOOKUP(AF27,CZ:CZ,1,FALSE)),0,1)*IF(ISERROR(VLOOKUP(AH27,CZ:CZ,1,FALSE)),0,1)*AS27</f>
        <v/>
      </c>
      <c r="BF27" s="13">
        <f>IF(ISERROR(VLOOKUP(AF27,DT:DT,1,FALSE)),0,1)*IF(ISERROR(VLOOKUP(AH27,DT:DT,1,FALSE)),0,1)*AN27</f>
        <v/>
      </c>
      <c r="BG27" s="13">
        <f>IF(ISERROR(VLOOKUP(AF27,DT:DT,1,FALSE)),0,1)*IF(ISERROR(VLOOKUP(AH27,DT:DT,1,FALSE)),0,1)*AO27</f>
        <v/>
      </c>
      <c r="BH27" s="13">
        <f>IF(ISERROR(VLOOKUP(AF27,DT:DT,1,FALSE)),0,1)*IF(ISERROR(VLOOKUP(AH27,DT:DT,1,FALSE)),0,1)*AP27</f>
        <v/>
      </c>
      <c r="BI27" s="13">
        <f>IF(ISERROR(VLOOKUP(AF27,DT:DT,1,FALSE)),0,1)*IF(ISERROR(VLOOKUP(AH27,DT:DT,1,FALSE)),0,1)*AQ27</f>
        <v/>
      </c>
      <c r="BJ27" s="13">
        <f>IF(ISERROR(VLOOKUP(AF27,DT:DT,1,FALSE)),0,1)*IF(ISERROR(VLOOKUP(AH27,DT:DT,1,FALSE)),0,1)*AR27</f>
        <v/>
      </c>
      <c r="BK27" s="13">
        <f>IF(ISERROR(VLOOKUP(AF27,DT:DT,1,FALSE)),0,1)*IF(ISERROR(VLOOKUP(AH27,DT:DT,1,FALSE)),0,1)*AS27</f>
        <v/>
      </c>
      <c r="BL27" s="13">
        <f>IF(ISERROR(VLOOKUP(AF27,EN:EN,1,FALSE)),0,1)*IF(ISERROR(VLOOKUP(AH27,EN:EN,1,FALSE)),0,1)*AN27</f>
        <v/>
      </c>
      <c r="BM27" s="13">
        <f>IF(ISERROR(VLOOKUP(AF27,EN:EN,1,FALSE)),0,1)*IF(ISERROR(VLOOKUP(AH27,EN:EN,1,FALSE)),0,1)*AO27</f>
        <v/>
      </c>
      <c r="BN27" s="13">
        <f>IF(ISERROR(VLOOKUP(AF27,EN:EN,1,FALSE)),0,1)*IF(ISERROR(VLOOKUP(AH27,EN:EN,1,FALSE)),0,1)*AP27</f>
        <v/>
      </c>
      <c r="BO27" s="13">
        <f>IF(ISERROR(VLOOKUP(AF27,EN:EN,1,FALSE)),0,1)*IF(ISERROR(VLOOKUP(AH27,EN:EN,1,FALSE)),0,1)*AQ27</f>
        <v/>
      </c>
      <c r="BP27" s="13">
        <f>IF(ISERROR(VLOOKUP(AF27,EN:EN,1,FALSE)),0,1)*IF(ISERROR(VLOOKUP(AH27,EN:EN,1,FALSE)),0,1)*AR27</f>
        <v/>
      </c>
      <c r="BQ27" s="13">
        <f>IF(ISERROR(VLOOKUP(AF27,EN:EN,1,FALSE)),0,1)*IF(ISERROR(VLOOKUP(AH27,EN:EN,1,FALSE)),0,1)*AS27</f>
        <v/>
      </c>
      <c r="FZ27" s="79" t="n">
        <v>25</v>
      </c>
      <c r="GA27" s="3">
        <f>GB27&amp;GC27&amp;GD27&amp;GE27&amp;GF27&amp;GG27&amp;GH27&amp;GI27</f>
        <v/>
      </c>
      <c r="GB27" s="3" t="inlineStr">
        <is>
          <t>C</t>
        </is>
      </c>
      <c r="GC27" s="3" t="inlineStr">
        <is>
          <t>G</t>
        </is>
      </c>
      <c r="GD27" s="3" t="inlineStr">
        <is>
          <t>J</t>
        </is>
      </c>
      <c r="GE27" s="3" t="inlineStr">
        <is>
          <t>D</t>
        </is>
      </c>
      <c r="GF27" s="3" t="inlineStr">
        <is>
          <t>H</t>
        </is>
      </c>
      <c r="GG27" s="3" t="inlineStr">
        <is>
          <t>F</t>
        </is>
      </c>
      <c r="GH27" s="3" t="inlineStr">
        <is>
          <t>I</t>
        </is>
      </c>
      <c r="GI27" s="3" t="inlineStr">
        <is>
          <t>K</t>
        </is>
      </c>
      <c r="GJ27" s="9">
        <f>VLOOKUP(GB27,$FM$3:$FN$15,2,FALSE)</f>
        <v/>
      </c>
      <c r="GK27" s="9">
        <f>VLOOKUP(GC27,$FM$3:$FN$15,2,FALSE)</f>
        <v/>
      </c>
      <c r="GL27" s="9">
        <f>VLOOKUP(GD27,$FM$3:$FN$15,2,FALSE)</f>
        <v/>
      </c>
      <c r="GM27" s="9">
        <f>VLOOKUP(GE27,$FM$3:$FN$15,2,FALSE)</f>
        <v/>
      </c>
      <c r="GN27" s="9">
        <f>VLOOKUP(GF27,$FM$3:$FN$15,2,FALSE)</f>
        <v/>
      </c>
      <c r="GO27" s="9">
        <f>VLOOKUP(GG27,$FM$3:$FN$15,2,FALSE)</f>
        <v/>
      </c>
      <c r="GP27" s="9">
        <f>VLOOKUP(GH27,$FM$3:$FN$15,2,FALSE)</f>
        <v/>
      </c>
      <c r="GQ27" s="9">
        <f>VLOOKUP(GI27,$FM$3:$FN$15,2,FALSE)</f>
        <v/>
      </c>
      <c r="GR27" s="9">
        <f>IFERROR(IF(AND(VLOOKUP(GB27,$FX$4:$FX$15,1,FALSE)=GB27,VLOOKUP(GC27,$FX$4:$FX$15,1,FALSE)=GC27,VLOOKUP(GD27,$FX$4:$FX$15,1,FALSE)=GD27,VLOOKUP(GE27,$FX$4:$FX$15,1,FALSE)=GE27,VLOOKUP(GF27,$FX$4:$FX$15,1,FALSE)=GF27,VLOOKUP(GG27,$FX$4:$FX$15,1,FALSE)=GG27,VLOOKUP(GH27,$FX$4:$FX$15,1,FALSE)=GH27,VLOOKUP(GI27,$FX$4:$FX$15,1,FALSE)=GI27),FZ27,""),"")</f>
        <v/>
      </c>
      <c r="GX27" s="79" t="n"/>
    </row>
    <row r="28" ht="14.25" customHeight="1">
      <c r="C28" s="94" t="n"/>
      <c r="J28" s="23" t="n"/>
      <c r="K28" s="16" t="n"/>
      <c r="L28" s="49" t="n"/>
      <c r="V28" s="3" t="n"/>
      <c r="X28" s="122" t="inlineStr">
        <is>
          <t>Final</t>
        </is>
      </c>
      <c r="Y28" s="3">
        <f>SUM(K158)</f>
        <v/>
      </c>
      <c r="Z28" s="3">
        <f>R158</f>
        <v/>
      </c>
      <c r="AA28" s="123">
        <f>Y28+Z28</f>
        <v/>
      </c>
      <c r="AB28" s="9" t="n"/>
      <c r="AC28" s="108" t="n"/>
      <c r="AE28" s="194" t="n"/>
      <c r="AF28" s="12" t="n"/>
      <c r="AG28" s="125" t="n"/>
      <c r="AH28" s="125" t="n"/>
      <c r="AI28" s="3">
        <f>IF(B28="","",B28)</f>
        <v/>
      </c>
      <c r="AL28" s="23" t="n"/>
      <c r="AM28" s="16" t="n"/>
      <c r="FZ28" s="79" t="n">
        <v>26</v>
      </c>
      <c r="GA28" s="3">
        <f>GB28&amp;GC28&amp;GD28&amp;GE28&amp;GF28&amp;GG28&amp;GH28&amp;GI28</f>
        <v/>
      </c>
      <c r="GB28" s="3" t="inlineStr">
        <is>
          <t>E</t>
        </is>
      </c>
      <c r="GC28" s="3" t="inlineStr">
        <is>
          <t>J</t>
        </is>
      </c>
      <c r="GD28" s="3" t="inlineStr">
        <is>
          <t>I</t>
        </is>
      </c>
      <c r="GE28" s="3" t="inlineStr">
        <is>
          <t>C</t>
        </is>
      </c>
      <c r="GF28" s="3" t="inlineStr">
        <is>
          <t>H</t>
        </is>
      </c>
      <c r="GG28" s="3" t="inlineStr">
        <is>
          <t>D</t>
        </is>
      </c>
      <c r="GH28" s="3" t="inlineStr">
        <is>
          <t>L</t>
        </is>
      </c>
      <c r="GI28" s="3" t="inlineStr">
        <is>
          <t>K</t>
        </is>
      </c>
      <c r="GJ28" s="9">
        <f>VLOOKUP(GB28,$FM$3:$FN$15,2,FALSE)</f>
        <v/>
      </c>
      <c r="GK28" s="9">
        <f>VLOOKUP(GC28,$FM$3:$FN$15,2,FALSE)</f>
        <v/>
      </c>
      <c r="GL28" s="9">
        <f>VLOOKUP(GD28,$FM$3:$FN$15,2,FALSE)</f>
        <v/>
      </c>
      <c r="GM28" s="9">
        <f>VLOOKUP(GE28,$FM$3:$FN$15,2,FALSE)</f>
        <v/>
      </c>
      <c r="GN28" s="9">
        <f>VLOOKUP(GF28,$FM$3:$FN$15,2,FALSE)</f>
        <v/>
      </c>
      <c r="GO28" s="9">
        <f>VLOOKUP(GG28,$FM$3:$FN$15,2,FALSE)</f>
        <v/>
      </c>
      <c r="GP28" s="9">
        <f>VLOOKUP(GH28,$FM$3:$FN$15,2,FALSE)</f>
        <v/>
      </c>
      <c r="GQ28" s="9">
        <f>VLOOKUP(GI28,$FM$3:$FN$15,2,FALSE)</f>
        <v/>
      </c>
      <c r="GR28" s="9">
        <f>IFERROR(IF(AND(VLOOKUP(GB28,$FX$4:$FX$15,1,FALSE)=GB28,VLOOKUP(GC28,$FX$4:$FX$15,1,FALSE)=GC28,VLOOKUP(GD28,$FX$4:$FX$15,1,FALSE)=GD28,VLOOKUP(GE28,$FX$4:$FX$15,1,FALSE)=GE28,VLOOKUP(GF28,$FX$4:$FX$15,1,FALSE)=GF28,VLOOKUP(GG28,$FX$4:$FX$15,1,FALSE)=GG28,VLOOKUP(GH28,$FX$4:$FX$15,1,FALSE)=GH28,VLOOKUP(GI28,$FX$4:$FX$15,1,FALSE)=GI28),FZ28,""),"")</f>
        <v/>
      </c>
      <c r="GX28" s="79" t="n"/>
    </row>
    <row r="29" ht="14.25" customFormat="1" customHeight="1" s="104">
      <c r="B29" s="19" t="inlineStr">
        <is>
          <t>Grupp D</t>
        </is>
      </c>
      <c r="C29" s="97" t="n"/>
      <c r="D29" s="126" t="n"/>
      <c r="E29" s="33" t="n"/>
      <c r="F29" s="126" t="n"/>
      <c r="G29" s="25" t="n"/>
      <c r="H29" s="25" t="n"/>
      <c r="I29" s="25" t="n"/>
      <c r="J29" s="23" t="n"/>
      <c r="K29" s="16" t="n"/>
      <c r="L29" s="49" t="n"/>
      <c r="M29" s="103" t="n"/>
      <c r="N29" s="103" t="n"/>
      <c r="O29" s="19" t="inlineStr">
        <is>
          <t>Grupp D</t>
        </is>
      </c>
      <c r="V29" s="33" t="n"/>
      <c r="X29" s="86" t="inlineStr">
        <is>
          <t>Bonusfrågor</t>
        </is>
      </c>
      <c r="Y29" s="81" t="n">
        <v>0</v>
      </c>
      <c r="Z29" s="81">
        <f>SUM(AC4:AC10)</f>
        <v/>
      </c>
      <c r="AA29" s="82">
        <f>Y29+Z29</f>
        <v/>
      </c>
      <c r="AC29" s="43" t="n"/>
      <c r="AE29" s="32" t="inlineStr">
        <is>
          <t>Grupp D</t>
        </is>
      </c>
      <c r="AF29" s="9" t="n"/>
      <c r="AG29" s="9" t="n"/>
      <c r="AH29" s="9" t="n"/>
      <c r="AI29" s="33" t="n"/>
      <c r="AJ29" s="33" t="n"/>
      <c r="AK29" s="33" t="n"/>
      <c r="AL29" s="23" t="n"/>
      <c r="AM29" s="16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  <c r="AW29" s="13" t="n"/>
      <c r="AX29" s="13" t="n"/>
      <c r="AY29" s="13" t="n"/>
      <c r="AZ29" s="13" t="n"/>
      <c r="BA29" s="13" t="n"/>
      <c r="BB29" s="13" t="n"/>
      <c r="BC29" s="13" t="n"/>
      <c r="BD29" s="13" t="n"/>
      <c r="BE29" s="13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  <c r="BO29" s="13" t="n"/>
      <c r="BP29" s="13" t="n"/>
      <c r="BQ29" s="13" t="n"/>
      <c r="BR29" s="12" t="n"/>
      <c r="BS29" s="12" t="n"/>
      <c r="BT29" s="39" t="inlineStr">
        <is>
          <t>Rank 0</t>
        </is>
      </c>
      <c r="BU29" s="34" t="n"/>
      <c r="BV29" s="34" t="n"/>
      <c r="BW29" s="34" t="n"/>
      <c r="BX29" s="34" t="n"/>
      <c r="BY29" s="34" t="n"/>
      <c r="BZ29" s="34" t="n"/>
      <c r="CA29" s="34" t="n"/>
      <c r="CB29" s="39" t="n"/>
      <c r="CC29" s="34" t="n"/>
      <c r="CD29" s="34" t="n"/>
      <c r="CE29" s="12" t="n"/>
      <c r="CF29" s="40" t="inlineStr">
        <is>
          <t>Rank 1</t>
        </is>
      </c>
      <c r="CG29" s="35">
        <f>COUNTIF(CC31:CC34,1)</f>
        <v/>
      </c>
      <c r="CH29" s="35" t="n"/>
      <c r="CI29" s="35" t="n"/>
      <c r="CJ29" s="35" t="n"/>
      <c r="CK29" s="35" t="n"/>
      <c r="CL29" s="35" t="n"/>
      <c r="CM29" s="35" t="n"/>
      <c r="CN29" s="35" t="n"/>
      <c r="CO29" s="35" t="n"/>
      <c r="CP29" s="35" t="n"/>
      <c r="CQ29" s="13" t="n"/>
      <c r="CR29" s="13" t="n"/>
      <c r="CS29" s="13" t="n"/>
      <c r="CT29" s="13" t="n"/>
      <c r="CU29" s="13" t="n"/>
      <c r="CV29" s="13" t="n"/>
      <c r="CW29" s="13" t="n"/>
      <c r="CX29" s="13" t="n"/>
      <c r="CY29" s="12" t="n"/>
      <c r="CZ29" s="41" t="inlineStr">
        <is>
          <t>Rank 2</t>
        </is>
      </c>
      <c r="DA29" s="36">
        <f>COUNTIF(CC31:CC34,2)</f>
        <v/>
      </c>
      <c r="DB29" s="36" t="n"/>
      <c r="DC29" s="36" t="n"/>
      <c r="DD29" s="36" t="n"/>
      <c r="DE29" s="36" t="n"/>
      <c r="DF29" s="36" t="n"/>
      <c r="DG29" s="36" t="n"/>
      <c r="DH29" s="36" t="n"/>
      <c r="DI29" s="36" t="n"/>
      <c r="DJ29" s="41" t="n"/>
      <c r="DK29" s="12" t="n"/>
      <c r="DL29" s="12" t="n"/>
      <c r="DM29" s="12" t="n"/>
      <c r="DN29" s="12" t="n"/>
      <c r="DO29" s="12" t="n"/>
      <c r="DP29" s="12" t="n"/>
      <c r="DQ29" s="12" t="n"/>
      <c r="DR29" s="12" t="n"/>
      <c r="DS29" s="12" t="n"/>
      <c r="DT29" s="37" t="inlineStr">
        <is>
          <t>Rank 3</t>
        </is>
      </c>
      <c r="DU29" s="37">
        <f>COUNTIF(CC31:CC34,3)</f>
        <v/>
      </c>
      <c r="DV29" s="37" t="n"/>
      <c r="DW29" s="37" t="n"/>
      <c r="DX29" s="37" t="n"/>
      <c r="DY29" s="37" t="n"/>
      <c r="DZ29" s="37" t="n"/>
      <c r="EA29" s="37" t="n"/>
      <c r="EB29" s="37" t="n"/>
      <c r="EC29" s="37" t="n"/>
      <c r="ED29" s="37" t="n"/>
      <c r="EE29" s="13" t="n"/>
      <c r="EF29" s="13" t="n"/>
      <c r="EG29" s="13" t="n"/>
      <c r="EH29" s="13" t="n"/>
      <c r="EI29" s="13" t="n"/>
      <c r="EJ29" s="13" t="n"/>
      <c r="EK29" s="13" t="n"/>
      <c r="EL29" s="13" t="n"/>
      <c r="EM29" s="12" t="n"/>
      <c r="EN29" s="38" t="inlineStr">
        <is>
          <t>Rank 4</t>
        </is>
      </c>
      <c r="EO29" s="38">
        <f>COUNTIF(CC31:CC34,4)</f>
        <v/>
      </c>
      <c r="EP29" s="38" t="n"/>
      <c r="EQ29" s="38" t="n"/>
      <c r="ER29" s="38" t="n"/>
      <c r="ES29" s="38" t="n"/>
      <c r="ET29" s="38" t="n"/>
      <c r="EU29" s="38" t="n"/>
      <c r="EV29" s="38" t="n"/>
      <c r="EW29" s="38" t="n"/>
      <c r="EX29" s="38" t="n"/>
      <c r="EY29" s="13" t="n"/>
      <c r="EZ29" s="13" t="n"/>
      <c r="FA29" s="13" t="n"/>
      <c r="FB29" s="13" t="n"/>
      <c r="FC29" s="13" t="n"/>
      <c r="FD29" s="13" t="n"/>
      <c r="FE29" s="13" t="n"/>
      <c r="FF29" s="13" t="n"/>
      <c r="FG29" s="12" t="n"/>
      <c r="FH29" s="13" t="n"/>
      <c r="FI29" s="13" t="n"/>
      <c r="FJ29" s="12" t="n"/>
      <c r="FZ29" s="79" t="n">
        <v>27</v>
      </c>
      <c r="GA29" s="3">
        <f>GB29&amp;GC29&amp;GD29&amp;GE29&amp;GF29&amp;GG29&amp;GH29&amp;GI29</f>
        <v/>
      </c>
      <c r="GB29" s="3" t="inlineStr">
        <is>
          <t>E</t>
        </is>
      </c>
      <c r="GC29" s="3" t="inlineStr">
        <is>
          <t>G</t>
        </is>
      </c>
      <c r="GD29" s="3" t="inlineStr">
        <is>
          <t>I</t>
        </is>
      </c>
      <c r="GE29" s="3" t="inlineStr">
        <is>
          <t>C</t>
        </is>
      </c>
      <c r="GF29" s="3" t="inlineStr">
        <is>
          <t>J</t>
        </is>
      </c>
      <c r="GG29" s="3" t="inlineStr">
        <is>
          <t>D</t>
        </is>
      </c>
      <c r="GH29" s="3" t="inlineStr">
        <is>
          <t>L</t>
        </is>
      </c>
      <c r="GI29" s="3" t="inlineStr">
        <is>
          <t>K</t>
        </is>
      </c>
      <c r="GJ29" s="9">
        <f>VLOOKUP(GB29,$FM$3:$FN$15,2,FALSE)</f>
        <v/>
      </c>
      <c r="GK29" s="9">
        <f>VLOOKUP(GC29,$FM$3:$FN$15,2,FALSE)</f>
        <v/>
      </c>
      <c r="GL29" s="9">
        <f>VLOOKUP(GD29,$FM$3:$FN$15,2,FALSE)</f>
        <v/>
      </c>
      <c r="GM29" s="9">
        <f>VLOOKUP(GE29,$FM$3:$FN$15,2,FALSE)</f>
        <v/>
      </c>
      <c r="GN29" s="9">
        <f>VLOOKUP(GF29,$FM$3:$FN$15,2,FALSE)</f>
        <v/>
      </c>
      <c r="GO29" s="9">
        <f>VLOOKUP(GG29,$FM$3:$FN$15,2,FALSE)</f>
        <v/>
      </c>
      <c r="GP29" s="9">
        <f>VLOOKUP(GH29,$FM$3:$FN$15,2,FALSE)</f>
        <v/>
      </c>
      <c r="GQ29" s="9">
        <f>VLOOKUP(GI29,$FM$3:$FN$15,2,FALSE)</f>
        <v/>
      </c>
      <c r="GR29" s="9">
        <f>IFERROR(IF(AND(VLOOKUP(GB29,$FX$4:$FX$15,1,FALSE)=GB29,VLOOKUP(GC29,$FX$4:$FX$15,1,FALSE)=GC29,VLOOKUP(GD29,$FX$4:$FX$15,1,FALSE)=GD29,VLOOKUP(GE29,$FX$4:$FX$15,1,FALSE)=GE29,VLOOKUP(GF29,$FX$4:$FX$15,1,FALSE)=GF29,VLOOKUP(GG29,$FX$4:$FX$15,1,FALSE)=GG29,VLOOKUP(GH29,$FX$4:$FX$15,1,FALSE)=GH29,VLOOKUP(GI29,$FX$4:$FX$15,1,FALSE)=GI29),FZ29,""),"")</f>
        <v/>
      </c>
      <c r="GX29" s="23" t="n"/>
    </row>
    <row r="30" ht="14.25" customFormat="1" customHeight="1" s="104">
      <c r="B30" s="117" t="inlineStr">
        <is>
          <t>Match</t>
        </is>
      </c>
      <c r="C30" s="107" t="inlineStr">
        <is>
          <t>Datum</t>
        </is>
      </c>
      <c r="D30" s="210" t="inlineStr">
        <is>
          <t>Match</t>
        </is>
      </c>
      <c r="E30" s="211" t="n"/>
      <c r="F30" s="212" t="n"/>
      <c r="G30" s="184" t="inlineStr">
        <is>
          <t>Resultat</t>
        </is>
      </c>
      <c r="H30" s="217" t="n"/>
      <c r="I30" s="217" t="n"/>
      <c r="J30" s="47" t="inlineStr">
        <is>
          <t>1X2</t>
        </is>
      </c>
      <c r="K30" s="48" t="inlineStr">
        <is>
          <t>Poäng</t>
        </is>
      </c>
      <c r="L30" s="49" t="n"/>
      <c r="M30" s="103" t="n"/>
      <c r="N30" s="103" t="n"/>
      <c r="O30" s="51" t="inlineStr">
        <is>
          <t>Lag</t>
        </is>
      </c>
      <c r="P30" s="186" t="inlineStr">
        <is>
          <t>V</t>
        </is>
      </c>
      <c r="Q30" s="186" t="inlineStr">
        <is>
          <t>O</t>
        </is>
      </c>
      <c r="R30" s="186" t="inlineStr">
        <is>
          <t>F</t>
        </is>
      </c>
      <c r="S30" s="186" t="inlineStr">
        <is>
          <t>GM</t>
        </is>
      </c>
      <c r="T30" s="186" t="inlineStr">
        <is>
          <t>IM</t>
        </is>
      </c>
      <c r="U30" s="186" t="inlineStr">
        <is>
          <t>+/-</t>
        </is>
      </c>
      <c r="V30" s="187" t="inlineStr">
        <is>
          <t>P</t>
        </is>
      </c>
      <c r="X30" s="127" t="inlineStr">
        <is>
          <t>Totalt</t>
        </is>
      </c>
      <c r="Y30" s="127" t="n"/>
      <c r="Z30" s="128" t="n"/>
      <c r="AA30" s="129">
        <f>SUM(AA22:AA29)</f>
        <v/>
      </c>
      <c r="AC30" s="43" t="n"/>
      <c r="AE30" s="51" t="inlineStr">
        <is>
          <t>Datum</t>
        </is>
      </c>
      <c r="AF30" s="193" t="inlineStr">
        <is>
          <t>Match</t>
        </is>
      </c>
      <c r="AG30" s="211" t="n"/>
      <c r="AH30" s="211" t="n"/>
      <c r="AI30" s="182" t="inlineStr">
        <is>
          <t>Resultat</t>
        </is>
      </c>
      <c r="AJ30" s="211" t="n"/>
      <c r="AK30" s="211" t="n"/>
      <c r="AL30" s="47" t="inlineStr">
        <is>
          <t>Tecken</t>
        </is>
      </c>
      <c r="AM30" s="16" t="n"/>
      <c r="AN30" s="34" t="inlineStr">
        <is>
          <t>V1</t>
        </is>
      </c>
      <c r="AO30" s="34" t="inlineStr">
        <is>
          <t>V2</t>
        </is>
      </c>
      <c r="AP30" s="34" t="inlineStr">
        <is>
          <t>O1</t>
        </is>
      </c>
      <c r="AQ30" s="34" t="inlineStr">
        <is>
          <t>O2</t>
        </is>
      </c>
      <c r="AR30" s="34" t="inlineStr">
        <is>
          <t>F1</t>
        </is>
      </c>
      <c r="AS30" s="34" t="inlineStr">
        <is>
          <t>F2</t>
        </is>
      </c>
      <c r="AT30" s="35" t="inlineStr">
        <is>
          <t>V1</t>
        </is>
      </c>
      <c r="AU30" s="35" t="inlineStr">
        <is>
          <t>V2</t>
        </is>
      </c>
      <c r="AV30" s="35" t="inlineStr">
        <is>
          <t>O1</t>
        </is>
      </c>
      <c r="AW30" s="35" t="inlineStr">
        <is>
          <t>O2</t>
        </is>
      </c>
      <c r="AX30" s="35" t="inlineStr">
        <is>
          <t>F1</t>
        </is>
      </c>
      <c r="AY30" s="35" t="inlineStr">
        <is>
          <t>F2</t>
        </is>
      </c>
      <c r="AZ30" s="36" t="inlineStr">
        <is>
          <t>V1</t>
        </is>
      </c>
      <c r="BA30" s="36" t="inlineStr">
        <is>
          <t>V2</t>
        </is>
      </c>
      <c r="BB30" s="36" t="inlineStr">
        <is>
          <t>O1</t>
        </is>
      </c>
      <c r="BC30" s="36" t="inlineStr">
        <is>
          <t>O2</t>
        </is>
      </c>
      <c r="BD30" s="36" t="inlineStr">
        <is>
          <t>F1</t>
        </is>
      </c>
      <c r="BE30" s="36" t="inlineStr">
        <is>
          <t>F2</t>
        </is>
      </c>
      <c r="BF30" s="37" t="inlineStr">
        <is>
          <t>V1</t>
        </is>
      </c>
      <c r="BG30" s="37" t="inlineStr">
        <is>
          <t>V2</t>
        </is>
      </c>
      <c r="BH30" s="37" t="inlineStr">
        <is>
          <t>O1</t>
        </is>
      </c>
      <c r="BI30" s="37" t="inlineStr">
        <is>
          <t>O2</t>
        </is>
      </c>
      <c r="BJ30" s="37" t="inlineStr">
        <is>
          <t>F1</t>
        </is>
      </c>
      <c r="BK30" s="37" t="inlineStr">
        <is>
          <t>F2</t>
        </is>
      </c>
      <c r="BL30" s="38" t="inlineStr">
        <is>
          <t>V1</t>
        </is>
      </c>
      <c r="BM30" s="38" t="inlineStr">
        <is>
          <t>V2</t>
        </is>
      </c>
      <c r="BN30" s="38" t="inlineStr">
        <is>
          <t>O1</t>
        </is>
      </c>
      <c r="BO30" s="38" t="inlineStr">
        <is>
          <t>O2</t>
        </is>
      </c>
      <c r="BP30" s="38" t="inlineStr">
        <is>
          <t>F1</t>
        </is>
      </c>
      <c r="BQ30" s="38" t="inlineStr">
        <is>
          <t>F2</t>
        </is>
      </c>
      <c r="BR30" s="12" t="n"/>
      <c r="BS30" s="12" t="n"/>
      <c r="BT30" s="39" t="inlineStr">
        <is>
          <t>Lag</t>
        </is>
      </c>
      <c r="BU30" s="34" t="inlineStr">
        <is>
          <t>V</t>
        </is>
      </c>
      <c r="BV30" s="34" t="inlineStr">
        <is>
          <t>O</t>
        </is>
      </c>
      <c r="BW30" s="34" t="inlineStr">
        <is>
          <t>F</t>
        </is>
      </c>
      <c r="BX30" s="34" t="inlineStr">
        <is>
          <t>GM</t>
        </is>
      </c>
      <c r="BY30" s="34" t="inlineStr">
        <is>
          <t>IM</t>
        </is>
      </c>
      <c r="BZ30" s="34" t="inlineStr">
        <is>
          <t>+/-</t>
        </is>
      </c>
      <c r="CA30" s="34" t="inlineStr">
        <is>
          <t>P</t>
        </is>
      </c>
      <c r="CB30" s="39" t="inlineStr">
        <is>
          <t>Grupp</t>
        </is>
      </c>
      <c r="CC30" s="34" t="inlineStr">
        <is>
          <t>Rank P</t>
        </is>
      </c>
      <c r="CD30" s="34" t="inlineStr">
        <is>
          <t>Rank +/-</t>
        </is>
      </c>
      <c r="CE30" s="12" t="n"/>
      <c r="CF30" s="40" t="inlineStr">
        <is>
          <t>Lag</t>
        </is>
      </c>
      <c r="CG30" s="35" t="inlineStr">
        <is>
          <t>V</t>
        </is>
      </c>
      <c r="CH30" s="35" t="inlineStr">
        <is>
          <t>O</t>
        </is>
      </c>
      <c r="CI30" s="35" t="inlineStr">
        <is>
          <t>F</t>
        </is>
      </c>
      <c r="CJ30" s="35" t="inlineStr">
        <is>
          <t>P</t>
        </is>
      </c>
      <c r="CK30" s="35" t="inlineStr">
        <is>
          <t>Grupp</t>
        </is>
      </c>
      <c r="CL30" s="35" t="inlineStr">
        <is>
          <t>Rank P</t>
        </is>
      </c>
      <c r="CM30" s="56" t="inlineStr">
        <is>
          <t>+/-</t>
        </is>
      </c>
      <c r="CN30" s="56" t="inlineStr">
        <is>
          <t>+/- rank</t>
        </is>
      </c>
      <c r="CO30" s="56" t="inlineStr">
        <is>
          <t>GM</t>
        </is>
      </c>
      <c r="CP30" s="56" t="inlineStr">
        <is>
          <t>GM rank</t>
        </is>
      </c>
      <c r="CQ30" s="35" t="inlineStr">
        <is>
          <t>Rank internal</t>
        </is>
      </c>
      <c r="CR30" s="56" t="inlineStr">
        <is>
          <t>+/- all</t>
        </is>
      </c>
      <c r="CS30" s="56" t="inlineStr">
        <is>
          <t>+/- rank all</t>
        </is>
      </c>
      <c r="CT30" s="56" t="inlineStr">
        <is>
          <t>GM all</t>
        </is>
      </c>
      <c r="CU30" s="56" t="inlineStr">
        <is>
          <t>GM rank all</t>
        </is>
      </c>
      <c r="CV30" s="56" t="inlineStr">
        <is>
          <t>V all</t>
        </is>
      </c>
      <c r="CW30" s="56" t="inlineStr">
        <is>
          <t>V rank all</t>
        </is>
      </c>
      <c r="CX30" s="35" t="inlineStr">
        <is>
          <t>Rank all</t>
        </is>
      </c>
      <c r="CY30" s="12" t="n"/>
      <c r="CZ30" s="41" t="inlineStr">
        <is>
          <t>Lag</t>
        </is>
      </c>
      <c r="DA30" s="36" t="inlineStr">
        <is>
          <t>V</t>
        </is>
      </c>
      <c r="DB30" s="36" t="inlineStr">
        <is>
          <t>O</t>
        </is>
      </c>
      <c r="DC30" s="36" t="inlineStr">
        <is>
          <t>F</t>
        </is>
      </c>
      <c r="DD30" s="36" t="inlineStr">
        <is>
          <t>P</t>
        </is>
      </c>
      <c r="DE30" s="36" t="inlineStr">
        <is>
          <t>Grupp</t>
        </is>
      </c>
      <c r="DF30" s="36" t="inlineStr">
        <is>
          <t>Rank P</t>
        </is>
      </c>
      <c r="DG30" s="36" t="inlineStr">
        <is>
          <t>+/-</t>
        </is>
      </c>
      <c r="DH30" s="36" t="inlineStr">
        <is>
          <t>+/- rank</t>
        </is>
      </c>
      <c r="DI30" s="36" t="inlineStr">
        <is>
          <t>GM</t>
        </is>
      </c>
      <c r="DJ30" s="41" t="inlineStr">
        <is>
          <t>GM rank</t>
        </is>
      </c>
      <c r="DK30" s="41" t="inlineStr">
        <is>
          <t>Rank internal</t>
        </is>
      </c>
      <c r="DL30" s="41" t="inlineStr">
        <is>
          <t>+/- all</t>
        </is>
      </c>
      <c r="DM30" s="41" t="inlineStr">
        <is>
          <t>+/- rank all</t>
        </is>
      </c>
      <c r="DN30" s="41" t="inlineStr">
        <is>
          <t>GM all</t>
        </is>
      </c>
      <c r="DO30" s="41" t="inlineStr">
        <is>
          <t>GM rank all</t>
        </is>
      </c>
      <c r="DP30" s="41" t="inlineStr">
        <is>
          <t>V all</t>
        </is>
      </c>
      <c r="DQ30" s="41" t="inlineStr">
        <is>
          <t>V rank all</t>
        </is>
      </c>
      <c r="DR30" s="41" t="inlineStr">
        <is>
          <t>Rank all</t>
        </is>
      </c>
      <c r="DS30" s="12" t="n"/>
      <c r="DT30" s="37" t="inlineStr">
        <is>
          <t>Lag</t>
        </is>
      </c>
      <c r="DU30" s="37" t="inlineStr">
        <is>
          <t>V</t>
        </is>
      </c>
      <c r="DV30" s="37" t="inlineStr">
        <is>
          <t>O</t>
        </is>
      </c>
      <c r="DW30" s="37" t="inlineStr">
        <is>
          <t>F</t>
        </is>
      </c>
      <c r="DX30" s="37" t="inlineStr">
        <is>
          <t>P</t>
        </is>
      </c>
      <c r="DY30" s="37" t="inlineStr">
        <is>
          <t>Grupp</t>
        </is>
      </c>
      <c r="DZ30" s="37" t="inlineStr">
        <is>
          <t>Rank P</t>
        </is>
      </c>
      <c r="EA30" s="37" t="inlineStr">
        <is>
          <t>+/-</t>
        </is>
      </c>
      <c r="EB30" s="37" t="inlineStr">
        <is>
          <t>+/- rank</t>
        </is>
      </c>
      <c r="EC30" s="37" t="inlineStr">
        <is>
          <t>GM</t>
        </is>
      </c>
      <c r="ED30" s="37" t="inlineStr">
        <is>
          <t>GM rank</t>
        </is>
      </c>
      <c r="EE30" s="37" t="inlineStr">
        <is>
          <t>Rank internal</t>
        </is>
      </c>
      <c r="EF30" s="37" t="inlineStr">
        <is>
          <t>+/- all</t>
        </is>
      </c>
      <c r="EG30" s="37" t="inlineStr">
        <is>
          <t>+/- rank all</t>
        </is>
      </c>
      <c r="EH30" s="37" t="inlineStr">
        <is>
          <t>GM all</t>
        </is>
      </c>
      <c r="EI30" s="37" t="inlineStr">
        <is>
          <t>GM rank all</t>
        </is>
      </c>
      <c r="EJ30" s="37" t="inlineStr">
        <is>
          <t>V all</t>
        </is>
      </c>
      <c r="EK30" s="37" t="inlineStr">
        <is>
          <t>V rank all</t>
        </is>
      </c>
      <c r="EL30" s="37" t="inlineStr">
        <is>
          <t>Rank all</t>
        </is>
      </c>
      <c r="EM30" s="12" t="n"/>
      <c r="EN30" s="38" t="inlineStr">
        <is>
          <t>Lag</t>
        </is>
      </c>
      <c r="EO30" s="38" t="inlineStr">
        <is>
          <t>V</t>
        </is>
      </c>
      <c r="EP30" s="38" t="inlineStr">
        <is>
          <t>O</t>
        </is>
      </c>
      <c r="EQ30" s="38" t="inlineStr">
        <is>
          <t>F</t>
        </is>
      </c>
      <c r="ER30" s="38" t="inlineStr">
        <is>
          <t>P</t>
        </is>
      </c>
      <c r="ES30" s="38" t="inlineStr">
        <is>
          <t>Grupp</t>
        </is>
      </c>
      <c r="ET30" s="38" t="inlineStr">
        <is>
          <t>Rank P</t>
        </is>
      </c>
      <c r="EU30" s="38" t="inlineStr">
        <is>
          <t>+/-</t>
        </is>
      </c>
      <c r="EV30" s="38" t="inlineStr">
        <is>
          <t>+/- rank</t>
        </is>
      </c>
      <c r="EW30" s="38" t="inlineStr">
        <is>
          <t>GM</t>
        </is>
      </c>
      <c r="EX30" s="38" t="inlineStr">
        <is>
          <t>GM rank</t>
        </is>
      </c>
      <c r="EY30" s="38" t="inlineStr">
        <is>
          <t>Rank internal</t>
        </is>
      </c>
      <c r="EZ30" s="38" t="inlineStr">
        <is>
          <t>+/- all</t>
        </is>
      </c>
      <c r="FA30" s="38" t="inlineStr">
        <is>
          <t>+/- rank all</t>
        </is>
      </c>
      <c r="FB30" s="38" t="inlineStr">
        <is>
          <t>GM all</t>
        </is>
      </c>
      <c r="FC30" s="38" t="inlineStr">
        <is>
          <t>GM rank all</t>
        </is>
      </c>
      <c r="FD30" s="38" t="inlineStr">
        <is>
          <t>V all</t>
        </is>
      </c>
      <c r="FE30" s="38" t="inlineStr">
        <is>
          <t>V rank all</t>
        </is>
      </c>
      <c r="FF30" s="38" t="inlineStr">
        <is>
          <t>Rank all</t>
        </is>
      </c>
      <c r="FG30" s="12" t="n"/>
      <c r="FH30" s="38" t="inlineStr">
        <is>
          <t>Rank</t>
        </is>
      </c>
      <c r="FI30" s="38" t="inlineStr">
        <is>
          <t>Rank Ties</t>
        </is>
      </c>
      <c r="FJ30" s="12" t="n"/>
      <c r="FZ30" s="79" t="n">
        <v>28</v>
      </c>
      <c r="GA30" s="3">
        <f>GB30&amp;GC30&amp;GD30&amp;GE30&amp;GF30&amp;GG30&amp;GH30&amp;GI30</f>
        <v/>
      </c>
      <c r="GB30" s="3" t="inlineStr">
        <is>
          <t>E</t>
        </is>
      </c>
      <c r="GC30" s="3" t="inlineStr">
        <is>
          <t>G</t>
        </is>
      </c>
      <c r="GD30" s="3" t="inlineStr">
        <is>
          <t>J</t>
        </is>
      </c>
      <c r="GE30" s="3" t="inlineStr">
        <is>
          <t>C</t>
        </is>
      </c>
      <c r="GF30" s="3" t="inlineStr">
        <is>
          <t>H</t>
        </is>
      </c>
      <c r="GG30" s="3" t="inlineStr">
        <is>
          <t>D</t>
        </is>
      </c>
      <c r="GH30" s="3" t="inlineStr">
        <is>
          <t>L</t>
        </is>
      </c>
      <c r="GI30" s="3" t="inlineStr">
        <is>
          <t>K</t>
        </is>
      </c>
      <c r="GJ30" s="9">
        <f>VLOOKUP(GB30,$FM$3:$FN$15,2,FALSE)</f>
        <v/>
      </c>
      <c r="GK30" s="9">
        <f>VLOOKUP(GC30,$FM$3:$FN$15,2,FALSE)</f>
        <v/>
      </c>
      <c r="GL30" s="9">
        <f>VLOOKUP(GD30,$FM$3:$FN$15,2,FALSE)</f>
        <v/>
      </c>
      <c r="GM30" s="9">
        <f>VLOOKUP(GE30,$FM$3:$FN$15,2,FALSE)</f>
        <v/>
      </c>
      <c r="GN30" s="9">
        <f>VLOOKUP(GF30,$FM$3:$FN$15,2,FALSE)</f>
        <v/>
      </c>
      <c r="GO30" s="9">
        <f>VLOOKUP(GG30,$FM$3:$FN$15,2,FALSE)</f>
        <v/>
      </c>
      <c r="GP30" s="9">
        <f>VLOOKUP(GH30,$FM$3:$FN$15,2,FALSE)</f>
        <v/>
      </c>
      <c r="GQ30" s="9">
        <f>VLOOKUP(GI30,$FM$3:$FN$15,2,FALSE)</f>
        <v/>
      </c>
      <c r="GR30" s="9">
        <f>IFERROR(IF(AND(VLOOKUP(GB30,$FX$4:$FX$15,1,FALSE)=GB30,VLOOKUP(GC30,$FX$4:$FX$15,1,FALSE)=GC30,VLOOKUP(GD30,$FX$4:$FX$15,1,FALSE)=GD30,VLOOKUP(GE30,$FX$4:$FX$15,1,FALSE)=GE30,VLOOKUP(GF30,$FX$4:$FX$15,1,FALSE)=GF30,VLOOKUP(GG30,$FX$4:$FX$15,1,FALSE)=GG30,VLOOKUP(GH30,$FX$4:$FX$15,1,FALSE)=GH30,VLOOKUP(GI30,$FX$4:$FX$15,1,FALSE)=GI30),FZ30,""),"")</f>
        <v/>
      </c>
      <c r="GX30" s="23" t="n"/>
    </row>
    <row r="31" ht="14.25" customHeight="1">
      <c r="B31" s="58" t="n">
        <v>4</v>
      </c>
      <c r="C31" s="59" t="n">
        <v>46186</v>
      </c>
      <c r="D31" s="60" t="inlineStr">
        <is>
          <t>USA</t>
        </is>
      </c>
      <c r="E31" s="61" t="inlineStr">
        <is>
          <t>-</t>
        </is>
      </c>
      <c r="F31" s="62" t="inlineStr">
        <is>
          <t>Paraguay</t>
        </is>
      </c>
      <c r="G31" s="63" t="n">
        <v>1</v>
      </c>
      <c r="H31" s="64" t="inlineStr">
        <is>
          <t>-</t>
        </is>
      </c>
      <c r="I31" s="63" t="n">
        <v>1</v>
      </c>
      <c r="J31" s="65">
        <f>IF(OR(ISBLANK(G31),ISBLANK(I31)),"",IF(G31&gt;I31,1,IF(G31&lt;I31,2,"X")))</f>
        <v/>
      </c>
      <c r="K31" s="66">
        <f>IF(OR(G31="",I31="",'[1]Resultat &amp; tabell'!G31="",'[1]Resultat &amp; tabell'!I31=""),0,IF(G31='[1]Resultat &amp; tabell'!G31,2,0)+IF(I31='[1]Resultat &amp; tabell'!I31,2,0)+IF(J31='[1]Resultat &amp; tabell'!J31,2,0))</f>
        <v/>
      </c>
      <c r="L31" s="67" t="n"/>
      <c r="M31" s="29">
        <f>IF(VLOOKUP(D31,$BT$30:$CC$34,10,FALSE)=VLOOKUP(F31,$BT$30:$CC$34,10,FALSE),VLOOKUP(D31,$BT$30:$CC$34,10,FALSE),"-")</f>
        <v/>
      </c>
      <c r="N31" s="30" t="n">
        <v>1</v>
      </c>
      <c r="O31" s="68">
        <f>VLOOKUP(N31,FI31:FJ34,2,FALSE)</f>
        <v/>
      </c>
      <c r="P31" s="69">
        <f>VLOOKUP($O31,$BT$31:$CA$34,2,FALSE)</f>
        <v/>
      </c>
      <c r="Q31" s="69">
        <f>VLOOKUP($O31,$BT$31:$CA$34,3,FALSE)</f>
        <v/>
      </c>
      <c r="R31" s="69">
        <f>VLOOKUP($O31,$BT$31:$CA$34,4,FALSE)</f>
        <v/>
      </c>
      <c r="S31" s="69">
        <f>VLOOKUP($O31,$BT$31:$CA$34,5,FALSE)</f>
        <v/>
      </c>
      <c r="T31" s="69">
        <f>VLOOKUP($O31,$BT$31:$CA$34,6,FALSE)</f>
        <v/>
      </c>
      <c r="U31" s="69">
        <f>VLOOKUP($O31,$BT$31:$CA$34,7,FALSE)</f>
        <v/>
      </c>
      <c r="V31" s="70">
        <f>VLOOKUP($O31,$BT$31:$CA$34,8,FALSE)</f>
        <v/>
      </c>
      <c r="Y31" s="9" t="n"/>
      <c r="AA31" s="9" t="n"/>
      <c r="AB31" s="9" t="n"/>
      <c r="AC31" s="108" t="n"/>
      <c r="AE31" s="72">
        <f>C31</f>
        <v/>
      </c>
      <c r="AF31" s="72">
        <f>D31</f>
        <v/>
      </c>
      <c r="AG31" s="72">
        <f>E31</f>
        <v/>
      </c>
      <c r="AH31" s="72">
        <f>F31</f>
        <v/>
      </c>
      <c r="AI31" s="63">
        <f>IF(G31="","",G31)</f>
        <v/>
      </c>
      <c r="AJ31" s="58">
        <f>H31</f>
        <v/>
      </c>
      <c r="AK31" s="63">
        <f>IF(I31="","",I31)</f>
        <v/>
      </c>
      <c r="AL31" s="65">
        <f>J31</f>
        <v/>
      </c>
      <c r="AM31" s="73" t="n"/>
      <c r="AN31" s="13">
        <f>IF(AI31&gt;AK31,1,0)</f>
        <v/>
      </c>
      <c r="AO31" s="13">
        <f>IF(AK31&gt;AI31,1,0)</f>
        <v/>
      </c>
      <c r="AP31" s="13">
        <f>IF(AND(AI31=AK31,AI31&lt;&gt;""),1,0)</f>
        <v/>
      </c>
      <c r="AQ31" s="13">
        <f>IF(AND(AI31=AK31,AI31&lt;&gt;""),1,0)</f>
        <v/>
      </c>
      <c r="AR31" s="13">
        <f>IF(AI31&lt;AK31,1,0)</f>
        <v/>
      </c>
      <c r="AS31" s="13">
        <f>IF(AK31&lt;AI31,1,)</f>
        <v/>
      </c>
      <c r="AT31" s="13">
        <f>IF(ISERROR(VLOOKUP(AF31,CF:CF,1,FALSE)),0,1)*IF(ISERROR(VLOOKUP(AH31,CF:CF,1,FALSE)),0,1)*AN31</f>
        <v/>
      </c>
      <c r="AU31" s="13">
        <f>IF(ISERROR(VLOOKUP(AF31,CF:CF,1,FALSE)),0,1)*IF(ISERROR(VLOOKUP(AH31,CF:CF,1,FALSE)),0,1)*AO31</f>
        <v/>
      </c>
      <c r="AV31" s="13">
        <f>IF(ISERROR(VLOOKUP(AF31,CF:CF,1,FALSE)),0,1)*IF(ISERROR(VLOOKUP(AH31,CF:CF,1,FALSE)),0,1)*AP31</f>
        <v/>
      </c>
      <c r="AW31" s="13">
        <f>IF(ISERROR(VLOOKUP(AF31,CF:CF,1,FALSE)),0,1)*IF(ISERROR(VLOOKUP(AH31,CF:CF,1,FALSE)),0,1)*AQ31</f>
        <v/>
      </c>
      <c r="AX31" s="13">
        <f>IF(ISERROR(VLOOKUP(AF31,CF:CF,1,FALSE)),0,1)*IF(ISERROR(VLOOKUP(AH31,CF:CF,1,FALSE)),0,1)*AR31</f>
        <v/>
      </c>
      <c r="AY31" s="13">
        <f>IF(ISERROR(VLOOKUP(AF31,CF:CF,1,FALSE)),0,1)*IF(ISERROR(VLOOKUP(AH31,CF:CF,1,FALSE)),0,1)*AS31</f>
        <v/>
      </c>
      <c r="AZ31" s="13">
        <f>IF(ISERROR(VLOOKUP(AF31,CZ:CZ,1,FALSE)),0,1)*IF(ISERROR(VLOOKUP(AH31,CZ:CZ,1,FALSE)),0,1)*AN31</f>
        <v/>
      </c>
      <c r="BA31" s="13">
        <f>IF(ISERROR(VLOOKUP(AF31,CZ:CZ,1,FALSE)),0,1)*IF(ISERROR(VLOOKUP(AH31,CZ:CZ,1,FALSE)),0,1)*AO31</f>
        <v/>
      </c>
      <c r="BB31" s="13">
        <f>IF(ISERROR(VLOOKUP(AF31,CZ:CZ,1,FALSE)),0,1)*IF(ISERROR(VLOOKUP(AH31,CZ:CZ,1,FALSE)),0,1)*AP31</f>
        <v/>
      </c>
      <c r="BC31" s="13">
        <f>IF(ISERROR(VLOOKUP(AF31,CZ:CZ,1,FALSE)),0,1)*IF(ISERROR(VLOOKUP(AH31,CZ:CZ,1,FALSE)),0,1)*AQ31</f>
        <v/>
      </c>
      <c r="BD31" s="13">
        <f>IF(ISERROR(VLOOKUP(AF31,CZ:CZ,1,FALSE)),0,1)*IF(ISERROR(VLOOKUP(AH31,CZ:CZ,1,FALSE)),0,1)*AR31</f>
        <v/>
      </c>
      <c r="BE31" s="13">
        <f>IF(ISERROR(VLOOKUP(AF31,CZ:CZ,1,FALSE)),0,1)*IF(ISERROR(VLOOKUP(AH31,CZ:CZ,1,FALSE)),0,1)*AS31</f>
        <v/>
      </c>
      <c r="BF31" s="13">
        <f>IF(ISERROR(VLOOKUP(AF31,DT:DT,1,FALSE)),0,1)*IF(ISERROR(VLOOKUP(AH31,DT:DT,1,FALSE)),0,1)*AN31</f>
        <v/>
      </c>
      <c r="BG31" s="13">
        <f>IF(ISERROR(VLOOKUP(AF31,DT:DT,1,FALSE)),0,1)*IF(ISERROR(VLOOKUP(AH31,DT:DT,1,FALSE)),0,1)*AO31</f>
        <v/>
      </c>
      <c r="BH31" s="13">
        <f>IF(ISERROR(VLOOKUP(AF31,DT:DT,1,FALSE)),0,1)*IF(ISERROR(VLOOKUP(AH31,DT:DT,1,FALSE)),0,1)*AP31</f>
        <v/>
      </c>
      <c r="BI31" s="13">
        <f>IF(ISERROR(VLOOKUP(AF31,DT:DT,1,FALSE)),0,1)*IF(ISERROR(VLOOKUP(AH31,DT:DT,1,FALSE)),0,1)*AQ31</f>
        <v/>
      </c>
      <c r="BJ31" s="13">
        <f>IF(ISERROR(VLOOKUP(AF31,DT:DT,1,FALSE)),0,1)*IF(ISERROR(VLOOKUP(AH31,DT:DT,1,FALSE)),0,1)*AR31</f>
        <v/>
      </c>
      <c r="BK31" s="13">
        <f>IF(ISERROR(VLOOKUP(AF31,DT:DT,1,FALSE)),0,1)*IF(ISERROR(VLOOKUP(AH31,DT:DT,1,FALSE)),0,1)*AS31</f>
        <v/>
      </c>
      <c r="BL31" s="13">
        <f>IF(ISERROR(VLOOKUP(AF31,EN:EN,1,FALSE)),0,1)*IF(ISERROR(VLOOKUP(AH31,EN:EN,1,FALSE)),0,1)*AN31</f>
        <v/>
      </c>
      <c r="BM31" s="13">
        <f>IF(ISERROR(VLOOKUP(AF31,EN:EN,1,FALSE)),0,1)*IF(ISERROR(VLOOKUP(AH31,EN:EN,1,FALSE)),0,1)*AO31</f>
        <v/>
      </c>
      <c r="BN31" s="13">
        <f>IF(ISERROR(VLOOKUP(AF31,EN:EN,1,FALSE)),0,1)*IF(ISERROR(VLOOKUP(AH31,EN:EN,1,FALSE)),0,1)*AP31</f>
        <v/>
      </c>
      <c r="BO31" s="13">
        <f>IF(ISERROR(VLOOKUP(AF31,EN:EN,1,FALSE)),0,1)*IF(ISERROR(VLOOKUP(AH31,EN:EN,1,FALSE)),0,1)*AQ31</f>
        <v/>
      </c>
      <c r="BP31" s="13">
        <f>IF(ISERROR(VLOOKUP(AF31,EN:EN,1,FALSE)),0,1)*IF(ISERROR(VLOOKUP(AH31,EN:EN,1,FALSE)),0,1)*AR31</f>
        <v/>
      </c>
      <c r="BQ31" s="13">
        <f>IF(ISERROR(VLOOKUP(AF31,EN:EN,1,FALSE)),0,1)*IF(ISERROR(VLOOKUP(AH31,EN:EN,1,FALSE)),0,1)*AS31</f>
        <v/>
      </c>
      <c r="BT31" s="12" t="inlineStr">
        <is>
          <t>USA</t>
        </is>
      </c>
      <c r="BU31" s="13">
        <f>(SUMIF(AF$4:AF$108,BT31,AN$4:AN$108)+SUMIF(AH$4:AH$108,BT31,AO$4:AO$108))</f>
        <v/>
      </c>
      <c r="BV31" s="13">
        <f>(SUMIF(AF$4:AF$108,BT31,AP$4:AP$108)+SUMIF(AH$4:AH$108,BT31,AQ$4:AQ$108))</f>
        <v/>
      </c>
      <c r="BW31" s="13">
        <f>(SUMIF(AF$4:AF$108,BT31,AR$4:AR$108)+SUMIF(AH$4:AH$108,BT31,AS$4:AS$108))</f>
        <v/>
      </c>
      <c r="BX31" s="13">
        <f>SUMIF($AF$4:$AF$108,BT31,$AI$4:$AI$108)+SUMIF($AH$4:$AH$108,BT31,$AK$4:$AK$108)</f>
        <v/>
      </c>
      <c r="BY31" s="13">
        <f>SUMIF($AF$4:$AF$108,BT31,$AK$4:$AK$108)+SUMIF($AH$4:$AH$108,BT31,$AI$4:$AI$108)</f>
        <v/>
      </c>
      <c r="BZ31" s="13">
        <f>BX31-BY31</f>
        <v/>
      </c>
      <c r="CA31" s="13">
        <f>IFERROR(BU31*3+BV31*1,0)</f>
        <v/>
      </c>
      <c r="CB31" s="13" t="inlineStr">
        <is>
          <t>D</t>
        </is>
      </c>
      <c r="CC31" s="74">
        <f>RANK(CA31,CA31:CA34)</f>
        <v/>
      </c>
      <c r="CD31" s="13">
        <f>SUMPRODUCT((CA31:CA34=CA31)*(BZ31:BZ34&gt;BZ31))</f>
        <v/>
      </c>
      <c r="CF31" s="12">
        <f>IF(CC31=1,BT31,)</f>
        <v/>
      </c>
      <c r="CG31" s="13">
        <f>(SUMIF($AF$4:$AF$108,$BT31,$AT$4:$AT$108)+SUMIF($AH$4:$AH$108,$BT31,$AU$4:$AU$108))</f>
        <v/>
      </c>
      <c r="CH31" s="13">
        <f>(SUMIF($AF$4:$AF$108,$BT31,$AV$4:$AV$108)+SUMIF($AH$4:$AH$108,$BT31,$AW$4:$AW$108))</f>
        <v/>
      </c>
      <c r="CI31" s="13">
        <f>(SUMIF($AF$4:$AF$108,$BT31,$AX$4:$AX$108)+SUMIF($AH$4:$AH$108,$BT31,$AY$4:$AY$108))</f>
        <v/>
      </c>
      <c r="CJ31" s="13">
        <f>IFERROR(CG31*3+CH31*1,0)</f>
        <v/>
      </c>
      <c r="CK31" s="13">
        <f>CB31</f>
        <v/>
      </c>
      <c r="CL31" s="13">
        <f>IF(CF31&gt;0,RANK(CJ31,CJ31:CJ34),)</f>
        <v/>
      </c>
      <c r="CM31" s="13">
        <f>IF(AND(CF31&gt;0,COUNTIF(CL31:CL34,CL31)&gt;1),SUMIFS($AI$4:$AI$108,$AF$4:$AF$108,$BT31,$M$4:$M$108,1)+SUMIFS($AK$4:$AK$108,$AH$4:$AH$108,$BT31,$M$4:$M$108,1)-SUMIFS($AK$4:$AK$108,$AF$4:$AF$108,$BT31,$M$4:$M$108,1)-SUMIFS($AI$4:$AI$108,$AH$4:$AH$108,$BT31,$M$4:$M$108,1),)</f>
        <v/>
      </c>
      <c r="CN31" s="13">
        <f>IF(AND(CF31&gt;0,COUNTIF(CL31:CL34,CL31)&gt;1),CL31+RANK(CM31,CM31:CM34)-1,CL31)</f>
        <v/>
      </c>
      <c r="CO31" s="13">
        <f>IF(AND(CF31&gt;0,COUNTIF(CN31:CN34,CN31)&gt;1),SUMIFS($AI$4:$AI$108,$AF$4:$AF$108,$BT31,$M$4:$M$108,1)+SUMIFS($AK$4:$AK$108,$AH$4:$AH$108,$BT31,$M$4:$M$108,1),)</f>
        <v/>
      </c>
      <c r="CP31" s="13">
        <f>IF(AND(CF31&gt;0,COUNTIF(CN31:CN34,CN31)&gt;1),CN31+RANK(CO31,CO31:CO34)-1,CN31)</f>
        <v/>
      </c>
      <c r="CQ31" s="13">
        <f>IF(CP31=0,"",CP31)</f>
        <v/>
      </c>
      <c r="CR31" s="13">
        <f>IF(OR(CQ31="",COUNTIF(CQ31:CQ34,CQ31)=1),"",$BZ31)</f>
        <v/>
      </c>
      <c r="CS31" s="13">
        <f>IF(CQ31="","",IF(COUNTIF(CQ31:CQ34,CQ31)=1,CQ31,CQ31+RANK(CR31,CR31:CR34,0)-1))</f>
        <v/>
      </c>
      <c r="CT31" s="13">
        <f>IF(OR(CS31="",COUNTIF(CS31:CS34,CS31)=1),"",$BX31)</f>
        <v/>
      </c>
      <c r="CU31" s="13">
        <f>IF(CQ31="","",IF(COUNTIF(CS31:CS34,CS31)=1,CS31,CS31+RANK(CT31,CT31:CT34,0)-1))</f>
        <v/>
      </c>
      <c r="CV31" s="13">
        <f>IF(OR(CU31="",COUNTIF(CU31:CU34,CU31)=1),"",$BU31)</f>
        <v/>
      </c>
      <c r="CW31" s="13">
        <f>IF(CQ31="","",IF(COUNTIF(CU31:CU34,CU31)=1,CU31,CU31+RANK(CV31,CV31:CV34,0)-1))</f>
        <v/>
      </c>
      <c r="CX31" s="13">
        <f>IF(CF31&gt;0,BM29+RANK(CW31,CW31:CW34,1),)</f>
        <v/>
      </c>
      <c r="CZ31" s="12">
        <f>IF(CC31=2,BT31,)</f>
        <v/>
      </c>
      <c r="DA31" s="13">
        <f>(SUMIF($AF$4:$AF$108,$BT31,$AZ$4:$AZ$108)+SUMIF($AH$4:$AH$108,$BT31,$BA$4:$BA$108))</f>
        <v/>
      </c>
      <c r="DB31" s="13">
        <f>(SUMIF($AF$4:$AF$108,$BT31,$BB$4:$BB$108)+SUMIF($AH$4:$AH$108,$BT31,$BC$4:$BC$108))</f>
        <v/>
      </c>
      <c r="DC31" s="13">
        <f>(SUMIF($AF$4:$AF$108,$BT31,$BD$4:$BD$108)+SUMIF($AH$4:$AH$108,$BT31,$BE$4:$BE$108))</f>
        <v/>
      </c>
      <c r="DD31" s="13">
        <f>IFERROR(DA31*3+DB31*1,0)</f>
        <v/>
      </c>
      <c r="DE31" s="13">
        <f>$CB31</f>
        <v/>
      </c>
      <c r="DF31" s="13">
        <f>IF(CZ31&gt;0,RANK(DD31,DD31:DD34)+CG29,)</f>
        <v/>
      </c>
      <c r="DG31" s="13">
        <f>IF(AND(CZ31&gt;0,COUNTIF(DF31:DF34,DF31)&gt;1),SUMIFS($AI$4:$AI$108,$AF$4:$AF$108,$BT31,$M$4:$M$108,2)+SUMIFS($AK$4:$AK$108,$AH$4:$AH108,$BT31,$M$4:$M$108,2)-SUMIFS($AK$4:$AK$108,$AF$4:$AF$108,$BT31,$M$4:$M$108,2)-SUMIFS($AI$4:$AI$108,$AH$4:$AH$108,$BT31,$M$4:$M$108,2),)</f>
        <v/>
      </c>
      <c r="DH31" s="13">
        <f>IF(AND(CZ31&gt;0,COUNTIF(DF31:DF34,DF31)&gt;1),DF31+RANK(DG31,DG31:DG34)-1,DF31)</f>
        <v/>
      </c>
      <c r="DI31" s="13">
        <f>IF(AND(CZ31&gt;0,COUNTIF(DH31:DH34,DH31)&gt;1),SUMIFS($AI$4:$AI$108,$AF$4:$AF$108,$BT31,$M$4:$M$108,2)+SUMIFS($AK$4:$AK$108,$AH$4:$AH$108,$BT31,$M$4:$M$108,2),)</f>
        <v/>
      </c>
      <c r="DJ31" s="13">
        <f>IF(AND(CZ31&gt;0,COUNTIF(DH31:DH34,DH31)&gt;1),DH31+RANK(DI31,DI31:DI34)-1,DH31)</f>
        <v/>
      </c>
      <c r="DK31" s="75">
        <f>IF(DJ31=0,"",DJ31)</f>
        <v/>
      </c>
      <c r="DL31" s="75">
        <f>IF(OR(DK31="",COUNTIF(DK31:DK34,DK31)=1),"",$BZ31)</f>
        <v/>
      </c>
      <c r="DM31" s="75">
        <f>IF(DK31="","",IF(COUNTIF(DK31:DK34,DK31)=1,DK31,DK31+RANK(DL31,DL31:DL34,0)-1))</f>
        <v/>
      </c>
      <c r="DN31" s="75">
        <f>IF(OR(DM31="",COUNTIF(DM31:DM34,DM31)=1),"",$BX31)</f>
        <v/>
      </c>
      <c r="DO31" s="75">
        <f>IF(DK31="","",IF(COUNTIF(DM31:DM34,DM31)=1,DM31,DM31+RANK(DN31,DN31:DN34,0)-1))</f>
        <v/>
      </c>
      <c r="DP31" s="75">
        <f>IF(OR(DO31="",COUNTIF(DO31:DO34,DO31)=1),"",$BU31)</f>
        <v/>
      </c>
      <c r="DQ31" s="75">
        <f>IF(DK31="","",IF(COUNTIF(DO31:DO34,DO31)=1,DO31,DO31+RANK(DP31,DP31:DP34,0)-1))</f>
        <v/>
      </c>
      <c r="DR31" s="13">
        <f>IF(CZ31&gt;0,CG29+RANK(DQ31,DQ31:DQ34,1),)</f>
        <v/>
      </c>
      <c r="DT31" s="13">
        <f>IF(CC31=3,BT31,)</f>
        <v/>
      </c>
      <c r="DU31" s="13">
        <f>(SUMIF($AF$4:$AF$108,BT31,$BF$4:$BF$108)+SUMIF($AH$4:$AH$108,BT31,$BG$4:$BG$108))</f>
        <v/>
      </c>
      <c r="DV31" s="13">
        <f>(SUMIF($AF$4:$AF$108,BT31,$BH$4:$BH$108)+SUMIF($AH$4:$AH$108,BT31,$BI$4:$BI$108))</f>
        <v/>
      </c>
      <c r="DW31" s="13">
        <f>(SUMIF($AF$4:$AF$108,BT31,$BJ$4:$BJ$108)+SUMIF($AH$4:$AH$108,BT31,$BK$4:$BK$108))</f>
        <v/>
      </c>
      <c r="DX31" s="13">
        <f>IFERROR(DU31*3+DV31*1,0)</f>
        <v/>
      </c>
      <c r="DY31" s="13">
        <f>CB31</f>
        <v/>
      </c>
      <c r="DZ31" s="13">
        <f>IF(DT31&gt;0,RANK(DX31,DX31:DX34)+CG29+DA29,)</f>
        <v/>
      </c>
      <c r="EA31" s="13">
        <f>IF(AND(DT31&gt;0,COUNTIF(DZ31:DZ34,DZ31)&gt;1),SUMIFS($AI$4:$AI$108,$AF$4:$AF$108,$BT31,$M$4:$M$108,3)+SUMIFS($AK$4:$AK$108,$AH$4:$AH$108,$BT31,$M$4:$M$108,3)-SUMIFS($AK$4:$AK$108,$AF$4:$AF$108,$BT31,$M$4:$M$108,3)-SUMIFS($AI$4:$AI$108,$AH$4:$AH$108,$BT31,$M$4:$M$108,3),)</f>
        <v/>
      </c>
      <c r="EB31" s="13">
        <f>IF(AND(DT31&gt;0,COUNTIF(DZ31:DZ34,DZ31)&gt;1),DZ31+RANK(EA31,EA31:EA34)-1,DZ31)</f>
        <v/>
      </c>
      <c r="EC31" s="13">
        <f>IF(AND(DT31&gt;0,COUNTIF(EB31:EB34,EB31)&gt;1),SUMIFS($AI$4:$AI$108,$AF$4:$AF$108,$BT31,$M$4:$M$108,3)+SUMIFS($AK$4:$AK$108,$AH$4:$AH$108,$BT31,$M$4:$M$108,3),)</f>
        <v/>
      </c>
      <c r="ED31" s="13">
        <f>IF(AND(DT31&gt;0,COUNTIF(EB31:EB34,EB31)&gt;1),EB31+RANK(EC31,EC31:EC34)-1,EB31)</f>
        <v/>
      </c>
      <c r="EE31" s="13">
        <f>IF(ED31=0,"",ED31)</f>
        <v/>
      </c>
      <c r="EF31" s="13">
        <f>IF(OR(EE31="",COUNTIF(EE31:EE34,EE31)=1),"",$BZ31)</f>
        <v/>
      </c>
      <c r="EG31" s="13">
        <f>IF(EE31="","",IF(COUNTIF(EE31:EE34,EE31)=1,EE31,EE31+RANK(EF31,EF31:EF34,0)-1))</f>
        <v/>
      </c>
      <c r="EH31" s="13">
        <f>IF(OR(EG31="",COUNTIF(EG31:EG34,EG31)=1),"",$BX31)</f>
        <v/>
      </c>
      <c r="EI31" s="13">
        <f>IF(EE31="","",IF(COUNTIF(EG31:EG34,EG31)=1,EG31,EG31+RANK(EH31,EH31:EH34,0)-1))</f>
        <v/>
      </c>
      <c r="EJ31" s="13">
        <f>IF(OR(EI31="",COUNTIF(EI31:EI34,EI31)=1),"",$BU31)</f>
        <v/>
      </c>
      <c r="EK31" s="13">
        <f>IF(EE31="","",IF(COUNTIF(EI31:EI34,EI31)=1,EI31,EI31+RANK(EJ31,EJ31:EJ34,0)-1))</f>
        <v/>
      </c>
      <c r="EL31" s="13">
        <f>IF(DT31&gt;0,CG29+DA29+RANK(EK31,EK31:EK34,1),)</f>
        <v/>
      </c>
      <c r="EN31" s="13">
        <f>IF(CC31=4,BT31,)</f>
        <v/>
      </c>
      <c r="EO31" s="13">
        <f>(SUMIF($AF$4:$AF$108,$BT31,$BL$4:$BL$108)+SUMIF($AH$4:$AH$108,$BT31,$BM$4:$BM$108))</f>
        <v/>
      </c>
      <c r="EP31" s="13">
        <f>(SUMIF($AF$4:$AF$108,$BT31,$BN$4:$BN$108)+SUMIF($AH$4:$AH$108,$BT31,$BO$4:$BO$108))</f>
        <v/>
      </c>
      <c r="EQ31" s="13">
        <f>(SUMIF($AF$4:$AF$108,$BT31,$BP$4:$BP$108)+SUMIF($AH$4:$AH$108,$BT31,$BQ$4:$BQ$108))</f>
        <v/>
      </c>
      <c r="ER31" s="13">
        <f>IFERROR(EO31*3+EP31*1,0)</f>
        <v/>
      </c>
      <c r="ES31" s="13">
        <f>$CB31</f>
        <v/>
      </c>
      <c r="ET31" s="13">
        <f>IF(EN31&gt;0,RANK(ER31,ER31:ER34)+CG29+DA29+DU29,)</f>
        <v/>
      </c>
      <c r="EU31" s="13">
        <f>IF(AND(EN31&gt;0,COUNTIF(ET31:ET34,ET31)&gt;1),SUMIFS($AI$4:$AI$108,$AF$4:$AF$108,$BT31,$M$4:$M$108,4)+SUMIFS($AK$4:$AK$108,$AH$4:$AH$108,$BT31,$M$4:$M$108,4)-SUMIFS($AK$4:$AK$108,$AF$4:$AF$108,$BT31,$M$4:$M$108,4)-SUMIFS($AI$4:$AI$108,$AH$4:$AH$108,$BT31,$M$4:$M$108,4),)</f>
        <v/>
      </c>
      <c r="EV31" s="13">
        <f>IF(AND(EN31&gt;0,COUNTIF(ET31:ET34,ET31)&gt;1),ET31+RANK(EU31,EU31:EU34)-1,ET31)</f>
        <v/>
      </c>
      <c r="EW31" s="13">
        <f>IF(AND(EN31&gt;0,COUNTIF(EV31:EV34,EV31)&gt;1),SUMIFS($AI$4:$AI$108,$AF$4:$AF$108,$BT31,$M$4:$M$108,4)+SUMIFS($AK$4:$AK$108,$AH$4:$AH$108,$BT31,$M$4:$M$108,4),)</f>
        <v/>
      </c>
      <c r="EX31" s="13">
        <f>IF(AND(EN31&gt;0,COUNTIF(EV31:EV34,EV31)&gt;1),EV31+RANK(EW31,EW31:EW34)-1,EV31)</f>
        <v/>
      </c>
      <c r="EY31" s="13">
        <f>IF(EX31=0,"",EX31)</f>
        <v/>
      </c>
      <c r="EZ31" s="13">
        <f>IF(OR(EY31="",COUNTIF(EY31:EY34,EY31)=1),"",$BZ31)</f>
        <v/>
      </c>
      <c r="FA31" s="13">
        <f>IF(EY31="","",IF(COUNTIF(EY31:EY34,EY31)=1,EY31,EY31+RANK(EZ31,EZ31:EZ34,0)-1))</f>
        <v/>
      </c>
      <c r="FB31" s="13">
        <f>IF(OR(FA31="",COUNTIF(FA31:FA34,FA31)=1),"",$BX31)</f>
        <v/>
      </c>
      <c r="FC31" s="13">
        <f>IF(EY31="","",IF(COUNTIF(FA31:FA34,FA31)=1,FA31,FA31+RANK(FB31,FB31:FB34,0)-1))</f>
        <v/>
      </c>
      <c r="FD31" s="13">
        <f>IF(OR(FC31="",COUNTIF(FC31:FC34,FC31)=1),"",$BU31)</f>
        <v/>
      </c>
      <c r="FE31" s="13">
        <f>IF(EY31="","",IF(COUNTIF(FC31:FC34,FC31)=1,FC31,FC31+RANK(FD31,FD31:FD34,0)-1))</f>
        <v/>
      </c>
      <c r="FF31" s="13">
        <f>IF(EN31&gt;0,CG29+DA29+DU29+RANK(FE31,FE31:FE34,1),)</f>
        <v/>
      </c>
      <c r="FH31" s="13">
        <f>IFERROR(VLOOKUP(FJ31,CF30:CX34,19,FALSE),IFERROR(VLOOKUP(FJ31,CZ30:DR34,19,FALSE),IFERROR(VLOOKUP(FJ31,DT30:EL34,19,FALSE),VLOOKUP(FJ31,EN30:FF34,19,FALSE))))</f>
        <v/>
      </c>
      <c r="FI31" s="13">
        <f>RANK(FH31,FH31:FH34,1)+COUNTIF(FH31:FH31,FH31)-1</f>
        <v/>
      </c>
      <c r="FJ31" s="12">
        <f>BT31</f>
        <v/>
      </c>
      <c r="FZ31" s="79" t="n">
        <v>29</v>
      </c>
      <c r="GA31" s="3">
        <f>GB31&amp;GC31&amp;GD31&amp;GE31&amp;GF31&amp;GG31&amp;GH31&amp;GI31</f>
        <v/>
      </c>
      <c r="GB31" s="3" t="inlineStr">
        <is>
          <t>E</t>
        </is>
      </c>
      <c r="GC31" s="3" t="inlineStr">
        <is>
          <t>G</t>
        </is>
      </c>
      <c r="GD31" s="3" t="inlineStr">
        <is>
          <t>I</t>
        </is>
      </c>
      <c r="GE31" s="3" t="inlineStr">
        <is>
          <t>C</t>
        </is>
      </c>
      <c r="GF31" s="3" t="inlineStr">
        <is>
          <t>H</t>
        </is>
      </c>
      <c r="GG31" s="3" t="inlineStr">
        <is>
          <t>D</t>
        </is>
      </c>
      <c r="GH31" s="3" t="inlineStr">
        <is>
          <t>L</t>
        </is>
      </c>
      <c r="GI31" s="3" t="inlineStr">
        <is>
          <t>K</t>
        </is>
      </c>
      <c r="GJ31" s="9">
        <f>VLOOKUP(GB31,$FM$3:$FN$15,2,FALSE)</f>
        <v/>
      </c>
      <c r="GK31" s="9">
        <f>VLOOKUP(GC31,$FM$3:$FN$15,2,FALSE)</f>
        <v/>
      </c>
      <c r="GL31" s="9">
        <f>VLOOKUP(GD31,$FM$3:$FN$15,2,FALSE)</f>
        <v/>
      </c>
      <c r="GM31" s="9">
        <f>VLOOKUP(GE31,$FM$3:$FN$15,2,FALSE)</f>
        <v/>
      </c>
      <c r="GN31" s="9">
        <f>VLOOKUP(GF31,$FM$3:$FN$15,2,FALSE)</f>
        <v/>
      </c>
      <c r="GO31" s="9">
        <f>VLOOKUP(GG31,$FM$3:$FN$15,2,FALSE)</f>
        <v/>
      </c>
      <c r="GP31" s="9">
        <f>VLOOKUP(GH31,$FM$3:$FN$15,2,FALSE)</f>
        <v/>
      </c>
      <c r="GQ31" s="9">
        <f>VLOOKUP(GI31,$FM$3:$FN$15,2,FALSE)</f>
        <v/>
      </c>
      <c r="GR31" s="9">
        <f>IFERROR(IF(AND(VLOOKUP(GB31,$FX$4:$FX$15,1,FALSE)=GB31,VLOOKUP(GC31,$FX$4:$FX$15,1,FALSE)=GC31,VLOOKUP(GD31,$FX$4:$FX$15,1,FALSE)=GD31,VLOOKUP(GE31,$FX$4:$FX$15,1,FALSE)=GE31,VLOOKUP(GF31,$FX$4:$FX$15,1,FALSE)=GF31,VLOOKUP(GG31,$FX$4:$FX$15,1,FALSE)=GG31,VLOOKUP(GH31,$FX$4:$FX$15,1,FALSE)=GH31,VLOOKUP(GI31,$FX$4:$FX$15,1,FALSE)=GI31),FZ31,""),"")</f>
        <v/>
      </c>
      <c r="GX31" s="79" t="n"/>
    </row>
    <row r="32" ht="14.25" customHeight="1">
      <c r="B32" s="58" t="n">
        <v>6</v>
      </c>
      <c r="C32" s="59" t="n">
        <v>46187</v>
      </c>
      <c r="D32" s="60" t="inlineStr">
        <is>
          <t>Australien</t>
        </is>
      </c>
      <c r="E32" s="61" t="inlineStr">
        <is>
          <t>-</t>
        </is>
      </c>
      <c r="F32" s="62" t="inlineStr">
        <is>
          <t>Turkiet</t>
        </is>
      </c>
      <c r="G32" s="63" t="n">
        <v>0</v>
      </c>
      <c r="H32" s="64" t="inlineStr">
        <is>
          <t>-</t>
        </is>
      </c>
      <c r="I32" s="63" t="n">
        <v>2</v>
      </c>
      <c r="J32" s="65">
        <f>IF(OR(ISBLANK(G32),ISBLANK(I32)),"",IF(G32&gt;I32,1,IF(G32&lt;I32,2,"X")))</f>
        <v/>
      </c>
      <c r="K32" s="66">
        <f>IF(OR(G32="",I32="",'[1]Resultat &amp; tabell'!G32="",'[1]Resultat &amp; tabell'!I32=""),0,IF(G32='[1]Resultat &amp; tabell'!G32,2,0)+IF(I32='[1]Resultat &amp; tabell'!I32,2,0)+IF(J32='[1]Resultat &amp; tabell'!J32,2,0))</f>
        <v/>
      </c>
      <c r="L32" s="67" t="n"/>
      <c r="M32" s="29">
        <f>IF(VLOOKUP(D32,$BT$30:$CC$34,10,FALSE)=VLOOKUP(F32,$BT$30:$CC$34,10,FALSE),VLOOKUP(D32,$BT$30:$CC$34,10,FALSE),"-")</f>
        <v/>
      </c>
      <c r="N32" s="30" t="n">
        <v>2</v>
      </c>
      <c r="O32" s="80">
        <f>VLOOKUP(N32,FI31:FJ34,2,FALSE)</f>
        <v/>
      </c>
      <c r="P32" s="81">
        <f>VLOOKUP($O32,$BT$31:$CA$34,2,FALSE)</f>
        <v/>
      </c>
      <c r="Q32" s="81">
        <f>VLOOKUP($O32,$BT$31:$CA$34,3,FALSE)</f>
        <v/>
      </c>
      <c r="R32" s="81">
        <f>VLOOKUP($O32,$BT$31:$CA$34,4,FALSE)</f>
        <v/>
      </c>
      <c r="S32" s="81">
        <f>VLOOKUP($O32,$BT$31:$CA$34,5,FALSE)</f>
        <v/>
      </c>
      <c r="T32" s="81">
        <f>VLOOKUP($O32,$BT$31:$CA$34,6,FALSE)</f>
        <v/>
      </c>
      <c r="U32" s="81">
        <f>VLOOKUP($O32,$BT$31:$CA$34,7,FALSE)</f>
        <v/>
      </c>
      <c r="V32" s="82">
        <f>VLOOKUP($O32,$BT$31:$CA$34,8,FALSE)</f>
        <v/>
      </c>
      <c r="X32" s="9" t="n"/>
      <c r="AB32" s="9" t="n"/>
      <c r="AC32" s="108" t="n"/>
      <c r="AE32" s="72">
        <f>C32</f>
        <v/>
      </c>
      <c r="AF32" s="72">
        <f>D32</f>
        <v/>
      </c>
      <c r="AG32" s="72">
        <f>E32</f>
        <v/>
      </c>
      <c r="AH32" s="72">
        <f>F32</f>
        <v/>
      </c>
      <c r="AI32" s="63">
        <f>IF(G32="","",G32)</f>
        <v/>
      </c>
      <c r="AJ32" s="58">
        <f>H32</f>
        <v/>
      </c>
      <c r="AK32" s="63">
        <f>IF(I32="","",I32)</f>
        <v/>
      </c>
      <c r="AL32" s="65">
        <f>J32</f>
        <v/>
      </c>
      <c r="AM32" s="73" t="n"/>
      <c r="AN32" s="13">
        <f>IF(AI32&gt;AK32,1,0)</f>
        <v/>
      </c>
      <c r="AO32" s="13">
        <f>IF(AK32&gt;AI32,1,0)</f>
        <v/>
      </c>
      <c r="AP32" s="13">
        <f>IF(AND(AI32=AK32,AI32&lt;&gt;""),1,0)</f>
        <v/>
      </c>
      <c r="AQ32" s="13">
        <f>IF(AND(AI32=AK32,AI32&lt;&gt;""),1,0)</f>
        <v/>
      </c>
      <c r="AR32" s="13">
        <f>IF(AI32&lt;AK32,1,0)</f>
        <v/>
      </c>
      <c r="AS32" s="13">
        <f>IF(AK32&lt;AI32,1,)</f>
        <v/>
      </c>
      <c r="AT32" s="13">
        <f>IF(ISERROR(VLOOKUP(AF32,CF:CF,1,FALSE)),0,1)*IF(ISERROR(VLOOKUP(AH32,CF:CF,1,FALSE)),0,1)*AN32</f>
        <v/>
      </c>
      <c r="AU32" s="13">
        <f>IF(ISERROR(VLOOKUP(AF32,CF:CF,1,FALSE)),0,1)*IF(ISERROR(VLOOKUP(AH32,CF:CF,1,FALSE)),0,1)*AO32</f>
        <v/>
      </c>
      <c r="AV32" s="13">
        <f>IF(ISERROR(VLOOKUP(AF32,CF:CF,1,FALSE)),0,1)*IF(ISERROR(VLOOKUP(AH32,CF:CF,1,FALSE)),0,1)*AP32</f>
        <v/>
      </c>
      <c r="AW32" s="13">
        <f>IF(ISERROR(VLOOKUP(AF32,CF:CF,1,FALSE)),0,1)*IF(ISERROR(VLOOKUP(AH32,CF:CF,1,FALSE)),0,1)*AQ32</f>
        <v/>
      </c>
      <c r="AX32" s="13">
        <f>IF(ISERROR(VLOOKUP(AF32,CF:CF,1,FALSE)),0,1)*IF(ISERROR(VLOOKUP(AH32,CF:CF,1,FALSE)),0,1)*AR32</f>
        <v/>
      </c>
      <c r="AY32" s="13">
        <f>IF(ISERROR(VLOOKUP(AF32,CF:CF,1,FALSE)),0,1)*IF(ISERROR(VLOOKUP(AH32,CF:CF,1,FALSE)),0,1)*AS32</f>
        <v/>
      </c>
      <c r="AZ32" s="13">
        <f>IF(ISERROR(VLOOKUP(AF32,CZ:CZ,1,FALSE)),0,1)*IF(ISERROR(VLOOKUP(AH32,CZ:CZ,1,FALSE)),0,1)*AN32</f>
        <v/>
      </c>
      <c r="BA32" s="13">
        <f>IF(ISERROR(VLOOKUP(AF32,CZ:CZ,1,FALSE)),0,1)*IF(ISERROR(VLOOKUP(AH32,CZ:CZ,1,FALSE)),0,1)*AO32</f>
        <v/>
      </c>
      <c r="BB32" s="13">
        <f>IF(ISERROR(VLOOKUP(AF32,CZ:CZ,1,FALSE)),0,1)*IF(ISERROR(VLOOKUP(AH32,CZ:CZ,1,FALSE)),0,1)*AP32</f>
        <v/>
      </c>
      <c r="BC32" s="13">
        <f>IF(ISERROR(VLOOKUP(AF32,CZ:CZ,1,FALSE)),0,1)*IF(ISERROR(VLOOKUP(AH32,CZ:CZ,1,FALSE)),0,1)*AQ32</f>
        <v/>
      </c>
      <c r="BD32" s="13">
        <f>IF(ISERROR(VLOOKUP(AF32,CZ:CZ,1,FALSE)),0,1)*IF(ISERROR(VLOOKUP(AH32,CZ:CZ,1,FALSE)),0,1)*AR32</f>
        <v/>
      </c>
      <c r="BE32" s="13">
        <f>IF(ISERROR(VLOOKUP(AF32,CZ:CZ,1,FALSE)),0,1)*IF(ISERROR(VLOOKUP(AH32,CZ:CZ,1,FALSE)),0,1)*AS32</f>
        <v/>
      </c>
      <c r="BF32" s="13">
        <f>IF(ISERROR(VLOOKUP(AF32,DT:DT,1,FALSE)),0,1)*IF(ISERROR(VLOOKUP(AH32,DT:DT,1,FALSE)),0,1)*AN32</f>
        <v/>
      </c>
      <c r="BG32" s="13">
        <f>IF(ISERROR(VLOOKUP(AF32,DT:DT,1,FALSE)),0,1)*IF(ISERROR(VLOOKUP(AH32,DT:DT,1,FALSE)),0,1)*AO32</f>
        <v/>
      </c>
      <c r="BH32" s="13">
        <f>IF(ISERROR(VLOOKUP(AF32,DT:DT,1,FALSE)),0,1)*IF(ISERROR(VLOOKUP(AH32,DT:DT,1,FALSE)),0,1)*AP32</f>
        <v/>
      </c>
      <c r="BI32" s="13">
        <f>IF(ISERROR(VLOOKUP(AF32,DT:DT,1,FALSE)),0,1)*IF(ISERROR(VLOOKUP(AH32,DT:DT,1,FALSE)),0,1)*AQ32</f>
        <v/>
      </c>
      <c r="BJ32" s="13">
        <f>IF(ISERROR(VLOOKUP(AF32,DT:DT,1,FALSE)),0,1)*IF(ISERROR(VLOOKUP(AH32,DT:DT,1,FALSE)),0,1)*AR32</f>
        <v/>
      </c>
      <c r="BK32" s="13">
        <f>IF(ISERROR(VLOOKUP(AF32,DT:DT,1,FALSE)),0,1)*IF(ISERROR(VLOOKUP(AH32,DT:DT,1,FALSE)),0,1)*AS32</f>
        <v/>
      </c>
      <c r="BL32" s="13">
        <f>IF(ISERROR(VLOOKUP(AF32,EN:EN,1,FALSE)),0,1)*IF(ISERROR(VLOOKUP(AH32,EN:EN,1,FALSE)),0,1)*AN32</f>
        <v/>
      </c>
      <c r="BM32" s="13">
        <f>IF(ISERROR(VLOOKUP(AF32,EN:EN,1,FALSE)),0,1)*IF(ISERROR(VLOOKUP(AH32,EN:EN,1,FALSE)),0,1)*AO32</f>
        <v/>
      </c>
      <c r="BN32" s="13">
        <f>IF(ISERROR(VLOOKUP(AF32,EN:EN,1,FALSE)),0,1)*IF(ISERROR(VLOOKUP(AH32,EN:EN,1,FALSE)),0,1)*AP32</f>
        <v/>
      </c>
      <c r="BO32" s="13">
        <f>IF(ISERROR(VLOOKUP(AF32,EN:EN,1,FALSE)),0,1)*IF(ISERROR(VLOOKUP(AH32,EN:EN,1,FALSE)),0,1)*AQ32</f>
        <v/>
      </c>
      <c r="BP32" s="13">
        <f>IF(ISERROR(VLOOKUP(AF32,EN:EN,1,FALSE)),0,1)*IF(ISERROR(VLOOKUP(AH32,EN:EN,1,FALSE)),0,1)*AR32</f>
        <v/>
      </c>
      <c r="BQ32" s="13">
        <f>IF(ISERROR(VLOOKUP(AF32,EN:EN,1,FALSE)),0,1)*IF(ISERROR(VLOOKUP(AH32,EN:EN,1,FALSE)),0,1)*AS32</f>
        <v/>
      </c>
      <c r="BT32" s="12" t="inlineStr">
        <is>
          <t>Paraguay</t>
        </is>
      </c>
      <c r="BU32" s="13">
        <f>(SUMIF(AF$4:AF$108,BT32,AN$4:AN$108)+SUMIF(AH$4:AH$108,BT32,AO$4:AO$108))</f>
        <v/>
      </c>
      <c r="BV32" s="13">
        <f>(SUMIF(AF$4:AF$108,BT32,AP$4:AP$108)+SUMIF(AH$4:AH$108,BT32,AQ$4:AQ$108))</f>
        <v/>
      </c>
      <c r="BW32" s="13">
        <f>(SUMIF(AF$4:AF$108,BT32,AR$4:AR$108)+SUMIF(AH$4:AH$108,BT32,AS$4:AS$108))</f>
        <v/>
      </c>
      <c r="BX32" s="13">
        <f>SUMIF($AF$4:$AF$108,BT32,$AI$4:$AI$108)+SUMIF($AH$4:$AH$108,BT32,$AK$4:$AK$108)</f>
        <v/>
      </c>
      <c r="BY32" s="13">
        <f>SUMIF($AF$4:$AF$108,BT32,$AK$4:$AK$108)+SUMIF($AH$4:$AH$108,BT32,$AI$4:$AI$108)</f>
        <v/>
      </c>
      <c r="BZ32" s="13">
        <f>BX32-BY32</f>
        <v/>
      </c>
      <c r="CA32" s="13">
        <f>IFERROR(BU32*3+BV32*1,0)</f>
        <v/>
      </c>
      <c r="CB32" s="13" t="inlineStr">
        <is>
          <t>D</t>
        </is>
      </c>
      <c r="CC32" s="74">
        <f>RANK(CA32,CA31:CA34)</f>
        <v/>
      </c>
      <c r="CD32" s="13">
        <f>SUMPRODUCT((CA31:CA34=CA32)*(BZ31:BZ34&gt;BZ32))</f>
        <v/>
      </c>
      <c r="CF32" s="12">
        <f>IF(CC32=1,BT32,)</f>
        <v/>
      </c>
      <c r="CG32" s="13">
        <f>(SUMIF($AF$4:$AF$108,$BT32,$AT$4:$AT$108)+SUMIF($AH$4:$AH$108,$BT32,$AU$4:$AU$108))</f>
        <v/>
      </c>
      <c r="CH32" s="13">
        <f>(SUMIF($AF$4:$AF$108,$BT32,$AV$4:$AV$108)+SUMIF($AH$4:$AH$108,$BT32,$AW$4:$AW$108))</f>
        <v/>
      </c>
      <c r="CI32" s="13">
        <f>(SUMIF($AF$4:$AF$108,$BT32,$AX$4:$AX$108)+SUMIF($AH$4:$AH$108,$BT32,$AY$4:$AY$108))</f>
        <v/>
      </c>
      <c r="CJ32" s="13">
        <f>IFERROR(CG32*3+CH32*1,0)</f>
        <v/>
      </c>
      <c r="CK32" s="13">
        <f>CB32</f>
        <v/>
      </c>
      <c r="CL32" s="13">
        <f>IF(CF32&gt;0,RANK(CJ32,CJ31:CJ34),)</f>
        <v/>
      </c>
      <c r="CM32" s="13">
        <f>IF(AND(CF32&gt;0,COUNTIF(CL31:CL34,CL32)&gt;1),SUMIFS($AI$4:$AI$108,$AF$4:$AF$108,$BT32,$M$4:$M$108,1)+SUMIFS($AK$4:$AK$108,$AH$4:$AH$108,$BT32,$M$4:$M$108,1)-SUMIFS($AK$4:$AK$108,$AF$4:$AF$108,$BT32,$M$4:$M$108,1)-SUMIFS($AI$4:$AI$108,$AH$4:$AH$108,$BT32,$M$4:$M$108,1),)</f>
        <v/>
      </c>
      <c r="CN32" s="13">
        <f>IF(AND(CF32&gt;0,COUNTIF(CL31:CL34,CL32)&gt;1),CL32+RANK(CM32,CM31:CM34)-1,CL32)</f>
        <v/>
      </c>
      <c r="CO32" s="13">
        <f>IF(AND(CF32&gt;0,COUNTIF(CN31:CN34,CN32)&gt;1),SUMIFS($AI$4:$AI$108,$AF$4:$AF$108,$BT32,$M$4:$M$108,1)+SUMIFS($AK$4:$AK$108,$AH$4:$AH$108,$BT32,$M$4:$M$108,1),)</f>
        <v/>
      </c>
      <c r="CP32" s="13">
        <f>IF(AND(CF32&gt;0,COUNTIF(CN31:CN34,CN32)&gt;1),CN32+RANK(CO32,CO31:CO34)-1,CN32)</f>
        <v/>
      </c>
      <c r="CQ32" s="13">
        <f>IF(CP32=0,"",CP32)</f>
        <v/>
      </c>
      <c r="CR32" s="13">
        <f>IF(OR(CQ32="",COUNTIF(CQ31:CQ34,CQ32)=1),"",$BZ32)</f>
        <v/>
      </c>
      <c r="CS32" s="13">
        <f>IF(CQ32="","",IF(COUNTIF(CQ31:CQ34,CQ32)=1,CQ32,CQ32+RANK(CR32,CR31:CR34,0)-1))</f>
        <v/>
      </c>
      <c r="CT32" s="13">
        <f>IF(OR(CS32="",COUNTIF(CS31:CS34,CS32)=1),"",$BX32)</f>
        <v/>
      </c>
      <c r="CU32" s="13">
        <f>IF(CQ32="","",IF(COUNTIF(CS31:CS34,CS32)=1,CS32,CS32+RANK(CT32,CT31:CT34,0)-1))</f>
        <v/>
      </c>
      <c r="CV32" s="13">
        <f>IF(OR(CU32="",COUNTIF(CU31:CU34,CU32)=1),"",$BU32)</f>
        <v/>
      </c>
      <c r="CW32" s="13">
        <f>IF(CQ32="","",IF(COUNTIF(CU31:CU34,CU32)=1,CU32,CU32+RANK(CV32,CV31:CV34,0)-1))</f>
        <v/>
      </c>
      <c r="CX32" s="13">
        <f>IF(CF32&gt;0,BM29+RANK(CW32,CW31:CW34,1),)</f>
        <v/>
      </c>
      <c r="CZ32" s="12">
        <f>IF(CC32=2,BT32,)</f>
        <v/>
      </c>
      <c r="DA32" s="13">
        <f>(SUMIF($AF$4:$AF$108,$BT32,$AZ$4:$AZ$108)+SUMIF($AH$4:$AH$108,$BT32,$BA$4:$BA$108))</f>
        <v/>
      </c>
      <c r="DB32" s="13">
        <f>(SUMIF($AF$4:$AF$108,$BT32,$BB$4:$BB$108)+SUMIF($AH$4:$AH$108,$BT32,$BC$4:$BC$108))</f>
        <v/>
      </c>
      <c r="DC32" s="13">
        <f>(SUMIF($AF$4:$AF$108,$BT32,$BD$4:$BD$108)+SUMIF($AH$4:$AH$108,$BT32,$BE$4:$BE$108))</f>
        <v/>
      </c>
      <c r="DD32" s="13">
        <f>IFERROR(DA32*3+DB32*1,0)</f>
        <v/>
      </c>
      <c r="DE32" s="13">
        <f>$CB32</f>
        <v/>
      </c>
      <c r="DF32" s="13">
        <f>IF(CZ32&gt;0,RANK(DD32,DD31:DD34)+CG29,)</f>
        <v/>
      </c>
      <c r="DG32" s="13">
        <f>IF(AND(CZ32&gt;0,COUNTIF(DF31:DF34,DF32)&gt;1),SUMIFS($AI$4:$AI$108,$AF$4:$AF$108,$BT32,$M$4:$M$108,2)+SUMIFS($AK$4:$AK$108,$AH$4:$AH108,$BT32,$M$4:$M$108,2)-SUMIFS($AK$4:$AK$108,$AF$4:$AF$108,$BT32,$M$4:$M$108,2)-SUMIFS($AI$4:$AI$108,$AH$4:$AH$108,$BT32,$M$4:$M$108,2),)</f>
        <v/>
      </c>
      <c r="DH32" s="13">
        <f>IF(AND(CZ32&gt;0,COUNTIF(DF31:DF34,DF32)&gt;1),DF32+RANK(DG32,DG31:DG34)-1,DF32)</f>
        <v/>
      </c>
      <c r="DI32" s="13">
        <f>IF(AND(CZ32&gt;0,COUNTIF(DH31:DH34,DH32)&gt;1),SUMIFS($AI$4:$AI$108,$AF$4:$AF$108,$BT32,$M$4:$M$108,2)+SUMIFS($AK$4:$AK$108,$AH$4:$AH$108,$BT32,$M$4:$M$108,2),)</f>
        <v/>
      </c>
      <c r="DJ32" s="13">
        <f>IF(AND(CZ32&gt;0,COUNTIF(DH31:DH34,DH32)&gt;1),DH32+RANK(DI32,DI31:DI34)-1,DH32)</f>
        <v/>
      </c>
      <c r="DK32" s="75">
        <f>IF(DJ32=0,"",DJ32)</f>
        <v/>
      </c>
      <c r="DL32" s="75">
        <f>IF(OR(DK32="",COUNTIF(DK31:DK34,DK32)=1),"",$BZ32)</f>
        <v/>
      </c>
      <c r="DM32" s="75">
        <f>IF(DK32="","",IF(COUNTIF(DK31:DK34,DK32)=1,DK32,DK32+RANK(DL32,DL31:DL34,0)-1))</f>
        <v/>
      </c>
      <c r="DN32" s="75">
        <f>IF(OR(DM32="",COUNTIF(DM31:DM34,DM32)=1),"",$BX32)</f>
        <v/>
      </c>
      <c r="DO32" s="75">
        <f>IF(DK32="","",IF(COUNTIF(DM31:DM34,DM32)=1,DM32,DM32+RANK(DN32,DN31:DN34,0)-1))</f>
        <v/>
      </c>
      <c r="DP32" s="75">
        <f>IF(OR(DO32="",COUNTIF(DO31:DO34,DO32)=1),"",$BU32)</f>
        <v/>
      </c>
      <c r="DQ32" s="75">
        <f>IF(DK32="","",IF(COUNTIF(DO31:DO34,DO32)=1,DO32,DO32+RANK(DP32,DP31:DP34,0)-1))</f>
        <v/>
      </c>
      <c r="DR32" s="13">
        <f>IF(CZ32&gt;0,CG29+RANK(DQ32,DQ31:DQ34,1),)</f>
        <v/>
      </c>
      <c r="DT32" s="13">
        <f>IF(CC32=3,BT32,)</f>
        <v/>
      </c>
      <c r="DU32" s="13">
        <f>(SUMIF($AF$4:$AF$108,BT32,$BF$4:$BF$108)+SUMIF($AH$4:$AH$108,BT32,$BG$4:$BG$108))</f>
        <v/>
      </c>
      <c r="DV32" s="13">
        <f>(SUMIF($AF$4:$AF$108,BT32,$BH$4:$BH$108)+SUMIF($AH$4:$AH$108,BT32,$BI$4:$BI$108))</f>
        <v/>
      </c>
      <c r="DW32" s="13">
        <f>(SUMIF($AF$4:$AF$108,BT32,$BJ$4:$BJ$108)+SUMIF($AH$4:$AH$108,BT32,$BK$4:$BK$108))</f>
        <v/>
      </c>
      <c r="DX32" s="13">
        <f>IFERROR(DU32*3+DV32*1,0)</f>
        <v/>
      </c>
      <c r="DY32" s="13">
        <f>CB32</f>
        <v/>
      </c>
      <c r="DZ32" s="13">
        <f>IF(DT32&gt;0,RANK(DX32,DX31:DX34)+CG29+DA29,)</f>
        <v/>
      </c>
      <c r="EA32" s="13">
        <f>IF(AND(DT32&gt;0,COUNTIF(DZ31:DZ34,DZ32)&gt;1),SUMIFS($AI$4:$AI$108,$AF$4:$AF$108,$BT32,$M$4:$M$108,3)+SUMIFS($AK$4:$AK$108,$AH$4:$AH$108,$BT32,$M$4:$M$108,3)-SUMIFS($AK$4:$AK$108,$AF$4:$AF$108,$BT32,$M$4:$M$108,3)-SUMIFS($AI$4:$AI$108,$AH$4:$AH$108,$BT32,$M$4:$M$108,3),)</f>
        <v/>
      </c>
      <c r="EB32" s="13">
        <f>IF(AND(DT32&gt;0,COUNTIF(DZ31:DZ34,DZ32)&gt;1),DZ32+RANK(EA32,EA31:EA34)-1,DZ32)</f>
        <v/>
      </c>
      <c r="EC32" s="13">
        <f>IF(AND(DT32&gt;0,COUNTIF(EB31:EB34,EB32)&gt;1),SUMIFS($AI$4:$AI$108,$AF$4:$AF$108,$BT32,$M$4:$M$108,3)+SUMIFS($AK$4:$AK$108,$AH$4:$AH$108,$BT32,$M$4:$M$108,3),)</f>
        <v/>
      </c>
      <c r="ED32" s="13">
        <f>IF(AND(DT32&gt;0,COUNTIF(EB31:EB34,EB32)&gt;1),EB32+RANK(EC32,EC31:EC34)-1,EB32)</f>
        <v/>
      </c>
      <c r="EE32" s="13">
        <f>IF(ED32=0,"",ED32)</f>
        <v/>
      </c>
      <c r="EF32" s="13">
        <f>IF(OR(EE32="",COUNTIF(EE31:EE34,EE32)=1),"",$BZ32)</f>
        <v/>
      </c>
      <c r="EG32" s="13">
        <f>IF(EE32="","",IF(COUNTIF(EE31:EE34,EE32)=1,EE32,EE32+RANK(EF32,EF31:EF34,0)-1))</f>
        <v/>
      </c>
      <c r="EH32" s="13">
        <f>IF(OR(EG32="",COUNTIF(EG31:EG34,EG32)=1),"",$BX32)</f>
        <v/>
      </c>
      <c r="EI32" s="13">
        <f>IF(EE32="","",IF(COUNTIF(EG31:EG34,EG32)=1,EG32,EG32+RANK(EH32,EH31:EH34,0)-1))</f>
        <v/>
      </c>
      <c r="EJ32" s="13">
        <f>IF(OR(EI32="",COUNTIF(EI31:EI34,EI32)=1),"",$BU32)</f>
        <v/>
      </c>
      <c r="EK32" s="13">
        <f>IF(EE32="","",IF(COUNTIF(EI31:EI34,EI32)=1,EI32,EI32+RANK(EJ32,EJ31:EJ34,0)-1))</f>
        <v/>
      </c>
      <c r="EL32" s="13">
        <f>IF(DT32&gt;0,CG29+DA29+RANK(EK32,EK31:EK34,1),)</f>
        <v/>
      </c>
      <c r="EN32" s="13">
        <f>IF(CC32=4,BT32,)</f>
        <v/>
      </c>
      <c r="EO32" s="13">
        <f>(SUMIF($AF$4:$AF$108,$BT32,$BL$4:$BL$108)+SUMIF($AH$4:$AH$108,$BT32,$BM$4:$BM$108))</f>
        <v/>
      </c>
      <c r="EP32" s="13">
        <f>(SUMIF($AF$4:$AF$108,$BT32,$BN$4:$BN$108)+SUMIF($AH$4:$AH$108,$BT32,$BO$4:$BO$108))</f>
        <v/>
      </c>
      <c r="EQ32" s="13">
        <f>(SUMIF($AF$4:$AF$108,$BT32,$BP$4:$BP$108)+SUMIF($AH$4:$AH$108,$BT32,$BQ$4:$BQ$108))</f>
        <v/>
      </c>
      <c r="ER32" s="13">
        <f>IFERROR(EO32*3+EP32*1,0)</f>
        <v/>
      </c>
      <c r="ES32" s="13">
        <f>$CB32</f>
        <v/>
      </c>
      <c r="ET32" s="13">
        <f>IF(EN32&gt;0,RANK(ER32,ER31:ER34)+CG29+DA29+DU29,)</f>
        <v/>
      </c>
      <c r="EU32" s="13">
        <f>IF(AND(EN32&gt;0,COUNTIF(ET31:ET34,ET32)&gt;1),SUMIFS($AI$4:$AI$108,$AF$4:$AF$108,$BT32,$M$4:$M$108,4)+SUMIFS($AK$4:$AK$108,$AH$4:$AH$108,$BT32,$M$4:$M$108,4)-SUMIFS($AK$4:$AK$108,$AF$4:$AF$108,$BT32,$M$4:$M$108,4)-SUMIFS($AI$4:$AI$108,$AH$4:$AH$108,$BT32,$M$4:$M$108,4),)</f>
        <v/>
      </c>
      <c r="EV32" s="13">
        <f>IF(AND(EN32&gt;0,COUNTIF(ET31:ET34,ET32)&gt;1),ET32+RANK(EU32,EU31:EU34)-1,ET32)</f>
        <v/>
      </c>
      <c r="EW32" s="13">
        <f>IF(AND(EN32&gt;0,COUNTIF(EV32:EV35,EV32)&gt;1),SUMIFS($AI$4:$AI$108,$AF$4:$AF$108,$BT32,$M$4:$M$108,4)+SUMIFS($AK$4:$AK$108,$AH$4:$AH$108,$BT32,$M$4:$M$108,4),)</f>
        <v/>
      </c>
      <c r="EX32" s="13">
        <f>IF(AND(EN32&gt;0,COUNTIF(EV31:EV34,EV32)&gt;1),EV32+RANK(EW32,EW31:EW34)-1,EV32)</f>
        <v/>
      </c>
      <c r="EY32" s="13">
        <f>IF(EX32=0,"",EX32)</f>
        <v/>
      </c>
      <c r="EZ32" s="13">
        <f>IF(OR(EY32="",COUNTIF(EY31:EY34,EY32)=1),"",$BZ32)</f>
        <v/>
      </c>
      <c r="FA32" s="13">
        <f>IF(EY32="","",IF(COUNTIF(EY31:EY34,EY32)=1,EY32,EY32+RANK(EZ32,EZ31:EZ34,0)-1))</f>
        <v/>
      </c>
      <c r="FB32" s="13">
        <f>IF(OR(FA32="",COUNTIF(FA31:FA34,FA32)=1),"",$BX32)</f>
        <v/>
      </c>
      <c r="FC32" s="13">
        <f>IF(EY32="","",IF(COUNTIF(FA31:FA34,FA32)=1,FA32,FA32+RANK(FB32,FB31:FB34,0)-1))</f>
        <v/>
      </c>
      <c r="FD32" s="13">
        <f>IF(OR(FC32="",COUNTIF(FC31:FC34,FC32)=1),"",$BU32)</f>
        <v/>
      </c>
      <c r="FE32" s="13">
        <f>IF(EY32="","",IF(COUNTIF(FC31:FC34,FC32)=1,FC32,FC32+RANK(FD32,FD31:FD34,0)-1))</f>
        <v/>
      </c>
      <c r="FF32" s="13">
        <f>IF(EN32&gt;0,CG29+DA29+DU29+RANK(FE32,FE31:FE34,1),)</f>
        <v/>
      </c>
      <c r="FH32" s="13">
        <f>IFERROR(VLOOKUP(FJ32,CF30:CX34,19,FALSE),IFERROR(VLOOKUP(FJ32,CZ30:DR34,19,FALSE),IFERROR(VLOOKUP(FJ32,DT30:EL34,19,FALSE),VLOOKUP(FJ32,EN30:FF34,19,FALSE))))</f>
        <v/>
      </c>
      <c r="FI32" s="13">
        <f>RANK(FH32,FH31:FH34,1)+COUNTIF(FH31:FH32,FH32)-1</f>
        <v/>
      </c>
      <c r="FJ32" s="12">
        <f>BT32</f>
        <v/>
      </c>
      <c r="FZ32" s="79" t="n">
        <v>30</v>
      </c>
      <c r="GA32" s="3">
        <f>GB32&amp;GC32&amp;GD32&amp;GE32&amp;GF32&amp;GG32&amp;GH32&amp;GI32</f>
        <v/>
      </c>
      <c r="GB32" s="3" t="inlineStr">
        <is>
          <t>E</t>
        </is>
      </c>
      <c r="GC32" s="3" t="inlineStr">
        <is>
          <t>G</t>
        </is>
      </c>
      <c r="GD32" s="3" t="inlineStr">
        <is>
          <t>J</t>
        </is>
      </c>
      <c r="GE32" s="3" t="inlineStr">
        <is>
          <t>C</t>
        </is>
      </c>
      <c r="GF32" s="3" t="inlineStr">
        <is>
          <t>H</t>
        </is>
      </c>
      <c r="GG32" s="3" t="inlineStr">
        <is>
          <t>D</t>
        </is>
      </c>
      <c r="GH32" s="3" t="inlineStr">
        <is>
          <t>L</t>
        </is>
      </c>
      <c r="GI32" s="3" t="inlineStr">
        <is>
          <t>I</t>
        </is>
      </c>
      <c r="GJ32" s="9">
        <f>VLOOKUP(GB32,$FM$3:$FN$15,2,FALSE)</f>
        <v/>
      </c>
      <c r="GK32" s="9">
        <f>VLOOKUP(GC32,$FM$3:$FN$15,2,FALSE)</f>
        <v/>
      </c>
      <c r="GL32" s="9">
        <f>VLOOKUP(GD32,$FM$3:$FN$15,2,FALSE)</f>
        <v/>
      </c>
      <c r="GM32" s="9">
        <f>VLOOKUP(GE32,$FM$3:$FN$15,2,FALSE)</f>
        <v/>
      </c>
      <c r="GN32" s="9">
        <f>VLOOKUP(GF32,$FM$3:$FN$15,2,FALSE)</f>
        <v/>
      </c>
      <c r="GO32" s="9">
        <f>VLOOKUP(GG32,$FM$3:$FN$15,2,FALSE)</f>
        <v/>
      </c>
      <c r="GP32" s="9">
        <f>VLOOKUP(GH32,$FM$3:$FN$15,2,FALSE)</f>
        <v/>
      </c>
      <c r="GQ32" s="9">
        <f>VLOOKUP(GI32,$FM$3:$FN$15,2,FALSE)</f>
        <v/>
      </c>
      <c r="GR32" s="9">
        <f>IFERROR(IF(AND(VLOOKUP(GB32,$FX$4:$FX$15,1,FALSE)=GB32,VLOOKUP(GC32,$FX$4:$FX$15,1,FALSE)=GC32,VLOOKUP(GD32,$FX$4:$FX$15,1,FALSE)=GD32,VLOOKUP(GE32,$FX$4:$FX$15,1,FALSE)=GE32,VLOOKUP(GF32,$FX$4:$FX$15,1,FALSE)=GF32,VLOOKUP(GG32,$FX$4:$FX$15,1,FALSE)=GG32,VLOOKUP(GH32,$FX$4:$FX$15,1,FALSE)=GH32,VLOOKUP(GI32,$FX$4:$FX$15,1,FALSE)=GI32),FZ32,""),"")</f>
        <v/>
      </c>
      <c r="GX32" s="79" t="n"/>
    </row>
    <row r="33" ht="14.25" customHeight="1">
      <c r="B33" s="58" t="n">
        <v>32</v>
      </c>
      <c r="C33" s="59" t="n">
        <v>46192</v>
      </c>
      <c r="D33" s="60" t="inlineStr">
        <is>
          <t>USA</t>
        </is>
      </c>
      <c r="E33" s="61" t="inlineStr">
        <is>
          <t>-</t>
        </is>
      </c>
      <c r="F33" s="62" t="inlineStr">
        <is>
          <t>Australien</t>
        </is>
      </c>
      <c r="G33" s="63" t="n">
        <v>2</v>
      </c>
      <c r="H33" s="64" t="inlineStr">
        <is>
          <t>-</t>
        </is>
      </c>
      <c r="I33" s="63" t="n">
        <v>0</v>
      </c>
      <c r="J33" s="65">
        <f>IF(OR(ISBLANK(G33),ISBLANK(I33)),"",IF(G33&gt;I33,1,IF(G33&lt;I33,2,"X")))</f>
        <v/>
      </c>
      <c r="K33" s="66">
        <f>IF(OR(G33="",I33="",'[1]Resultat &amp; tabell'!G33="",'[1]Resultat &amp; tabell'!I33=""),0,IF(G33='[1]Resultat &amp; tabell'!G33,2,0)+IF(I33='[1]Resultat &amp; tabell'!I33,2,0)+IF(J33='[1]Resultat &amp; tabell'!J33,2,0))</f>
        <v/>
      </c>
      <c r="L33" s="67" t="n"/>
      <c r="M33" s="29">
        <f>IF(VLOOKUP(D33,$BT$30:$CC$34,10,FALSE)=VLOOKUP(F33,$BT$30:$CC$34,10,FALSE),VLOOKUP(D33,$BT$30:$CC$34,10,FALSE),"-")</f>
        <v/>
      </c>
      <c r="N33" s="30" t="n">
        <v>3</v>
      </c>
      <c r="O33" s="83">
        <f>VLOOKUP(N33,FI31:FJ34,2,FALSE)</f>
        <v/>
      </c>
      <c r="P33" s="84">
        <f>VLOOKUP($O33,$BT$31:$CA$34,2,FALSE)</f>
        <v/>
      </c>
      <c r="Q33" s="84">
        <f>VLOOKUP($O33,$BT$31:$CA$34,3,FALSE)</f>
        <v/>
      </c>
      <c r="R33" s="84">
        <f>VLOOKUP($O33,$BT$31:$CA$34,4,FALSE)</f>
        <v/>
      </c>
      <c r="S33" s="84">
        <f>VLOOKUP($O33,$BT$31:$CA$34,5,FALSE)</f>
        <v/>
      </c>
      <c r="T33" s="84">
        <f>VLOOKUP($O33,$BT$31:$CA$34,6,FALSE)</f>
        <v/>
      </c>
      <c r="U33" s="84">
        <f>VLOOKUP($O33,$BT$31:$CA$34,7,FALSE)</f>
        <v/>
      </c>
      <c r="V33" s="85">
        <f>VLOOKUP($O33,$BT$31:$CA$34,8,FALSE)</f>
        <v/>
      </c>
      <c r="X33" s="9" t="n"/>
      <c r="Y33" s="9" t="n"/>
      <c r="Z33" s="9" t="n"/>
      <c r="AA33" s="9" t="n"/>
      <c r="AB33" s="9" t="n"/>
      <c r="AC33" s="108" t="n"/>
      <c r="AE33" s="72">
        <f>C33</f>
        <v/>
      </c>
      <c r="AF33" s="72">
        <f>D33</f>
        <v/>
      </c>
      <c r="AG33" s="72">
        <f>E33</f>
        <v/>
      </c>
      <c r="AH33" s="72">
        <f>F33</f>
        <v/>
      </c>
      <c r="AI33" s="63">
        <f>IF(G33="","",G33)</f>
        <v/>
      </c>
      <c r="AJ33" s="58">
        <f>H33</f>
        <v/>
      </c>
      <c r="AK33" s="63">
        <f>IF(I33="","",I33)</f>
        <v/>
      </c>
      <c r="AL33" s="65">
        <f>J33</f>
        <v/>
      </c>
      <c r="AM33" s="73" t="n"/>
      <c r="AN33" s="13">
        <f>IF(AI33&gt;AK33,1,0)</f>
        <v/>
      </c>
      <c r="AO33" s="13">
        <f>IF(AK33&gt;AI33,1,0)</f>
        <v/>
      </c>
      <c r="AP33" s="13">
        <f>IF(AND(AI33=AK33,AI33&lt;&gt;""),1,0)</f>
        <v/>
      </c>
      <c r="AQ33" s="13">
        <f>IF(AND(AI33=AK33,AI33&lt;&gt;""),1,0)</f>
        <v/>
      </c>
      <c r="AR33" s="13">
        <f>IF(AI33&lt;AK33,1,0)</f>
        <v/>
      </c>
      <c r="AS33" s="13">
        <f>IF(AK33&lt;AI33,1,)</f>
        <v/>
      </c>
      <c r="AT33" s="13">
        <f>IF(ISERROR(VLOOKUP(AF33,CF:CF,1,FALSE)),0,1)*IF(ISERROR(VLOOKUP(AH33,CF:CF,1,FALSE)),0,1)*AN33</f>
        <v/>
      </c>
      <c r="AU33" s="13">
        <f>IF(ISERROR(VLOOKUP(AF33,CF:CF,1,FALSE)),0,1)*IF(ISERROR(VLOOKUP(AH33,CF:CF,1,FALSE)),0,1)*AO33</f>
        <v/>
      </c>
      <c r="AV33" s="13">
        <f>IF(ISERROR(VLOOKUP(AF33,CF:CF,1,FALSE)),0,1)*IF(ISERROR(VLOOKUP(AH33,CF:CF,1,FALSE)),0,1)*AP33</f>
        <v/>
      </c>
      <c r="AW33" s="13">
        <f>IF(ISERROR(VLOOKUP(AF33,CF:CF,1,FALSE)),0,1)*IF(ISERROR(VLOOKUP(AH33,CF:CF,1,FALSE)),0,1)*AQ33</f>
        <v/>
      </c>
      <c r="AX33" s="13">
        <f>IF(ISERROR(VLOOKUP(AF33,CF:CF,1,FALSE)),0,1)*IF(ISERROR(VLOOKUP(AH33,CF:CF,1,FALSE)),0,1)*AR33</f>
        <v/>
      </c>
      <c r="AY33" s="13">
        <f>IF(ISERROR(VLOOKUP(AF33,CF:CF,1,FALSE)),0,1)*IF(ISERROR(VLOOKUP(AH33,CF:CF,1,FALSE)),0,1)*AS33</f>
        <v/>
      </c>
      <c r="AZ33" s="13">
        <f>IF(ISERROR(VLOOKUP(AF33,CZ:CZ,1,FALSE)),0,1)*IF(ISERROR(VLOOKUP(AH33,CZ:CZ,1,FALSE)),0,1)*AN33</f>
        <v/>
      </c>
      <c r="BA33" s="13">
        <f>IF(ISERROR(VLOOKUP(AF33,CZ:CZ,1,FALSE)),0,1)*IF(ISERROR(VLOOKUP(AH33,CZ:CZ,1,FALSE)),0,1)*AO33</f>
        <v/>
      </c>
      <c r="BB33" s="13">
        <f>IF(ISERROR(VLOOKUP(AF33,CZ:CZ,1,FALSE)),0,1)*IF(ISERROR(VLOOKUP(AH33,CZ:CZ,1,FALSE)),0,1)*AP33</f>
        <v/>
      </c>
      <c r="BC33" s="13">
        <f>IF(ISERROR(VLOOKUP(AF33,CZ:CZ,1,FALSE)),0,1)*IF(ISERROR(VLOOKUP(AH33,CZ:CZ,1,FALSE)),0,1)*AQ33</f>
        <v/>
      </c>
      <c r="BD33" s="13">
        <f>IF(ISERROR(VLOOKUP(AF33,CZ:CZ,1,FALSE)),0,1)*IF(ISERROR(VLOOKUP(AH33,CZ:CZ,1,FALSE)),0,1)*AR33</f>
        <v/>
      </c>
      <c r="BE33" s="13">
        <f>IF(ISERROR(VLOOKUP(AF33,CZ:CZ,1,FALSE)),0,1)*IF(ISERROR(VLOOKUP(AH33,CZ:CZ,1,FALSE)),0,1)*AS33</f>
        <v/>
      </c>
      <c r="BF33" s="13">
        <f>IF(ISERROR(VLOOKUP(AF33,DT:DT,1,FALSE)),0,1)*IF(ISERROR(VLOOKUP(AH33,DT:DT,1,FALSE)),0,1)*AN33</f>
        <v/>
      </c>
      <c r="BG33" s="13">
        <f>IF(ISERROR(VLOOKUP(AF33,DT:DT,1,FALSE)),0,1)*IF(ISERROR(VLOOKUP(AH33,DT:DT,1,FALSE)),0,1)*AO33</f>
        <v/>
      </c>
      <c r="BH33" s="13">
        <f>IF(ISERROR(VLOOKUP(AF33,DT:DT,1,FALSE)),0,1)*IF(ISERROR(VLOOKUP(AH33,DT:DT,1,FALSE)),0,1)*AP33</f>
        <v/>
      </c>
      <c r="BI33" s="13">
        <f>IF(ISERROR(VLOOKUP(AF33,DT:DT,1,FALSE)),0,1)*IF(ISERROR(VLOOKUP(AH33,DT:DT,1,FALSE)),0,1)*AQ33</f>
        <v/>
      </c>
      <c r="BJ33" s="13">
        <f>IF(ISERROR(VLOOKUP(AF33,DT:DT,1,FALSE)),0,1)*IF(ISERROR(VLOOKUP(AH33,DT:DT,1,FALSE)),0,1)*AR33</f>
        <v/>
      </c>
      <c r="BK33" s="13">
        <f>IF(ISERROR(VLOOKUP(AF33,DT:DT,1,FALSE)),0,1)*IF(ISERROR(VLOOKUP(AH33,DT:DT,1,FALSE)),0,1)*AS33</f>
        <v/>
      </c>
      <c r="BL33" s="13">
        <f>IF(ISERROR(VLOOKUP(AF33,EN:EN,1,FALSE)),0,1)*IF(ISERROR(VLOOKUP(AH33,EN:EN,1,FALSE)),0,1)*AN33</f>
        <v/>
      </c>
      <c r="BM33" s="13">
        <f>IF(ISERROR(VLOOKUP(AF33,EN:EN,1,FALSE)),0,1)*IF(ISERROR(VLOOKUP(AH33,EN:EN,1,FALSE)),0,1)*AO33</f>
        <v/>
      </c>
      <c r="BN33" s="13">
        <f>IF(ISERROR(VLOOKUP(AF33,EN:EN,1,FALSE)),0,1)*IF(ISERROR(VLOOKUP(AH33,EN:EN,1,FALSE)),0,1)*AP33</f>
        <v/>
      </c>
      <c r="BO33" s="13">
        <f>IF(ISERROR(VLOOKUP(AF33,EN:EN,1,FALSE)),0,1)*IF(ISERROR(VLOOKUP(AH33,EN:EN,1,FALSE)),0,1)*AQ33</f>
        <v/>
      </c>
      <c r="BP33" s="13">
        <f>IF(ISERROR(VLOOKUP(AF33,EN:EN,1,FALSE)),0,1)*IF(ISERROR(VLOOKUP(AH33,EN:EN,1,FALSE)),0,1)*AR33</f>
        <v/>
      </c>
      <c r="BQ33" s="13">
        <f>IF(ISERROR(VLOOKUP(AF33,EN:EN,1,FALSE)),0,1)*IF(ISERROR(VLOOKUP(AH33,EN:EN,1,FALSE)),0,1)*AS33</f>
        <v/>
      </c>
      <c r="BT33" s="12" t="inlineStr">
        <is>
          <t>Australien</t>
        </is>
      </c>
      <c r="BU33" s="13">
        <f>(SUMIF(AF$4:AF$108,BT33,AN$4:AN$108)+SUMIF(AH$4:AH$108,BT33,AO$4:AO$108))</f>
        <v/>
      </c>
      <c r="BV33" s="13">
        <f>(SUMIF(AF$4:AF$108,BT33,AP$4:AP$108)+SUMIF(AH$4:AH$108,BT33,AQ$4:AQ$108))</f>
        <v/>
      </c>
      <c r="BW33" s="13">
        <f>(SUMIF(AF$4:AF$108,BT33,AR$4:AR$108)+SUMIF(AH$4:AH$108,BT33,AS$4:AS$108))</f>
        <v/>
      </c>
      <c r="BX33" s="13">
        <f>SUMIF($AF$4:$AF$108,BT33,$AI$4:$AI$108)+SUMIF($AH$4:$AH$108,BT33,$AK$4:$AK$108)</f>
        <v/>
      </c>
      <c r="BY33" s="13">
        <f>SUMIF($AF$4:$AF$108,BT33,$AK$4:$AK$108)+SUMIF($AH$4:$AH$108,BT33,$AI$4:$AI$108)</f>
        <v/>
      </c>
      <c r="BZ33" s="13">
        <f>BX33-BY33</f>
        <v/>
      </c>
      <c r="CA33" s="13">
        <f>IFERROR(BU33*3+BV33*1,0)</f>
        <v/>
      </c>
      <c r="CB33" s="13" t="inlineStr">
        <is>
          <t>D</t>
        </is>
      </c>
      <c r="CC33" s="74">
        <f>RANK(CA33,CA31:CA34)</f>
        <v/>
      </c>
      <c r="CD33" s="13">
        <f>SUMPRODUCT((CA31:CA34=CA33)*(BZ31:BZ34&gt;BZ33))</f>
        <v/>
      </c>
      <c r="CF33" s="12">
        <f>IF(CC33=1,BT33,)</f>
        <v/>
      </c>
      <c r="CG33" s="13">
        <f>(SUMIF($AF$4:$AF$108,$BT33,$AT$4:$AT$108)+SUMIF($AH$4:$AH$108,$BT33,$AU$4:$AU$108))</f>
        <v/>
      </c>
      <c r="CH33" s="13">
        <f>(SUMIF($AF$4:$AF$108,$BT33,$AV$4:$AV$108)+SUMIF($AH$4:$AH$108,$BT33,$AW$4:$AW$108))</f>
        <v/>
      </c>
      <c r="CI33" s="13">
        <f>(SUMIF($AF$4:$AF$108,$BT33,$AX$4:$AX$108)+SUMIF($AH$4:$AH$108,$BT33,$AY$4:$AY$108))</f>
        <v/>
      </c>
      <c r="CJ33" s="13">
        <f>IFERROR(CG33*3+CH33*1,0)</f>
        <v/>
      </c>
      <c r="CK33" s="13">
        <f>CB33</f>
        <v/>
      </c>
      <c r="CL33" s="13">
        <f>IF(CF33&gt;0,RANK(CJ33,CJ31:CJ34),)</f>
        <v/>
      </c>
      <c r="CM33" s="13">
        <f>IF(AND(CF33&gt;0,COUNTIF(CL31:CL34,CL33)&gt;1),SUMIFS($AI$4:$AI$108,$AF$4:$AF$108,$BT33,$M$4:$M$108,1)+SUMIFS($AK$4:$AK$108,$AH$4:$AH$108,$BT33,$M$4:$M$108,1)-SUMIFS($AK$4:$AK$108,$AF$4:$AF$108,$BT33,$M$4:$M$108,1)-SUMIFS($AI$4:$AI$108,$AH$4:$AH$108,$BT33,$M$4:$M$108,1),)</f>
        <v/>
      </c>
      <c r="CN33" s="13">
        <f>IF(AND(CF33&gt;0,COUNTIF(CL31:CL34,CL33)&gt;1),CL33+RANK(CM33,CM31:CM34)-1,CL33)</f>
        <v/>
      </c>
      <c r="CO33" s="13">
        <f>IF(AND(CF33&gt;0,COUNTIF(CN31:CN34,CN33)&gt;1),SUMIFS($AI$4:$AI$108,$AF$4:$AF$108,$BT33,$M$4:$M$108,1)+SUMIFS($AK$4:$AK$108,$AH$4:$AH$108,$BT33,$M$4:$M$108,1),)</f>
        <v/>
      </c>
      <c r="CP33" s="13">
        <f>IF(AND(CF33&gt;0,COUNTIF(CN31:CN34,CN33)&gt;1),CN33+RANK(CO33,CO31:CO34)-1,CN33)</f>
        <v/>
      </c>
      <c r="CQ33" s="13">
        <f>IF(CP33=0,"",CP33)</f>
        <v/>
      </c>
      <c r="CR33" s="13">
        <f>IF(OR(CQ33="",COUNTIF(CQ31:CQ34,CQ33)=1),"",$BZ33)</f>
        <v/>
      </c>
      <c r="CS33" s="13">
        <f>IF(CQ33="","",IF(COUNTIF(CQ31:CQ34,CQ33)=1,CQ33,CQ33+RANK(CR33,CR31:CR34,0)-1))</f>
        <v/>
      </c>
      <c r="CT33" s="13">
        <f>IF(OR(CS33="",COUNTIF(CS31:CS34,CS33)=1),"",$BX33)</f>
        <v/>
      </c>
      <c r="CU33" s="13">
        <f>IF(CQ33="","",IF(COUNTIF(CS31:CS34,CS33)=1,CS33,CS33+RANK(CT33,CT31:CT34,0)-1))</f>
        <v/>
      </c>
      <c r="CV33" s="13">
        <f>IF(OR(CU33="",COUNTIF(CU31:CU34,CU33)=1),"",$BU33)</f>
        <v/>
      </c>
      <c r="CW33" s="13">
        <f>IF(CQ33="","",IF(COUNTIF(CU31:CU34,CU33)=1,CU33,CU33+RANK(CV33,CV31:CV34,0)-1))</f>
        <v/>
      </c>
      <c r="CX33" s="13">
        <f>IF(CF33&gt;0,BM29+RANK(CW33,CW31:CW34,1),)</f>
        <v/>
      </c>
      <c r="CZ33" s="12">
        <f>IF(CC33=2,BT33,)</f>
        <v/>
      </c>
      <c r="DA33" s="13">
        <f>(SUMIF($AF$4:$AF$108,$BT33,$AZ$4:$AZ$108)+SUMIF($AH$4:$AH$108,$BT33,$BA$4:$BA$108))</f>
        <v/>
      </c>
      <c r="DB33" s="13">
        <f>(SUMIF($AF$4:$AF$108,$BT33,$BB$4:$BB$108)+SUMIF($AH$4:$AH$108,$BT33,$BC$4:$BC$108))</f>
        <v/>
      </c>
      <c r="DC33" s="13">
        <f>(SUMIF($AF$4:$AF$108,$BT33,$BD$4:$BD$108)+SUMIF($AH$4:$AH$108,$BT33,$BE$4:$BE$108))</f>
        <v/>
      </c>
      <c r="DD33" s="13">
        <f>IFERROR(DA33*3+DB33*1,0)</f>
        <v/>
      </c>
      <c r="DE33" s="13">
        <f>$CB33</f>
        <v/>
      </c>
      <c r="DF33" s="13">
        <f>IF(CZ33&gt;0,RANK(DD33,DD31:DD34)+CG29,)</f>
        <v/>
      </c>
      <c r="DG33" s="13">
        <f>IF(AND(CZ33&gt;0,COUNTIF(DF31:DF34,DF33)&gt;1),SUMIFS($AI$4:$AI$108,$AF$4:$AF$108,$BT33,$M$4:$M$108,2)+SUMIFS($AK$4:$AK$108,$AH$4:$AH108,$BT33,$M$4:$M$108,2)-SUMIFS($AK$4:$AK$108,$AF$4:$AF$108,$BT33,$M$4:$M$108,2)-SUMIFS($AI$4:$AI$108,$AH$4:$AH$108,$BT33,$M$4:$M$108,2),)</f>
        <v/>
      </c>
      <c r="DH33" s="13">
        <f>IF(AND(CZ33&gt;0,COUNTIF(DF31:DF34,DF33)&gt;1),DF33+RANK(DG33,DG31:DG34)-1,DF33)</f>
        <v/>
      </c>
      <c r="DI33" s="13">
        <f>IF(AND(CZ33&gt;0,COUNTIF(DH31:DH34,DH33)&gt;1),SUMIFS($AI$4:$AI$108,$AF$4:$AF$108,$BT33,$M$4:$M$108,2)+SUMIFS($AK$4:$AK$108,$AH$4:$AH$108,$BT33,$M$4:$M$108,2),)</f>
        <v/>
      </c>
      <c r="DJ33" s="13">
        <f>IF(AND(CZ33&gt;0,COUNTIF(DH31:DH34,DH33)&gt;1),DH33+RANK(DI33,DI31:DI34)-1,DH33)</f>
        <v/>
      </c>
      <c r="DK33" s="75">
        <f>IF(DJ33=0,"",DJ33)</f>
        <v/>
      </c>
      <c r="DL33" s="75">
        <f>IF(OR(DK33="",COUNTIF(DK31:DK34,DK33)=1),"",$BZ33)</f>
        <v/>
      </c>
      <c r="DM33" s="75">
        <f>IF(DK33="","",IF(COUNTIF(DK31:DK34,DK33)=1,DK33,DK33+RANK(DL33,DL31:DL34,0)-1))</f>
        <v/>
      </c>
      <c r="DN33" s="75">
        <f>IF(OR(DM33="",COUNTIF(DM31:DM34,DM33)=1),"",$BX33)</f>
        <v/>
      </c>
      <c r="DO33" s="75">
        <f>IF(DK33="","",IF(COUNTIF(DM31:DM34,DM33)=1,DM33,DM33+RANK(DN33,DN31:DN34,0)-1))</f>
        <v/>
      </c>
      <c r="DP33" s="75">
        <f>IF(OR(DO33="",COUNTIF(DO31:DO34,DO33)=1),"",$BU33)</f>
        <v/>
      </c>
      <c r="DQ33" s="75">
        <f>IF(DK33="","",IF(COUNTIF(DO31:DO34,DO33)=1,DO33,DO33+RANK(DP33,DP31:DP34,0)-1))</f>
        <v/>
      </c>
      <c r="DR33" s="13">
        <f>IF(CZ33&gt;0,CG29+RANK(DQ33,DQ31:DQ34,1),)</f>
        <v/>
      </c>
      <c r="DT33" s="13">
        <f>IF(CC33=3,BT33,)</f>
        <v/>
      </c>
      <c r="DU33" s="13">
        <f>(SUMIF($AF$4:$AF$108,BT33,$BF$4:$BF$108)+SUMIF($AH$4:$AH$108,BT33,$BG$4:$BG$108))</f>
        <v/>
      </c>
      <c r="DV33" s="13">
        <f>(SUMIF($AF$4:$AF$108,BT33,$BH$4:$BH$108)+SUMIF($AH$4:$AH$108,BT33,$BI$4:$BI$108))</f>
        <v/>
      </c>
      <c r="DW33" s="13">
        <f>(SUMIF($AF$4:$AF$108,BT33,$BJ$4:$BJ$108)+SUMIF($AH$4:$AH$108,BT33,$BK$4:$BK$108))</f>
        <v/>
      </c>
      <c r="DX33" s="13">
        <f>IFERROR(DU33*3+DV33*1,0)</f>
        <v/>
      </c>
      <c r="DY33" s="13">
        <f>CB33</f>
        <v/>
      </c>
      <c r="DZ33" s="13">
        <f>IF(DT33&gt;0,RANK(DX33,DX31:DX34)+CG29+DA29,)</f>
        <v/>
      </c>
      <c r="EA33" s="13">
        <f>IF(AND(DT33&gt;0,COUNTIF(DZ31:DZ34,DZ33)&gt;1),SUMIFS($AI$4:$AI$108,$AF$4:$AF$108,$BT33,$M$4:$M$108,3)+SUMIFS($AK$4:$AK$108,$AH$4:$AH$108,$BT33,$M$4:$M$108,3)-SUMIFS($AK$4:$AK$108,$AF$4:$AF$108,$BT33,$M$4:$M$108,3)-SUMIFS($AI$4:$AI$108,$AH$4:$AH$108,$BT33,$M$4:$M$108,3),)</f>
        <v/>
      </c>
      <c r="EB33" s="13">
        <f>IF(AND(DT33&gt;0,COUNTIF(DZ31:DZ34,DZ33)&gt;1),DZ33+RANK(EA33,EA31:EA34)-1,DZ33)</f>
        <v/>
      </c>
      <c r="EC33" s="13">
        <f>IF(AND(DT33&gt;0,COUNTIF(EB31:EB34,EB33)&gt;1),SUMIFS($AI$4:$AI$108,$AF$4:$AF$108,$BT33,$M$4:$M$108,3)+SUMIFS($AK$4:$AK$108,$AH$4:$AH$108,$BT33,$M$4:$M$108,3),)</f>
        <v/>
      </c>
      <c r="ED33" s="13">
        <f>IF(AND(DT33&gt;0,COUNTIF(EB31:EB34,EB33)&gt;1),EB33+RANK(EC33,EC31:EC34)-1,EB33)</f>
        <v/>
      </c>
      <c r="EE33" s="13">
        <f>IF(ED33=0,"",ED33)</f>
        <v/>
      </c>
      <c r="EF33" s="13">
        <f>IF(OR(EE33="",COUNTIF(EE31:EE34,EE33)=1),"",$BZ33)</f>
        <v/>
      </c>
      <c r="EG33" s="13">
        <f>IF(EE33="","",IF(COUNTIF(EE31:EE34,EE33)=1,EE33,EE33+RANK(EF33,EF31:EF34,0)-1))</f>
        <v/>
      </c>
      <c r="EH33" s="13">
        <f>IF(OR(EG33="",COUNTIF(EG31:EG34,EG33)=1),"",$BX33)</f>
        <v/>
      </c>
      <c r="EI33" s="13">
        <f>IF(EE33="","",IF(COUNTIF(EG31:EG34,EG33)=1,EG33,EG33+RANK(EH33,EH31:EH34,0)-1))</f>
        <v/>
      </c>
      <c r="EJ33" s="13">
        <f>IF(OR(EI33="",COUNTIF(EI31:EI34,EI33)=1),"",$BU33)</f>
        <v/>
      </c>
      <c r="EK33" s="13">
        <f>IF(EE33="","",IF(COUNTIF(EI31:EI34,EI33)=1,EI33,EI33+RANK(EJ33,EJ31:EJ34,0)-1))</f>
        <v/>
      </c>
      <c r="EL33" s="13">
        <f>IF(DT33&gt;0,CG29+DA29+RANK(EK33,EK31:EK34,1),)</f>
        <v/>
      </c>
      <c r="EN33" s="13">
        <f>IF(CC33=4,BT33,)</f>
        <v/>
      </c>
      <c r="EO33" s="13">
        <f>(SUMIF($AF$4:$AF$108,$BT33,$BL$4:$BL$108)+SUMIF($AH$4:$AH$108,$BT33,$BM$4:$BM$108))</f>
        <v/>
      </c>
      <c r="EP33" s="13">
        <f>(SUMIF($AF$4:$AF$108,$BT33,$BN$4:$BN$108)+SUMIF($AH$4:$AH$108,$BT33,$BO$4:$BO$108))</f>
        <v/>
      </c>
      <c r="EQ33" s="13">
        <f>(SUMIF($AF$4:$AF$108,$BT33,$BP$4:$BP$108)+SUMIF($AH$4:$AH$108,$BT33,$BQ$4:$BQ$108))</f>
        <v/>
      </c>
      <c r="ER33" s="13">
        <f>IFERROR(EO33*3+EP33*1,0)</f>
        <v/>
      </c>
      <c r="ES33" s="13">
        <f>$CB33</f>
        <v/>
      </c>
      <c r="ET33" s="13">
        <f>IF(EN33&gt;0,RANK(ER33,ER31:ER34)+CG29+DA29+DU29,)</f>
        <v/>
      </c>
      <c r="EU33" s="13">
        <f>IF(AND(EN33&gt;0,COUNTIF(ET31:ET34,ET33)&gt;1),SUMIFS($AI$4:$AI$108,$AF$4:$AF$108,$BT33,$M$4:$M$108,4)+SUMIFS($AK$4:$AK$108,$AH$4:$AH$108,$BT33,$M$4:$M$108,4)-SUMIFS($AK$4:$AK$108,$AF$4:$AF$108,$BT33,$M$4:$M$108,4)-SUMIFS($AI$4:$AI$108,$AH$4:$AH$108,$BT33,$M$4:$M$108,4),)</f>
        <v/>
      </c>
      <c r="EV33" s="13">
        <f>IF(AND(EN33&gt;0,COUNTIF(ET31:ET34,ET33)&gt;1),ET33+RANK(EU33,EU31:EU34)-1,ET33)</f>
        <v/>
      </c>
      <c r="EW33" s="13">
        <f>IF(AND(EN33&gt;0,COUNTIF(EV33:EV36,EV33)&gt;1),SUMIFS($AI$4:$AI$108,$AF$4:$AF$108,$BT33,$M$4:$M$108,4)+SUMIFS($AK$4:$AK$108,$AH$4:$AH$108,$BT33,$M$4:$M$108,4),)</f>
        <v/>
      </c>
      <c r="EX33" s="13">
        <f>IF(AND(EN33&gt;0,COUNTIF(EV31:EV34,EV33)&gt;1),EV33+RANK(EW33,EW31:EW34)-1,EV33)</f>
        <v/>
      </c>
      <c r="EY33" s="13">
        <f>IF(EX33=0,"",EX33)</f>
        <v/>
      </c>
      <c r="EZ33" s="13">
        <f>IF(OR(EY33="",COUNTIF(EY31:EY34,EY33)=1),"",$BZ33)</f>
        <v/>
      </c>
      <c r="FA33" s="13">
        <f>IF(EY33="","",IF(COUNTIF(EY31:EY34,EY33)=1,EY33,EY33+RANK(EZ33,EZ31:EZ34,0)-1))</f>
        <v/>
      </c>
      <c r="FB33" s="13">
        <f>IF(OR(FA33="",COUNTIF(FA31:FA34,FA33)=1),"",$BX33)</f>
        <v/>
      </c>
      <c r="FC33" s="13">
        <f>IF(EY33="","",IF(COUNTIF(FA31:FA34,FA33)=1,FA33,FA33+RANK(FB33,FB31:FB34,0)-1))</f>
        <v/>
      </c>
      <c r="FD33" s="13">
        <f>IF(OR(FC33="",COUNTIF(FC31:FC34,FC33)=1),"",$BU33)</f>
        <v/>
      </c>
      <c r="FE33" s="13">
        <f>IF(EY33="","",IF(COUNTIF(FC31:FC34,FC33)=1,FC33,FC33+RANK(FD33,FD31:FD34,0)-1))</f>
        <v/>
      </c>
      <c r="FF33" s="13">
        <f>IF(EN33&gt;0,CG29+DA29+DU29+RANK(FE33,FE31:FE34,1),)</f>
        <v/>
      </c>
      <c r="FH33" s="13">
        <f>IFERROR(VLOOKUP(FJ33,CF30:CX34,19,FALSE),IFERROR(VLOOKUP(FJ33,CZ30:DR34,19,FALSE),IFERROR(VLOOKUP(FJ33,DT30:EL34,19,FALSE),VLOOKUP(FJ33,EN30:FF34,19,FALSE))))</f>
        <v/>
      </c>
      <c r="FI33" s="13">
        <f>RANK(FH33,FH31:FH34,1)+COUNTIF(FH31:FH33,FH33)-1</f>
        <v/>
      </c>
      <c r="FJ33" s="12">
        <f>BT33</f>
        <v/>
      </c>
      <c r="FZ33" s="79" t="n">
        <v>31</v>
      </c>
      <c r="GA33" s="3">
        <f>GB33&amp;GC33&amp;GD33&amp;GE33&amp;GF33&amp;GG33&amp;GH33&amp;GI33</f>
        <v/>
      </c>
      <c r="GB33" s="3" t="inlineStr">
        <is>
          <t>E</t>
        </is>
      </c>
      <c r="GC33" s="3" t="inlineStr">
        <is>
          <t>G</t>
        </is>
      </c>
      <c r="GD33" s="3" t="inlineStr">
        <is>
          <t>J</t>
        </is>
      </c>
      <c r="GE33" s="3" t="inlineStr">
        <is>
          <t>C</t>
        </is>
      </c>
      <c r="GF33" s="3" t="inlineStr">
        <is>
          <t>H</t>
        </is>
      </c>
      <c r="GG33" s="3" t="inlineStr">
        <is>
          <t>D</t>
        </is>
      </c>
      <c r="GH33" s="3" t="inlineStr">
        <is>
          <t>I</t>
        </is>
      </c>
      <c r="GI33" s="3" t="inlineStr">
        <is>
          <t>K</t>
        </is>
      </c>
      <c r="GJ33" s="9">
        <f>VLOOKUP(GB33,$FM$3:$FN$15,2,FALSE)</f>
        <v/>
      </c>
      <c r="GK33" s="9">
        <f>VLOOKUP(GC33,$FM$3:$FN$15,2,FALSE)</f>
        <v/>
      </c>
      <c r="GL33" s="9">
        <f>VLOOKUP(GD33,$FM$3:$FN$15,2,FALSE)</f>
        <v/>
      </c>
      <c r="GM33" s="9">
        <f>VLOOKUP(GE33,$FM$3:$FN$15,2,FALSE)</f>
        <v/>
      </c>
      <c r="GN33" s="9">
        <f>VLOOKUP(GF33,$FM$3:$FN$15,2,FALSE)</f>
        <v/>
      </c>
      <c r="GO33" s="9">
        <f>VLOOKUP(GG33,$FM$3:$FN$15,2,FALSE)</f>
        <v/>
      </c>
      <c r="GP33" s="9">
        <f>VLOOKUP(GH33,$FM$3:$FN$15,2,FALSE)</f>
        <v/>
      </c>
      <c r="GQ33" s="9">
        <f>VLOOKUP(GI33,$FM$3:$FN$15,2,FALSE)</f>
        <v/>
      </c>
      <c r="GR33" s="9">
        <f>IFERROR(IF(AND(VLOOKUP(GB33,$FX$4:$FX$15,1,FALSE)=GB33,VLOOKUP(GC33,$FX$4:$FX$15,1,FALSE)=GC33,VLOOKUP(GD33,$FX$4:$FX$15,1,FALSE)=GD33,VLOOKUP(GE33,$FX$4:$FX$15,1,FALSE)=GE33,VLOOKUP(GF33,$FX$4:$FX$15,1,FALSE)=GF33,VLOOKUP(GG33,$FX$4:$FX$15,1,FALSE)=GG33,VLOOKUP(GH33,$FX$4:$FX$15,1,FALSE)=GH33,VLOOKUP(GI33,$FX$4:$FX$15,1,FALSE)=GI33),FZ33,""),"")</f>
        <v/>
      </c>
      <c r="GX33" s="79" t="n"/>
    </row>
    <row r="34" ht="14.25" customHeight="1">
      <c r="B34" s="58" t="n">
        <v>31</v>
      </c>
      <c r="C34" s="59" t="n">
        <v>46193</v>
      </c>
      <c r="D34" s="60" t="inlineStr">
        <is>
          <t>Turkiet</t>
        </is>
      </c>
      <c r="E34" s="61" t="inlineStr">
        <is>
          <t>-</t>
        </is>
      </c>
      <c r="F34" s="62" t="inlineStr">
        <is>
          <t>Paraguay</t>
        </is>
      </c>
      <c r="G34" s="63" t="n">
        <v>2</v>
      </c>
      <c r="H34" s="64" t="inlineStr">
        <is>
          <t>-</t>
        </is>
      </c>
      <c r="I34" s="63" t="n">
        <v>1</v>
      </c>
      <c r="J34" s="65">
        <f>IF(OR(ISBLANK(G34),ISBLANK(I34)),"",IF(G34&gt;I34,1,IF(G34&lt;I34,2,"X")))</f>
        <v/>
      </c>
      <c r="K34" s="66">
        <f>IF(OR(G34="",I34="",'[1]Resultat &amp; tabell'!G34="",'[1]Resultat &amp; tabell'!I34=""),0,IF(G34='[1]Resultat &amp; tabell'!G34,2,0)+IF(I34='[1]Resultat &amp; tabell'!I34,2,0)+IF(J34='[1]Resultat &amp; tabell'!J34,2,0))</f>
        <v/>
      </c>
      <c r="L34" s="67" t="n"/>
      <c r="M34" s="29">
        <f>IF(VLOOKUP(D34,$BT$30:$CC$34,10,FALSE)=VLOOKUP(F34,$BT$30:$CC$34,10,FALSE),VLOOKUP(D34,$BT$30:$CC$34,10,FALSE),"-")</f>
        <v/>
      </c>
      <c r="N34" s="30" t="n">
        <v>4</v>
      </c>
      <c r="O34" s="86">
        <f>VLOOKUP(N34,FI31:FJ34,2,FALSE)</f>
        <v/>
      </c>
      <c r="P34" s="87">
        <f>VLOOKUP($O34,$BT$31:$CA$34,2,FALSE)</f>
        <v/>
      </c>
      <c r="Q34" s="87">
        <f>VLOOKUP($O34,$BT$31:$CA$34,3,FALSE)</f>
        <v/>
      </c>
      <c r="R34" s="87">
        <f>VLOOKUP($O34,$BT$31:$CA$34,4,FALSE)</f>
        <v/>
      </c>
      <c r="S34" s="87">
        <f>VLOOKUP($O34,$BT$31:$CA$34,5,FALSE)</f>
        <v/>
      </c>
      <c r="T34" s="87">
        <f>VLOOKUP($O34,$BT$31:$CA$34,6,FALSE)</f>
        <v/>
      </c>
      <c r="U34" s="87">
        <f>VLOOKUP($O34,$BT$31:$CA$34,7,FALSE)</f>
        <v/>
      </c>
      <c r="V34" s="82">
        <f>VLOOKUP($O34,$BT$31:$CA$34,8,FALSE)</f>
        <v/>
      </c>
      <c r="X34" s="9" t="n"/>
      <c r="Y34" s="9" t="n"/>
      <c r="Z34" s="9" t="n"/>
      <c r="AB34" s="9" t="n"/>
      <c r="AC34" s="108" t="n"/>
      <c r="AE34" s="72">
        <f>C34</f>
        <v/>
      </c>
      <c r="AF34" s="72">
        <f>D34</f>
        <v/>
      </c>
      <c r="AG34" s="72">
        <f>E34</f>
        <v/>
      </c>
      <c r="AH34" s="72">
        <f>F34</f>
        <v/>
      </c>
      <c r="AI34" s="63">
        <f>IF(G34="","",G34)</f>
        <v/>
      </c>
      <c r="AJ34" s="58">
        <f>H34</f>
        <v/>
      </c>
      <c r="AK34" s="63">
        <f>IF(I34="","",I34)</f>
        <v/>
      </c>
      <c r="AL34" s="65">
        <f>J34</f>
        <v/>
      </c>
      <c r="AM34" s="73" t="n"/>
      <c r="AN34" s="13">
        <f>IF(AI34&gt;AK34,1,0)</f>
        <v/>
      </c>
      <c r="AO34" s="13">
        <f>IF(AK34&gt;AI34,1,0)</f>
        <v/>
      </c>
      <c r="AP34" s="13">
        <f>IF(AND(AI34=AK34,AI34&lt;&gt;""),1,0)</f>
        <v/>
      </c>
      <c r="AQ34" s="13">
        <f>IF(AND(AI34=AK34,AI34&lt;&gt;""),1,0)</f>
        <v/>
      </c>
      <c r="AR34" s="13">
        <f>IF(AI34&lt;AK34,1,0)</f>
        <v/>
      </c>
      <c r="AS34" s="13">
        <f>IF(AK34&lt;AI34,1,)</f>
        <v/>
      </c>
      <c r="AT34" s="13">
        <f>IF(ISERROR(VLOOKUP(AF34,CF:CF,1,FALSE)),0,1)*IF(ISERROR(VLOOKUP(AH34,CF:CF,1,FALSE)),0,1)*AN34</f>
        <v/>
      </c>
      <c r="AU34" s="13">
        <f>IF(ISERROR(VLOOKUP(AF34,CF:CF,1,FALSE)),0,1)*IF(ISERROR(VLOOKUP(AH34,CF:CF,1,FALSE)),0,1)*AO34</f>
        <v/>
      </c>
      <c r="AV34" s="13">
        <f>IF(ISERROR(VLOOKUP(AF34,CF:CF,1,FALSE)),0,1)*IF(ISERROR(VLOOKUP(AH34,CF:CF,1,FALSE)),0,1)*AP34</f>
        <v/>
      </c>
      <c r="AW34" s="13">
        <f>IF(ISERROR(VLOOKUP(AF34,CF:CF,1,FALSE)),0,1)*IF(ISERROR(VLOOKUP(AH34,CF:CF,1,FALSE)),0,1)*AQ34</f>
        <v/>
      </c>
      <c r="AX34" s="13">
        <f>IF(ISERROR(VLOOKUP(AF34,CF:CF,1,FALSE)),0,1)*IF(ISERROR(VLOOKUP(AH34,CF:CF,1,FALSE)),0,1)*AR34</f>
        <v/>
      </c>
      <c r="AY34" s="13">
        <f>IF(ISERROR(VLOOKUP(AF34,CF:CF,1,FALSE)),0,1)*IF(ISERROR(VLOOKUP(AH34,CF:CF,1,FALSE)),0,1)*AS34</f>
        <v/>
      </c>
      <c r="AZ34" s="13">
        <f>IF(ISERROR(VLOOKUP(AF34,CZ:CZ,1,FALSE)),0,1)*IF(ISERROR(VLOOKUP(AH34,CZ:CZ,1,FALSE)),0,1)*AN34</f>
        <v/>
      </c>
      <c r="BA34" s="13">
        <f>IF(ISERROR(VLOOKUP(AF34,CZ:CZ,1,FALSE)),0,1)*IF(ISERROR(VLOOKUP(AH34,CZ:CZ,1,FALSE)),0,1)*AO34</f>
        <v/>
      </c>
      <c r="BB34" s="13">
        <f>IF(ISERROR(VLOOKUP(AF34,CZ:CZ,1,FALSE)),0,1)*IF(ISERROR(VLOOKUP(AH34,CZ:CZ,1,FALSE)),0,1)*AP34</f>
        <v/>
      </c>
      <c r="BC34" s="13">
        <f>IF(ISERROR(VLOOKUP(AF34,CZ:CZ,1,FALSE)),0,1)*IF(ISERROR(VLOOKUP(AH34,CZ:CZ,1,FALSE)),0,1)*AQ34</f>
        <v/>
      </c>
      <c r="BD34" s="13">
        <f>IF(ISERROR(VLOOKUP(AF34,CZ:CZ,1,FALSE)),0,1)*IF(ISERROR(VLOOKUP(AH34,CZ:CZ,1,FALSE)),0,1)*AR34</f>
        <v/>
      </c>
      <c r="BE34" s="13">
        <f>IF(ISERROR(VLOOKUP(AF34,CZ:CZ,1,FALSE)),0,1)*IF(ISERROR(VLOOKUP(AH34,CZ:CZ,1,FALSE)),0,1)*AS34</f>
        <v/>
      </c>
      <c r="BF34" s="13">
        <f>IF(ISERROR(VLOOKUP(AF34,DT:DT,1,FALSE)),0,1)*IF(ISERROR(VLOOKUP(AH34,DT:DT,1,FALSE)),0,1)*AN34</f>
        <v/>
      </c>
      <c r="BG34" s="13">
        <f>IF(ISERROR(VLOOKUP(AF34,DT:DT,1,FALSE)),0,1)*IF(ISERROR(VLOOKUP(AH34,DT:DT,1,FALSE)),0,1)*AO34</f>
        <v/>
      </c>
      <c r="BH34" s="13">
        <f>IF(ISERROR(VLOOKUP(AF34,DT:DT,1,FALSE)),0,1)*IF(ISERROR(VLOOKUP(AH34,DT:DT,1,FALSE)),0,1)*AP34</f>
        <v/>
      </c>
      <c r="BI34" s="13">
        <f>IF(ISERROR(VLOOKUP(AF34,DT:DT,1,FALSE)),0,1)*IF(ISERROR(VLOOKUP(AH34,DT:DT,1,FALSE)),0,1)*AQ34</f>
        <v/>
      </c>
      <c r="BJ34" s="13">
        <f>IF(ISERROR(VLOOKUP(AF34,DT:DT,1,FALSE)),0,1)*IF(ISERROR(VLOOKUP(AH34,DT:DT,1,FALSE)),0,1)*AR34</f>
        <v/>
      </c>
      <c r="BK34" s="13">
        <f>IF(ISERROR(VLOOKUP(AF34,DT:DT,1,FALSE)),0,1)*IF(ISERROR(VLOOKUP(AH34,DT:DT,1,FALSE)),0,1)*AS34</f>
        <v/>
      </c>
      <c r="BL34" s="13">
        <f>IF(ISERROR(VLOOKUP(AF34,EN:EN,1,FALSE)),0,1)*IF(ISERROR(VLOOKUP(AH34,EN:EN,1,FALSE)),0,1)*AN34</f>
        <v/>
      </c>
      <c r="BM34" s="13">
        <f>IF(ISERROR(VLOOKUP(AF34,EN:EN,1,FALSE)),0,1)*IF(ISERROR(VLOOKUP(AH34,EN:EN,1,FALSE)),0,1)*AO34</f>
        <v/>
      </c>
      <c r="BN34" s="13">
        <f>IF(ISERROR(VLOOKUP(AF34,EN:EN,1,FALSE)),0,1)*IF(ISERROR(VLOOKUP(AH34,EN:EN,1,FALSE)),0,1)*AP34</f>
        <v/>
      </c>
      <c r="BO34" s="13">
        <f>IF(ISERROR(VLOOKUP(AF34,EN:EN,1,FALSE)),0,1)*IF(ISERROR(VLOOKUP(AH34,EN:EN,1,FALSE)),0,1)*AQ34</f>
        <v/>
      </c>
      <c r="BP34" s="13">
        <f>IF(ISERROR(VLOOKUP(AF34,EN:EN,1,FALSE)),0,1)*IF(ISERROR(VLOOKUP(AH34,EN:EN,1,FALSE)),0,1)*AR34</f>
        <v/>
      </c>
      <c r="BQ34" s="13">
        <f>IF(ISERROR(VLOOKUP(AF34,EN:EN,1,FALSE)),0,1)*IF(ISERROR(VLOOKUP(AH34,EN:EN,1,FALSE)),0,1)*AS34</f>
        <v/>
      </c>
      <c r="BT34" s="88" t="inlineStr">
        <is>
          <t>Turkiet</t>
        </is>
      </c>
      <c r="BU34" s="13">
        <f>(SUMIF(AF$4:AF$108,BT34,AN$4:AN$108)+SUMIF(AH$4:AH$108,BT34,AO$4:AO$108))</f>
        <v/>
      </c>
      <c r="BV34" s="13">
        <f>(SUMIF(AF$4:AF$108,BT34,AP$4:AP$108)+SUMIF(AH$4:AH$108,BT34,AQ$4:AQ$108))</f>
        <v/>
      </c>
      <c r="BW34" s="13">
        <f>(SUMIF(AF$4:AF$108,BT34,AR$4:AR$108)+SUMIF(AH$4:AH$108,BT34,AS$4:AS$108))</f>
        <v/>
      </c>
      <c r="BX34" s="13">
        <f>SUMIF($AF$4:$AF$108,BT34,$AI$4:$AI$108)+SUMIF($AH$4:$AH$108,BT34,$AK$4:$AK$108)</f>
        <v/>
      </c>
      <c r="BY34" s="13">
        <f>SUMIF($AF$4:$AF$108,BT34,$AK$4:$AK$108)+SUMIF($AH$4:$AH$108,BT34,$AI$4:$AI$108)</f>
        <v/>
      </c>
      <c r="BZ34" s="13">
        <f>BX34-BY34</f>
        <v/>
      </c>
      <c r="CA34" s="13">
        <f>IFERROR(BU34*3+BV34*1,0)</f>
        <v/>
      </c>
      <c r="CB34" s="89" t="inlineStr">
        <is>
          <t>D</t>
        </is>
      </c>
      <c r="CC34" s="74">
        <f>RANK(CA34,CA31:CA34)</f>
        <v/>
      </c>
      <c r="CD34" s="13">
        <f>SUMPRODUCT((CA31:CA34=CA34)*(BZ31:BZ34&gt;BZ34))</f>
        <v/>
      </c>
      <c r="CF34" s="88">
        <f>IF(CC34=1,BT34,)</f>
        <v/>
      </c>
      <c r="CG34" s="13">
        <f>(SUMIF($AF$4:$AF$108,$BT34,$AT$4:$AT$108)+SUMIF($AH$4:$AH$108,$BT34,$AU$4:$AU$108))</f>
        <v/>
      </c>
      <c r="CH34" s="13">
        <f>(SUMIF($AF$4:$AF$108,$BT34,$AV$4:$AV$108)+SUMIF($AH$4:$AH$108,$BT34,$AW$4:$AW$108))</f>
        <v/>
      </c>
      <c r="CI34" s="13">
        <f>(SUMIF($AF$4:$AF$108,$BT34,$AX$4:$AX$108)+SUMIF($AH$4:$AH$108,$BT34,$AY$4:$AY$108))</f>
        <v/>
      </c>
      <c r="CJ34" s="13">
        <f>IFERROR(CG34*3+CH34*1,0)</f>
        <v/>
      </c>
      <c r="CK34" s="13">
        <f>CB34</f>
        <v/>
      </c>
      <c r="CL34" s="13">
        <f>IF(CF34&gt;0,RANK(CJ34,CJ31:CJ34),)</f>
        <v/>
      </c>
      <c r="CM34" s="13">
        <f>IF(AND(CF34&gt;0,COUNTIF(CL31:CL34,CL34)&gt;1),SUMIFS($AI$4:$AI$108,$AF$4:$AF$108,$BT34,$M$4:$M$108,1)+SUMIFS($AK$4:$AK$108,$AH$4:$AH$108,$BT34,$M$4:$M$108,1)-SUMIFS($AK$4:$AK$108,$AF$4:$AF$108,$BT34,$M$4:$M$108,1)-SUMIFS($AI$4:$AI$108,$AH$4:$AH$108,$BT34,$M$4:$M$108,1),)</f>
        <v/>
      </c>
      <c r="CN34" s="13">
        <f>IF(AND(CF34&gt;0,COUNTIF(CL31:CL34,CL34)&gt;1),CL34+RANK(CM34,CM31:CM34)-1,CL34)</f>
        <v/>
      </c>
      <c r="CO34" s="13">
        <f>IF(AND(CF34&gt;0,COUNTIF(CN31:CN34,CN34)&gt;1),SUMIFS($AI$4:$AI$108,$AF$4:$AF$108,$BT34,$M$4:$M$108,1)+SUMIFS($AK$4:$AK$108,$AH$4:$AH$108,$BT34,$M$4:$M$108,1),)</f>
        <v/>
      </c>
      <c r="CP34" s="13">
        <f>IF(AND(CF34&gt;0,COUNTIF(CN31:CN34,CN34)&gt;1),CN34+RANK(CO34,CO31:CO34)-1,CN34)</f>
        <v/>
      </c>
      <c r="CQ34" s="13">
        <f>IF(CP34=0,"",CP34)</f>
        <v/>
      </c>
      <c r="CR34" s="13">
        <f>IF(OR(CQ34="",COUNTIF(CQ31:CQ34,CQ34)=1),"",$BZ34)</f>
        <v/>
      </c>
      <c r="CS34" s="13">
        <f>IF(CQ34="","",IF(COUNTIF(CQ31:CQ34,CQ34)=1,CQ34,CQ34+RANK(CR34,CR31:CR34,0)-1))</f>
        <v/>
      </c>
      <c r="CT34" s="13">
        <f>IF(OR(CS34="",COUNTIF(CS31:CS34,CS34)=1),"",$BX34)</f>
        <v/>
      </c>
      <c r="CU34" s="13">
        <f>IF(CQ34="","",IF(COUNTIF(CS31:CS34,CS34)=1,CS34,CS34+RANK(CT34,CT31:CT34,0)-1))</f>
        <v/>
      </c>
      <c r="CV34" s="13">
        <f>IF(OR(CU34="",COUNTIF(CU31:CU34,CU34)=1),"",$BU34)</f>
        <v/>
      </c>
      <c r="CW34" s="13">
        <f>IF(CQ34="","",IF(COUNTIF(CU31:CU34,CU34)=1,CU34,CU34+RANK(CV34,CV31:CV34,0)-1))</f>
        <v/>
      </c>
      <c r="CX34" s="13">
        <f>IF(CF34&gt;0,BM29+RANK(CW34,CW31:CW34,1),)</f>
        <v/>
      </c>
      <c r="CZ34" s="88">
        <f>IF(CC34=2,BT34,)</f>
        <v/>
      </c>
      <c r="DA34" s="13">
        <f>(SUMIF($AF$4:$AF$108,$BT34,$AZ$4:$AZ$108)+SUMIF($AH$4:$AH$108,$BT34,$BA$4:$BA$108))</f>
        <v/>
      </c>
      <c r="DB34" s="13">
        <f>(SUMIF($AF$4:$AF$108,$BT34,$BB$4:$BB$108)+SUMIF($AH$4:$AH$108,$BT34,$BC$4:$BC$108))</f>
        <v/>
      </c>
      <c r="DC34" s="13">
        <f>(SUMIF($AF$4:$AF$108,$BT34,$BD$4:$BD$108)+SUMIF($AH$4:$AH$108,$BT34,$BE$4:$BE$108))</f>
        <v/>
      </c>
      <c r="DD34" s="13">
        <f>IFERROR(DA34*3+DB34*1,0)</f>
        <v/>
      </c>
      <c r="DE34" s="13">
        <f>$CB34</f>
        <v/>
      </c>
      <c r="DF34" s="13">
        <f>IF(CZ34&gt;0,RANK(DD34,DD31:DD34)+CG29,)</f>
        <v/>
      </c>
      <c r="DG34" s="13">
        <f>IF(AND(CZ34&gt;0,COUNTIF(DF31:DF34,DF34)&gt;1),SUMIFS($AI$4:$AI$108,$AF$4:$AF$108,$BT34,$M$4:$M$108,2)+SUMIFS($AK$4:$AK$108,$AH$4:$AH108,$BT34,$M$4:$M$108,2)-SUMIFS($AK$4:$AK$108,$AF$4:$AF$108,$BT34,$M$4:$M$108,2)-SUMIFS($AI$4:$AI$108,$AH$4:$AH$108,$BT34,$M$4:$M$108,2),)</f>
        <v/>
      </c>
      <c r="DH34" s="13">
        <f>IF(AND(CZ34&gt;0,COUNTIF(DF31:DF34,DF34)&gt;1),DF34+RANK(DG34,DG31:DG34)-1,DF34)</f>
        <v/>
      </c>
      <c r="DI34" s="13">
        <f>IF(AND(CZ34&gt;0,COUNTIF(DH31:DH34,DH34)&gt;1),SUMIFS($AI$4:$AI$108,$AF$4:$AF$108,$BT34,$M$4:$M$108,2)+SUMIFS($AK$4:$AK$108,$AH$4:$AH$108,$BT34,$M$4:$M$108,2),)</f>
        <v/>
      </c>
      <c r="DJ34" s="13">
        <f>IF(AND(CZ34&gt;0,COUNTIF(DH31:DH34,DH34)&gt;1),DH34+RANK(DI34,DI31:DI34)-1,DH34)</f>
        <v/>
      </c>
      <c r="DK34" s="75">
        <f>IF(DJ34=0,"",DJ34)</f>
        <v/>
      </c>
      <c r="DL34" s="75">
        <f>IF(OR(DK34="",COUNTIF(DK31:DK34,DK34)=1),"",$BZ34)</f>
        <v/>
      </c>
      <c r="DM34" s="75">
        <f>IF(DK34="","",IF(COUNTIF(DK31:DK34,DK34)=1,DK34,DK34+RANK(DL34,DL31:DL34,0)-1))</f>
        <v/>
      </c>
      <c r="DN34" s="75">
        <f>IF(OR(DM34="",COUNTIF(DM31:DM34,DM34)=1),"",$BX34)</f>
        <v/>
      </c>
      <c r="DO34" s="75">
        <f>IF(DK34="","",IF(COUNTIF(DM31:DM34,DM34)=1,DM34,DM34+RANK(DN34,DN31:DN34,0)-1))</f>
        <v/>
      </c>
      <c r="DP34" s="75">
        <f>IF(OR(DO34="",COUNTIF(DO31:DO34,DO34)=1),"",$BU34)</f>
        <v/>
      </c>
      <c r="DQ34" s="75">
        <f>IF(DK34="","",IF(COUNTIF(DO31:DO34,DO34)=1,DO34,DO34+RANK(DP34,DP31:DP34,0)-1))</f>
        <v/>
      </c>
      <c r="DR34" s="13">
        <f>IF(CZ34&gt;0,CG29+RANK(DQ34,DQ31:DQ34,1),)</f>
        <v/>
      </c>
      <c r="DT34" s="89">
        <f>IF(CC34=3,BT34,)</f>
        <v/>
      </c>
      <c r="DU34" s="13">
        <f>(SUMIF($AF$4:$AF$108,BT34,$BF$4:$BF$108)+SUMIF($AH$4:$AH$108,BT34,$BG$4:$BG$108))</f>
        <v/>
      </c>
      <c r="DV34" s="13">
        <f>(SUMIF($AF$4:$AF$108,BT34,$BH$4:$BH$108)+SUMIF($AH$4:$AH$108,BT34,$BI$4:$BI$108))</f>
        <v/>
      </c>
      <c r="DW34" s="13">
        <f>(SUMIF($AF$4:$AF$108,BT34,$BJ$4:$BJ$108)+SUMIF($AH$4:$AH$108,BT34,$BK$4:$BK$108))</f>
        <v/>
      </c>
      <c r="DX34" s="13">
        <f>IFERROR(DU34*3+DV34*1,0)</f>
        <v/>
      </c>
      <c r="DY34" s="13">
        <f>CB34</f>
        <v/>
      </c>
      <c r="DZ34" s="13">
        <f>IF(DT34&gt;0,RANK(DX34,DX31:DX34)+CG29+DA29,)</f>
        <v/>
      </c>
      <c r="EA34" s="13">
        <f>IF(AND(DT34&gt;0,COUNTIF(DZ31:DZ34,DZ34)&gt;1),SUMIFS($AI$4:$AI$108,$AF$4:$AF$108,$BT34,$M$4:$M$108,3)+SUMIFS($AK$4:$AK$108,$AH$4:$AH$108,$BT34,$M$4:$M$108,3)-SUMIFS($AK$4:$AK$108,$AF$4:$AF$108,$BT34,$M$4:$M$108,3)-SUMIFS($AI$4:$AI$108,$AH$4:$AH$108,$BT34,$M$4:$M$108,3),)</f>
        <v/>
      </c>
      <c r="EB34" s="13">
        <f>IF(AND(DT34&gt;0,COUNTIF(DZ31:DZ34,DZ34)&gt;1),DZ34+RANK(EA34,EA31:EA34)-1,DZ34)</f>
        <v/>
      </c>
      <c r="EC34" s="13">
        <f>IF(AND(DT34&gt;0,COUNTIF(EB31:EB34,EB34)&gt;1),SUMIFS($AI$4:$AI$108,$AF$4:$AF$108,$BT34,$M$4:$M$108,3)+SUMIFS($AK$4:$AK$108,$AH$4:$AH$108,$BT34,$M$4:$M$108,3),)</f>
        <v/>
      </c>
      <c r="ED34" s="13">
        <f>IF(AND(DT34&gt;0,COUNTIF(EB31:EB34,EB34)&gt;1),EB34+RANK(EC34,EC31:EC34)-1,EB34)</f>
        <v/>
      </c>
      <c r="EE34" s="13">
        <f>IF(ED34=0,"",ED34)</f>
        <v/>
      </c>
      <c r="EF34" s="13">
        <f>IF(OR(EE34="",COUNTIF(EE31:EE34,EE34)=1),"",$BZ34)</f>
        <v/>
      </c>
      <c r="EG34" s="13">
        <f>IF(EE34="","",IF(COUNTIF(EE31:EE34,EE34)=1,EE34,EE34+RANK(EF34,EF31:EF34,0)-1))</f>
        <v/>
      </c>
      <c r="EH34" s="13">
        <f>IF(OR(EG34="",COUNTIF(EG31:EG34,EG34)=1),"",$BX34)</f>
        <v/>
      </c>
      <c r="EI34" s="13">
        <f>IF(EE34="","",IF(COUNTIF(EG31:EG34,EG34)=1,EG34,EG34+RANK(EH34,EH31:EH34,0)-1))</f>
        <v/>
      </c>
      <c r="EJ34" s="13">
        <f>IF(OR(EI34="",COUNTIF(EI31:EI34,EI34)=1),"",$BU34)</f>
        <v/>
      </c>
      <c r="EK34" s="13">
        <f>IF(EE34="","",IF(COUNTIF(EI31:EI34,EI34)=1,EI34,EI34+RANK(EJ34,EJ31:EJ34,0)-1))</f>
        <v/>
      </c>
      <c r="EL34" s="13">
        <f>IF(DT34&gt;0,CG29+DA29+RANK(EK34,EK31:EK34,1),)</f>
        <v/>
      </c>
      <c r="EN34" s="13">
        <f>IF(CC34=4,BT34,)</f>
        <v/>
      </c>
      <c r="EO34" s="13">
        <f>(SUMIF($AF$4:$AF$108,$BT34,$BL$4:$BL$108)+SUMIF($AH$4:$AH$108,$BT34,$BM$4:$BM$108))</f>
        <v/>
      </c>
      <c r="EP34" s="13">
        <f>(SUMIF($AF$4:$AF$108,$BT34,$BN$4:$BN$108)+SUMIF($AH$4:$AH$108,$BT34,$BO$4:$BO$108))</f>
        <v/>
      </c>
      <c r="EQ34" s="13">
        <f>(SUMIF($AF$4:$AF$108,$BT34,$BP$4:$BP$108)+SUMIF($AH$4:$AH$108,$BT34,$BQ$4:$BQ$108))</f>
        <v/>
      </c>
      <c r="ER34" s="13">
        <f>IFERROR(EO34*3+EP34*1,0)</f>
        <v/>
      </c>
      <c r="ES34" s="13">
        <f>$CB34</f>
        <v/>
      </c>
      <c r="ET34" s="13">
        <f>IF(EN34&gt;0,RANK(ER34,ER31:ER34)+CG29+DA29+DU29,)</f>
        <v/>
      </c>
      <c r="EU34" s="13">
        <f>IF(AND(EN34&gt;0,COUNTIF(ET31:ET34,ET34)&gt;1),SUMIFS($AI$4:$AI$108,$AF$4:$AF$108,$BT34,$M$4:$M$108,4)+SUMIFS($AK$4:$AK$108,$AH$4:$AH$108,$BT34,$M$4:$M$108,4)-SUMIFS($AK$4:$AK$108,$AF$4:$AF$108,$BT34,$M$4:$M$108,4)-SUMIFS($AI$4:$AI$108,$AH$4:$AH$108,$BT34,$M$4:$M$108,4),)</f>
        <v/>
      </c>
      <c r="EV34" s="13">
        <f>IF(AND(EN34&gt;0,COUNTIF(ET31:ET34,ET34)&gt;1),ET34+RANK(EU34,EU31:EU34)-1,ET34)</f>
        <v/>
      </c>
      <c r="EW34" s="13">
        <f>IF(AND(EN34&gt;0,COUNTIF(EV34:EV37,EV34)&gt;1),SUMIFS($AI$4:$AI$108,$AF$4:$AF$108,$BT34,$M$4:$M$108,4)+SUMIFS($AK$4:$AK$108,$AH$4:$AH$108,$BT34,$M$4:$M$108,4),)</f>
        <v/>
      </c>
      <c r="EX34" s="13">
        <f>IF(AND(EN34&gt;0,COUNTIF(EV31:EV34,EV34)&gt;1),EV34+RANK(EW34,EW31:EW34)-1,EV34)</f>
        <v/>
      </c>
      <c r="EY34" s="13">
        <f>IF(EX34=0,"",EX34)</f>
        <v/>
      </c>
      <c r="EZ34" s="13">
        <f>IF(OR(EY34="",COUNTIF(EY31:EY34,EY34)=1),"",$BZ34)</f>
        <v/>
      </c>
      <c r="FA34" s="13">
        <f>IF(EY34="","",IF(COUNTIF(EY31:EY34,EY34)=1,EY34,EY34+RANK(EZ34,EZ31:EZ34,0)-1))</f>
        <v/>
      </c>
      <c r="FB34" s="13">
        <f>IF(OR(FA34="",COUNTIF(FA31:FA34,FA34)=1),"",$BX34)</f>
        <v/>
      </c>
      <c r="FC34" s="13">
        <f>IF(EY34="","",IF(COUNTIF(FA31:FA34,FA34)=1,FA34,FA34+RANK(FB34,FB31:FB34,0)-1))</f>
        <v/>
      </c>
      <c r="FD34" s="13">
        <f>IF(OR(FC34="",COUNTIF(FC31:FC34,FC34)=1),"",$BU34)</f>
        <v/>
      </c>
      <c r="FE34" s="13">
        <f>IF(EY34="","",IF(COUNTIF(FC31:FC34,FC34)=1,FC34,FC34+RANK(FD34,FD31:FD34,0)-1))</f>
        <v/>
      </c>
      <c r="FF34" s="13">
        <f>IF(EN34&gt;0,CG29+DA29+DU29+RANK(FE34,FE31:FE34,1),)</f>
        <v/>
      </c>
      <c r="FH34" s="13">
        <f>IFERROR(VLOOKUP(FJ34,CF30:CX34,19,FALSE),IFERROR(VLOOKUP(FJ34,CZ30:DR34,19,FALSE),IFERROR(VLOOKUP(FJ34,DT30:EL34,19,FALSE),VLOOKUP(FJ34,EN30:FF34,19,FALSE))))</f>
        <v/>
      </c>
      <c r="FI34" s="13">
        <f>RANK(FH34,FH31:FH34,1)+COUNTIF(FH31:FH34,FH34)-1</f>
        <v/>
      </c>
      <c r="FJ34" s="12">
        <f>BT34</f>
        <v/>
      </c>
      <c r="FZ34" s="79" t="n">
        <v>32</v>
      </c>
      <c r="GA34" s="3">
        <f>GB34&amp;GC34&amp;GD34&amp;GE34&amp;GF34&amp;GG34&amp;GH34&amp;GI34</f>
        <v/>
      </c>
      <c r="GB34" s="3" t="inlineStr">
        <is>
          <t>C</t>
        </is>
      </c>
      <c r="GC34" s="3" t="inlineStr">
        <is>
          <t>J</t>
        </is>
      </c>
      <c r="GD34" s="3" t="inlineStr">
        <is>
          <t>E</t>
        </is>
      </c>
      <c r="GE34" s="3" t="inlineStr">
        <is>
          <t>D</t>
        </is>
      </c>
      <c r="GF34" s="3" t="inlineStr">
        <is>
          <t>I</t>
        </is>
      </c>
      <c r="GG34" s="3" t="inlineStr">
        <is>
          <t>F</t>
        </is>
      </c>
      <c r="GH34" s="3" t="inlineStr">
        <is>
          <t>L</t>
        </is>
      </c>
      <c r="GI34" s="3" t="inlineStr">
        <is>
          <t>K</t>
        </is>
      </c>
      <c r="GJ34" s="9">
        <f>VLOOKUP(GB34,$FM$3:$FN$15,2,FALSE)</f>
        <v/>
      </c>
      <c r="GK34" s="9">
        <f>VLOOKUP(GC34,$FM$3:$FN$15,2,FALSE)</f>
        <v/>
      </c>
      <c r="GL34" s="9">
        <f>VLOOKUP(GD34,$FM$3:$FN$15,2,FALSE)</f>
        <v/>
      </c>
      <c r="GM34" s="9">
        <f>VLOOKUP(GE34,$FM$3:$FN$15,2,FALSE)</f>
        <v/>
      </c>
      <c r="GN34" s="9">
        <f>VLOOKUP(GF34,$FM$3:$FN$15,2,FALSE)</f>
        <v/>
      </c>
      <c r="GO34" s="9">
        <f>VLOOKUP(GG34,$FM$3:$FN$15,2,FALSE)</f>
        <v/>
      </c>
      <c r="GP34" s="9">
        <f>VLOOKUP(GH34,$FM$3:$FN$15,2,FALSE)</f>
        <v/>
      </c>
      <c r="GQ34" s="9">
        <f>VLOOKUP(GI34,$FM$3:$FN$15,2,FALSE)</f>
        <v/>
      </c>
      <c r="GR34" s="9">
        <f>IFERROR(IF(AND(VLOOKUP(GB34,$FX$4:$FX$15,1,FALSE)=GB34,VLOOKUP(GC34,$FX$4:$FX$15,1,FALSE)=GC34,VLOOKUP(GD34,$FX$4:$FX$15,1,FALSE)=GD34,VLOOKUP(GE34,$FX$4:$FX$15,1,FALSE)=GE34,VLOOKUP(GF34,$FX$4:$FX$15,1,FALSE)=GF34,VLOOKUP(GG34,$FX$4:$FX$15,1,FALSE)=GG34,VLOOKUP(GH34,$FX$4:$FX$15,1,FALSE)=GH34,VLOOKUP(GI34,$FX$4:$FX$15,1,FALSE)=GI34),FZ34,""),"")</f>
        <v/>
      </c>
      <c r="GX34" s="79" t="n"/>
    </row>
    <row r="35" ht="14.25" customHeight="1">
      <c r="B35" s="58" t="n">
        <v>59</v>
      </c>
      <c r="C35" s="59" t="n">
        <v>46199</v>
      </c>
      <c r="D35" s="60" t="inlineStr">
        <is>
          <t>Turkiet</t>
        </is>
      </c>
      <c r="E35" s="61" t="inlineStr">
        <is>
          <t>-</t>
        </is>
      </c>
      <c r="F35" s="62" t="inlineStr">
        <is>
          <t>USA</t>
        </is>
      </c>
      <c r="G35" s="63" t="n">
        <v>1</v>
      </c>
      <c r="H35" s="64" t="inlineStr">
        <is>
          <t>-</t>
        </is>
      </c>
      <c r="I35" s="63" t="n">
        <v>2</v>
      </c>
      <c r="J35" s="65">
        <f>IF(OR(ISBLANK(G35),ISBLANK(I35)),"",IF(G35&gt;I35,1,IF(G35&lt;I35,2,"X")))</f>
        <v/>
      </c>
      <c r="K35" s="66">
        <f>IF(OR(G35="",I35="",'[1]Resultat &amp; tabell'!G35="",'[1]Resultat &amp; tabell'!I35=""),0,IF(G35='[1]Resultat &amp; tabell'!G35,2,0)+IF(I35='[1]Resultat &amp; tabell'!I35,2,0)+IF(J35='[1]Resultat &amp; tabell'!J35,2,0))</f>
        <v/>
      </c>
      <c r="L35" s="67" t="n"/>
      <c r="M35" s="29">
        <f>IF(VLOOKUP(D35,$BT$30:$CC$34,10,FALSE)=VLOOKUP(F35,$BT$30:$CC$34,10,FALSE),VLOOKUP(D35,$BT$30:$CC$34,10,FALSE),"-")</f>
        <v/>
      </c>
      <c r="O35" s="91">
        <f>IF(COUNTBLANK(G31:G36)+COUNTBLANK(I31:I36)=0,"Resultat OK","Fyll i resultat")</f>
        <v/>
      </c>
      <c r="P35" s="92" t="n"/>
      <c r="Q35" s="92" t="n"/>
      <c r="R35" s="92" t="n"/>
      <c r="S35" s="92" t="n"/>
      <c r="T35" s="92" t="n"/>
      <c r="U35" s="92" t="n"/>
      <c r="V35" s="3" t="n"/>
      <c r="X35" s="9" t="n"/>
      <c r="Y35" s="9" t="n"/>
      <c r="Z35" s="9" t="n"/>
      <c r="AA35" s="9" t="n"/>
      <c r="AB35" s="9" t="n"/>
      <c r="AC35" s="108" t="n"/>
      <c r="AE35" s="72">
        <f>C35</f>
        <v/>
      </c>
      <c r="AF35" s="72">
        <f>D35</f>
        <v/>
      </c>
      <c r="AG35" s="72">
        <f>E35</f>
        <v/>
      </c>
      <c r="AH35" s="72">
        <f>F35</f>
        <v/>
      </c>
      <c r="AI35" s="63">
        <f>IF(G35="","",G35)</f>
        <v/>
      </c>
      <c r="AJ35" s="58">
        <f>H35</f>
        <v/>
      </c>
      <c r="AK35" s="63">
        <f>IF(I35="","",I35)</f>
        <v/>
      </c>
      <c r="AL35" s="65">
        <f>J35</f>
        <v/>
      </c>
      <c r="AM35" s="73" t="n"/>
      <c r="AN35" s="13">
        <f>IF(AI35&gt;AK35,1,0)</f>
        <v/>
      </c>
      <c r="AO35" s="13">
        <f>IF(AK35&gt;AI35,1,0)</f>
        <v/>
      </c>
      <c r="AP35" s="13">
        <f>IF(AND(AI35=AK35,AI35&lt;&gt;""),1,0)</f>
        <v/>
      </c>
      <c r="AQ35" s="13">
        <f>IF(AND(AI35=AK35,AI35&lt;&gt;""),1,0)</f>
        <v/>
      </c>
      <c r="AR35" s="13">
        <f>IF(AI35&lt;AK35,1,0)</f>
        <v/>
      </c>
      <c r="AS35" s="13">
        <f>IF(AK35&lt;AI35,1,)</f>
        <v/>
      </c>
      <c r="AT35" s="13">
        <f>IF(ISERROR(VLOOKUP(AF35,CF:CF,1,FALSE)),0,1)*IF(ISERROR(VLOOKUP(AH35,CF:CF,1,FALSE)),0,1)*AN35</f>
        <v/>
      </c>
      <c r="AU35" s="13">
        <f>IF(ISERROR(VLOOKUP(AF35,CF:CF,1,FALSE)),0,1)*IF(ISERROR(VLOOKUP(AH35,CF:CF,1,FALSE)),0,1)*AO35</f>
        <v/>
      </c>
      <c r="AV35" s="13">
        <f>IF(ISERROR(VLOOKUP(AF35,CF:CF,1,FALSE)),0,1)*IF(ISERROR(VLOOKUP(AH35,CF:CF,1,FALSE)),0,1)*AP35</f>
        <v/>
      </c>
      <c r="AW35" s="13">
        <f>IF(ISERROR(VLOOKUP(AF35,CF:CF,1,FALSE)),0,1)*IF(ISERROR(VLOOKUP(AH35,CF:CF,1,FALSE)),0,1)*AQ35</f>
        <v/>
      </c>
      <c r="AX35" s="13">
        <f>IF(ISERROR(VLOOKUP(AF35,CF:CF,1,FALSE)),0,1)*IF(ISERROR(VLOOKUP(AH35,CF:CF,1,FALSE)),0,1)*AR35</f>
        <v/>
      </c>
      <c r="AY35" s="13">
        <f>IF(ISERROR(VLOOKUP(AF35,CF:CF,1,FALSE)),0,1)*IF(ISERROR(VLOOKUP(AH35,CF:CF,1,FALSE)),0,1)*AS35</f>
        <v/>
      </c>
      <c r="AZ35" s="13">
        <f>IF(ISERROR(VLOOKUP(AF35,CZ:CZ,1,FALSE)),0,1)*IF(ISERROR(VLOOKUP(AH35,CZ:CZ,1,FALSE)),0,1)*AN35</f>
        <v/>
      </c>
      <c r="BA35" s="13">
        <f>IF(ISERROR(VLOOKUP(AF35,CZ:CZ,1,FALSE)),0,1)*IF(ISERROR(VLOOKUP(AH35,CZ:CZ,1,FALSE)),0,1)*AO35</f>
        <v/>
      </c>
      <c r="BB35" s="13">
        <f>IF(ISERROR(VLOOKUP(AF35,CZ:CZ,1,FALSE)),0,1)*IF(ISERROR(VLOOKUP(AH35,CZ:CZ,1,FALSE)),0,1)*AP35</f>
        <v/>
      </c>
      <c r="BC35" s="13">
        <f>IF(ISERROR(VLOOKUP(AF35,CZ:CZ,1,FALSE)),0,1)*IF(ISERROR(VLOOKUP(AH35,CZ:CZ,1,FALSE)),0,1)*AQ35</f>
        <v/>
      </c>
      <c r="BD35" s="13">
        <f>IF(ISERROR(VLOOKUP(AF35,CZ:CZ,1,FALSE)),0,1)*IF(ISERROR(VLOOKUP(AH35,CZ:CZ,1,FALSE)),0,1)*AR35</f>
        <v/>
      </c>
      <c r="BE35" s="13">
        <f>IF(ISERROR(VLOOKUP(AF35,CZ:CZ,1,FALSE)),0,1)*IF(ISERROR(VLOOKUP(AH35,CZ:CZ,1,FALSE)),0,1)*AS35</f>
        <v/>
      </c>
      <c r="BF35" s="13">
        <f>IF(ISERROR(VLOOKUP(AF35,DT:DT,1,FALSE)),0,1)*IF(ISERROR(VLOOKUP(AH35,DT:DT,1,FALSE)),0,1)*AN35</f>
        <v/>
      </c>
      <c r="BG35" s="13">
        <f>IF(ISERROR(VLOOKUP(AF35,DT:DT,1,FALSE)),0,1)*IF(ISERROR(VLOOKUP(AH35,DT:DT,1,FALSE)),0,1)*AO35</f>
        <v/>
      </c>
      <c r="BH35" s="13">
        <f>IF(ISERROR(VLOOKUP(AF35,DT:DT,1,FALSE)),0,1)*IF(ISERROR(VLOOKUP(AH35,DT:DT,1,FALSE)),0,1)*AP35</f>
        <v/>
      </c>
      <c r="BI35" s="13">
        <f>IF(ISERROR(VLOOKUP(AF35,DT:DT,1,FALSE)),0,1)*IF(ISERROR(VLOOKUP(AH35,DT:DT,1,FALSE)),0,1)*AQ35</f>
        <v/>
      </c>
      <c r="BJ35" s="13">
        <f>IF(ISERROR(VLOOKUP(AF35,DT:DT,1,FALSE)),0,1)*IF(ISERROR(VLOOKUP(AH35,DT:DT,1,FALSE)),0,1)*AR35</f>
        <v/>
      </c>
      <c r="BK35" s="13">
        <f>IF(ISERROR(VLOOKUP(AF35,DT:DT,1,FALSE)),0,1)*IF(ISERROR(VLOOKUP(AH35,DT:DT,1,FALSE)),0,1)*AS35</f>
        <v/>
      </c>
      <c r="BL35" s="13">
        <f>IF(ISERROR(VLOOKUP(AF35,EN:EN,1,FALSE)),0,1)*IF(ISERROR(VLOOKUP(AH35,EN:EN,1,FALSE)),0,1)*AN35</f>
        <v/>
      </c>
      <c r="BM35" s="13">
        <f>IF(ISERROR(VLOOKUP(AF35,EN:EN,1,FALSE)),0,1)*IF(ISERROR(VLOOKUP(AH35,EN:EN,1,FALSE)),0,1)*AO35</f>
        <v/>
      </c>
      <c r="BN35" s="13">
        <f>IF(ISERROR(VLOOKUP(AF35,EN:EN,1,FALSE)),0,1)*IF(ISERROR(VLOOKUP(AH35,EN:EN,1,FALSE)),0,1)*AP35</f>
        <v/>
      </c>
      <c r="BO35" s="13">
        <f>IF(ISERROR(VLOOKUP(AF35,EN:EN,1,FALSE)),0,1)*IF(ISERROR(VLOOKUP(AH35,EN:EN,1,FALSE)),0,1)*AQ35</f>
        <v/>
      </c>
      <c r="BP35" s="13">
        <f>IF(ISERROR(VLOOKUP(AF35,EN:EN,1,FALSE)),0,1)*IF(ISERROR(VLOOKUP(AH35,EN:EN,1,FALSE)),0,1)*AR35</f>
        <v/>
      </c>
      <c r="BQ35" s="13">
        <f>IF(ISERROR(VLOOKUP(AF35,EN:EN,1,FALSE)),0,1)*IF(ISERROR(VLOOKUP(AH35,EN:EN,1,FALSE)),0,1)*AS35</f>
        <v/>
      </c>
      <c r="FZ35" s="79" t="n">
        <v>33</v>
      </c>
      <c r="GA35" s="3">
        <f>GB35&amp;GC35&amp;GD35&amp;GE35&amp;GF35&amp;GG35&amp;GH35&amp;GI35</f>
        <v/>
      </c>
      <c r="GB35" s="3" t="inlineStr">
        <is>
          <t>C</t>
        </is>
      </c>
      <c r="GC35" s="3" t="inlineStr">
        <is>
          <t>J</t>
        </is>
      </c>
      <c r="GD35" s="3" t="inlineStr">
        <is>
          <t>E</t>
        </is>
      </c>
      <c r="GE35" s="3" t="inlineStr">
        <is>
          <t>D</t>
        </is>
      </c>
      <c r="GF35" s="3" t="inlineStr">
        <is>
          <t>H</t>
        </is>
      </c>
      <c r="GG35" s="3" t="inlineStr">
        <is>
          <t>F</t>
        </is>
      </c>
      <c r="GH35" s="3" t="inlineStr">
        <is>
          <t>L</t>
        </is>
      </c>
      <c r="GI35" s="3" t="inlineStr">
        <is>
          <t>K</t>
        </is>
      </c>
      <c r="GJ35" s="9">
        <f>VLOOKUP(GB35,$FM$3:$FN$15,2,FALSE)</f>
        <v/>
      </c>
      <c r="GK35" s="9">
        <f>VLOOKUP(GC35,$FM$3:$FN$15,2,FALSE)</f>
        <v/>
      </c>
      <c r="GL35" s="9">
        <f>VLOOKUP(GD35,$FM$3:$FN$15,2,FALSE)</f>
        <v/>
      </c>
      <c r="GM35" s="9">
        <f>VLOOKUP(GE35,$FM$3:$FN$15,2,FALSE)</f>
        <v/>
      </c>
      <c r="GN35" s="9">
        <f>VLOOKUP(GF35,$FM$3:$FN$15,2,FALSE)</f>
        <v/>
      </c>
      <c r="GO35" s="9">
        <f>VLOOKUP(GG35,$FM$3:$FN$15,2,FALSE)</f>
        <v/>
      </c>
      <c r="GP35" s="9">
        <f>VLOOKUP(GH35,$FM$3:$FN$15,2,FALSE)</f>
        <v/>
      </c>
      <c r="GQ35" s="9">
        <f>VLOOKUP(GI35,$FM$3:$FN$15,2,FALSE)</f>
        <v/>
      </c>
      <c r="GR35" s="9">
        <f>IFERROR(IF(AND(VLOOKUP(GB35,$FX$4:$FX$15,1,FALSE)=GB35,VLOOKUP(GC35,$FX$4:$FX$15,1,FALSE)=GC35,VLOOKUP(GD35,$FX$4:$FX$15,1,FALSE)=GD35,VLOOKUP(GE35,$FX$4:$FX$15,1,FALSE)=GE35,VLOOKUP(GF35,$FX$4:$FX$15,1,FALSE)=GF35,VLOOKUP(GG35,$FX$4:$FX$15,1,FALSE)=GG35,VLOOKUP(GH35,$FX$4:$FX$15,1,FALSE)=GH35,VLOOKUP(GI35,$FX$4:$FX$15,1,FALSE)=GI35),FZ35,""),"")</f>
        <v/>
      </c>
      <c r="GX35" s="79" t="n"/>
    </row>
    <row r="36" ht="14.25" customHeight="1">
      <c r="B36" s="58" t="n">
        <v>60</v>
      </c>
      <c r="C36" s="59" t="n">
        <v>46199</v>
      </c>
      <c r="D36" s="60" t="inlineStr">
        <is>
          <t>Paraguay</t>
        </is>
      </c>
      <c r="E36" s="61" t="inlineStr">
        <is>
          <t>-</t>
        </is>
      </c>
      <c r="F36" s="62" t="inlineStr">
        <is>
          <t>Australien</t>
        </is>
      </c>
      <c r="G36" s="63" t="n">
        <v>2</v>
      </c>
      <c r="H36" s="64" t="inlineStr">
        <is>
          <t>-</t>
        </is>
      </c>
      <c r="I36" s="63" t="n">
        <v>0</v>
      </c>
      <c r="J36" s="65">
        <f>IF(OR(ISBLANK(G36),ISBLANK(I36)),"",IF(G36&gt;I36,1,IF(G36&lt;I36,2,"X")))</f>
        <v/>
      </c>
      <c r="K36" s="66">
        <f>IF(OR(G36="",I36="",'[1]Resultat &amp; tabell'!G36="",'[1]Resultat &amp; tabell'!I36=""),0,IF(G36='[1]Resultat &amp; tabell'!G36,2,0)+IF(I36='[1]Resultat &amp; tabell'!I36,2,0)+IF(J36='[1]Resultat &amp; tabell'!J36,2,0))</f>
        <v/>
      </c>
      <c r="L36" s="67" t="n"/>
      <c r="M36" s="29">
        <f>IF(VLOOKUP(D36,$BT$30:$CC$34,10,FALSE)=VLOOKUP(F36,$BT$30:$CC$34,10,FALSE),VLOOKUP(D36,$BT$30:$CC$34,10,FALSE),"-")</f>
        <v/>
      </c>
      <c r="V36" s="3" t="n"/>
      <c r="X36" s="9" t="n"/>
      <c r="Y36" s="9" t="n"/>
      <c r="Z36" s="9" t="n"/>
      <c r="AA36" s="9" t="n"/>
      <c r="AE36" s="72">
        <f>C36</f>
        <v/>
      </c>
      <c r="AF36" s="72">
        <f>D36</f>
        <v/>
      </c>
      <c r="AG36" s="72">
        <f>E36</f>
        <v/>
      </c>
      <c r="AH36" s="72">
        <f>F36</f>
        <v/>
      </c>
      <c r="AI36" s="63">
        <f>IF(G36="","",G36)</f>
        <v/>
      </c>
      <c r="AJ36" s="58">
        <f>H36</f>
        <v/>
      </c>
      <c r="AK36" s="63">
        <f>IF(I36="","",I36)</f>
        <v/>
      </c>
      <c r="AL36" s="65">
        <f>J36</f>
        <v/>
      </c>
      <c r="AM36" s="73" t="n"/>
      <c r="AN36" s="13">
        <f>IF(AI36&gt;AK36,1,0)</f>
        <v/>
      </c>
      <c r="AO36" s="13">
        <f>IF(AK36&gt;AI36,1,0)</f>
        <v/>
      </c>
      <c r="AP36" s="13">
        <f>IF(AND(AI36=AK36,AI36&lt;&gt;""),1,0)</f>
        <v/>
      </c>
      <c r="AQ36" s="13">
        <f>IF(AND(AI36=AK36,AI36&lt;&gt;""),1,0)</f>
        <v/>
      </c>
      <c r="AR36" s="13">
        <f>IF(AI36&lt;AK36,1,0)</f>
        <v/>
      </c>
      <c r="AS36" s="13">
        <f>IF(AK36&lt;AI36,1,)</f>
        <v/>
      </c>
      <c r="AT36" s="13">
        <f>IF(ISERROR(VLOOKUP(AF36,CF:CF,1,FALSE)),0,1)*IF(ISERROR(VLOOKUP(AH36,CF:CF,1,FALSE)),0,1)*AN36</f>
        <v/>
      </c>
      <c r="AU36" s="13">
        <f>IF(ISERROR(VLOOKUP(AF36,CF:CF,1,FALSE)),0,1)*IF(ISERROR(VLOOKUP(AH36,CF:CF,1,FALSE)),0,1)*AO36</f>
        <v/>
      </c>
      <c r="AV36" s="13">
        <f>IF(ISERROR(VLOOKUP(AF36,CF:CF,1,FALSE)),0,1)*IF(ISERROR(VLOOKUP(AH36,CF:CF,1,FALSE)),0,1)*AP36</f>
        <v/>
      </c>
      <c r="AW36" s="13">
        <f>IF(ISERROR(VLOOKUP(AF36,CF:CF,1,FALSE)),0,1)*IF(ISERROR(VLOOKUP(AH36,CF:CF,1,FALSE)),0,1)*AQ36</f>
        <v/>
      </c>
      <c r="AX36" s="13">
        <f>IF(ISERROR(VLOOKUP(AF36,CF:CF,1,FALSE)),0,1)*IF(ISERROR(VLOOKUP(AH36,CF:CF,1,FALSE)),0,1)*AR36</f>
        <v/>
      </c>
      <c r="AY36" s="13">
        <f>IF(ISERROR(VLOOKUP(AF36,CF:CF,1,FALSE)),0,1)*IF(ISERROR(VLOOKUP(AH36,CF:CF,1,FALSE)),0,1)*AS36</f>
        <v/>
      </c>
      <c r="AZ36" s="13">
        <f>IF(ISERROR(VLOOKUP(AF36,CZ:CZ,1,FALSE)),0,1)*IF(ISERROR(VLOOKUP(AH36,CZ:CZ,1,FALSE)),0,1)*AN36</f>
        <v/>
      </c>
      <c r="BA36" s="13">
        <f>IF(ISERROR(VLOOKUP(AF36,CZ:CZ,1,FALSE)),0,1)*IF(ISERROR(VLOOKUP(AH36,CZ:CZ,1,FALSE)),0,1)*AO36</f>
        <v/>
      </c>
      <c r="BB36" s="13">
        <f>IF(ISERROR(VLOOKUP(AF36,CZ:CZ,1,FALSE)),0,1)*IF(ISERROR(VLOOKUP(AH36,CZ:CZ,1,FALSE)),0,1)*AP36</f>
        <v/>
      </c>
      <c r="BC36" s="13">
        <f>IF(ISERROR(VLOOKUP(AF36,CZ:CZ,1,FALSE)),0,1)*IF(ISERROR(VLOOKUP(AH36,CZ:CZ,1,FALSE)),0,1)*AQ36</f>
        <v/>
      </c>
      <c r="BD36" s="13">
        <f>IF(ISERROR(VLOOKUP(AF36,CZ:CZ,1,FALSE)),0,1)*IF(ISERROR(VLOOKUP(AH36,CZ:CZ,1,FALSE)),0,1)*AR36</f>
        <v/>
      </c>
      <c r="BE36" s="13">
        <f>IF(ISERROR(VLOOKUP(AF36,CZ:CZ,1,FALSE)),0,1)*IF(ISERROR(VLOOKUP(AH36,CZ:CZ,1,FALSE)),0,1)*AS36</f>
        <v/>
      </c>
      <c r="BF36" s="13">
        <f>IF(ISERROR(VLOOKUP(AF36,DT:DT,1,FALSE)),0,1)*IF(ISERROR(VLOOKUP(AH36,DT:DT,1,FALSE)),0,1)*AN36</f>
        <v/>
      </c>
      <c r="BG36" s="13">
        <f>IF(ISERROR(VLOOKUP(AF36,DT:DT,1,FALSE)),0,1)*IF(ISERROR(VLOOKUP(AH36,DT:DT,1,FALSE)),0,1)*AO36</f>
        <v/>
      </c>
      <c r="BH36" s="13">
        <f>IF(ISERROR(VLOOKUP(AF36,DT:DT,1,FALSE)),0,1)*IF(ISERROR(VLOOKUP(AH36,DT:DT,1,FALSE)),0,1)*AP36</f>
        <v/>
      </c>
      <c r="BI36" s="13">
        <f>IF(ISERROR(VLOOKUP(AF36,DT:DT,1,FALSE)),0,1)*IF(ISERROR(VLOOKUP(AH36,DT:DT,1,FALSE)),0,1)*AQ36</f>
        <v/>
      </c>
      <c r="BJ36" s="13">
        <f>IF(ISERROR(VLOOKUP(AF36,DT:DT,1,FALSE)),0,1)*IF(ISERROR(VLOOKUP(AH36,DT:DT,1,FALSE)),0,1)*AR36</f>
        <v/>
      </c>
      <c r="BK36" s="13">
        <f>IF(ISERROR(VLOOKUP(AF36,DT:DT,1,FALSE)),0,1)*IF(ISERROR(VLOOKUP(AH36,DT:DT,1,FALSE)),0,1)*AS36</f>
        <v/>
      </c>
      <c r="BL36" s="13">
        <f>IF(ISERROR(VLOOKUP(AF36,EN:EN,1,FALSE)),0,1)*IF(ISERROR(VLOOKUP(AH36,EN:EN,1,FALSE)),0,1)*AN36</f>
        <v/>
      </c>
      <c r="BM36" s="13">
        <f>IF(ISERROR(VLOOKUP(AF36,EN:EN,1,FALSE)),0,1)*IF(ISERROR(VLOOKUP(AH36,EN:EN,1,FALSE)),0,1)*AO36</f>
        <v/>
      </c>
      <c r="BN36" s="13">
        <f>IF(ISERROR(VLOOKUP(AF36,EN:EN,1,FALSE)),0,1)*IF(ISERROR(VLOOKUP(AH36,EN:EN,1,FALSE)),0,1)*AP36</f>
        <v/>
      </c>
      <c r="BO36" s="13">
        <f>IF(ISERROR(VLOOKUP(AF36,EN:EN,1,FALSE)),0,1)*IF(ISERROR(VLOOKUP(AH36,EN:EN,1,FALSE)),0,1)*AQ36</f>
        <v/>
      </c>
      <c r="BP36" s="13">
        <f>IF(ISERROR(VLOOKUP(AF36,EN:EN,1,FALSE)),0,1)*IF(ISERROR(VLOOKUP(AH36,EN:EN,1,FALSE)),0,1)*AR36</f>
        <v/>
      </c>
      <c r="BQ36" s="13">
        <f>IF(ISERROR(VLOOKUP(AF36,EN:EN,1,FALSE)),0,1)*IF(ISERROR(VLOOKUP(AH36,EN:EN,1,FALSE)),0,1)*AS36</f>
        <v/>
      </c>
      <c r="FZ36" s="79" t="n">
        <v>34</v>
      </c>
      <c r="GA36" s="3">
        <f>GB36&amp;GC36&amp;GD36&amp;GE36&amp;GF36&amp;GG36&amp;GH36&amp;GI36</f>
        <v/>
      </c>
      <c r="GB36" s="3" t="inlineStr">
        <is>
          <t>C</t>
        </is>
      </c>
      <c r="GC36" s="3" t="inlineStr">
        <is>
          <t>E</t>
        </is>
      </c>
      <c r="GD36" s="3" t="inlineStr">
        <is>
          <t>I</t>
        </is>
      </c>
      <c r="GE36" s="3" t="inlineStr">
        <is>
          <t>D</t>
        </is>
      </c>
      <c r="GF36" s="3" t="inlineStr">
        <is>
          <t>H</t>
        </is>
      </c>
      <c r="GG36" s="3" t="inlineStr">
        <is>
          <t>F</t>
        </is>
      </c>
      <c r="GH36" s="3" t="inlineStr">
        <is>
          <t>L</t>
        </is>
      </c>
      <c r="GI36" s="3" t="inlineStr">
        <is>
          <t>K</t>
        </is>
      </c>
      <c r="GJ36" s="9">
        <f>VLOOKUP(GB36,$FM$3:$FN$15,2,FALSE)</f>
        <v/>
      </c>
      <c r="GK36" s="9">
        <f>VLOOKUP(GC36,$FM$3:$FN$15,2,FALSE)</f>
        <v/>
      </c>
      <c r="GL36" s="9">
        <f>VLOOKUP(GD36,$FM$3:$FN$15,2,FALSE)</f>
        <v/>
      </c>
      <c r="GM36" s="9">
        <f>VLOOKUP(GE36,$FM$3:$FN$15,2,FALSE)</f>
        <v/>
      </c>
      <c r="GN36" s="9">
        <f>VLOOKUP(GF36,$FM$3:$FN$15,2,FALSE)</f>
        <v/>
      </c>
      <c r="GO36" s="9">
        <f>VLOOKUP(GG36,$FM$3:$FN$15,2,FALSE)</f>
        <v/>
      </c>
      <c r="GP36" s="9">
        <f>VLOOKUP(GH36,$FM$3:$FN$15,2,FALSE)</f>
        <v/>
      </c>
      <c r="GQ36" s="9">
        <f>VLOOKUP(GI36,$FM$3:$FN$15,2,FALSE)</f>
        <v/>
      </c>
      <c r="GR36" s="9">
        <f>IFERROR(IF(AND(VLOOKUP(GB36,$FX$4:$FX$15,1,FALSE)=GB36,VLOOKUP(GC36,$FX$4:$FX$15,1,FALSE)=GC36,VLOOKUP(GD36,$FX$4:$FX$15,1,FALSE)=GD36,VLOOKUP(GE36,$FX$4:$FX$15,1,FALSE)=GE36,VLOOKUP(GF36,$FX$4:$FX$15,1,FALSE)=GF36,VLOOKUP(GG36,$FX$4:$FX$15,1,FALSE)=GG36,VLOOKUP(GH36,$FX$4:$FX$15,1,FALSE)=GH36,VLOOKUP(GI36,$FX$4:$FX$15,1,FALSE)=GI36),FZ36,""),"")</f>
        <v/>
      </c>
      <c r="GX36" s="79" t="n"/>
    </row>
    <row r="37" ht="14.25" customHeight="1">
      <c r="C37" s="94" t="n"/>
      <c r="J37" s="23" t="n"/>
      <c r="K37" s="16" t="n"/>
      <c r="L37" s="49" t="n"/>
      <c r="V37" s="3" t="n"/>
      <c r="X37" s="9" t="n"/>
      <c r="Y37" s="9" t="n"/>
      <c r="Z37" s="9" t="n"/>
      <c r="AA37" s="9" t="n"/>
      <c r="AB37" s="9" t="n"/>
      <c r="AC37" s="108" t="n"/>
      <c r="AE37" s="130" t="n"/>
      <c r="AF37" s="131" t="n"/>
      <c r="AG37" s="125" t="n"/>
      <c r="AI37" s="3">
        <f>IF(B37="","",B37)</f>
        <v/>
      </c>
      <c r="AL37" s="23" t="n"/>
      <c r="AM37" s="16" t="n"/>
      <c r="FZ37" s="79" t="n">
        <v>35</v>
      </c>
      <c r="GA37" s="3">
        <f>GB37&amp;GC37&amp;GD37&amp;GE37&amp;GF37&amp;GG37&amp;GH37&amp;GI37</f>
        <v/>
      </c>
      <c r="GB37" s="3" t="inlineStr">
        <is>
          <t>C</t>
        </is>
      </c>
      <c r="GC37" s="3" t="inlineStr">
        <is>
          <t>J</t>
        </is>
      </c>
      <c r="GD37" s="3" t="inlineStr">
        <is>
          <t>E</t>
        </is>
      </c>
      <c r="GE37" s="3" t="inlineStr">
        <is>
          <t>D</t>
        </is>
      </c>
      <c r="GF37" s="3" t="inlineStr">
        <is>
          <t>H</t>
        </is>
      </c>
      <c r="GG37" s="3" t="inlineStr">
        <is>
          <t>F</t>
        </is>
      </c>
      <c r="GH37" s="3" t="inlineStr">
        <is>
          <t>L</t>
        </is>
      </c>
      <c r="GI37" s="3" t="inlineStr">
        <is>
          <t>I</t>
        </is>
      </c>
      <c r="GJ37" s="9">
        <f>VLOOKUP(GB37,$FM$3:$FN$15,2,FALSE)</f>
        <v/>
      </c>
      <c r="GK37" s="9">
        <f>VLOOKUP(GC37,$FM$3:$FN$15,2,FALSE)</f>
        <v/>
      </c>
      <c r="GL37" s="9">
        <f>VLOOKUP(GD37,$FM$3:$FN$15,2,FALSE)</f>
        <v/>
      </c>
      <c r="GM37" s="9">
        <f>VLOOKUP(GE37,$FM$3:$FN$15,2,FALSE)</f>
        <v/>
      </c>
      <c r="GN37" s="9">
        <f>VLOOKUP(GF37,$FM$3:$FN$15,2,FALSE)</f>
        <v/>
      </c>
      <c r="GO37" s="9">
        <f>VLOOKUP(GG37,$FM$3:$FN$15,2,FALSE)</f>
        <v/>
      </c>
      <c r="GP37" s="9">
        <f>VLOOKUP(GH37,$FM$3:$FN$15,2,FALSE)</f>
        <v/>
      </c>
      <c r="GQ37" s="9">
        <f>VLOOKUP(GI37,$FM$3:$FN$15,2,FALSE)</f>
        <v/>
      </c>
      <c r="GR37" s="9">
        <f>IFERROR(IF(AND(VLOOKUP(GB37,$FX$4:$FX$15,1,FALSE)=GB37,VLOOKUP(GC37,$FX$4:$FX$15,1,FALSE)=GC37,VLOOKUP(GD37,$FX$4:$FX$15,1,FALSE)=GD37,VLOOKUP(GE37,$FX$4:$FX$15,1,FALSE)=GE37,VLOOKUP(GF37,$FX$4:$FX$15,1,FALSE)=GF37,VLOOKUP(GG37,$FX$4:$FX$15,1,FALSE)=GG37,VLOOKUP(GH37,$FX$4:$FX$15,1,FALSE)=GH37,VLOOKUP(GI37,$FX$4:$FX$15,1,FALSE)=GI37),FZ37,""),"")</f>
        <v/>
      </c>
      <c r="GX37" s="79" t="n"/>
    </row>
    <row r="38" ht="14.25" customFormat="1" customHeight="1" s="104">
      <c r="B38" s="19" t="inlineStr">
        <is>
          <t>Grupp E</t>
        </is>
      </c>
      <c r="C38" s="97" t="n"/>
      <c r="D38" s="98" t="n"/>
      <c r="E38" s="33" t="n"/>
      <c r="F38" s="98" t="n"/>
      <c r="G38" s="25" t="n"/>
      <c r="H38" s="25" t="n"/>
      <c r="I38" s="25" t="n"/>
      <c r="J38" s="23" t="n"/>
      <c r="K38" s="16" t="n"/>
      <c r="L38" s="49" t="n"/>
      <c r="M38" s="103" t="n"/>
      <c r="N38" s="103" t="n"/>
      <c r="O38" s="19" t="inlineStr">
        <is>
          <t>Grupp E</t>
        </is>
      </c>
      <c r="V38" s="33" t="n"/>
      <c r="X38" s="33" t="n"/>
      <c r="Y38" s="33" t="n"/>
      <c r="Z38" s="33" t="n"/>
      <c r="AA38" s="33" t="n"/>
      <c r="AB38" s="132" t="n"/>
      <c r="AC38" s="133" t="n"/>
      <c r="AE38" s="32" t="inlineStr">
        <is>
          <t>Grupp E</t>
        </is>
      </c>
      <c r="AF38" s="9" t="n"/>
      <c r="AG38" s="9" t="n"/>
      <c r="AH38" s="9" t="n"/>
      <c r="AI38" s="33" t="n"/>
      <c r="AJ38" s="33" t="n"/>
      <c r="AK38" s="33" t="n"/>
      <c r="AL38" s="23" t="n"/>
      <c r="AM38" s="16" t="n"/>
      <c r="AN38" s="13" t="n"/>
      <c r="AO38" s="13" t="n"/>
      <c r="AP38" s="13" t="n"/>
      <c r="AQ38" s="13" t="n"/>
      <c r="AR38" s="13" t="n"/>
      <c r="AS38" s="13" t="n"/>
      <c r="AT38" s="13" t="n"/>
      <c r="AU38" s="13" t="n"/>
      <c r="AV38" s="13" t="n"/>
      <c r="AW38" s="13" t="n"/>
      <c r="AX38" s="13" t="n"/>
      <c r="AY38" s="13" t="n"/>
      <c r="AZ38" s="13" t="n"/>
      <c r="BA38" s="13" t="n"/>
      <c r="BB38" s="13" t="n"/>
      <c r="BC38" s="13" t="n"/>
      <c r="BD38" s="13" t="n"/>
      <c r="BE38" s="13" t="n"/>
      <c r="BF38" s="13" t="n"/>
      <c r="BG38" s="13" t="n"/>
      <c r="BH38" s="13" t="n"/>
      <c r="BI38" s="13" t="n"/>
      <c r="BJ38" s="13" t="n"/>
      <c r="BK38" s="13" t="n"/>
      <c r="BL38" s="13" t="n"/>
      <c r="BM38" s="13" t="n"/>
      <c r="BN38" s="13" t="n"/>
      <c r="BO38" s="13" t="n"/>
      <c r="BP38" s="13" t="n"/>
      <c r="BQ38" s="13" t="n"/>
      <c r="BR38" s="12" t="n"/>
      <c r="BS38" s="12" t="n"/>
      <c r="BT38" s="39" t="inlineStr">
        <is>
          <t>Rank 0</t>
        </is>
      </c>
      <c r="BU38" s="34" t="n"/>
      <c r="BV38" s="34" t="n"/>
      <c r="BW38" s="34" t="n"/>
      <c r="BX38" s="34" t="n"/>
      <c r="BY38" s="34" t="n"/>
      <c r="BZ38" s="34" t="n"/>
      <c r="CA38" s="34" t="n"/>
      <c r="CB38" s="39" t="n"/>
      <c r="CC38" s="34" t="n"/>
      <c r="CD38" s="34" t="n"/>
      <c r="CE38" s="12" t="n"/>
      <c r="CF38" s="40" t="inlineStr">
        <is>
          <t>Rank 1</t>
        </is>
      </c>
      <c r="CG38" s="35">
        <f>COUNTIF(CC40:CC43,1)</f>
        <v/>
      </c>
      <c r="CH38" s="35" t="n"/>
      <c r="CI38" s="35" t="n"/>
      <c r="CJ38" s="35" t="n"/>
      <c r="CK38" s="35" t="n"/>
      <c r="CL38" s="35" t="n"/>
      <c r="CM38" s="35" t="n"/>
      <c r="CN38" s="35" t="n"/>
      <c r="CO38" s="35" t="n"/>
      <c r="CP38" s="35" t="n"/>
      <c r="CQ38" s="13" t="n"/>
      <c r="CR38" s="13" t="n"/>
      <c r="CS38" s="13" t="n"/>
      <c r="CT38" s="13" t="n"/>
      <c r="CU38" s="13" t="n"/>
      <c r="CV38" s="13" t="n"/>
      <c r="CW38" s="13" t="n"/>
      <c r="CX38" s="13" t="n"/>
      <c r="CY38" s="12" t="n"/>
      <c r="CZ38" s="41" t="inlineStr">
        <is>
          <t>Rank 2</t>
        </is>
      </c>
      <c r="DA38" s="36">
        <f>COUNTIF(CC40:CC43,2)</f>
        <v/>
      </c>
      <c r="DB38" s="36" t="n"/>
      <c r="DC38" s="36" t="n"/>
      <c r="DD38" s="36" t="n"/>
      <c r="DE38" s="36" t="n"/>
      <c r="DF38" s="36" t="n"/>
      <c r="DG38" s="36" t="n"/>
      <c r="DH38" s="36" t="n"/>
      <c r="DI38" s="36" t="n"/>
      <c r="DJ38" s="41" t="n"/>
      <c r="DK38" s="12" t="n"/>
      <c r="DL38" s="12" t="n"/>
      <c r="DM38" s="12" t="n"/>
      <c r="DN38" s="12" t="n"/>
      <c r="DO38" s="12" t="n"/>
      <c r="DP38" s="12" t="n"/>
      <c r="DQ38" s="12" t="n"/>
      <c r="DR38" s="12" t="n"/>
      <c r="DS38" s="12" t="n"/>
      <c r="DT38" s="37" t="inlineStr">
        <is>
          <t>Rank 3</t>
        </is>
      </c>
      <c r="DU38" s="37">
        <f>COUNTIF(CC40:CC43,3)</f>
        <v/>
      </c>
      <c r="DV38" s="37" t="n"/>
      <c r="DW38" s="37" t="n"/>
      <c r="DX38" s="37" t="n"/>
      <c r="DY38" s="37" t="n"/>
      <c r="DZ38" s="37" t="n"/>
      <c r="EA38" s="37" t="n"/>
      <c r="EB38" s="37" t="n"/>
      <c r="EC38" s="37" t="n"/>
      <c r="ED38" s="37" t="n"/>
      <c r="EE38" s="13" t="n"/>
      <c r="EF38" s="13" t="n"/>
      <c r="EG38" s="13" t="n"/>
      <c r="EH38" s="13" t="n"/>
      <c r="EI38" s="13" t="n"/>
      <c r="EJ38" s="13" t="n"/>
      <c r="EK38" s="13" t="n"/>
      <c r="EL38" s="13" t="n"/>
      <c r="EM38" s="12" t="n"/>
      <c r="EN38" s="38" t="inlineStr">
        <is>
          <t>Rank 4</t>
        </is>
      </c>
      <c r="EO38" s="38">
        <f>COUNTIF(CC40:CC43,4)</f>
        <v/>
      </c>
      <c r="EP38" s="38" t="n"/>
      <c r="EQ38" s="38" t="n"/>
      <c r="ER38" s="38" t="n"/>
      <c r="ES38" s="38" t="n"/>
      <c r="ET38" s="38" t="n"/>
      <c r="EU38" s="38" t="n"/>
      <c r="EV38" s="38" t="n"/>
      <c r="EW38" s="38" t="n"/>
      <c r="EX38" s="38" t="n"/>
      <c r="EY38" s="13" t="n"/>
      <c r="EZ38" s="13" t="n"/>
      <c r="FA38" s="13" t="n"/>
      <c r="FB38" s="13" t="n"/>
      <c r="FC38" s="13" t="n"/>
      <c r="FD38" s="13" t="n"/>
      <c r="FE38" s="13" t="n"/>
      <c r="FF38" s="13" t="n"/>
      <c r="FG38" s="12" t="n"/>
      <c r="FH38" s="13" t="n"/>
      <c r="FI38" s="13" t="n"/>
      <c r="FJ38" s="12" t="n"/>
      <c r="FZ38" s="79" t="n">
        <v>36</v>
      </c>
      <c r="GA38" s="3">
        <f>GB38&amp;GC38&amp;GD38&amp;GE38&amp;GF38&amp;GG38&amp;GH38&amp;GI38</f>
        <v/>
      </c>
      <c r="GB38" s="3" t="inlineStr">
        <is>
          <t>C</t>
        </is>
      </c>
      <c r="GC38" s="3" t="inlineStr">
        <is>
          <t>J</t>
        </is>
      </c>
      <c r="GD38" s="3" t="inlineStr">
        <is>
          <t>E</t>
        </is>
      </c>
      <c r="GE38" s="3" t="inlineStr">
        <is>
          <t>D</t>
        </is>
      </c>
      <c r="GF38" s="3" t="inlineStr">
        <is>
          <t>H</t>
        </is>
      </c>
      <c r="GG38" s="3" t="inlineStr">
        <is>
          <t>F</t>
        </is>
      </c>
      <c r="GH38" s="3" t="inlineStr">
        <is>
          <t>I</t>
        </is>
      </c>
      <c r="GI38" s="3" t="inlineStr">
        <is>
          <t>K</t>
        </is>
      </c>
      <c r="GJ38" s="9">
        <f>VLOOKUP(GB38,$FM$3:$FN$15,2,FALSE)</f>
        <v/>
      </c>
      <c r="GK38" s="9">
        <f>VLOOKUP(GC38,$FM$3:$FN$15,2,FALSE)</f>
        <v/>
      </c>
      <c r="GL38" s="9">
        <f>VLOOKUP(GD38,$FM$3:$FN$15,2,FALSE)</f>
        <v/>
      </c>
      <c r="GM38" s="9">
        <f>VLOOKUP(GE38,$FM$3:$FN$15,2,FALSE)</f>
        <v/>
      </c>
      <c r="GN38" s="9">
        <f>VLOOKUP(GF38,$FM$3:$FN$15,2,FALSE)</f>
        <v/>
      </c>
      <c r="GO38" s="9">
        <f>VLOOKUP(GG38,$FM$3:$FN$15,2,FALSE)</f>
        <v/>
      </c>
      <c r="GP38" s="9">
        <f>VLOOKUP(GH38,$FM$3:$FN$15,2,FALSE)</f>
        <v/>
      </c>
      <c r="GQ38" s="9">
        <f>VLOOKUP(GI38,$FM$3:$FN$15,2,FALSE)</f>
        <v/>
      </c>
      <c r="GR38" s="9">
        <f>IFERROR(IF(AND(VLOOKUP(GB38,$FX$4:$FX$15,1,FALSE)=GB38,VLOOKUP(GC38,$FX$4:$FX$15,1,FALSE)=GC38,VLOOKUP(GD38,$FX$4:$FX$15,1,FALSE)=GD38,VLOOKUP(GE38,$FX$4:$FX$15,1,FALSE)=GE38,VLOOKUP(GF38,$FX$4:$FX$15,1,FALSE)=GF38,VLOOKUP(GG38,$FX$4:$FX$15,1,FALSE)=GG38,VLOOKUP(GH38,$FX$4:$FX$15,1,FALSE)=GH38,VLOOKUP(GI38,$FX$4:$FX$15,1,FALSE)=GI38),FZ38,""),"")</f>
        <v/>
      </c>
      <c r="GX38" s="23" t="n"/>
    </row>
    <row r="39" ht="14.25" customFormat="1" customHeight="1" s="104">
      <c r="B39" s="117" t="inlineStr">
        <is>
          <t>Match</t>
        </is>
      </c>
      <c r="C39" s="107" t="inlineStr">
        <is>
          <t>Datum</t>
        </is>
      </c>
      <c r="D39" s="210" t="inlineStr">
        <is>
          <t>Match</t>
        </is>
      </c>
      <c r="E39" s="211" t="n"/>
      <c r="F39" s="212" t="n"/>
      <c r="G39" s="184" t="inlineStr">
        <is>
          <t>Resultat</t>
        </is>
      </c>
      <c r="H39" s="217" t="n"/>
      <c r="I39" s="217" t="n"/>
      <c r="J39" s="47" t="inlineStr">
        <is>
          <t>1X2</t>
        </is>
      </c>
      <c r="K39" s="48" t="inlineStr">
        <is>
          <t>Poäng</t>
        </is>
      </c>
      <c r="L39" s="49" t="n"/>
      <c r="M39" s="103" t="n"/>
      <c r="N39" s="103" t="n"/>
      <c r="O39" s="51" t="inlineStr">
        <is>
          <t>Lag</t>
        </is>
      </c>
      <c r="P39" s="186" t="inlineStr">
        <is>
          <t>V</t>
        </is>
      </c>
      <c r="Q39" s="186" t="inlineStr">
        <is>
          <t>O</t>
        </is>
      </c>
      <c r="R39" s="186" t="inlineStr">
        <is>
          <t>F</t>
        </is>
      </c>
      <c r="S39" s="186" t="inlineStr">
        <is>
          <t>GM</t>
        </is>
      </c>
      <c r="T39" s="186" t="inlineStr">
        <is>
          <t>IM</t>
        </is>
      </c>
      <c r="U39" s="186" t="inlineStr">
        <is>
          <t>+/-</t>
        </is>
      </c>
      <c r="V39" s="187" t="inlineStr">
        <is>
          <t>P</t>
        </is>
      </c>
      <c r="X39" s="19" t="n"/>
      <c r="Y39" s="33" t="n"/>
      <c r="Z39" s="33" t="n"/>
      <c r="AA39" s="33" t="n"/>
      <c r="AB39" s="132" t="n"/>
      <c r="AC39" s="133" t="n"/>
      <c r="AE39" s="51" t="inlineStr">
        <is>
          <t>Datum</t>
        </is>
      </c>
      <c r="AF39" s="193" t="inlineStr">
        <is>
          <t>Match</t>
        </is>
      </c>
      <c r="AG39" s="211" t="n"/>
      <c r="AH39" s="211" t="n"/>
      <c r="AI39" s="182" t="inlineStr">
        <is>
          <t>Resultat</t>
        </is>
      </c>
      <c r="AJ39" s="211" t="n"/>
      <c r="AK39" s="211" t="n"/>
      <c r="AL39" s="47" t="inlineStr">
        <is>
          <t>Tecken</t>
        </is>
      </c>
      <c r="AM39" s="16" t="n"/>
      <c r="AN39" s="34" t="inlineStr">
        <is>
          <t>V1</t>
        </is>
      </c>
      <c r="AO39" s="34" t="inlineStr">
        <is>
          <t>V2</t>
        </is>
      </c>
      <c r="AP39" s="34" t="inlineStr">
        <is>
          <t>O1</t>
        </is>
      </c>
      <c r="AQ39" s="34" t="inlineStr">
        <is>
          <t>O2</t>
        </is>
      </c>
      <c r="AR39" s="34" t="inlineStr">
        <is>
          <t>F1</t>
        </is>
      </c>
      <c r="AS39" s="34" t="inlineStr">
        <is>
          <t>F2</t>
        </is>
      </c>
      <c r="AT39" s="35" t="inlineStr">
        <is>
          <t>V1</t>
        </is>
      </c>
      <c r="AU39" s="35" t="inlineStr">
        <is>
          <t>V2</t>
        </is>
      </c>
      <c r="AV39" s="35" t="inlineStr">
        <is>
          <t>O1</t>
        </is>
      </c>
      <c r="AW39" s="35" t="inlineStr">
        <is>
          <t>O2</t>
        </is>
      </c>
      <c r="AX39" s="35" t="inlineStr">
        <is>
          <t>F1</t>
        </is>
      </c>
      <c r="AY39" s="35" t="inlineStr">
        <is>
          <t>F2</t>
        </is>
      </c>
      <c r="AZ39" s="36" t="inlineStr">
        <is>
          <t>V1</t>
        </is>
      </c>
      <c r="BA39" s="36" t="inlineStr">
        <is>
          <t>V2</t>
        </is>
      </c>
      <c r="BB39" s="36" t="inlineStr">
        <is>
          <t>O1</t>
        </is>
      </c>
      <c r="BC39" s="36" t="inlineStr">
        <is>
          <t>O2</t>
        </is>
      </c>
      <c r="BD39" s="36" t="inlineStr">
        <is>
          <t>F1</t>
        </is>
      </c>
      <c r="BE39" s="36" t="inlineStr">
        <is>
          <t>F2</t>
        </is>
      </c>
      <c r="BF39" s="37" t="inlineStr">
        <is>
          <t>V1</t>
        </is>
      </c>
      <c r="BG39" s="37" t="inlineStr">
        <is>
          <t>V2</t>
        </is>
      </c>
      <c r="BH39" s="37" t="inlineStr">
        <is>
          <t>O1</t>
        </is>
      </c>
      <c r="BI39" s="37" t="inlineStr">
        <is>
          <t>O2</t>
        </is>
      </c>
      <c r="BJ39" s="37" t="inlineStr">
        <is>
          <t>F1</t>
        </is>
      </c>
      <c r="BK39" s="37" t="inlineStr">
        <is>
          <t>F2</t>
        </is>
      </c>
      <c r="BL39" s="38" t="inlineStr">
        <is>
          <t>V1</t>
        </is>
      </c>
      <c r="BM39" s="38" t="inlineStr">
        <is>
          <t>V2</t>
        </is>
      </c>
      <c r="BN39" s="38" t="inlineStr">
        <is>
          <t>O1</t>
        </is>
      </c>
      <c r="BO39" s="38" t="inlineStr">
        <is>
          <t>O2</t>
        </is>
      </c>
      <c r="BP39" s="38" t="inlineStr">
        <is>
          <t>F1</t>
        </is>
      </c>
      <c r="BQ39" s="38" t="inlineStr">
        <is>
          <t>F2</t>
        </is>
      </c>
      <c r="BR39" s="12" t="n"/>
      <c r="BS39" s="12" t="n"/>
      <c r="BT39" s="39" t="inlineStr">
        <is>
          <t>Lag</t>
        </is>
      </c>
      <c r="BU39" s="34" t="inlineStr">
        <is>
          <t>V</t>
        </is>
      </c>
      <c r="BV39" s="34" t="inlineStr">
        <is>
          <t>O</t>
        </is>
      </c>
      <c r="BW39" s="34" t="inlineStr">
        <is>
          <t>F</t>
        </is>
      </c>
      <c r="BX39" s="34" t="inlineStr">
        <is>
          <t>GM</t>
        </is>
      </c>
      <c r="BY39" s="34" t="inlineStr">
        <is>
          <t>IM</t>
        </is>
      </c>
      <c r="BZ39" s="34" t="inlineStr">
        <is>
          <t>+/-</t>
        </is>
      </c>
      <c r="CA39" s="34" t="inlineStr">
        <is>
          <t>P</t>
        </is>
      </c>
      <c r="CB39" s="39" t="inlineStr">
        <is>
          <t>Grupp</t>
        </is>
      </c>
      <c r="CC39" s="34" t="inlineStr">
        <is>
          <t>Rank P</t>
        </is>
      </c>
      <c r="CD39" s="34" t="inlineStr">
        <is>
          <t>Rank +/-</t>
        </is>
      </c>
      <c r="CE39" s="12" t="n"/>
      <c r="CF39" s="40" t="inlineStr">
        <is>
          <t>Lag</t>
        </is>
      </c>
      <c r="CG39" s="35" t="inlineStr">
        <is>
          <t>V</t>
        </is>
      </c>
      <c r="CH39" s="35" t="inlineStr">
        <is>
          <t>O</t>
        </is>
      </c>
      <c r="CI39" s="35" t="inlineStr">
        <is>
          <t>F</t>
        </is>
      </c>
      <c r="CJ39" s="35" t="inlineStr">
        <is>
          <t>P</t>
        </is>
      </c>
      <c r="CK39" s="35" t="inlineStr">
        <is>
          <t>Grupp</t>
        </is>
      </c>
      <c r="CL39" s="35" t="inlineStr">
        <is>
          <t>Rank P</t>
        </is>
      </c>
      <c r="CM39" s="56" t="inlineStr">
        <is>
          <t>+/-</t>
        </is>
      </c>
      <c r="CN39" s="56" t="inlineStr">
        <is>
          <t>+/- rank</t>
        </is>
      </c>
      <c r="CO39" s="56" t="inlineStr">
        <is>
          <t>GM</t>
        </is>
      </c>
      <c r="CP39" s="56" t="inlineStr">
        <is>
          <t>GM rank</t>
        </is>
      </c>
      <c r="CQ39" s="35" t="inlineStr">
        <is>
          <t>Rank internal</t>
        </is>
      </c>
      <c r="CR39" s="56" t="inlineStr">
        <is>
          <t>+/- all</t>
        </is>
      </c>
      <c r="CS39" s="56" t="inlineStr">
        <is>
          <t>+/- rank all</t>
        </is>
      </c>
      <c r="CT39" s="56" t="inlineStr">
        <is>
          <t>GM all</t>
        </is>
      </c>
      <c r="CU39" s="56" t="inlineStr">
        <is>
          <t>GM rank all</t>
        </is>
      </c>
      <c r="CV39" s="56" t="inlineStr">
        <is>
          <t>V all</t>
        </is>
      </c>
      <c r="CW39" s="56" t="inlineStr">
        <is>
          <t>V rank all</t>
        </is>
      </c>
      <c r="CX39" s="35" t="inlineStr">
        <is>
          <t>Rank all</t>
        </is>
      </c>
      <c r="CY39" s="12" t="n"/>
      <c r="CZ39" s="41" t="inlineStr">
        <is>
          <t>Lag</t>
        </is>
      </c>
      <c r="DA39" s="36" t="inlineStr">
        <is>
          <t>V</t>
        </is>
      </c>
      <c r="DB39" s="36" t="inlineStr">
        <is>
          <t>O</t>
        </is>
      </c>
      <c r="DC39" s="36" t="inlineStr">
        <is>
          <t>F</t>
        </is>
      </c>
      <c r="DD39" s="36" t="inlineStr">
        <is>
          <t>P</t>
        </is>
      </c>
      <c r="DE39" s="36" t="inlineStr">
        <is>
          <t>Grupp</t>
        </is>
      </c>
      <c r="DF39" s="36" t="inlineStr">
        <is>
          <t>Rank P</t>
        </is>
      </c>
      <c r="DG39" s="36" t="inlineStr">
        <is>
          <t>+/-</t>
        </is>
      </c>
      <c r="DH39" s="36" t="inlineStr">
        <is>
          <t>+/- rank</t>
        </is>
      </c>
      <c r="DI39" s="36" t="inlineStr">
        <is>
          <t>GM</t>
        </is>
      </c>
      <c r="DJ39" s="41" t="inlineStr">
        <is>
          <t>GM rank</t>
        </is>
      </c>
      <c r="DK39" s="41" t="inlineStr">
        <is>
          <t>Rank internal</t>
        </is>
      </c>
      <c r="DL39" s="41" t="inlineStr">
        <is>
          <t>+/- all</t>
        </is>
      </c>
      <c r="DM39" s="41" t="inlineStr">
        <is>
          <t>+/- rank all</t>
        </is>
      </c>
      <c r="DN39" s="41" t="inlineStr">
        <is>
          <t>GM all</t>
        </is>
      </c>
      <c r="DO39" s="41" t="inlineStr">
        <is>
          <t>GM rank all</t>
        </is>
      </c>
      <c r="DP39" s="41" t="inlineStr">
        <is>
          <t>V all</t>
        </is>
      </c>
      <c r="DQ39" s="41" t="inlineStr">
        <is>
          <t>V rank all</t>
        </is>
      </c>
      <c r="DR39" s="41" t="inlineStr">
        <is>
          <t>Rank all</t>
        </is>
      </c>
      <c r="DS39" s="12" t="n"/>
      <c r="DT39" s="37" t="inlineStr">
        <is>
          <t>Lag</t>
        </is>
      </c>
      <c r="DU39" s="37" t="inlineStr">
        <is>
          <t>V</t>
        </is>
      </c>
      <c r="DV39" s="37" t="inlineStr">
        <is>
          <t>O</t>
        </is>
      </c>
      <c r="DW39" s="37" t="inlineStr">
        <is>
          <t>F</t>
        </is>
      </c>
      <c r="DX39" s="37" t="inlineStr">
        <is>
          <t>P</t>
        </is>
      </c>
      <c r="DY39" s="37" t="inlineStr">
        <is>
          <t>Grupp</t>
        </is>
      </c>
      <c r="DZ39" s="37" t="inlineStr">
        <is>
          <t>Rank P</t>
        </is>
      </c>
      <c r="EA39" s="37" t="inlineStr">
        <is>
          <t>+/-</t>
        </is>
      </c>
      <c r="EB39" s="37" t="inlineStr">
        <is>
          <t>+/- rank</t>
        </is>
      </c>
      <c r="EC39" s="37" t="inlineStr">
        <is>
          <t>GM</t>
        </is>
      </c>
      <c r="ED39" s="37" t="inlineStr">
        <is>
          <t>GM rank</t>
        </is>
      </c>
      <c r="EE39" s="37" t="inlineStr">
        <is>
          <t>Rank internal</t>
        </is>
      </c>
      <c r="EF39" s="37" t="inlineStr">
        <is>
          <t>+/- all</t>
        </is>
      </c>
      <c r="EG39" s="37" t="inlineStr">
        <is>
          <t>+/- rank all</t>
        </is>
      </c>
      <c r="EH39" s="37" t="inlineStr">
        <is>
          <t>GM all</t>
        </is>
      </c>
      <c r="EI39" s="37" t="inlineStr">
        <is>
          <t>GM rank all</t>
        </is>
      </c>
      <c r="EJ39" s="37" t="inlineStr">
        <is>
          <t>V all</t>
        </is>
      </c>
      <c r="EK39" s="37" t="inlineStr">
        <is>
          <t>V rank all</t>
        </is>
      </c>
      <c r="EL39" s="37" t="inlineStr">
        <is>
          <t>Rank all</t>
        </is>
      </c>
      <c r="EM39" s="12" t="n"/>
      <c r="EN39" s="38" t="inlineStr">
        <is>
          <t>Lag</t>
        </is>
      </c>
      <c r="EO39" s="38" t="inlineStr">
        <is>
          <t>V</t>
        </is>
      </c>
      <c r="EP39" s="38" t="inlineStr">
        <is>
          <t>O</t>
        </is>
      </c>
      <c r="EQ39" s="38" t="inlineStr">
        <is>
          <t>F</t>
        </is>
      </c>
      <c r="ER39" s="38" t="inlineStr">
        <is>
          <t>P</t>
        </is>
      </c>
      <c r="ES39" s="38" t="inlineStr">
        <is>
          <t>Grupp</t>
        </is>
      </c>
      <c r="ET39" s="38" t="inlineStr">
        <is>
          <t>Rank P</t>
        </is>
      </c>
      <c r="EU39" s="38" t="inlineStr">
        <is>
          <t>+/-</t>
        </is>
      </c>
      <c r="EV39" s="38" t="inlineStr">
        <is>
          <t>+/- rank</t>
        </is>
      </c>
      <c r="EW39" s="38" t="inlineStr">
        <is>
          <t>GM</t>
        </is>
      </c>
      <c r="EX39" s="38" t="inlineStr">
        <is>
          <t>GM rank</t>
        </is>
      </c>
      <c r="EY39" s="38" t="inlineStr">
        <is>
          <t>Rank internal</t>
        </is>
      </c>
      <c r="EZ39" s="38" t="inlineStr">
        <is>
          <t>+/- all</t>
        </is>
      </c>
      <c r="FA39" s="38" t="inlineStr">
        <is>
          <t>+/- rank all</t>
        </is>
      </c>
      <c r="FB39" s="38" t="inlineStr">
        <is>
          <t>GM all</t>
        </is>
      </c>
      <c r="FC39" s="38" t="inlineStr">
        <is>
          <t>GM rank all</t>
        </is>
      </c>
      <c r="FD39" s="38" t="inlineStr">
        <is>
          <t>V all</t>
        </is>
      </c>
      <c r="FE39" s="38" t="inlineStr">
        <is>
          <t>V rank all</t>
        </is>
      </c>
      <c r="FF39" s="38" t="inlineStr">
        <is>
          <t>Rank all</t>
        </is>
      </c>
      <c r="FG39" s="12" t="n"/>
      <c r="FH39" s="38" t="inlineStr">
        <is>
          <t>Rank</t>
        </is>
      </c>
      <c r="FI39" s="38" t="inlineStr">
        <is>
          <t>Rank Ties</t>
        </is>
      </c>
      <c r="FJ39" s="12" t="n"/>
      <c r="FZ39" s="79" t="n">
        <v>37</v>
      </c>
      <c r="GA39" s="3">
        <f>GB39&amp;GC39&amp;GD39&amp;GE39&amp;GF39&amp;GG39&amp;GH39&amp;GI39</f>
        <v/>
      </c>
      <c r="GB39" s="3" t="inlineStr">
        <is>
          <t>C</t>
        </is>
      </c>
      <c r="GC39" s="3" t="inlineStr">
        <is>
          <t>G</t>
        </is>
      </c>
      <c r="GD39" s="3" t="inlineStr">
        <is>
          <t>E</t>
        </is>
      </c>
      <c r="GE39" s="3" t="inlineStr">
        <is>
          <t>D</t>
        </is>
      </c>
      <c r="GF39" s="3" t="inlineStr">
        <is>
          <t>J</t>
        </is>
      </c>
      <c r="GG39" s="3" t="inlineStr">
        <is>
          <t>F</t>
        </is>
      </c>
      <c r="GH39" s="3" t="inlineStr">
        <is>
          <t>L</t>
        </is>
      </c>
      <c r="GI39" s="3" t="inlineStr">
        <is>
          <t>K</t>
        </is>
      </c>
      <c r="GJ39" s="9">
        <f>VLOOKUP(GB39,$FM$3:$FN$15,2,FALSE)</f>
        <v/>
      </c>
      <c r="GK39" s="9">
        <f>VLOOKUP(GC39,$FM$3:$FN$15,2,FALSE)</f>
        <v/>
      </c>
      <c r="GL39" s="9">
        <f>VLOOKUP(GD39,$FM$3:$FN$15,2,FALSE)</f>
        <v/>
      </c>
      <c r="GM39" s="9">
        <f>VLOOKUP(GE39,$FM$3:$FN$15,2,FALSE)</f>
        <v/>
      </c>
      <c r="GN39" s="9">
        <f>VLOOKUP(GF39,$FM$3:$FN$15,2,FALSE)</f>
        <v/>
      </c>
      <c r="GO39" s="9">
        <f>VLOOKUP(GG39,$FM$3:$FN$15,2,FALSE)</f>
        <v/>
      </c>
      <c r="GP39" s="9">
        <f>VLOOKUP(GH39,$FM$3:$FN$15,2,FALSE)</f>
        <v/>
      </c>
      <c r="GQ39" s="9">
        <f>VLOOKUP(GI39,$FM$3:$FN$15,2,FALSE)</f>
        <v/>
      </c>
      <c r="GR39" s="9">
        <f>IFERROR(IF(AND(VLOOKUP(GB39,$FX$4:$FX$15,1,FALSE)=GB39,VLOOKUP(GC39,$FX$4:$FX$15,1,FALSE)=GC39,VLOOKUP(GD39,$FX$4:$FX$15,1,FALSE)=GD39,VLOOKUP(GE39,$FX$4:$FX$15,1,FALSE)=GE39,VLOOKUP(GF39,$FX$4:$FX$15,1,FALSE)=GF39,VLOOKUP(GG39,$FX$4:$FX$15,1,FALSE)=GG39,VLOOKUP(GH39,$FX$4:$FX$15,1,FALSE)=GH39,VLOOKUP(GI39,$FX$4:$FX$15,1,FALSE)=GI39),FZ39,""),"")</f>
        <v/>
      </c>
      <c r="GX39" s="23" t="n"/>
    </row>
    <row r="40" ht="14.25" customHeight="1">
      <c r="B40" s="58" t="n">
        <v>10</v>
      </c>
      <c r="C40" s="59" t="n">
        <v>46187</v>
      </c>
      <c r="D40" s="60" t="inlineStr">
        <is>
          <t>Tyskland</t>
        </is>
      </c>
      <c r="E40" s="61" t="inlineStr">
        <is>
          <t>-</t>
        </is>
      </c>
      <c r="F40" s="62" t="inlineStr">
        <is>
          <t>Curaçao</t>
        </is>
      </c>
      <c r="G40" s="63" t="n">
        <v>3</v>
      </c>
      <c r="H40" s="64" t="inlineStr">
        <is>
          <t>-</t>
        </is>
      </c>
      <c r="I40" s="63" t="n">
        <v>0</v>
      </c>
      <c r="J40" s="65">
        <f>IF(OR(ISBLANK(G40),ISBLANK(I40)),"",IF(G40&gt;I40,1,IF(G40&lt;I40,2,"X")))</f>
        <v/>
      </c>
      <c r="K40" s="66">
        <f>IF(OR(G40="",I40="",'[1]Resultat &amp; tabell'!G40="",'[1]Resultat &amp; tabell'!I40=""),0,IF(G40='[1]Resultat &amp; tabell'!G40,2,0)+IF(I40='[1]Resultat &amp; tabell'!I40,2,0)+IF(J40='[1]Resultat &amp; tabell'!J40,2,0))</f>
        <v/>
      </c>
      <c r="L40" s="67" t="n"/>
      <c r="M40" s="29">
        <f>IF(VLOOKUP(D40,$BT$39:$CC$43,10,FALSE)=VLOOKUP(F40,$BT$39:$CC$43,10,FALSE),VLOOKUP(D40,$BT$39:$CC$43,10,FALSE),"-")</f>
        <v/>
      </c>
      <c r="N40" s="30" t="n">
        <v>1</v>
      </c>
      <c r="O40" s="68">
        <f>VLOOKUP(N40,FI40:FJ43,2,FALSE)</f>
        <v/>
      </c>
      <c r="P40" s="69">
        <f>VLOOKUP($O40,$BT$40:$CA$43,2,FALSE)</f>
        <v/>
      </c>
      <c r="Q40" s="69">
        <f>VLOOKUP($O40,$BT$40:$CA$43,3,FALSE)</f>
        <v/>
      </c>
      <c r="R40" s="69">
        <f>VLOOKUP($O40,$BT$40:$CA$43,4,FALSE)</f>
        <v/>
      </c>
      <c r="S40" s="69">
        <f>VLOOKUP($O40,$BT$40:$CA$43,5,FALSE)</f>
        <v/>
      </c>
      <c r="T40" s="69">
        <f>VLOOKUP($O40,$BT$40:$CA$43,6,FALSE)</f>
        <v/>
      </c>
      <c r="U40" s="69">
        <f>VLOOKUP($O40,$BT$40:$CA$43,7,FALSE)</f>
        <v/>
      </c>
      <c r="V40" s="70">
        <f>VLOOKUP($O40,$BT$40:$CA$43,8,FALSE)</f>
        <v/>
      </c>
      <c r="X40" s="1" t="n"/>
      <c r="AE40" s="72">
        <f>C40</f>
        <v/>
      </c>
      <c r="AF40" s="72">
        <f>D40</f>
        <v/>
      </c>
      <c r="AG40" s="72">
        <f>E40</f>
        <v/>
      </c>
      <c r="AH40" s="72">
        <f>F40</f>
        <v/>
      </c>
      <c r="AI40" s="63">
        <f>IF(G40="","",G40)</f>
        <v/>
      </c>
      <c r="AJ40" s="58">
        <f>H40</f>
        <v/>
      </c>
      <c r="AK40" s="63">
        <f>IF(I40="","",I40)</f>
        <v/>
      </c>
      <c r="AL40" s="65">
        <f>J40</f>
        <v/>
      </c>
      <c r="AM40" s="73" t="n"/>
      <c r="AN40" s="13">
        <f>IF(AI40&gt;AK40,1,0)</f>
        <v/>
      </c>
      <c r="AO40" s="13">
        <f>IF(AK40&gt;AI40,1,0)</f>
        <v/>
      </c>
      <c r="AP40" s="13">
        <f>IF(AND(AI40=AK40,AI40&lt;&gt;""),1,0)</f>
        <v/>
      </c>
      <c r="AQ40" s="13">
        <f>IF(AND(AI40=AK40,AI40&lt;&gt;""),1,0)</f>
        <v/>
      </c>
      <c r="AR40" s="13">
        <f>IF(AI40&lt;AK40,1,0)</f>
        <v/>
      </c>
      <c r="AS40" s="13">
        <f>IF(AK40&lt;AI40,1,)</f>
        <v/>
      </c>
      <c r="AT40" s="13">
        <f>IF(ISERROR(VLOOKUP(AF40,CF:CF,1,FALSE)),0,1)*IF(ISERROR(VLOOKUP(AH40,CF:CF,1,FALSE)),0,1)*AN40</f>
        <v/>
      </c>
      <c r="AU40" s="13">
        <f>IF(ISERROR(VLOOKUP(AF40,CF:CF,1,FALSE)),0,1)*IF(ISERROR(VLOOKUP(AH40,CF:CF,1,FALSE)),0,1)*AO40</f>
        <v/>
      </c>
      <c r="AV40" s="13">
        <f>IF(ISERROR(VLOOKUP(AF40,CF:CF,1,FALSE)),0,1)*IF(ISERROR(VLOOKUP(AH40,CF:CF,1,FALSE)),0,1)*AP40</f>
        <v/>
      </c>
      <c r="AW40" s="13">
        <f>IF(ISERROR(VLOOKUP(AF40,CF:CF,1,FALSE)),0,1)*IF(ISERROR(VLOOKUP(AH40,CF:CF,1,FALSE)),0,1)*AQ40</f>
        <v/>
      </c>
      <c r="AX40" s="13">
        <f>IF(ISERROR(VLOOKUP(AF40,CF:CF,1,FALSE)),0,1)*IF(ISERROR(VLOOKUP(AH40,CF:CF,1,FALSE)),0,1)*AR40</f>
        <v/>
      </c>
      <c r="AY40" s="13">
        <f>IF(ISERROR(VLOOKUP(AF40,CF:CF,1,FALSE)),0,1)*IF(ISERROR(VLOOKUP(AH40,CF:CF,1,FALSE)),0,1)*AS40</f>
        <v/>
      </c>
      <c r="AZ40" s="13">
        <f>IF(ISERROR(VLOOKUP(AF40,CZ:CZ,1,FALSE)),0,1)*IF(ISERROR(VLOOKUP(AH40,CZ:CZ,1,FALSE)),0,1)*AN40</f>
        <v/>
      </c>
      <c r="BA40" s="13">
        <f>IF(ISERROR(VLOOKUP(AF40,CZ:CZ,1,FALSE)),0,1)*IF(ISERROR(VLOOKUP(AH40,CZ:CZ,1,FALSE)),0,1)*AO40</f>
        <v/>
      </c>
      <c r="BB40" s="13">
        <f>IF(ISERROR(VLOOKUP(AF40,CZ:CZ,1,FALSE)),0,1)*IF(ISERROR(VLOOKUP(AH40,CZ:CZ,1,FALSE)),0,1)*AP40</f>
        <v/>
      </c>
      <c r="BC40" s="13">
        <f>IF(ISERROR(VLOOKUP(AF40,CZ:CZ,1,FALSE)),0,1)*IF(ISERROR(VLOOKUP(AH40,CZ:CZ,1,FALSE)),0,1)*AQ40</f>
        <v/>
      </c>
      <c r="BD40" s="13">
        <f>IF(ISERROR(VLOOKUP(AF40,CZ:CZ,1,FALSE)),0,1)*IF(ISERROR(VLOOKUP(AH40,CZ:CZ,1,FALSE)),0,1)*AR40</f>
        <v/>
      </c>
      <c r="BE40" s="13">
        <f>IF(ISERROR(VLOOKUP(AF40,CZ:CZ,1,FALSE)),0,1)*IF(ISERROR(VLOOKUP(AH40,CZ:CZ,1,FALSE)),0,1)*AS40</f>
        <v/>
      </c>
      <c r="BF40" s="13">
        <f>IF(ISERROR(VLOOKUP(AF40,DT:DT,1,FALSE)),0,1)*IF(ISERROR(VLOOKUP(AH40,DT:DT,1,FALSE)),0,1)*AN40</f>
        <v/>
      </c>
      <c r="BG40" s="13">
        <f>IF(ISERROR(VLOOKUP(AF40,DT:DT,1,FALSE)),0,1)*IF(ISERROR(VLOOKUP(AH40,DT:DT,1,FALSE)),0,1)*AO40</f>
        <v/>
      </c>
      <c r="BH40" s="13">
        <f>IF(ISERROR(VLOOKUP(AF40,DT:DT,1,FALSE)),0,1)*IF(ISERROR(VLOOKUP(AH40,DT:DT,1,FALSE)),0,1)*AP40</f>
        <v/>
      </c>
      <c r="BI40" s="13">
        <f>IF(ISERROR(VLOOKUP(AF40,DT:DT,1,FALSE)),0,1)*IF(ISERROR(VLOOKUP(AH40,DT:DT,1,FALSE)),0,1)*AQ40</f>
        <v/>
      </c>
      <c r="BJ40" s="13">
        <f>IF(ISERROR(VLOOKUP(AF40,DT:DT,1,FALSE)),0,1)*IF(ISERROR(VLOOKUP(AH40,DT:DT,1,FALSE)),0,1)*AR40</f>
        <v/>
      </c>
      <c r="BK40" s="13">
        <f>IF(ISERROR(VLOOKUP(AF40,DT:DT,1,FALSE)),0,1)*IF(ISERROR(VLOOKUP(AH40,DT:DT,1,FALSE)),0,1)*AS40</f>
        <v/>
      </c>
      <c r="BL40" s="13">
        <f>IF(ISERROR(VLOOKUP(AF40,EN:EN,1,FALSE)),0,1)*IF(ISERROR(VLOOKUP(AH40,EN:EN,1,FALSE)),0,1)*AN40</f>
        <v/>
      </c>
      <c r="BM40" s="13">
        <f>IF(ISERROR(VLOOKUP(AF40,EN:EN,1,FALSE)),0,1)*IF(ISERROR(VLOOKUP(AH40,EN:EN,1,FALSE)),0,1)*AO40</f>
        <v/>
      </c>
      <c r="BN40" s="13">
        <f>IF(ISERROR(VLOOKUP(AF40,EN:EN,1,FALSE)),0,1)*IF(ISERROR(VLOOKUP(AH40,EN:EN,1,FALSE)),0,1)*AP40</f>
        <v/>
      </c>
      <c r="BO40" s="13">
        <f>IF(ISERROR(VLOOKUP(AF40,EN:EN,1,FALSE)),0,1)*IF(ISERROR(VLOOKUP(AH40,EN:EN,1,FALSE)),0,1)*AQ40</f>
        <v/>
      </c>
      <c r="BP40" s="13">
        <f>IF(ISERROR(VLOOKUP(AF40,EN:EN,1,FALSE)),0,1)*IF(ISERROR(VLOOKUP(AH40,EN:EN,1,FALSE)),0,1)*AR40</f>
        <v/>
      </c>
      <c r="BQ40" s="13">
        <f>IF(ISERROR(VLOOKUP(AF40,EN:EN,1,FALSE)),0,1)*IF(ISERROR(VLOOKUP(AH40,EN:EN,1,FALSE)),0,1)*AS40</f>
        <v/>
      </c>
      <c r="BT40" s="12" t="inlineStr">
        <is>
          <t>Tyskland</t>
        </is>
      </c>
      <c r="BU40" s="13">
        <f>(SUMIF(AF$4:AF$108,BT40,AN$4:AN$108)+SUMIF(AH$4:AH$108,BT40,AO$4:AO$108))</f>
        <v/>
      </c>
      <c r="BV40" s="13">
        <f>(SUMIF(AF$4:AF$108,BT40,AP$4:AP$108)+SUMIF(AH$4:AH$108,BT40,AQ$4:AQ$108))</f>
        <v/>
      </c>
      <c r="BW40" s="13">
        <f>(SUMIF(AF$4:AF$108,BT40,AR$4:AR$108)+SUMIF(AH$4:AH$108,BT40,AS$4:AS$108))</f>
        <v/>
      </c>
      <c r="BX40" s="13">
        <f>SUMIF($AF$4:$AF$108,BT40,$AI$4:$AI$108)+SUMIF($AH$4:$AH$108,BT40,$AK$4:$AK$108)</f>
        <v/>
      </c>
      <c r="BY40" s="13">
        <f>SUMIF($AF$4:$AF$108,BT40,$AK$4:$AK$108)+SUMIF($AH$4:$AH$108,BT40,$AI$4:$AI$108)</f>
        <v/>
      </c>
      <c r="BZ40" s="13">
        <f>BX40-BY40</f>
        <v/>
      </c>
      <c r="CA40" s="13">
        <f>IFERROR(BU40*3+BV40*1,0)</f>
        <v/>
      </c>
      <c r="CB40" s="13" t="inlineStr">
        <is>
          <t>E</t>
        </is>
      </c>
      <c r="CC40" s="74">
        <f>RANK(CA40,CA40:CA43)</f>
        <v/>
      </c>
      <c r="CD40" s="13">
        <f>SUMPRODUCT((CA40:CA43=CA40)*(BZ40:BZ43&gt;BZ40))</f>
        <v/>
      </c>
      <c r="CF40" s="12">
        <f>IF(CC40=1,BT40,)</f>
        <v/>
      </c>
      <c r="CG40" s="13">
        <f>(SUMIF($AF$4:$AF$108,$BT40,$AT$4:$AT$108)+SUMIF($AH$4:$AH$108,$BT40,$AU$4:$AU$108))</f>
        <v/>
      </c>
      <c r="CH40" s="13">
        <f>(SUMIF($AF$4:$AF$108,$BT40,$AV$4:$AV$108)+SUMIF($AH$4:$AH$108,$BT40,$AW$4:$AW$108))</f>
        <v/>
      </c>
      <c r="CI40" s="13">
        <f>(SUMIF($AF$4:$AF$108,$BT40,$AX$4:$AX$108)+SUMIF($AH$4:$AH$108,$BT40,$AY$4:$AY$108))</f>
        <v/>
      </c>
      <c r="CJ40" s="13">
        <f>IFERROR(CG40*3+CH40*1,0)</f>
        <v/>
      </c>
      <c r="CK40" s="13">
        <f>CB40</f>
        <v/>
      </c>
      <c r="CL40" s="13">
        <f>IF(CF40&gt;0,RANK(CJ40,CJ40:CJ43),)</f>
        <v/>
      </c>
      <c r="CM40" s="13">
        <f>IF(AND(CF40&gt;0,COUNTIF(CL40:CL43,CL40)&gt;1),SUMIFS($AI$4:$AI$108,$AF$4:$AF$108,$BT40,$M$4:$M$108,1)+SUMIFS($AK$4:$AK$108,$AH$4:$AH$108,$BT40,$M$4:$M$108,1)-SUMIFS($AK$4:$AK$108,$AF$4:$AF$108,$BT40,$M$4:$M$108,1)-SUMIFS($AI$4:$AI$108,$AH$4:$AH$108,$BT40,$M$4:$M$108,1),)</f>
        <v/>
      </c>
      <c r="CN40" s="13">
        <f>IF(AND(CF40&gt;0,COUNTIF(CL40:CL43,CL40)&gt;1),CL40+RANK(CM40,CM40:CM43)-1,CL40)</f>
        <v/>
      </c>
      <c r="CO40" s="13">
        <f>IF(AND(CF40&gt;0,COUNTIF(CN40:CN43,CN40)&gt;1),SUMIFS($AI$4:$AI$108,$AF$4:$AF$108,$BT40,$M$4:$M$108,1)+SUMIFS($AK$4:$AK$108,$AH$4:$AH$108,$BT40,$M$4:$M$108,1),)</f>
        <v/>
      </c>
      <c r="CP40" s="13">
        <f>IF(AND(CF40&gt;0,COUNTIF(CN40:CN43,CN40)&gt;1),CN40+RANK(CO40,CO40:CO43)-1,CN40)</f>
        <v/>
      </c>
      <c r="CQ40" s="13">
        <f>IF(CP40=0,"",CP40)</f>
        <v/>
      </c>
      <c r="CR40" s="13">
        <f>IF(OR(CQ40="",COUNTIF(CQ40:CQ43,CQ40)=1),"",$BZ40)</f>
        <v/>
      </c>
      <c r="CS40" s="13">
        <f>IF(CQ40="","",IF(COUNTIF(CQ40:CQ43,CQ40)=1,CQ40,CQ40+RANK(CR40,CR40:CR43,0)-1))</f>
        <v/>
      </c>
      <c r="CT40" s="13">
        <f>IF(OR(CS40="",COUNTIF(CS40:CS43,CS40)=1),"",$BX40)</f>
        <v/>
      </c>
      <c r="CU40" s="13">
        <f>IF(CQ40="","",IF(COUNTIF(CS40:CS43,CS40)=1,CS40,CS40+RANK(CT40,CT40:CT43,0)-1))</f>
        <v/>
      </c>
      <c r="CV40" s="13">
        <f>IF(OR(CU40="",COUNTIF(CU40:CU43,CU40)=1),"",$BU40)</f>
        <v/>
      </c>
      <c r="CW40" s="13">
        <f>IF(CQ40="","",IF(COUNTIF(CU40:CU43,CU40)=1,CU40,CU40+RANK(CV40,CV40:CV43,0)-1))</f>
        <v/>
      </c>
      <c r="CX40" s="13">
        <f>IF(CF40&gt;0,BM38+RANK(CW40,CW40:CW43,1),)</f>
        <v/>
      </c>
      <c r="CZ40" s="12">
        <f>IF(CC40=2,BT40,)</f>
        <v/>
      </c>
      <c r="DA40" s="13">
        <f>(SUMIF($AF$4:$AF$108,$BT40,$AZ$4:$AZ$108)+SUMIF($AH$4:$AH$108,$BT40,$BA$4:$BA$108))</f>
        <v/>
      </c>
      <c r="DB40" s="13">
        <f>(SUMIF($AF$4:$AF$108,$BT40,$BB$4:$BB$108)+SUMIF($AH$4:$AH$108,$BT40,$BC$4:$BC$108))</f>
        <v/>
      </c>
      <c r="DC40" s="13">
        <f>(SUMIF($AF$4:$AF$108,$BT40,$BD$4:$BD$108)+SUMIF($AH$4:$AH$108,$BT40,$BE$4:$BE$108))</f>
        <v/>
      </c>
      <c r="DD40" s="13">
        <f>IFERROR(DA40*3+DB40*1,0)</f>
        <v/>
      </c>
      <c r="DE40" s="13">
        <f>$CB40</f>
        <v/>
      </c>
      <c r="DF40" s="13">
        <f>IF(CZ40&gt;0,RANK(DD40,DD40:DD43)+CG38,)</f>
        <v/>
      </c>
      <c r="DG40" s="13">
        <f>IF(AND(CZ40&gt;0,COUNTIF(DF40:DF43,DF40)&gt;1),SUMIFS($AI$4:$AI$108,$AF$4:$AF$108,$BT40,$M$4:$M$108,2)+SUMIFS($AK$4:$AK$108,$AH$4:$AH108,$BT40,$M$4:$M$108,2)-SUMIFS($AK$4:$AK$108,$AF$4:$AF$108,$BT40,$M$4:$M$108,2)-SUMIFS($AI$4:$AI$108,$AH$4:$AH$108,$BT40,$M$4:$M$108,2),)</f>
        <v/>
      </c>
      <c r="DH40" s="13">
        <f>IF(AND(CZ40&gt;0,COUNTIF(DF40:DF43,DF40)&gt;1),DF40+RANK(DG40,DG40:DG43)-1,DF40)</f>
        <v/>
      </c>
      <c r="DI40" s="13">
        <f>IF(AND(CZ40&gt;0,COUNTIF(DH40:DH43,DH40)&gt;1),SUMIFS($AI$4:$AI$108,$AF$4:$AF$108,$BT40,$M$4:$M$108,2)+SUMIFS($AK$4:$AK$108,$AH$4:$AH$108,$BT40,$M$4:$M$108,2),)</f>
        <v/>
      </c>
      <c r="DJ40" s="13">
        <f>IF(AND(CZ40&gt;0,COUNTIF(DH40:DH43,DH40)&gt;1),DH40+RANK(DI40,DI40:DI43)-1,DH40)</f>
        <v/>
      </c>
      <c r="DK40" s="75">
        <f>IF(DJ40=0,"",DJ40)</f>
        <v/>
      </c>
      <c r="DL40" s="75">
        <f>IF(OR(DK40="",COUNTIF(DK40:DK43,DK40)=1),"",$BZ40)</f>
        <v/>
      </c>
      <c r="DM40" s="75">
        <f>IF(DK40="","",IF(COUNTIF(DK40:DK43,DK40)=1,DK40,DK40+RANK(DL40,DL40:DL43,0)-1))</f>
        <v/>
      </c>
      <c r="DN40" s="75">
        <f>IF(OR(DM40="",COUNTIF(DM40:DM43,DM40)=1),"",$BX40)</f>
        <v/>
      </c>
      <c r="DO40" s="75">
        <f>IF(DK40="","",IF(COUNTIF(DM40:DM43,DM40)=1,DM40,DM40+RANK(DN40,DN40:DN43,0)-1))</f>
        <v/>
      </c>
      <c r="DP40" s="75">
        <f>IF(OR(DO40="",COUNTIF(DO40:DO43,DO40)=1),"",$BU40)</f>
        <v/>
      </c>
      <c r="DQ40" s="75">
        <f>IF(DK40="","",IF(COUNTIF(DO40:DO43,DO40)=1,DO40,DO40+RANK(DP40,DP40:DP43,0)-1))</f>
        <v/>
      </c>
      <c r="DR40" s="13">
        <f>IF(CZ40&gt;0,CG38+RANK(DQ40,DQ40:DQ43,1),)</f>
        <v/>
      </c>
      <c r="DT40" s="13">
        <f>IF(CC40=3,BT40,)</f>
        <v/>
      </c>
      <c r="DU40" s="13">
        <f>(SUMIF($AF$4:$AF$108,BT40,$BF$4:$BF$108)+SUMIF($AH$4:$AH$108,BT40,$BG$4:$BG$108))</f>
        <v/>
      </c>
      <c r="DV40" s="13">
        <f>(SUMIF($AF$4:$AF$108,BT40,$BH$4:$BH$108)+SUMIF($AH$4:$AH$108,BT40,$BI$4:$BI$108))</f>
        <v/>
      </c>
      <c r="DW40" s="13">
        <f>(SUMIF($AF$4:$AF$108,BT40,$BJ$4:$BJ$108)+SUMIF($AH$4:$AH$108,BT40,$BK$4:$BK$108))</f>
        <v/>
      </c>
      <c r="DX40" s="13">
        <f>IFERROR(DU40*3+DV40*1,0)</f>
        <v/>
      </c>
      <c r="DY40" s="13">
        <f>CB40</f>
        <v/>
      </c>
      <c r="DZ40" s="13">
        <f>IF(DT40&gt;0,RANK(DX40,DX40:DX43)+CG38+DA38,)</f>
        <v/>
      </c>
      <c r="EA40" s="13">
        <f>IF(AND(DT40&gt;0,COUNTIF(DZ40:DZ43,DZ40)&gt;1),SUMIFS($AI$4:$AI$108,$AF$4:$AF$108,$BT40,$M$4:$M$108,3)+SUMIFS($AK$4:$AK$108,$AH$4:$AH$108,$BT40,$M$4:$M$108,3)-SUMIFS($AK$4:$AK$108,$AF$4:$AF$108,$BT40,$M$4:$M$108,3)-SUMIFS($AI$4:$AI$108,$AH$4:$AH$108,$BT40,$M$4:$M$108,3),)</f>
        <v/>
      </c>
      <c r="EB40" s="13">
        <f>IF(AND(DT40&gt;0,COUNTIF(DZ40:DZ43,DZ40)&gt;1),DZ40+RANK(EA40,EA40:EA43)-1,DZ40)</f>
        <v/>
      </c>
      <c r="EC40" s="13">
        <f>IF(AND(DT40&gt;0,COUNTIF(EB40:EB43,EB40)&gt;1),SUMIFS($AI$4:$AI$108,$AF$4:$AF$108,$BT40,$M$4:$M$108,3)+SUMIFS($AK$4:$AK$108,$AH$4:$AH$108,$BT40,$M$4:$M$108,3),)</f>
        <v/>
      </c>
      <c r="ED40" s="13">
        <f>IF(AND(DT40&gt;0,COUNTIF(EB40:EB43,EB40)&gt;1),EB40+RANK(EC40,EC40:EC43)-1,EB40)</f>
        <v/>
      </c>
      <c r="EE40" s="13">
        <f>IF(ED40=0,"",ED40)</f>
        <v/>
      </c>
      <c r="EF40" s="13">
        <f>IF(OR(EE40="",COUNTIF(EE40:EE43,EE40)=1),"",$BZ40)</f>
        <v/>
      </c>
      <c r="EG40" s="13">
        <f>IF(EE40="","",IF(COUNTIF(EE40:EE43,EE40)=1,EE40,EE40+RANK(EF40,EF40:EF43,0)-1))</f>
        <v/>
      </c>
      <c r="EH40" s="13">
        <f>IF(OR(EG40="",COUNTIF(EG40:EG43,EG40)=1),"",$BX40)</f>
        <v/>
      </c>
      <c r="EI40" s="13">
        <f>IF(EE40="","",IF(COUNTIF(EG40:EG43,EG40)=1,EG40,EG40+RANK(EH40,EH40:EH43,0)-1))</f>
        <v/>
      </c>
      <c r="EJ40" s="13">
        <f>IF(OR(EI40="",COUNTIF(EI40:EI43,EI40)=1),"",$BU40)</f>
        <v/>
      </c>
      <c r="EK40" s="13">
        <f>IF(EE40="","",IF(COUNTIF(EI40:EI43,EI40)=1,EI40,EI40+RANK(EJ40,EJ40:EJ43,0)-1))</f>
        <v/>
      </c>
      <c r="EL40" s="13">
        <f>IF(DT40&gt;0,CG38+DA38+RANK(EK40,EK40:EK43,1),)</f>
        <v/>
      </c>
      <c r="EN40" s="13">
        <f>IF(CC40=4,BT40,)</f>
        <v/>
      </c>
      <c r="EO40" s="13">
        <f>(SUMIF($AF$4:$AF$108,$BT40,$BL$4:$BL$108)+SUMIF($AH$4:$AH$108,$BT40,$BM$4:$BM$108))</f>
        <v/>
      </c>
      <c r="EP40" s="13">
        <f>(SUMIF($AF$4:$AF$108,$BT40,$BN$4:$BN$108)+SUMIF($AH$4:$AH$108,$BT40,$BO$4:$BO$108))</f>
        <v/>
      </c>
      <c r="EQ40" s="13">
        <f>(SUMIF($AF$4:$AF$108,$BT40,$BP$4:$BP$108)+SUMIF($AH$4:$AH$108,$BT40,$BQ$4:$BQ$108))</f>
        <v/>
      </c>
      <c r="ER40" s="13">
        <f>IFERROR(EO40*3+EP40*1,0)</f>
        <v/>
      </c>
      <c r="ES40" s="13">
        <f>$CB40</f>
        <v/>
      </c>
      <c r="ET40" s="13">
        <f>IF(EN40&gt;0,RANK(ER40,ER40:ER43)+CG38+DA38+DU38,)</f>
        <v/>
      </c>
      <c r="EU40" s="13">
        <f>IF(AND(EN40&gt;0,COUNTIF(ET40:ET43,ET40)&gt;1),SUMIFS($AI$4:$AI$108,$AF$4:$AF$108,$BT40,$M$4:$M$108,4)+SUMIFS($AK$4:$AK$108,$AH$4:$AH$108,$BT40,$M$4:$M$108,4)-SUMIFS($AK$4:$AK$108,$AF$4:$AF$108,$BT40,$M$4:$M$108,4)-SUMIFS($AI$4:$AI$108,$AH$4:$AH$108,$BT40,$M$4:$M$108,4),)</f>
        <v/>
      </c>
      <c r="EV40" s="13">
        <f>IF(AND(EN40&gt;0,COUNTIF(ET40:ET43,ET40)&gt;1),ET40+RANK(EU40,EU40:EU43)-1,ET40)</f>
        <v/>
      </c>
      <c r="EW40" s="13">
        <f>IF(AND(EN40&gt;0,COUNTIF(EV40:EV43,EV40)&gt;1),SUMIFS($AI$4:$AI$108,$AF$4:$AF$108,$BT40,$M$4:$M$108,4)+SUMIFS($AK$4:$AK$108,$AH$4:$AH$108,$BT40,$M$4:$M$108,4),)</f>
        <v/>
      </c>
      <c r="EX40" s="13">
        <f>IF(AND(EN40&gt;0,COUNTIF(EV40:EV43,EV40)&gt;1),EV40+RANK(EW40,EW40:EW43)-1,EV40)</f>
        <v/>
      </c>
      <c r="EY40" s="13">
        <f>IF(EX40=0,"",EX40)</f>
        <v/>
      </c>
      <c r="EZ40" s="13">
        <f>IF(OR(EY40="",COUNTIF(EY40:EY43,EY40)=1),"",$BZ40)</f>
        <v/>
      </c>
      <c r="FA40" s="13">
        <f>IF(EY40="","",IF(COUNTIF(EY40:EY43,EY40)=1,EY40,EY40+RANK(EZ40,EZ40:EZ43,0)-1))</f>
        <v/>
      </c>
      <c r="FB40" s="13">
        <f>IF(OR(FA40="",COUNTIF(FA40:FA43,FA40)=1),"",$BX40)</f>
        <v/>
      </c>
      <c r="FC40" s="13">
        <f>IF(EY40="","",IF(COUNTIF(FA40:FA43,FA40)=1,FA40,FA40+RANK(FB40,FB40:FB43,0)-1))</f>
        <v/>
      </c>
      <c r="FD40" s="13">
        <f>IF(OR(FC40="",COUNTIF(FC40:FC43,FC40)=1),"",$BU40)</f>
        <v/>
      </c>
      <c r="FE40" s="13">
        <f>IF(EY40="","",IF(COUNTIF(FC40:FC43,FC40)=1,FC40,FC40+RANK(FD40,FD40:FD43,0)-1))</f>
        <v/>
      </c>
      <c r="FF40" s="13">
        <f>IF(EN40&gt;0,CG38+DA38+DU38+RANK(FE40,FE40:FE43,1),)</f>
        <v/>
      </c>
      <c r="FH40" s="13">
        <f>IFERROR(VLOOKUP(FJ40,CF39:CX43,19,FALSE),IFERROR(VLOOKUP(FJ40,CZ39:DR43,19,FALSE),IFERROR(VLOOKUP(FJ40,DT39:EL43,19,FALSE),VLOOKUP(FJ40,EN39:FF43,19,FALSE))))</f>
        <v/>
      </c>
      <c r="FI40" s="13">
        <f>RANK(FH40,FH40:FH43,1)+COUNTIF(FH40:FH40,FH40)-1</f>
        <v/>
      </c>
      <c r="FJ40" s="12">
        <f>BT40</f>
        <v/>
      </c>
      <c r="FZ40" s="79" t="n">
        <v>38</v>
      </c>
      <c r="GA40" s="3">
        <f>GB40&amp;GC40&amp;GD40&amp;GE40&amp;GF40&amp;GG40&amp;GH40&amp;GI40</f>
        <v/>
      </c>
      <c r="GB40" s="3" t="inlineStr">
        <is>
          <t>C</t>
        </is>
      </c>
      <c r="GC40" s="3" t="inlineStr">
        <is>
          <t>G</t>
        </is>
      </c>
      <c r="GD40" s="3" t="inlineStr">
        <is>
          <t>E</t>
        </is>
      </c>
      <c r="GE40" s="3" t="inlineStr">
        <is>
          <t>D</t>
        </is>
      </c>
      <c r="GF40" s="3" t="inlineStr">
        <is>
          <t>I</t>
        </is>
      </c>
      <c r="GG40" s="3" t="inlineStr">
        <is>
          <t>F</t>
        </is>
      </c>
      <c r="GH40" s="3" t="inlineStr">
        <is>
          <t>L</t>
        </is>
      </c>
      <c r="GI40" s="3" t="inlineStr">
        <is>
          <t>K</t>
        </is>
      </c>
      <c r="GJ40" s="9">
        <f>VLOOKUP(GB40,$FM$3:$FN$15,2,FALSE)</f>
        <v/>
      </c>
      <c r="GK40" s="9">
        <f>VLOOKUP(GC40,$FM$3:$FN$15,2,FALSE)</f>
        <v/>
      </c>
      <c r="GL40" s="9">
        <f>VLOOKUP(GD40,$FM$3:$FN$15,2,FALSE)</f>
        <v/>
      </c>
      <c r="GM40" s="9">
        <f>VLOOKUP(GE40,$FM$3:$FN$15,2,FALSE)</f>
        <v/>
      </c>
      <c r="GN40" s="9">
        <f>VLOOKUP(GF40,$FM$3:$FN$15,2,FALSE)</f>
        <v/>
      </c>
      <c r="GO40" s="9">
        <f>VLOOKUP(GG40,$FM$3:$FN$15,2,FALSE)</f>
        <v/>
      </c>
      <c r="GP40" s="9">
        <f>VLOOKUP(GH40,$FM$3:$FN$15,2,FALSE)</f>
        <v/>
      </c>
      <c r="GQ40" s="9">
        <f>VLOOKUP(GI40,$FM$3:$FN$15,2,FALSE)</f>
        <v/>
      </c>
      <c r="GR40" s="9">
        <f>IFERROR(IF(AND(VLOOKUP(GB40,$FX$4:$FX$15,1,FALSE)=GB40,VLOOKUP(GC40,$FX$4:$FX$15,1,FALSE)=GC40,VLOOKUP(GD40,$FX$4:$FX$15,1,FALSE)=GD40,VLOOKUP(GE40,$FX$4:$FX$15,1,FALSE)=GE40,VLOOKUP(GF40,$FX$4:$FX$15,1,FALSE)=GF40,VLOOKUP(GG40,$FX$4:$FX$15,1,FALSE)=GG40,VLOOKUP(GH40,$FX$4:$FX$15,1,FALSE)=GH40,VLOOKUP(GI40,$FX$4:$FX$15,1,FALSE)=GI40),FZ40,""),"")</f>
        <v/>
      </c>
      <c r="GX40" s="79" t="n"/>
    </row>
    <row r="41" ht="14.25" customHeight="1">
      <c r="B41" s="58" t="n">
        <v>9</v>
      </c>
      <c r="C41" s="59" t="n">
        <v>46188</v>
      </c>
      <c r="D41" s="60" t="inlineStr">
        <is>
          <t>Elfenbenskusten</t>
        </is>
      </c>
      <c r="E41" s="61" t="inlineStr">
        <is>
          <t>-</t>
        </is>
      </c>
      <c r="F41" s="62" t="inlineStr">
        <is>
          <t>Ecuador</t>
        </is>
      </c>
      <c r="G41" s="63" t="n">
        <v>1</v>
      </c>
      <c r="H41" s="64" t="inlineStr">
        <is>
          <t>-</t>
        </is>
      </c>
      <c r="I41" s="63" t="n">
        <v>1</v>
      </c>
      <c r="J41" s="65">
        <f>IF(OR(ISBLANK(G41),ISBLANK(I41)),"",IF(G41&gt;I41,1,IF(G41&lt;I41,2,"X")))</f>
        <v/>
      </c>
      <c r="K41" s="66">
        <f>IF(OR(G41="",I41="",'[1]Resultat &amp; tabell'!G41="",'[1]Resultat &amp; tabell'!I41=""),0,IF(G41='[1]Resultat &amp; tabell'!G41,2,0)+IF(I41='[1]Resultat &amp; tabell'!I41,2,0)+IF(J41='[1]Resultat &amp; tabell'!J41,2,0))</f>
        <v/>
      </c>
      <c r="L41" s="67" t="n"/>
      <c r="M41" s="29">
        <f>IF(VLOOKUP(D41,$BT$39:$CC$43,10,FALSE)=VLOOKUP(F41,$BT$39:$CC$43,10,FALSE),VLOOKUP(D41,$BT$39:$CC$43,10,FALSE),"-")</f>
        <v/>
      </c>
      <c r="N41" s="30" t="n">
        <v>2</v>
      </c>
      <c r="O41" s="80">
        <f>VLOOKUP(N41,FI40:FJ43,2,FALSE)</f>
        <v/>
      </c>
      <c r="P41" s="81">
        <f>VLOOKUP($O41,$BT$40:$CA$43,2,FALSE)</f>
        <v/>
      </c>
      <c r="Q41" s="81">
        <f>VLOOKUP($O41,$BT$40:$CA$43,3,FALSE)</f>
        <v/>
      </c>
      <c r="R41" s="81">
        <f>VLOOKUP($O41,$BT$40:$CA$43,4,FALSE)</f>
        <v/>
      </c>
      <c r="S41" s="81">
        <f>VLOOKUP($O41,$BT$40:$CA$43,5,FALSE)</f>
        <v/>
      </c>
      <c r="T41" s="81">
        <f>VLOOKUP($O41,$BT$40:$CA$43,6,FALSE)</f>
        <v/>
      </c>
      <c r="U41" s="81">
        <f>VLOOKUP($O41,$BT$40:$CA$43,7,FALSE)</f>
        <v/>
      </c>
      <c r="V41" s="82">
        <f>VLOOKUP($O41,$BT$40:$CA$43,8,FALSE)</f>
        <v/>
      </c>
      <c r="X41" s="1" t="n"/>
      <c r="AE41" s="72">
        <f>C41</f>
        <v/>
      </c>
      <c r="AF41" s="72">
        <f>D41</f>
        <v/>
      </c>
      <c r="AG41" s="72">
        <f>E41</f>
        <v/>
      </c>
      <c r="AH41" s="72">
        <f>F41</f>
        <v/>
      </c>
      <c r="AI41" s="63">
        <f>IF(G41="","",G41)</f>
        <v/>
      </c>
      <c r="AJ41" s="58">
        <f>H41</f>
        <v/>
      </c>
      <c r="AK41" s="63">
        <f>IF(I41="","",I41)</f>
        <v/>
      </c>
      <c r="AL41" s="65">
        <f>J41</f>
        <v/>
      </c>
      <c r="AM41" s="73" t="n"/>
      <c r="AN41" s="13">
        <f>IF(AI41&gt;AK41,1,0)</f>
        <v/>
      </c>
      <c r="AO41" s="13">
        <f>IF(AK41&gt;AI41,1,0)</f>
        <v/>
      </c>
      <c r="AP41" s="13">
        <f>IF(AND(AI41=AK41,AI41&lt;&gt;""),1,0)</f>
        <v/>
      </c>
      <c r="AQ41" s="13">
        <f>IF(AND(AI41=AK41,AI41&lt;&gt;""),1,0)</f>
        <v/>
      </c>
      <c r="AR41" s="13">
        <f>IF(AI41&lt;AK41,1,0)</f>
        <v/>
      </c>
      <c r="AS41" s="13">
        <f>IF(AK41&lt;AI41,1,)</f>
        <v/>
      </c>
      <c r="AT41" s="13">
        <f>IF(ISERROR(VLOOKUP(AF41,CF:CF,1,FALSE)),0,1)*IF(ISERROR(VLOOKUP(AH41,CF:CF,1,FALSE)),0,1)*AN41</f>
        <v/>
      </c>
      <c r="AU41" s="13">
        <f>IF(ISERROR(VLOOKUP(AF41,CF:CF,1,FALSE)),0,1)*IF(ISERROR(VLOOKUP(AH41,CF:CF,1,FALSE)),0,1)*AO41</f>
        <v/>
      </c>
      <c r="AV41" s="13">
        <f>IF(ISERROR(VLOOKUP(AF41,CF:CF,1,FALSE)),0,1)*IF(ISERROR(VLOOKUP(AH41,CF:CF,1,FALSE)),0,1)*AP41</f>
        <v/>
      </c>
      <c r="AW41" s="13">
        <f>IF(ISERROR(VLOOKUP(AF41,CF:CF,1,FALSE)),0,1)*IF(ISERROR(VLOOKUP(AH41,CF:CF,1,FALSE)),0,1)*AQ41</f>
        <v/>
      </c>
      <c r="AX41" s="13">
        <f>IF(ISERROR(VLOOKUP(AF41,CF:CF,1,FALSE)),0,1)*IF(ISERROR(VLOOKUP(AH41,CF:CF,1,FALSE)),0,1)*AR41</f>
        <v/>
      </c>
      <c r="AY41" s="13">
        <f>IF(ISERROR(VLOOKUP(AF41,CF:CF,1,FALSE)),0,1)*IF(ISERROR(VLOOKUP(AH41,CF:CF,1,FALSE)),0,1)*AS41</f>
        <v/>
      </c>
      <c r="AZ41" s="13">
        <f>IF(ISERROR(VLOOKUP(AF41,CZ:CZ,1,FALSE)),0,1)*IF(ISERROR(VLOOKUP(AH41,CZ:CZ,1,FALSE)),0,1)*AN41</f>
        <v/>
      </c>
      <c r="BA41" s="13">
        <f>IF(ISERROR(VLOOKUP(AF41,CZ:CZ,1,FALSE)),0,1)*IF(ISERROR(VLOOKUP(AH41,CZ:CZ,1,FALSE)),0,1)*AO41</f>
        <v/>
      </c>
      <c r="BB41" s="13">
        <f>IF(ISERROR(VLOOKUP(AF41,CZ:CZ,1,FALSE)),0,1)*IF(ISERROR(VLOOKUP(AH41,CZ:CZ,1,FALSE)),0,1)*AP41</f>
        <v/>
      </c>
      <c r="BC41" s="13">
        <f>IF(ISERROR(VLOOKUP(AF41,CZ:CZ,1,FALSE)),0,1)*IF(ISERROR(VLOOKUP(AH41,CZ:CZ,1,FALSE)),0,1)*AQ41</f>
        <v/>
      </c>
      <c r="BD41" s="13">
        <f>IF(ISERROR(VLOOKUP(AF41,CZ:CZ,1,FALSE)),0,1)*IF(ISERROR(VLOOKUP(AH41,CZ:CZ,1,FALSE)),0,1)*AR41</f>
        <v/>
      </c>
      <c r="BE41" s="13">
        <f>IF(ISERROR(VLOOKUP(AF41,CZ:CZ,1,FALSE)),0,1)*IF(ISERROR(VLOOKUP(AH41,CZ:CZ,1,FALSE)),0,1)*AS41</f>
        <v/>
      </c>
      <c r="BF41" s="13">
        <f>IF(ISERROR(VLOOKUP(AF41,DT:DT,1,FALSE)),0,1)*IF(ISERROR(VLOOKUP(AH41,DT:DT,1,FALSE)),0,1)*AN41</f>
        <v/>
      </c>
      <c r="BG41" s="13">
        <f>IF(ISERROR(VLOOKUP(AF41,DT:DT,1,FALSE)),0,1)*IF(ISERROR(VLOOKUP(AH41,DT:DT,1,FALSE)),0,1)*AO41</f>
        <v/>
      </c>
      <c r="BH41" s="13">
        <f>IF(ISERROR(VLOOKUP(AF41,DT:DT,1,FALSE)),0,1)*IF(ISERROR(VLOOKUP(AH41,DT:DT,1,FALSE)),0,1)*AP41</f>
        <v/>
      </c>
      <c r="BI41" s="13">
        <f>IF(ISERROR(VLOOKUP(AF41,DT:DT,1,FALSE)),0,1)*IF(ISERROR(VLOOKUP(AH41,DT:DT,1,FALSE)),0,1)*AQ41</f>
        <v/>
      </c>
      <c r="BJ41" s="13">
        <f>IF(ISERROR(VLOOKUP(AF41,DT:DT,1,FALSE)),0,1)*IF(ISERROR(VLOOKUP(AH41,DT:DT,1,FALSE)),0,1)*AR41</f>
        <v/>
      </c>
      <c r="BK41" s="13">
        <f>IF(ISERROR(VLOOKUP(AF41,DT:DT,1,FALSE)),0,1)*IF(ISERROR(VLOOKUP(AH41,DT:DT,1,FALSE)),0,1)*AS41</f>
        <v/>
      </c>
      <c r="BL41" s="13">
        <f>IF(ISERROR(VLOOKUP(AF41,EN:EN,1,FALSE)),0,1)*IF(ISERROR(VLOOKUP(AH41,EN:EN,1,FALSE)),0,1)*AN41</f>
        <v/>
      </c>
      <c r="BM41" s="13">
        <f>IF(ISERROR(VLOOKUP(AF41,EN:EN,1,FALSE)),0,1)*IF(ISERROR(VLOOKUP(AH41,EN:EN,1,FALSE)),0,1)*AO41</f>
        <v/>
      </c>
      <c r="BN41" s="13">
        <f>IF(ISERROR(VLOOKUP(AF41,EN:EN,1,FALSE)),0,1)*IF(ISERROR(VLOOKUP(AH41,EN:EN,1,FALSE)),0,1)*AP41</f>
        <v/>
      </c>
      <c r="BO41" s="13">
        <f>IF(ISERROR(VLOOKUP(AF41,EN:EN,1,FALSE)),0,1)*IF(ISERROR(VLOOKUP(AH41,EN:EN,1,FALSE)),0,1)*AQ41</f>
        <v/>
      </c>
      <c r="BP41" s="13">
        <f>IF(ISERROR(VLOOKUP(AF41,EN:EN,1,FALSE)),0,1)*IF(ISERROR(VLOOKUP(AH41,EN:EN,1,FALSE)),0,1)*AR41</f>
        <v/>
      </c>
      <c r="BQ41" s="13">
        <f>IF(ISERROR(VLOOKUP(AF41,EN:EN,1,FALSE)),0,1)*IF(ISERROR(VLOOKUP(AH41,EN:EN,1,FALSE)),0,1)*AS41</f>
        <v/>
      </c>
      <c r="BT41" s="12" t="inlineStr">
        <is>
          <t>Curaçao</t>
        </is>
      </c>
      <c r="BU41" s="13">
        <f>(SUMIF(AF$4:AF$108,BT41,AN$4:AN$108)+SUMIF(AH$4:AH$108,BT41,AO$4:AO$108))</f>
        <v/>
      </c>
      <c r="BV41" s="13">
        <f>(SUMIF(AF$4:AF$108,BT41,AP$4:AP$108)+SUMIF(AH$4:AH$108,BT41,AQ$4:AQ$108))</f>
        <v/>
      </c>
      <c r="BW41" s="13">
        <f>(SUMIF(AF$4:AF$108,BT41,AR$4:AR$108)+SUMIF(AH$4:AH$108,BT41,AS$4:AS$108))</f>
        <v/>
      </c>
      <c r="BX41" s="13">
        <f>SUMIF($AF$4:$AF$108,BT41,$AI$4:$AI$108)+SUMIF($AH$4:$AH$108,BT41,$AK$4:$AK$108)</f>
        <v/>
      </c>
      <c r="BY41" s="13">
        <f>SUMIF($AF$4:$AF$108,BT41,$AK$4:$AK$108)+SUMIF($AH$4:$AH$108,BT41,$AI$4:$AI$108)</f>
        <v/>
      </c>
      <c r="BZ41" s="13">
        <f>BX41-BY41</f>
        <v/>
      </c>
      <c r="CA41" s="13">
        <f>IFERROR(BU41*3+BV41*1,0)</f>
        <v/>
      </c>
      <c r="CB41" s="13" t="inlineStr">
        <is>
          <t>E</t>
        </is>
      </c>
      <c r="CC41" s="74">
        <f>RANK(CA41,CA40:CA43)</f>
        <v/>
      </c>
      <c r="CD41" s="13">
        <f>SUMPRODUCT((CA40:CA43=CA41)*(BZ40:BZ43&gt;BZ41))</f>
        <v/>
      </c>
      <c r="CF41" s="12">
        <f>IF(CC41=1,BT41,)</f>
        <v/>
      </c>
      <c r="CG41" s="13">
        <f>(SUMIF($AF$4:$AF$108,$BT41,$AT$4:$AT$108)+SUMIF($AH$4:$AH$108,$BT41,$AU$4:$AU$108))</f>
        <v/>
      </c>
      <c r="CH41" s="13">
        <f>(SUMIF($AF$4:$AF$108,$BT41,$AV$4:$AV$108)+SUMIF($AH$4:$AH$108,$BT41,$AW$4:$AW$108))</f>
        <v/>
      </c>
      <c r="CI41" s="13">
        <f>(SUMIF($AF$4:$AF$108,$BT41,$AX$4:$AX$108)+SUMIF($AH$4:$AH$108,$BT41,$AY$4:$AY$108))</f>
        <v/>
      </c>
      <c r="CJ41" s="13">
        <f>IFERROR(CG41*3+CH41*1,0)</f>
        <v/>
      </c>
      <c r="CK41" s="13">
        <f>CB41</f>
        <v/>
      </c>
      <c r="CL41" s="13">
        <f>IF(CF41&gt;0,RANK(CJ41,CJ40:CJ43),)</f>
        <v/>
      </c>
      <c r="CM41" s="13">
        <f>IF(AND(CF41&gt;0,COUNTIF(CL40:CL43,CL41)&gt;1),SUMIFS($AI$4:$AI$108,$AF$4:$AF$108,$BT41,$M$4:$M$108,1)+SUMIFS($AK$4:$AK$108,$AH$4:$AH$108,$BT41,$M$4:$M$108,1)-SUMIFS($AK$4:$AK$108,$AF$4:$AF$108,$BT41,$M$4:$M$108,1)-SUMIFS($AI$4:$AI$108,$AH$4:$AH$108,$BT41,$M$4:$M$108,1),)</f>
        <v/>
      </c>
      <c r="CN41" s="13">
        <f>IF(AND(CF41&gt;0,COUNTIF(CL40:CL43,CL41)&gt;1),CL41+RANK(CM41,CM40:CM43)-1,CL41)</f>
        <v/>
      </c>
      <c r="CO41" s="13">
        <f>IF(AND(CF41&gt;0,COUNTIF(CN40:CN43,CN41)&gt;1),SUMIFS($AI$4:$AI$108,$AF$4:$AF$108,$BT41,$M$4:$M$108,1)+SUMIFS($AK$4:$AK$108,$AH$4:$AH$108,$BT41,$M$4:$M$108,1),)</f>
        <v/>
      </c>
      <c r="CP41" s="13">
        <f>IF(AND(CF41&gt;0,COUNTIF(CN40:CN43,CN41)&gt;1),CN41+RANK(CO41,CO40:CO43)-1,CN41)</f>
        <v/>
      </c>
      <c r="CQ41" s="13">
        <f>IF(CP41=0,"",CP41)</f>
        <v/>
      </c>
      <c r="CR41" s="13">
        <f>IF(OR(CQ41="",COUNTIF(CQ40:CQ43,CQ41)=1),"",$BZ41)</f>
        <v/>
      </c>
      <c r="CS41" s="13">
        <f>IF(CQ41="","",IF(COUNTIF(CQ40:CQ43,CQ41)=1,CQ41,CQ41+RANK(CR41,CR40:CR43,0)-1))</f>
        <v/>
      </c>
      <c r="CT41" s="13">
        <f>IF(OR(CS41="",COUNTIF(CS40:CS43,CS41)=1),"",$BX41)</f>
        <v/>
      </c>
      <c r="CU41" s="13">
        <f>IF(CQ41="","",IF(COUNTIF(CS40:CS43,CS41)=1,CS41,CS41+RANK(CT41,CT40:CT43,0)-1))</f>
        <v/>
      </c>
      <c r="CV41" s="13">
        <f>IF(OR(CU41="",COUNTIF(CU40:CU43,CU41)=1),"",$BU41)</f>
        <v/>
      </c>
      <c r="CW41" s="13">
        <f>IF(CQ41="","",IF(COUNTIF(CU40:CU43,CU41)=1,CU41,CU41+RANK(CV41,CV40:CV43,0)-1))</f>
        <v/>
      </c>
      <c r="CX41" s="13">
        <f>IF(CF41&gt;0,BM38+RANK(CW41,CW40:CW43,1),)</f>
        <v/>
      </c>
      <c r="CZ41" s="12">
        <f>IF(CC41=2,BT41,)</f>
        <v/>
      </c>
      <c r="DA41" s="13">
        <f>(SUMIF($AF$4:$AF$108,$BT41,$AZ$4:$AZ$108)+SUMIF($AH$4:$AH$108,$BT41,$BA$4:$BA$108))</f>
        <v/>
      </c>
      <c r="DB41" s="13">
        <f>(SUMIF($AF$4:$AF$108,$BT41,$BB$4:$BB$108)+SUMIF($AH$4:$AH$108,$BT41,$BC$4:$BC$108))</f>
        <v/>
      </c>
      <c r="DC41" s="13">
        <f>(SUMIF($AF$4:$AF$108,$BT41,$BD$4:$BD$108)+SUMIF($AH$4:$AH$108,$BT41,$BE$4:$BE$108))</f>
        <v/>
      </c>
      <c r="DD41" s="13">
        <f>IFERROR(DA41*3+DB41*1,0)</f>
        <v/>
      </c>
      <c r="DE41" s="13">
        <f>$CB41</f>
        <v/>
      </c>
      <c r="DF41" s="13">
        <f>IF(CZ41&gt;0,RANK(DD41,DD40:DD43)+CG38,)</f>
        <v/>
      </c>
      <c r="DG41" s="13">
        <f>IF(AND(CZ41&gt;0,COUNTIF(DF40:DF43,DF41)&gt;1),SUMIFS($AI$4:$AI$108,$AF$4:$AF$108,$BT41,$M$4:$M$108,2)+SUMIFS($AK$4:$AK$108,$AH$4:$AH108,$BT41,$M$4:$M$108,2)-SUMIFS($AK$4:$AK$108,$AF$4:$AF$108,$BT41,$M$4:$M$108,2)-SUMIFS($AI$4:$AI$108,$AH$4:$AH$108,$BT41,$M$4:$M$108,2),)</f>
        <v/>
      </c>
      <c r="DH41" s="13">
        <f>IF(AND(CZ41&gt;0,COUNTIF(DF40:DF43,DF41)&gt;1),DF41+RANK(DG41,DG40:DG43)-1,DF41)</f>
        <v/>
      </c>
      <c r="DI41" s="13">
        <f>IF(AND(CZ41&gt;0,COUNTIF(DH40:DH43,DH41)&gt;1),SUMIFS($AI$4:$AI$108,$AF$4:$AF$108,$BT41,$M$4:$M$108,2)+SUMIFS($AK$4:$AK$108,$AH$4:$AH$108,$BT41,$M$4:$M$108,2),)</f>
        <v/>
      </c>
      <c r="DJ41" s="13">
        <f>IF(AND(CZ41&gt;0,COUNTIF(DH40:DH43,DH41)&gt;1),DH41+RANK(DI41,DI40:DI43)-1,DH41)</f>
        <v/>
      </c>
      <c r="DK41" s="75">
        <f>IF(DJ41=0,"",DJ41)</f>
        <v/>
      </c>
      <c r="DL41" s="75">
        <f>IF(OR(DK41="",COUNTIF(DK40:DK43,DK41)=1),"",$BZ41)</f>
        <v/>
      </c>
      <c r="DM41" s="75">
        <f>IF(DK41="","",IF(COUNTIF(DK40:DK43,DK41)=1,DK41,DK41+RANK(DL41,DL40:DL43,0)-1))</f>
        <v/>
      </c>
      <c r="DN41" s="75">
        <f>IF(OR(DM41="",COUNTIF(DM40:DM43,DM41)=1),"",$BX41)</f>
        <v/>
      </c>
      <c r="DO41" s="75">
        <f>IF(DK41="","",IF(COUNTIF(DM40:DM43,DM41)=1,DM41,DM41+RANK(DN41,DN40:DN43,0)-1))</f>
        <v/>
      </c>
      <c r="DP41" s="75">
        <f>IF(OR(DO41="",COUNTIF(DO40:DO43,DO41)=1),"",$BU41)</f>
        <v/>
      </c>
      <c r="DQ41" s="75">
        <f>IF(DK41="","",IF(COUNTIF(DO40:DO43,DO41)=1,DO41,DO41+RANK(DP41,DP40:DP43,0)-1))</f>
        <v/>
      </c>
      <c r="DR41" s="13">
        <f>IF(CZ41&gt;0,CG38+RANK(DQ41,DQ40:DQ43,1),)</f>
        <v/>
      </c>
      <c r="DT41" s="13">
        <f>IF(CC41=3,BT41,)</f>
        <v/>
      </c>
      <c r="DU41" s="13">
        <f>(SUMIF($AF$4:$AF$108,BT41,$BF$4:$BF$108)+SUMIF($AH$4:$AH$108,BT41,$BG$4:$BG$108))</f>
        <v/>
      </c>
      <c r="DV41" s="13">
        <f>(SUMIF($AF$4:$AF$108,BT41,$BH$4:$BH$108)+SUMIF($AH$4:$AH$108,BT41,$BI$4:$BI$108))</f>
        <v/>
      </c>
      <c r="DW41" s="13">
        <f>(SUMIF($AF$4:$AF$108,BT41,$BJ$4:$BJ$108)+SUMIF($AH$4:$AH$108,BT41,$BK$4:$BK$108))</f>
        <v/>
      </c>
      <c r="DX41" s="13">
        <f>IFERROR(DU41*3+DV41*1,0)</f>
        <v/>
      </c>
      <c r="DY41" s="13">
        <f>CB41</f>
        <v/>
      </c>
      <c r="DZ41" s="13">
        <f>IF(DT41&gt;0,RANK(DX41,DX40:DX43)+CG38+DA38,)</f>
        <v/>
      </c>
      <c r="EA41" s="13">
        <f>IF(AND(DT41&gt;0,COUNTIF(DZ40:DZ43,DZ41)&gt;1),SUMIFS($AI$4:$AI$108,$AF$4:$AF$108,$BT41,$M$4:$M$108,3)+SUMIFS($AK$4:$AK$108,$AH$4:$AH$108,$BT41,$M$4:$M$108,3)-SUMIFS($AK$4:$AK$108,$AF$4:$AF$108,$BT41,$M$4:$M$108,3)-SUMIFS($AI$4:$AI$108,$AH$4:$AH$108,$BT41,$M$4:$M$108,3),)</f>
        <v/>
      </c>
      <c r="EB41" s="13">
        <f>IF(AND(DT41&gt;0,COUNTIF(DZ40:DZ43,DZ41)&gt;1),DZ41+RANK(EA41,EA40:EA43)-1,DZ41)</f>
        <v/>
      </c>
      <c r="EC41" s="13">
        <f>IF(AND(DT41&gt;0,COUNTIF(EB40:EB43,EB41)&gt;1),SUMIFS($AI$4:$AI$108,$AF$4:$AF$108,$BT41,$M$4:$M$108,3)+SUMIFS($AK$4:$AK$108,$AH$4:$AH$108,$BT41,$M$4:$M$108,3),)</f>
        <v/>
      </c>
      <c r="ED41" s="13">
        <f>IF(AND(DT41&gt;0,COUNTIF(EB40:EB43,EB41)&gt;1),EB41+RANK(EC41,EC40:EC43)-1,EB41)</f>
        <v/>
      </c>
      <c r="EE41" s="13">
        <f>IF(ED41=0,"",ED41)</f>
        <v/>
      </c>
      <c r="EF41" s="13">
        <f>IF(OR(EE41="",COUNTIF(EE40:EE43,EE41)=1),"",$BZ41)</f>
        <v/>
      </c>
      <c r="EG41" s="13">
        <f>IF(EE41="","",IF(COUNTIF(EE40:EE43,EE41)=1,EE41,EE41+RANK(EF41,EF40:EF43,0)-1))</f>
        <v/>
      </c>
      <c r="EH41" s="13">
        <f>IF(OR(EG41="",COUNTIF(EG40:EG43,EG41)=1),"",$BX41)</f>
        <v/>
      </c>
      <c r="EI41" s="13">
        <f>IF(EE41="","",IF(COUNTIF(EG40:EG43,EG41)=1,EG41,EG41+RANK(EH41,EH40:EH43,0)-1))</f>
        <v/>
      </c>
      <c r="EJ41" s="13">
        <f>IF(OR(EI41="",COUNTIF(EI40:EI43,EI41)=1),"",$BU41)</f>
        <v/>
      </c>
      <c r="EK41" s="13">
        <f>IF(EE41="","",IF(COUNTIF(EI40:EI43,EI41)=1,EI41,EI41+RANK(EJ41,EJ40:EJ43,0)-1))</f>
        <v/>
      </c>
      <c r="EL41" s="13">
        <f>IF(DT41&gt;0,CG38+DA38+RANK(EK41,EK40:EK43,1),)</f>
        <v/>
      </c>
      <c r="EN41" s="13">
        <f>IF(CC41=4,BT41,)</f>
        <v/>
      </c>
      <c r="EO41" s="13">
        <f>(SUMIF($AF$4:$AF$108,$BT41,$BL$4:$BL$108)+SUMIF($AH$4:$AH$108,$BT41,$BM$4:$BM$108))</f>
        <v/>
      </c>
      <c r="EP41" s="13">
        <f>(SUMIF($AF$4:$AF$108,$BT41,$BN$4:$BN$108)+SUMIF($AH$4:$AH$108,$BT41,$BO$4:$BO$108))</f>
        <v/>
      </c>
      <c r="EQ41" s="13">
        <f>(SUMIF($AF$4:$AF$108,$BT41,$BP$4:$BP$108)+SUMIF($AH$4:$AH$108,$BT41,$BQ$4:$BQ$108))</f>
        <v/>
      </c>
      <c r="ER41" s="13">
        <f>IFERROR(EO41*3+EP41*1,0)</f>
        <v/>
      </c>
      <c r="ES41" s="13">
        <f>$CB41</f>
        <v/>
      </c>
      <c r="ET41" s="13">
        <f>IF(EN41&gt;0,RANK(ER41,ER40:ER43)+CG38+DA38+DU38,)</f>
        <v/>
      </c>
      <c r="EU41" s="13">
        <f>IF(AND(EN41&gt;0,COUNTIF(ET40:ET43,ET41)&gt;1),SUMIFS($AI$4:$AI$108,$AF$4:$AF$108,$BT41,$M$4:$M$108,4)+SUMIFS($AK$4:$AK$108,$AH$4:$AH$108,$BT41,$M$4:$M$108,4)-SUMIFS($AK$4:$AK$108,$AF$4:$AF$108,$BT41,$M$4:$M$108,4)-SUMIFS($AI$4:$AI$108,$AH$4:$AH$108,$BT41,$M$4:$M$108,4),)</f>
        <v/>
      </c>
      <c r="EV41" s="13">
        <f>IF(AND(EN41&gt;0,COUNTIF(ET40:ET43,ET41)&gt;1),ET41+RANK(EU41,EU40:EU43)-1,ET41)</f>
        <v/>
      </c>
      <c r="EW41" s="13">
        <f>IF(AND(EN41&gt;0,COUNTIF(EV41:EV44,EV41)&gt;1),SUMIFS($AI$4:$AI$108,$AF$4:$AF$108,$BT41,$M$4:$M$108,4)+SUMIFS($AK$4:$AK$108,$AH$4:$AH$108,$BT41,$M$4:$M$108,4),)</f>
        <v/>
      </c>
      <c r="EX41" s="13">
        <f>IF(AND(EN41&gt;0,COUNTIF(EV40:EV43,EV41)&gt;1),EV41+RANK(EW41,EW40:EW43)-1,EV41)</f>
        <v/>
      </c>
      <c r="EY41" s="13">
        <f>IF(EX41=0,"",EX41)</f>
        <v/>
      </c>
      <c r="EZ41" s="13">
        <f>IF(OR(EY41="",COUNTIF(EY40:EY43,EY41)=1),"",$BZ41)</f>
        <v/>
      </c>
      <c r="FA41" s="13">
        <f>IF(EY41="","",IF(COUNTIF(EY40:EY43,EY41)=1,EY41,EY41+RANK(EZ41,EZ40:EZ43,0)-1))</f>
        <v/>
      </c>
      <c r="FB41" s="13">
        <f>IF(OR(FA41="",COUNTIF(FA40:FA43,FA41)=1),"",$BX41)</f>
        <v/>
      </c>
      <c r="FC41" s="13">
        <f>IF(EY41="","",IF(COUNTIF(FA40:FA43,FA41)=1,FA41,FA41+RANK(FB41,FB40:FB43,0)-1))</f>
        <v/>
      </c>
      <c r="FD41" s="13">
        <f>IF(OR(FC41="",COUNTIF(FC40:FC43,FC41)=1),"",$BU41)</f>
        <v/>
      </c>
      <c r="FE41" s="13">
        <f>IF(EY41="","",IF(COUNTIF(FC40:FC43,FC41)=1,FC41,FC41+RANK(FD41,FD40:FD43,0)-1))</f>
        <v/>
      </c>
      <c r="FF41" s="13">
        <f>IF(EN41&gt;0,CG38+DA38+DU38+RANK(FE41,FE40:FE43,1),)</f>
        <v/>
      </c>
      <c r="FH41" s="13">
        <f>IFERROR(VLOOKUP(FJ41,CF39:CX43,19,FALSE),IFERROR(VLOOKUP(FJ41,CZ39:DR43,19,FALSE),IFERROR(VLOOKUP(FJ41,DT39:EL43,19,FALSE),VLOOKUP(FJ41,EN39:FF43,19,FALSE))))</f>
        <v/>
      </c>
      <c r="FI41" s="13">
        <f>RANK(FH41,FH40:FH43,1)+COUNTIF(FH40:FH41,FH41)-1</f>
        <v/>
      </c>
      <c r="FJ41" s="12">
        <f>BT41</f>
        <v/>
      </c>
      <c r="FZ41" s="79" t="n">
        <v>39</v>
      </c>
      <c r="GA41" s="3">
        <f>GB41&amp;GC41&amp;GD41&amp;GE41&amp;GF41&amp;GG41&amp;GH41&amp;GI41</f>
        <v/>
      </c>
      <c r="GB41" s="3" t="inlineStr">
        <is>
          <t>C</t>
        </is>
      </c>
      <c r="GC41" s="3" t="inlineStr">
        <is>
          <t>G</t>
        </is>
      </c>
      <c r="GD41" s="3" t="inlineStr">
        <is>
          <t>E</t>
        </is>
      </c>
      <c r="GE41" s="3" t="inlineStr">
        <is>
          <t>D</t>
        </is>
      </c>
      <c r="GF41" s="3" t="inlineStr">
        <is>
          <t>J</t>
        </is>
      </c>
      <c r="GG41" s="3" t="inlineStr">
        <is>
          <t>F</t>
        </is>
      </c>
      <c r="GH41" s="3" t="inlineStr">
        <is>
          <t>L</t>
        </is>
      </c>
      <c r="GI41" s="3" t="inlineStr">
        <is>
          <t>I</t>
        </is>
      </c>
      <c r="GJ41" s="9">
        <f>VLOOKUP(GB41,$FM$3:$FN$15,2,FALSE)</f>
        <v/>
      </c>
      <c r="GK41" s="9">
        <f>VLOOKUP(GC41,$FM$3:$FN$15,2,FALSE)</f>
        <v/>
      </c>
      <c r="GL41" s="9">
        <f>VLOOKUP(GD41,$FM$3:$FN$15,2,FALSE)</f>
        <v/>
      </c>
      <c r="GM41" s="9">
        <f>VLOOKUP(GE41,$FM$3:$FN$15,2,FALSE)</f>
        <v/>
      </c>
      <c r="GN41" s="9">
        <f>VLOOKUP(GF41,$FM$3:$FN$15,2,FALSE)</f>
        <v/>
      </c>
      <c r="GO41" s="9">
        <f>VLOOKUP(GG41,$FM$3:$FN$15,2,FALSE)</f>
        <v/>
      </c>
      <c r="GP41" s="9">
        <f>VLOOKUP(GH41,$FM$3:$FN$15,2,FALSE)</f>
        <v/>
      </c>
      <c r="GQ41" s="9">
        <f>VLOOKUP(GI41,$FM$3:$FN$15,2,FALSE)</f>
        <v/>
      </c>
      <c r="GR41" s="9">
        <f>IFERROR(IF(AND(VLOOKUP(GB41,$FX$4:$FX$15,1,FALSE)=GB41,VLOOKUP(GC41,$FX$4:$FX$15,1,FALSE)=GC41,VLOOKUP(GD41,$FX$4:$FX$15,1,FALSE)=GD41,VLOOKUP(GE41,$FX$4:$FX$15,1,FALSE)=GE41,VLOOKUP(GF41,$FX$4:$FX$15,1,FALSE)=GF41,VLOOKUP(GG41,$FX$4:$FX$15,1,FALSE)=GG41,VLOOKUP(GH41,$FX$4:$FX$15,1,FALSE)=GH41,VLOOKUP(GI41,$FX$4:$FX$15,1,FALSE)=GI41),FZ41,""),"")</f>
        <v/>
      </c>
      <c r="GX41" s="79" t="n"/>
    </row>
    <row r="42" ht="14.25" customHeight="1">
      <c r="B42" s="58" t="n">
        <v>33</v>
      </c>
      <c r="C42" s="59" t="n">
        <v>46193</v>
      </c>
      <c r="D42" s="60" t="inlineStr">
        <is>
          <t>Tyskland</t>
        </is>
      </c>
      <c r="E42" s="61" t="inlineStr">
        <is>
          <t>-</t>
        </is>
      </c>
      <c r="F42" s="62" t="inlineStr">
        <is>
          <t>Elfenbenskusten</t>
        </is>
      </c>
      <c r="G42" s="63" t="n">
        <v>2</v>
      </c>
      <c r="H42" s="64" t="inlineStr">
        <is>
          <t>-</t>
        </is>
      </c>
      <c r="I42" s="63" t="n">
        <v>0</v>
      </c>
      <c r="J42" s="65">
        <f>IF(OR(ISBLANK(G42),ISBLANK(I42)),"",IF(G42&gt;I42,1,IF(G42&lt;I42,2,"X")))</f>
        <v/>
      </c>
      <c r="K42" s="66">
        <f>IF(OR(G42="",I42="",'[1]Resultat &amp; tabell'!G42="",'[1]Resultat &amp; tabell'!I42=""),0,IF(G42='[1]Resultat &amp; tabell'!G42,2,0)+IF(I42='[1]Resultat &amp; tabell'!I42,2,0)+IF(J42='[1]Resultat &amp; tabell'!J42,2,0))</f>
        <v/>
      </c>
      <c r="L42" s="67" t="n"/>
      <c r="M42" s="29">
        <f>IF(VLOOKUP(D42,$BT$39:$CC$43,10,FALSE)=VLOOKUP(F42,$BT$39:$CC$43,10,FALSE),VLOOKUP(D42,$BT$39:$CC$43,10,FALSE),"-")</f>
        <v/>
      </c>
      <c r="N42" s="30" t="n">
        <v>3</v>
      </c>
      <c r="O42" s="83">
        <f>VLOOKUP(N42,FI40:FJ43,2,FALSE)</f>
        <v/>
      </c>
      <c r="P42" s="84">
        <f>VLOOKUP($O42,$BT$40:$CA$43,2,FALSE)</f>
        <v/>
      </c>
      <c r="Q42" s="84">
        <f>VLOOKUP($O42,$BT$40:$CA$43,3,FALSE)</f>
        <v/>
      </c>
      <c r="R42" s="84">
        <f>VLOOKUP($O42,$BT$40:$CA$43,4,FALSE)</f>
        <v/>
      </c>
      <c r="S42" s="84">
        <f>VLOOKUP($O42,$BT$40:$CA$43,5,FALSE)</f>
        <v/>
      </c>
      <c r="T42" s="84">
        <f>VLOOKUP($O42,$BT$40:$CA$43,6,FALSE)</f>
        <v/>
      </c>
      <c r="U42" s="84">
        <f>VLOOKUP($O42,$BT$40:$CA$43,7,FALSE)</f>
        <v/>
      </c>
      <c r="V42" s="85">
        <f>VLOOKUP($O42,$BT$40:$CA$43,8,FALSE)</f>
        <v/>
      </c>
      <c r="X42" s="1" t="n"/>
      <c r="AE42" s="72">
        <f>C42</f>
        <v/>
      </c>
      <c r="AF42" s="72">
        <f>D42</f>
        <v/>
      </c>
      <c r="AG42" s="72">
        <f>E42</f>
        <v/>
      </c>
      <c r="AH42" s="72">
        <f>F42</f>
        <v/>
      </c>
      <c r="AI42" s="63">
        <f>IF(G42="","",G42)</f>
        <v/>
      </c>
      <c r="AJ42" s="58">
        <f>H42</f>
        <v/>
      </c>
      <c r="AK42" s="63">
        <f>IF(I42="","",I42)</f>
        <v/>
      </c>
      <c r="AL42" s="65">
        <f>J42</f>
        <v/>
      </c>
      <c r="AM42" s="73" t="n"/>
      <c r="AN42" s="13">
        <f>IF(AI42&gt;AK42,1,0)</f>
        <v/>
      </c>
      <c r="AO42" s="13">
        <f>IF(AK42&gt;AI42,1,0)</f>
        <v/>
      </c>
      <c r="AP42" s="13">
        <f>IF(AND(AI42=AK42,AI42&lt;&gt;""),1,0)</f>
        <v/>
      </c>
      <c r="AQ42" s="13">
        <f>IF(AND(AI42=AK42,AI42&lt;&gt;""),1,0)</f>
        <v/>
      </c>
      <c r="AR42" s="13">
        <f>IF(AI42&lt;AK42,1,0)</f>
        <v/>
      </c>
      <c r="AS42" s="13">
        <f>IF(AK42&lt;AI42,1,)</f>
        <v/>
      </c>
      <c r="AT42" s="13">
        <f>IF(ISERROR(VLOOKUP(AF42,CF:CF,1,FALSE)),0,1)*IF(ISERROR(VLOOKUP(AH42,CF:CF,1,FALSE)),0,1)*AN42</f>
        <v/>
      </c>
      <c r="AU42" s="13">
        <f>IF(ISERROR(VLOOKUP(AF42,CF:CF,1,FALSE)),0,1)*IF(ISERROR(VLOOKUP(AH42,CF:CF,1,FALSE)),0,1)*AO42</f>
        <v/>
      </c>
      <c r="AV42" s="13">
        <f>IF(ISERROR(VLOOKUP(AF42,CF:CF,1,FALSE)),0,1)*IF(ISERROR(VLOOKUP(AH42,CF:CF,1,FALSE)),0,1)*AP42</f>
        <v/>
      </c>
      <c r="AW42" s="13">
        <f>IF(ISERROR(VLOOKUP(AF42,CF:CF,1,FALSE)),0,1)*IF(ISERROR(VLOOKUP(AH42,CF:CF,1,FALSE)),0,1)*AQ42</f>
        <v/>
      </c>
      <c r="AX42" s="13">
        <f>IF(ISERROR(VLOOKUP(AF42,CF:CF,1,FALSE)),0,1)*IF(ISERROR(VLOOKUP(AH42,CF:CF,1,FALSE)),0,1)*AR42</f>
        <v/>
      </c>
      <c r="AY42" s="13">
        <f>IF(ISERROR(VLOOKUP(AF42,CF:CF,1,FALSE)),0,1)*IF(ISERROR(VLOOKUP(AH42,CF:CF,1,FALSE)),0,1)*AS42</f>
        <v/>
      </c>
      <c r="AZ42" s="13">
        <f>IF(ISERROR(VLOOKUP(AF42,CZ:CZ,1,FALSE)),0,1)*IF(ISERROR(VLOOKUP(AH42,CZ:CZ,1,FALSE)),0,1)*AN42</f>
        <v/>
      </c>
      <c r="BA42" s="13">
        <f>IF(ISERROR(VLOOKUP(AF42,CZ:CZ,1,FALSE)),0,1)*IF(ISERROR(VLOOKUP(AH42,CZ:CZ,1,FALSE)),0,1)*AO42</f>
        <v/>
      </c>
      <c r="BB42" s="13">
        <f>IF(ISERROR(VLOOKUP(AF42,CZ:CZ,1,FALSE)),0,1)*IF(ISERROR(VLOOKUP(AH42,CZ:CZ,1,FALSE)),0,1)*AP42</f>
        <v/>
      </c>
      <c r="BC42" s="13">
        <f>IF(ISERROR(VLOOKUP(AF42,CZ:CZ,1,FALSE)),0,1)*IF(ISERROR(VLOOKUP(AH42,CZ:CZ,1,FALSE)),0,1)*AQ42</f>
        <v/>
      </c>
      <c r="BD42" s="13">
        <f>IF(ISERROR(VLOOKUP(AF42,CZ:CZ,1,FALSE)),0,1)*IF(ISERROR(VLOOKUP(AH42,CZ:CZ,1,FALSE)),0,1)*AR42</f>
        <v/>
      </c>
      <c r="BE42" s="13">
        <f>IF(ISERROR(VLOOKUP(AF42,CZ:CZ,1,FALSE)),0,1)*IF(ISERROR(VLOOKUP(AH42,CZ:CZ,1,FALSE)),0,1)*AS42</f>
        <v/>
      </c>
      <c r="BF42" s="13">
        <f>IF(ISERROR(VLOOKUP(AF42,DT:DT,1,FALSE)),0,1)*IF(ISERROR(VLOOKUP(AH42,DT:DT,1,FALSE)),0,1)*AN42</f>
        <v/>
      </c>
      <c r="BG42" s="13">
        <f>IF(ISERROR(VLOOKUP(AF42,DT:DT,1,FALSE)),0,1)*IF(ISERROR(VLOOKUP(AH42,DT:DT,1,FALSE)),0,1)*AO42</f>
        <v/>
      </c>
      <c r="BH42" s="13">
        <f>IF(ISERROR(VLOOKUP(AF42,DT:DT,1,FALSE)),0,1)*IF(ISERROR(VLOOKUP(AH42,DT:DT,1,FALSE)),0,1)*AP42</f>
        <v/>
      </c>
      <c r="BI42" s="13">
        <f>IF(ISERROR(VLOOKUP(AF42,DT:DT,1,FALSE)),0,1)*IF(ISERROR(VLOOKUP(AH42,DT:DT,1,FALSE)),0,1)*AQ42</f>
        <v/>
      </c>
      <c r="BJ42" s="13">
        <f>IF(ISERROR(VLOOKUP(AF42,DT:DT,1,FALSE)),0,1)*IF(ISERROR(VLOOKUP(AH42,DT:DT,1,FALSE)),0,1)*AR42</f>
        <v/>
      </c>
      <c r="BK42" s="13">
        <f>IF(ISERROR(VLOOKUP(AF42,DT:DT,1,FALSE)),0,1)*IF(ISERROR(VLOOKUP(AH42,DT:DT,1,FALSE)),0,1)*AS42</f>
        <v/>
      </c>
      <c r="BL42" s="13">
        <f>IF(ISERROR(VLOOKUP(AF42,EN:EN,1,FALSE)),0,1)*IF(ISERROR(VLOOKUP(AH42,EN:EN,1,FALSE)),0,1)*AN42</f>
        <v/>
      </c>
      <c r="BM42" s="13">
        <f>IF(ISERROR(VLOOKUP(AF42,EN:EN,1,FALSE)),0,1)*IF(ISERROR(VLOOKUP(AH42,EN:EN,1,FALSE)),0,1)*AO42</f>
        <v/>
      </c>
      <c r="BN42" s="13">
        <f>IF(ISERROR(VLOOKUP(AF42,EN:EN,1,FALSE)),0,1)*IF(ISERROR(VLOOKUP(AH42,EN:EN,1,FALSE)),0,1)*AP42</f>
        <v/>
      </c>
      <c r="BO42" s="13">
        <f>IF(ISERROR(VLOOKUP(AF42,EN:EN,1,FALSE)),0,1)*IF(ISERROR(VLOOKUP(AH42,EN:EN,1,FALSE)),0,1)*AQ42</f>
        <v/>
      </c>
      <c r="BP42" s="13">
        <f>IF(ISERROR(VLOOKUP(AF42,EN:EN,1,FALSE)),0,1)*IF(ISERROR(VLOOKUP(AH42,EN:EN,1,FALSE)),0,1)*AR42</f>
        <v/>
      </c>
      <c r="BQ42" s="13">
        <f>IF(ISERROR(VLOOKUP(AF42,EN:EN,1,FALSE)),0,1)*IF(ISERROR(VLOOKUP(AH42,EN:EN,1,FALSE)),0,1)*AS42</f>
        <v/>
      </c>
      <c r="BT42" s="12" t="inlineStr">
        <is>
          <t>Elfenbenskusten</t>
        </is>
      </c>
      <c r="BU42" s="13">
        <f>(SUMIF(AF$4:AF$108,BT42,AN$4:AN$108)+SUMIF(AH$4:AH$108,BT42,AO$4:AO$108))</f>
        <v/>
      </c>
      <c r="BV42" s="13">
        <f>(SUMIF(AF$4:AF$108,BT42,AP$4:AP$108)+SUMIF(AH$4:AH$108,BT42,AQ$4:AQ$108))</f>
        <v/>
      </c>
      <c r="BW42" s="13">
        <f>(SUMIF(AF$4:AF$108,BT42,AR$4:AR$108)+SUMIF(AH$4:AH$108,BT42,AS$4:AS$108))</f>
        <v/>
      </c>
      <c r="BX42" s="13">
        <f>SUMIF($AF$4:$AF$108,BT42,$AI$4:$AI$108)+SUMIF($AH$4:$AH$108,BT42,$AK$4:$AK$108)</f>
        <v/>
      </c>
      <c r="BY42" s="13">
        <f>SUMIF($AF$4:$AF$108,BT42,$AK$4:$AK$108)+SUMIF($AH$4:$AH$108,BT42,$AI$4:$AI$108)</f>
        <v/>
      </c>
      <c r="BZ42" s="13">
        <f>BX42-BY42</f>
        <v/>
      </c>
      <c r="CA42" s="13">
        <f>IFERROR(BU42*3+BV42*1,0)</f>
        <v/>
      </c>
      <c r="CB42" s="13" t="inlineStr">
        <is>
          <t>E</t>
        </is>
      </c>
      <c r="CC42" s="74">
        <f>RANK(CA42,CA40:CA43)</f>
        <v/>
      </c>
      <c r="CD42" s="13">
        <f>SUMPRODUCT((CA40:CA43=CA42)*(BZ40:BZ43&gt;BZ42))</f>
        <v/>
      </c>
      <c r="CF42" s="12">
        <f>IF(CC42=1,BT42,)</f>
        <v/>
      </c>
      <c r="CG42" s="13">
        <f>(SUMIF($AF$4:$AF$108,$BT42,$AT$4:$AT$108)+SUMIF($AH$4:$AH$108,$BT42,$AU$4:$AU$108))</f>
        <v/>
      </c>
      <c r="CH42" s="13">
        <f>(SUMIF($AF$4:$AF$108,$BT42,$AV$4:$AV$108)+SUMIF($AH$4:$AH$108,$BT42,$AW$4:$AW$108))</f>
        <v/>
      </c>
      <c r="CI42" s="13">
        <f>(SUMIF($AF$4:$AF$108,$BT42,$AX$4:$AX$108)+SUMIF($AH$4:$AH$108,$BT42,$AY$4:$AY$108))</f>
        <v/>
      </c>
      <c r="CJ42" s="13">
        <f>IFERROR(CG42*3+CH42*1,0)</f>
        <v/>
      </c>
      <c r="CK42" s="13">
        <f>CB42</f>
        <v/>
      </c>
      <c r="CL42" s="13">
        <f>IF(CF42&gt;0,RANK(CJ42,CJ40:CJ43),)</f>
        <v/>
      </c>
      <c r="CM42" s="13">
        <f>IF(AND(CF42&gt;0,COUNTIF(CL40:CL43,CL42)&gt;1),SUMIFS($AI$4:$AI$108,$AF$4:$AF$108,$BT42,$M$4:$M$108,1)+SUMIFS($AK$4:$AK$108,$AH$4:$AH$108,$BT42,$M$4:$M$108,1)-SUMIFS($AK$4:$AK$108,$AF$4:$AF$108,$BT42,$M$4:$M$108,1)-SUMIFS($AI$4:$AI$108,$AH$4:$AH$108,$BT42,$M$4:$M$108,1),)</f>
        <v/>
      </c>
      <c r="CN42" s="13">
        <f>IF(AND(CF42&gt;0,COUNTIF(CL40:CL43,CL42)&gt;1),CL42+RANK(CM42,CM40:CM43)-1,CL42)</f>
        <v/>
      </c>
      <c r="CO42" s="13">
        <f>IF(AND(CF42&gt;0,COUNTIF(CN40:CN43,CN42)&gt;1),SUMIFS($AI$4:$AI$108,$AF$4:$AF$108,$BT42,$M$4:$M$108,1)+SUMIFS($AK$4:$AK$108,$AH$4:$AH$108,$BT42,$M$4:$M$108,1),)</f>
        <v/>
      </c>
      <c r="CP42" s="13">
        <f>IF(AND(CF42&gt;0,COUNTIF(CN40:CN43,CN42)&gt;1),CN42+RANK(CO42,CO40:CO43)-1,CN42)</f>
        <v/>
      </c>
      <c r="CQ42" s="13">
        <f>IF(CP42=0,"",CP42)</f>
        <v/>
      </c>
      <c r="CR42" s="13">
        <f>IF(OR(CQ42="",COUNTIF(CQ40:CQ43,CQ42)=1),"",$BZ42)</f>
        <v/>
      </c>
      <c r="CS42" s="13">
        <f>IF(CQ42="","",IF(COUNTIF(CQ40:CQ43,CQ42)=1,CQ42,CQ42+RANK(CR42,CR40:CR43,0)-1))</f>
        <v/>
      </c>
      <c r="CT42" s="13">
        <f>IF(OR(CS42="",COUNTIF(CS40:CS43,CS42)=1),"",$BX42)</f>
        <v/>
      </c>
      <c r="CU42" s="13">
        <f>IF(CQ42="","",IF(COUNTIF(CS40:CS43,CS42)=1,CS42,CS42+RANK(CT42,CT40:CT43,0)-1))</f>
        <v/>
      </c>
      <c r="CV42" s="13">
        <f>IF(OR(CU42="",COUNTIF(CU40:CU43,CU42)=1),"",$BU42)</f>
        <v/>
      </c>
      <c r="CW42" s="13">
        <f>IF(CQ42="","",IF(COUNTIF(CU40:CU43,CU42)=1,CU42,CU42+RANK(CV42,CV40:CV43,0)-1))</f>
        <v/>
      </c>
      <c r="CX42" s="13">
        <f>IF(CF42&gt;0,BM38+RANK(CW42,CW40:CW43,1),)</f>
        <v/>
      </c>
      <c r="CZ42" s="12">
        <f>IF(CC42=2,BT42,)</f>
        <v/>
      </c>
      <c r="DA42" s="13">
        <f>(SUMIF($AF$4:$AF$108,$BT42,$AZ$4:$AZ$108)+SUMIF($AH$4:$AH$108,$BT42,$BA$4:$BA$108))</f>
        <v/>
      </c>
      <c r="DB42" s="13">
        <f>(SUMIF($AF$4:$AF$108,$BT42,$BB$4:$BB$108)+SUMIF($AH$4:$AH$108,$BT42,$BC$4:$BC$108))</f>
        <v/>
      </c>
      <c r="DC42" s="13">
        <f>(SUMIF($AF$4:$AF$108,$BT42,$BD$4:$BD$108)+SUMIF($AH$4:$AH$108,$BT42,$BE$4:$BE$108))</f>
        <v/>
      </c>
      <c r="DD42" s="13">
        <f>IFERROR(DA42*3+DB42*1,0)</f>
        <v/>
      </c>
      <c r="DE42" s="13">
        <f>$CB42</f>
        <v/>
      </c>
      <c r="DF42" s="13">
        <f>IF(CZ42&gt;0,RANK(DD42,DD40:DD43)+CG38,)</f>
        <v/>
      </c>
      <c r="DG42" s="13">
        <f>IF(AND(CZ42&gt;0,COUNTIF(DF40:DF43,DF42)&gt;1),SUMIFS($AI$4:$AI$108,$AF$4:$AF$108,$BT42,$M$4:$M$108,2)+SUMIFS($AK$4:$AK$108,$AH$4:$AH108,$BT42,$M$4:$M$108,2)-SUMIFS($AK$4:$AK$108,$AF$4:$AF$108,$BT42,$M$4:$M$108,2)-SUMIFS($AI$4:$AI$108,$AH$4:$AH$108,$BT42,$M$4:$M$108,2),)</f>
        <v/>
      </c>
      <c r="DH42" s="13">
        <f>IF(AND(CZ42&gt;0,COUNTIF(DF40:DF43,DF42)&gt;1),DF42+RANK(DG42,DG40:DG43)-1,DF42)</f>
        <v/>
      </c>
      <c r="DI42" s="13">
        <f>IF(AND(CZ42&gt;0,COUNTIF(DH40:DH43,DH42)&gt;1),SUMIFS($AI$4:$AI$108,$AF$4:$AF$108,$BT42,$M$4:$M$108,2)+SUMIFS($AK$4:$AK$108,$AH$4:$AH$108,$BT42,$M$4:$M$108,2),)</f>
        <v/>
      </c>
      <c r="DJ42" s="13">
        <f>IF(AND(CZ42&gt;0,COUNTIF(DH40:DH43,DH42)&gt;1),DH42+RANK(DI42,DI40:DI43)-1,DH42)</f>
        <v/>
      </c>
      <c r="DK42" s="75">
        <f>IF(DJ42=0,"",DJ42)</f>
        <v/>
      </c>
      <c r="DL42" s="75">
        <f>IF(OR(DK42="",COUNTIF(DK40:DK43,DK42)=1),"",$BZ42)</f>
        <v/>
      </c>
      <c r="DM42" s="75">
        <f>IF(DK42="","",IF(COUNTIF(DK40:DK43,DK42)=1,DK42,DK42+RANK(DL42,DL40:DL43,0)-1))</f>
        <v/>
      </c>
      <c r="DN42" s="75">
        <f>IF(OR(DM42="",COUNTIF(DM40:DM43,DM42)=1),"",$BX42)</f>
        <v/>
      </c>
      <c r="DO42" s="75">
        <f>IF(DK42="","",IF(COUNTIF(DM40:DM43,DM42)=1,DM42,DM42+RANK(DN42,DN40:DN43,0)-1))</f>
        <v/>
      </c>
      <c r="DP42" s="75">
        <f>IF(OR(DO42="",COUNTIF(DO40:DO43,DO42)=1),"",$BU42)</f>
        <v/>
      </c>
      <c r="DQ42" s="75">
        <f>IF(DK42="","",IF(COUNTIF(DO40:DO43,DO42)=1,DO42,DO42+RANK(DP42,DP40:DP43,0)-1))</f>
        <v/>
      </c>
      <c r="DR42" s="13">
        <f>IF(CZ42&gt;0,CG38+RANK(DQ42,DQ40:DQ43,1),)</f>
        <v/>
      </c>
      <c r="DT42" s="13">
        <f>IF(CC42=3,BT42,)</f>
        <v/>
      </c>
      <c r="DU42" s="13">
        <f>(SUMIF($AF$4:$AF$108,BT42,$BF$4:$BF$108)+SUMIF($AH$4:$AH$108,BT42,$BG$4:$BG$108))</f>
        <v/>
      </c>
      <c r="DV42" s="13">
        <f>(SUMIF($AF$4:$AF$108,BT42,$BH$4:$BH$108)+SUMIF($AH$4:$AH$108,BT42,$BI$4:$BI$108))</f>
        <v/>
      </c>
      <c r="DW42" s="13">
        <f>(SUMIF($AF$4:$AF$108,BT42,$BJ$4:$BJ$108)+SUMIF($AH$4:$AH$108,BT42,$BK$4:$BK$108))</f>
        <v/>
      </c>
      <c r="DX42" s="13">
        <f>IFERROR(DU42*3+DV42*1,0)</f>
        <v/>
      </c>
      <c r="DY42" s="13">
        <f>CB42</f>
        <v/>
      </c>
      <c r="DZ42" s="13">
        <f>IF(DT42&gt;0,RANK(DX42,DX40:DX43)+CG38+DA38,)</f>
        <v/>
      </c>
      <c r="EA42" s="13">
        <f>IF(AND(DT42&gt;0,COUNTIF(DZ40:DZ43,DZ42)&gt;1),SUMIFS($AI$4:$AI$108,$AF$4:$AF$108,$BT42,$M$4:$M$108,3)+SUMIFS($AK$4:$AK$108,$AH$4:$AH$108,$BT42,$M$4:$M$108,3)-SUMIFS($AK$4:$AK$108,$AF$4:$AF$108,$BT42,$M$4:$M$108,3)-SUMIFS($AI$4:$AI$108,$AH$4:$AH$108,$BT42,$M$4:$M$108,3),)</f>
        <v/>
      </c>
      <c r="EB42" s="13">
        <f>IF(AND(DT42&gt;0,COUNTIF(DZ40:DZ43,DZ42)&gt;1),DZ42+RANK(EA42,EA40:EA43)-1,DZ42)</f>
        <v/>
      </c>
      <c r="EC42" s="13">
        <f>IF(AND(DT42&gt;0,COUNTIF(EB40:EB43,EB42)&gt;1),SUMIFS($AI$4:$AI$108,$AF$4:$AF$108,$BT42,$M$4:$M$108,3)+SUMIFS($AK$4:$AK$108,$AH$4:$AH$108,$BT42,$M$4:$M$108,3),)</f>
        <v/>
      </c>
      <c r="ED42" s="13">
        <f>IF(AND(DT42&gt;0,COUNTIF(EB40:EB43,EB42)&gt;1),EB42+RANK(EC42,EC40:EC43)-1,EB42)</f>
        <v/>
      </c>
      <c r="EE42" s="13">
        <f>IF(ED42=0,"",ED42)</f>
        <v/>
      </c>
      <c r="EF42" s="13">
        <f>IF(OR(EE42="",COUNTIF(EE40:EE43,EE42)=1),"",$BZ42)</f>
        <v/>
      </c>
      <c r="EG42" s="13">
        <f>IF(EE42="","",IF(COUNTIF(EE40:EE43,EE42)=1,EE42,EE42+RANK(EF42,EF40:EF43,0)-1))</f>
        <v/>
      </c>
      <c r="EH42" s="13">
        <f>IF(OR(EG42="",COUNTIF(EG40:EG43,EG42)=1),"",$BX42)</f>
        <v/>
      </c>
      <c r="EI42" s="13">
        <f>IF(EE42="","",IF(COUNTIF(EG40:EG43,EG42)=1,EG42,EG42+RANK(EH42,EH40:EH43,0)-1))</f>
        <v/>
      </c>
      <c r="EJ42" s="13">
        <f>IF(OR(EI42="",COUNTIF(EI40:EI43,EI42)=1),"",$BU42)</f>
        <v/>
      </c>
      <c r="EK42" s="13">
        <f>IF(EE42="","",IF(COUNTIF(EI40:EI43,EI42)=1,EI42,EI42+RANK(EJ42,EJ40:EJ43,0)-1))</f>
        <v/>
      </c>
      <c r="EL42" s="13">
        <f>IF(DT42&gt;0,CG38+DA38+RANK(EK42,EK40:EK43,1),)</f>
        <v/>
      </c>
      <c r="EN42" s="13">
        <f>IF(CC42=4,BT42,)</f>
        <v/>
      </c>
      <c r="EO42" s="13">
        <f>(SUMIF($AF$4:$AF$108,$BT42,$BL$4:$BL$108)+SUMIF($AH$4:$AH$108,$BT42,$BM$4:$BM$108))</f>
        <v/>
      </c>
      <c r="EP42" s="13">
        <f>(SUMIF($AF$4:$AF$108,$BT42,$BN$4:$BN$108)+SUMIF($AH$4:$AH$108,$BT42,$BO$4:$BO$108))</f>
        <v/>
      </c>
      <c r="EQ42" s="13">
        <f>(SUMIF($AF$4:$AF$108,$BT42,$BP$4:$BP$108)+SUMIF($AH$4:$AH$108,$BT42,$BQ$4:$BQ$108))</f>
        <v/>
      </c>
      <c r="ER42" s="13">
        <f>IFERROR(EO42*3+EP42*1,0)</f>
        <v/>
      </c>
      <c r="ES42" s="13">
        <f>$CB42</f>
        <v/>
      </c>
      <c r="ET42" s="13">
        <f>IF(EN42&gt;0,RANK(ER42,ER40:ER43)+CG38+DA38+DU38,)</f>
        <v/>
      </c>
      <c r="EU42" s="13">
        <f>IF(AND(EN42&gt;0,COUNTIF(ET40:ET43,ET42)&gt;1),SUMIFS($AI$4:$AI$108,$AF$4:$AF$108,$BT42,$M$4:$M$108,4)+SUMIFS($AK$4:$AK$108,$AH$4:$AH$108,$BT42,$M$4:$M$108,4)-SUMIFS($AK$4:$AK$108,$AF$4:$AF$108,$BT42,$M$4:$M$108,4)-SUMIFS($AI$4:$AI$108,$AH$4:$AH$108,$BT42,$M$4:$M$108,4),)</f>
        <v/>
      </c>
      <c r="EV42" s="13">
        <f>IF(AND(EN42&gt;0,COUNTIF(ET40:ET43,ET42)&gt;1),ET42+RANK(EU42,EU40:EU43)-1,ET42)</f>
        <v/>
      </c>
      <c r="EW42" s="13">
        <f>IF(AND(EN42&gt;0,COUNTIF(EV42:EV45,EV42)&gt;1),SUMIFS($AI$4:$AI$108,$AF$4:$AF$108,$BT42,$M$4:$M$108,4)+SUMIFS($AK$4:$AK$108,$AH$4:$AH$108,$BT42,$M$4:$M$108,4),)</f>
        <v/>
      </c>
      <c r="EX42" s="13">
        <f>IF(AND(EN42&gt;0,COUNTIF(EV40:EV43,EV42)&gt;1),EV42+RANK(EW42,EW40:EW43)-1,EV42)</f>
        <v/>
      </c>
      <c r="EY42" s="13">
        <f>IF(EX42=0,"",EX42)</f>
        <v/>
      </c>
      <c r="EZ42" s="13">
        <f>IF(OR(EY42="",COUNTIF(EY40:EY43,EY42)=1),"",$BZ42)</f>
        <v/>
      </c>
      <c r="FA42" s="13">
        <f>IF(EY42="","",IF(COUNTIF(EY40:EY43,EY42)=1,EY42,EY42+RANK(EZ42,EZ40:EZ43,0)-1))</f>
        <v/>
      </c>
      <c r="FB42" s="13">
        <f>IF(OR(FA42="",COUNTIF(FA40:FA43,FA42)=1),"",$BX42)</f>
        <v/>
      </c>
      <c r="FC42" s="13">
        <f>IF(EY42="","",IF(COUNTIF(FA40:FA43,FA42)=1,FA42,FA42+RANK(FB42,FB40:FB43,0)-1))</f>
        <v/>
      </c>
      <c r="FD42" s="13">
        <f>IF(OR(FC42="",COUNTIF(FC40:FC43,FC42)=1),"",$BU42)</f>
        <v/>
      </c>
      <c r="FE42" s="13">
        <f>IF(EY42="","",IF(COUNTIF(FC40:FC43,FC42)=1,FC42,FC42+RANK(FD42,FD40:FD43,0)-1))</f>
        <v/>
      </c>
      <c r="FF42" s="13">
        <f>IF(EN42&gt;0,CG38+DA38+DU38+RANK(FE42,FE40:FE43,1),)</f>
        <v/>
      </c>
      <c r="FH42" s="13">
        <f>IFERROR(VLOOKUP(FJ42,CF39:CX43,19,FALSE),IFERROR(VLOOKUP(FJ42,CZ39:DR43,19,FALSE),IFERROR(VLOOKUP(FJ42,DT39:EL43,19,FALSE),VLOOKUP(FJ42,EN39:FF43,19,FALSE))))</f>
        <v/>
      </c>
      <c r="FI42" s="13">
        <f>RANK(FH42,FH40:FH43,1)+COUNTIF(FH40:FH42,FH42)-1</f>
        <v/>
      </c>
      <c r="FJ42" s="12">
        <f>BT42</f>
        <v/>
      </c>
      <c r="FZ42" s="79" t="n">
        <v>40</v>
      </c>
      <c r="GA42" s="3">
        <f>GB42&amp;GC42&amp;GD42&amp;GE42&amp;GF42&amp;GG42&amp;GH42&amp;GI42</f>
        <v/>
      </c>
      <c r="GB42" s="3" t="inlineStr">
        <is>
          <t>C</t>
        </is>
      </c>
      <c r="GC42" s="3" t="inlineStr">
        <is>
          <t>G</t>
        </is>
      </c>
      <c r="GD42" s="3" t="inlineStr">
        <is>
          <t>E</t>
        </is>
      </c>
      <c r="GE42" s="3" t="inlineStr">
        <is>
          <t>D</t>
        </is>
      </c>
      <c r="GF42" s="3" t="inlineStr">
        <is>
          <t>J</t>
        </is>
      </c>
      <c r="GG42" s="3" t="inlineStr">
        <is>
          <t>F</t>
        </is>
      </c>
      <c r="GH42" s="3" t="inlineStr">
        <is>
          <t>I</t>
        </is>
      </c>
      <c r="GI42" s="3" t="inlineStr">
        <is>
          <t>K</t>
        </is>
      </c>
      <c r="GJ42" s="9">
        <f>VLOOKUP(GB42,$FM$3:$FN$15,2,FALSE)</f>
        <v/>
      </c>
      <c r="GK42" s="9">
        <f>VLOOKUP(GC42,$FM$3:$FN$15,2,FALSE)</f>
        <v/>
      </c>
      <c r="GL42" s="9">
        <f>VLOOKUP(GD42,$FM$3:$FN$15,2,FALSE)</f>
        <v/>
      </c>
      <c r="GM42" s="9">
        <f>VLOOKUP(GE42,$FM$3:$FN$15,2,FALSE)</f>
        <v/>
      </c>
      <c r="GN42" s="9">
        <f>VLOOKUP(GF42,$FM$3:$FN$15,2,FALSE)</f>
        <v/>
      </c>
      <c r="GO42" s="9">
        <f>VLOOKUP(GG42,$FM$3:$FN$15,2,FALSE)</f>
        <v/>
      </c>
      <c r="GP42" s="9">
        <f>VLOOKUP(GH42,$FM$3:$FN$15,2,FALSE)</f>
        <v/>
      </c>
      <c r="GQ42" s="9">
        <f>VLOOKUP(GI42,$FM$3:$FN$15,2,FALSE)</f>
        <v/>
      </c>
      <c r="GR42" s="9">
        <f>IFERROR(IF(AND(VLOOKUP(GB42,$FX$4:$FX$15,1,FALSE)=GB42,VLOOKUP(GC42,$FX$4:$FX$15,1,FALSE)=GC42,VLOOKUP(GD42,$FX$4:$FX$15,1,FALSE)=GD42,VLOOKUP(GE42,$FX$4:$FX$15,1,FALSE)=GE42,VLOOKUP(GF42,$FX$4:$FX$15,1,FALSE)=GF42,VLOOKUP(GG42,$FX$4:$FX$15,1,FALSE)=GG42,VLOOKUP(GH42,$FX$4:$FX$15,1,FALSE)=GH42,VLOOKUP(GI42,$FX$4:$FX$15,1,FALSE)=GI42),FZ42,""),"")</f>
        <v/>
      </c>
      <c r="GX42" s="79" t="n"/>
    </row>
    <row r="43" ht="14.25" customHeight="1">
      <c r="B43" s="58" t="n">
        <v>34</v>
      </c>
      <c r="C43" s="59" t="n">
        <v>46194</v>
      </c>
      <c r="D43" s="60" t="inlineStr">
        <is>
          <t>Ecuador</t>
        </is>
      </c>
      <c r="E43" s="61" t="inlineStr">
        <is>
          <t>-</t>
        </is>
      </c>
      <c r="F43" s="62" t="inlineStr">
        <is>
          <t>Curaçao</t>
        </is>
      </c>
      <c r="G43" s="63" t="n">
        <v>2</v>
      </c>
      <c r="H43" s="64" t="inlineStr">
        <is>
          <t>-</t>
        </is>
      </c>
      <c r="I43" s="63" t="n">
        <v>0</v>
      </c>
      <c r="J43" s="65">
        <f>IF(OR(ISBLANK(G43),ISBLANK(I43)),"",IF(G43&gt;I43,1,IF(G43&lt;I43,2,"X")))</f>
        <v/>
      </c>
      <c r="K43" s="66">
        <f>IF(OR(G43="",I43="",'[1]Resultat &amp; tabell'!G43="",'[1]Resultat &amp; tabell'!I43=""),0,IF(G43='[1]Resultat &amp; tabell'!G43,2,0)+IF(I43='[1]Resultat &amp; tabell'!I43,2,0)+IF(J43='[1]Resultat &amp; tabell'!J43,2,0))</f>
        <v/>
      </c>
      <c r="L43" s="67" t="n"/>
      <c r="M43" s="29">
        <f>IF(VLOOKUP(D43,$BT$39:$CC$43,10,FALSE)=VLOOKUP(F43,$BT$39:$CC$43,10,FALSE),VLOOKUP(D43,$BT$39:$CC$43,10,FALSE),"-")</f>
        <v/>
      </c>
      <c r="N43" s="30" t="n">
        <v>4</v>
      </c>
      <c r="O43" s="86">
        <f>VLOOKUP(N43,FI40:FJ43,2,FALSE)</f>
        <v/>
      </c>
      <c r="P43" s="87">
        <f>VLOOKUP($O43,$BT$40:$CA$43,2,FALSE)</f>
        <v/>
      </c>
      <c r="Q43" s="87">
        <f>VLOOKUP($O43,$BT$40:$CA$43,3,FALSE)</f>
        <v/>
      </c>
      <c r="R43" s="87">
        <f>VLOOKUP($O43,$BT$40:$CA$43,4,FALSE)</f>
        <v/>
      </c>
      <c r="S43" s="87">
        <f>VLOOKUP($O43,$BT$40:$CA$43,5,FALSE)</f>
        <v/>
      </c>
      <c r="T43" s="87">
        <f>VLOOKUP($O43,$BT$40:$CA$43,6,FALSE)</f>
        <v/>
      </c>
      <c r="U43" s="87">
        <f>VLOOKUP($O43,$BT$40:$CA$43,7,FALSE)</f>
        <v/>
      </c>
      <c r="V43" s="82">
        <f>VLOOKUP($O43,$BT$40:$CA$43,8,FALSE)</f>
        <v/>
      </c>
      <c r="X43" s="1" t="n"/>
      <c r="Y43" s="12" t="n"/>
      <c r="AE43" s="72">
        <f>C43</f>
        <v/>
      </c>
      <c r="AF43" s="72">
        <f>D43</f>
        <v/>
      </c>
      <c r="AG43" s="72">
        <f>E43</f>
        <v/>
      </c>
      <c r="AH43" s="72">
        <f>F43</f>
        <v/>
      </c>
      <c r="AI43" s="63">
        <f>IF(G43="","",G43)</f>
        <v/>
      </c>
      <c r="AJ43" s="58">
        <f>H43</f>
        <v/>
      </c>
      <c r="AK43" s="63">
        <f>IF(I43="","",I43)</f>
        <v/>
      </c>
      <c r="AL43" s="65">
        <f>J43</f>
        <v/>
      </c>
      <c r="AM43" s="73" t="n"/>
      <c r="AN43" s="13">
        <f>IF(AI43&gt;AK43,1,0)</f>
        <v/>
      </c>
      <c r="AO43" s="13">
        <f>IF(AK43&gt;AI43,1,0)</f>
        <v/>
      </c>
      <c r="AP43" s="13">
        <f>IF(AND(AI43=AK43,AI43&lt;&gt;""),1,0)</f>
        <v/>
      </c>
      <c r="AQ43" s="13">
        <f>IF(AND(AI43=AK43,AI43&lt;&gt;""),1,0)</f>
        <v/>
      </c>
      <c r="AR43" s="13">
        <f>IF(AI43&lt;AK43,1,0)</f>
        <v/>
      </c>
      <c r="AS43" s="13">
        <f>IF(AK43&lt;AI43,1,)</f>
        <v/>
      </c>
      <c r="AT43" s="13">
        <f>IF(ISERROR(VLOOKUP(AF43,CF:CF,1,FALSE)),0,1)*IF(ISERROR(VLOOKUP(AH43,CF:CF,1,FALSE)),0,1)*AN43</f>
        <v/>
      </c>
      <c r="AU43" s="13">
        <f>IF(ISERROR(VLOOKUP(AF43,CF:CF,1,FALSE)),0,1)*IF(ISERROR(VLOOKUP(AH43,CF:CF,1,FALSE)),0,1)*AO43</f>
        <v/>
      </c>
      <c r="AV43" s="13">
        <f>IF(ISERROR(VLOOKUP(AF43,CF:CF,1,FALSE)),0,1)*IF(ISERROR(VLOOKUP(AH43,CF:CF,1,FALSE)),0,1)*AP43</f>
        <v/>
      </c>
      <c r="AW43" s="13">
        <f>IF(ISERROR(VLOOKUP(AF43,CF:CF,1,FALSE)),0,1)*IF(ISERROR(VLOOKUP(AH43,CF:CF,1,FALSE)),0,1)*AQ43</f>
        <v/>
      </c>
      <c r="AX43" s="13">
        <f>IF(ISERROR(VLOOKUP(AF43,CF:CF,1,FALSE)),0,1)*IF(ISERROR(VLOOKUP(AH43,CF:CF,1,FALSE)),0,1)*AR43</f>
        <v/>
      </c>
      <c r="AY43" s="13">
        <f>IF(ISERROR(VLOOKUP(AF43,CF:CF,1,FALSE)),0,1)*IF(ISERROR(VLOOKUP(AH43,CF:CF,1,FALSE)),0,1)*AS43</f>
        <v/>
      </c>
      <c r="AZ43" s="13">
        <f>IF(ISERROR(VLOOKUP(AF43,CZ:CZ,1,FALSE)),0,1)*IF(ISERROR(VLOOKUP(AH43,CZ:CZ,1,FALSE)),0,1)*AN43</f>
        <v/>
      </c>
      <c r="BA43" s="13">
        <f>IF(ISERROR(VLOOKUP(AF43,CZ:CZ,1,FALSE)),0,1)*IF(ISERROR(VLOOKUP(AH43,CZ:CZ,1,FALSE)),0,1)*AO43</f>
        <v/>
      </c>
      <c r="BB43" s="13">
        <f>IF(ISERROR(VLOOKUP(AF43,CZ:CZ,1,FALSE)),0,1)*IF(ISERROR(VLOOKUP(AH43,CZ:CZ,1,FALSE)),0,1)*AP43</f>
        <v/>
      </c>
      <c r="BC43" s="13">
        <f>IF(ISERROR(VLOOKUP(AF43,CZ:CZ,1,FALSE)),0,1)*IF(ISERROR(VLOOKUP(AH43,CZ:CZ,1,FALSE)),0,1)*AQ43</f>
        <v/>
      </c>
      <c r="BD43" s="13">
        <f>IF(ISERROR(VLOOKUP(AF43,CZ:CZ,1,FALSE)),0,1)*IF(ISERROR(VLOOKUP(AH43,CZ:CZ,1,FALSE)),0,1)*AR43</f>
        <v/>
      </c>
      <c r="BE43" s="13">
        <f>IF(ISERROR(VLOOKUP(AF43,CZ:CZ,1,FALSE)),0,1)*IF(ISERROR(VLOOKUP(AH43,CZ:CZ,1,FALSE)),0,1)*AS43</f>
        <v/>
      </c>
      <c r="BF43" s="13">
        <f>IF(ISERROR(VLOOKUP(AF43,DT:DT,1,FALSE)),0,1)*IF(ISERROR(VLOOKUP(AH43,DT:DT,1,FALSE)),0,1)*AN43</f>
        <v/>
      </c>
      <c r="BG43" s="13">
        <f>IF(ISERROR(VLOOKUP(AF43,DT:DT,1,FALSE)),0,1)*IF(ISERROR(VLOOKUP(AH43,DT:DT,1,FALSE)),0,1)*AO43</f>
        <v/>
      </c>
      <c r="BH43" s="13">
        <f>IF(ISERROR(VLOOKUP(AF43,DT:DT,1,FALSE)),0,1)*IF(ISERROR(VLOOKUP(AH43,DT:DT,1,FALSE)),0,1)*AP43</f>
        <v/>
      </c>
      <c r="BI43" s="13">
        <f>IF(ISERROR(VLOOKUP(AF43,DT:DT,1,FALSE)),0,1)*IF(ISERROR(VLOOKUP(AH43,DT:DT,1,FALSE)),0,1)*AQ43</f>
        <v/>
      </c>
      <c r="BJ43" s="13">
        <f>IF(ISERROR(VLOOKUP(AF43,DT:DT,1,FALSE)),0,1)*IF(ISERROR(VLOOKUP(AH43,DT:DT,1,FALSE)),0,1)*AR43</f>
        <v/>
      </c>
      <c r="BK43" s="13">
        <f>IF(ISERROR(VLOOKUP(AF43,DT:DT,1,FALSE)),0,1)*IF(ISERROR(VLOOKUP(AH43,DT:DT,1,FALSE)),0,1)*AS43</f>
        <v/>
      </c>
      <c r="BL43" s="13">
        <f>IF(ISERROR(VLOOKUP(AF43,EN:EN,1,FALSE)),0,1)*IF(ISERROR(VLOOKUP(AH43,EN:EN,1,FALSE)),0,1)*AN43</f>
        <v/>
      </c>
      <c r="BM43" s="13">
        <f>IF(ISERROR(VLOOKUP(AF43,EN:EN,1,FALSE)),0,1)*IF(ISERROR(VLOOKUP(AH43,EN:EN,1,FALSE)),0,1)*AO43</f>
        <v/>
      </c>
      <c r="BN43" s="13">
        <f>IF(ISERROR(VLOOKUP(AF43,EN:EN,1,FALSE)),0,1)*IF(ISERROR(VLOOKUP(AH43,EN:EN,1,FALSE)),0,1)*AP43</f>
        <v/>
      </c>
      <c r="BO43" s="13">
        <f>IF(ISERROR(VLOOKUP(AF43,EN:EN,1,FALSE)),0,1)*IF(ISERROR(VLOOKUP(AH43,EN:EN,1,FALSE)),0,1)*AQ43</f>
        <v/>
      </c>
      <c r="BP43" s="13">
        <f>IF(ISERROR(VLOOKUP(AF43,EN:EN,1,FALSE)),0,1)*IF(ISERROR(VLOOKUP(AH43,EN:EN,1,FALSE)),0,1)*AR43</f>
        <v/>
      </c>
      <c r="BQ43" s="13">
        <f>IF(ISERROR(VLOOKUP(AF43,EN:EN,1,FALSE)),0,1)*IF(ISERROR(VLOOKUP(AH43,EN:EN,1,FALSE)),0,1)*AS43</f>
        <v/>
      </c>
      <c r="BT43" s="88" t="inlineStr">
        <is>
          <t>Ecuador</t>
        </is>
      </c>
      <c r="BU43" s="13">
        <f>(SUMIF(AF$4:AF$108,BT43,AN$4:AN$108)+SUMIF(AH$4:AH$108,BT43,AO$4:AO$108))</f>
        <v/>
      </c>
      <c r="BV43" s="13">
        <f>(SUMIF(AF$4:AF$108,BT43,AP$4:AP$108)+SUMIF(AH$4:AH$108,BT43,AQ$4:AQ$108))</f>
        <v/>
      </c>
      <c r="BW43" s="13">
        <f>(SUMIF(AF$4:AF$108,BT43,AR$4:AR$108)+SUMIF(AH$4:AH$108,BT43,AS$4:AS$108))</f>
        <v/>
      </c>
      <c r="BX43" s="13">
        <f>SUMIF($AF$4:$AF$108,BT43,$AI$4:$AI$108)+SUMIF($AH$4:$AH$108,BT43,$AK$4:$AK$108)</f>
        <v/>
      </c>
      <c r="BY43" s="13">
        <f>SUMIF($AF$4:$AF$108,BT43,$AK$4:$AK$108)+SUMIF($AH$4:$AH$108,BT43,$AI$4:$AI$108)</f>
        <v/>
      </c>
      <c r="BZ43" s="13">
        <f>BX43-BY43</f>
        <v/>
      </c>
      <c r="CA43" s="13">
        <f>IFERROR(BU43*3+BV43*1,0)</f>
        <v/>
      </c>
      <c r="CB43" s="89" t="inlineStr">
        <is>
          <t>E</t>
        </is>
      </c>
      <c r="CC43" s="74">
        <f>RANK(CA43,CA40:CA43)</f>
        <v/>
      </c>
      <c r="CD43" s="13">
        <f>SUMPRODUCT((CA40:CA43=CA43)*(BZ40:BZ43&gt;BZ43))</f>
        <v/>
      </c>
      <c r="CF43" s="88">
        <f>IF(CC43=1,BT43,)</f>
        <v/>
      </c>
      <c r="CG43" s="13">
        <f>(SUMIF($AF$4:$AF$108,$BT43,$AT$4:$AT$108)+SUMIF($AH$4:$AH$108,$BT43,$AU$4:$AU$108))</f>
        <v/>
      </c>
      <c r="CH43" s="13">
        <f>(SUMIF($AF$4:$AF$108,$BT43,$AV$4:$AV$108)+SUMIF($AH$4:$AH$108,$BT43,$AW$4:$AW$108))</f>
        <v/>
      </c>
      <c r="CI43" s="13">
        <f>(SUMIF($AF$4:$AF$108,$BT43,$AX$4:$AX$108)+SUMIF($AH$4:$AH$108,$BT43,$AY$4:$AY$108))</f>
        <v/>
      </c>
      <c r="CJ43" s="13">
        <f>IFERROR(CG43*3+CH43*1,0)</f>
        <v/>
      </c>
      <c r="CK43" s="13">
        <f>CB43</f>
        <v/>
      </c>
      <c r="CL43" s="13">
        <f>IF(CF43&gt;0,RANK(CJ43,CJ40:CJ43),)</f>
        <v/>
      </c>
      <c r="CM43" s="13">
        <f>IF(AND(CF43&gt;0,COUNTIF(CL40:CL43,CL43)&gt;1),SUMIFS($AI$4:$AI$108,$AF$4:$AF$108,$BT43,$M$4:$M$108,1)+SUMIFS($AK$4:$AK$108,$AH$4:$AH$108,$BT43,$M$4:$M$108,1)-SUMIFS($AK$4:$AK$108,$AF$4:$AF$108,$BT43,$M$4:$M$108,1)-SUMIFS($AI$4:$AI$108,$AH$4:$AH$108,$BT43,$M$4:$M$108,1),)</f>
        <v/>
      </c>
      <c r="CN43" s="13">
        <f>IF(AND(CF43&gt;0,COUNTIF(CL40:CL43,CL43)&gt;1),CL43+RANK(CM43,CM40:CM43)-1,CL43)</f>
        <v/>
      </c>
      <c r="CO43" s="13">
        <f>IF(AND(CF43&gt;0,COUNTIF(CN40:CN43,CN43)&gt;1),SUMIFS($AI$4:$AI$108,$AF$4:$AF$108,$BT43,$M$4:$M$108,1)+SUMIFS($AK$4:$AK$108,$AH$4:$AH$108,$BT43,$M$4:$M$108,1),)</f>
        <v/>
      </c>
      <c r="CP43" s="13">
        <f>IF(AND(CF43&gt;0,COUNTIF(CN40:CN43,CN43)&gt;1),CN43+RANK(CO43,CO40:CO43)-1,CN43)</f>
        <v/>
      </c>
      <c r="CQ43" s="13">
        <f>IF(CP43=0,"",CP43)</f>
        <v/>
      </c>
      <c r="CR43" s="13">
        <f>IF(OR(CQ43="",COUNTIF(CQ40:CQ43,CQ43)=1),"",$BZ43)</f>
        <v/>
      </c>
      <c r="CS43" s="13">
        <f>IF(CQ43="","",IF(COUNTIF(CQ40:CQ43,CQ43)=1,CQ43,CQ43+RANK(CR43,CR40:CR43,0)-1))</f>
        <v/>
      </c>
      <c r="CT43" s="13">
        <f>IF(OR(CS43="",COUNTIF(CS40:CS43,CS43)=1),"",$BX43)</f>
        <v/>
      </c>
      <c r="CU43" s="13">
        <f>IF(CQ43="","",IF(COUNTIF(CS40:CS43,CS43)=1,CS43,CS43+RANK(CT43,CT40:CT43,0)-1))</f>
        <v/>
      </c>
      <c r="CV43" s="13">
        <f>IF(OR(CU43="",COUNTIF(CU40:CU43,CU43)=1),"",$BU43)</f>
        <v/>
      </c>
      <c r="CW43" s="13">
        <f>IF(CQ43="","",IF(COUNTIF(CU40:CU43,CU43)=1,CU43,CU43+RANK(CV43,CV40:CV43,0)-1))</f>
        <v/>
      </c>
      <c r="CX43" s="13">
        <f>IF(CF43&gt;0,BM38+RANK(CW43,CW40:CW43,1),)</f>
        <v/>
      </c>
      <c r="CZ43" s="88">
        <f>IF(CC43=2,BT43,)</f>
        <v/>
      </c>
      <c r="DA43" s="13">
        <f>(SUMIF($AF$4:$AF$108,$BT43,$AZ$4:$AZ$108)+SUMIF($AH$4:$AH$108,$BT43,$BA$4:$BA$108))</f>
        <v/>
      </c>
      <c r="DB43" s="13">
        <f>(SUMIF($AF$4:$AF$108,$BT43,$BB$4:$BB$108)+SUMIF($AH$4:$AH$108,$BT43,$BC$4:$BC$108))</f>
        <v/>
      </c>
      <c r="DC43" s="13">
        <f>(SUMIF($AF$4:$AF$108,$BT43,$BD$4:$BD$108)+SUMIF($AH$4:$AH$108,$BT43,$BE$4:$BE$108))</f>
        <v/>
      </c>
      <c r="DD43" s="13">
        <f>IFERROR(DA43*3+DB43*1,0)</f>
        <v/>
      </c>
      <c r="DE43" s="13">
        <f>$CB43</f>
        <v/>
      </c>
      <c r="DF43" s="13">
        <f>IF(CZ43&gt;0,RANK(DD43,DD40:DD43)+CG38,)</f>
        <v/>
      </c>
      <c r="DG43" s="13">
        <f>IF(AND(CZ43&gt;0,COUNTIF(DF40:DF43,DF43)&gt;1),SUMIFS($AI$4:$AI$108,$AF$4:$AF$108,$BT43,$M$4:$M$108,2)+SUMIFS($AK$4:$AK$108,$AH$4:$AH108,$BT43,$M$4:$M$108,2)-SUMIFS($AK$4:$AK$108,$AF$4:$AF$108,$BT43,$M$4:$M$108,2)-SUMIFS($AI$4:$AI$108,$AH$4:$AH$108,$BT43,$M$4:$M$108,2),)</f>
        <v/>
      </c>
      <c r="DH43" s="13">
        <f>IF(AND(CZ43&gt;0,COUNTIF(DF40:DF43,DF43)&gt;1),DF43+RANK(DG43,DG40:DG43)-1,DF43)</f>
        <v/>
      </c>
      <c r="DI43" s="13">
        <f>IF(AND(CZ43&gt;0,COUNTIF(DH40:DH43,DH43)&gt;1),SUMIFS($AI$4:$AI$108,$AF$4:$AF$108,$BT43,$M$4:$M$108,2)+SUMIFS($AK$4:$AK$108,$AH$4:$AH$108,$BT43,$M$4:$M$108,2),)</f>
        <v/>
      </c>
      <c r="DJ43" s="13">
        <f>IF(AND(CZ43&gt;0,COUNTIF(DH40:DH43,DH43)&gt;1),DH43+RANK(DI43,DI40:DI43)-1,DH43)</f>
        <v/>
      </c>
      <c r="DK43" s="75">
        <f>IF(DJ43=0,"",DJ43)</f>
        <v/>
      </c>
      <c r="DL43" s="75">
        <f>IF(OR(DK43="",COUNTIF(DK40:DK43,DK43)=1),"",$BZ43)</f>
        <v/>
      </c>
      <c r="DM43" s="75">
        <f>IF(DK43="","",IF(COUNTIF(DK40:DK43,DK43)=1,DK43,DK43+RANK(DL43,DL40:DL43,0)-1))</f>
        <v/>
      </c>
      <c r="DN43" s="75">
        <f>IF(OR(DM43="",COUNTIF(DM40:DM43,DM43)=1),"",$BX43)</f>
        <v/>
      </c>
      <c r="DO43" s="75">
        <f>IF(DK43="","",IF(COUNTIF(DM40:DM43,DM43)=1,DM43,DM43+RANK(DN43,DN40:DN43,0)-1))</f>
        <v/>
      </c>
      <c r="DP43" s="75">
        <f>IF(OR(DO43="",COUNTIF(DO40:DO43,DO43)=1),"",$BU43)</f>
        <v/>
      </c>
      <c r="DQ43" s="75">
        <f>IF(DK43="","",IF(COUNTIF(DO40:DO43,DO43)=1,DO43,DO43+RANK(DP43,DP40:DP43,0)-1))</f>
        <v/>
      </c>
      <c r="DR43" s="13">
        <f>IF(CZ43&gt;0,CG38+RANK(DQ43,DQ40:DQ43,1),)</f>
        <v/>
      </c>
      <c r="DT43" s="89">
        <f>IF(CC43=3,BT43,)</f>
        <v/>
      </c>
      <c r="DU43" s="13">
        <f>(SUMIF($AF$4:$AF$108,BT43,$BF$4:$BF$108)+SUMIF($AH$4:$AH$108,BT43,$BG$4:$BG$108))</f>
        <v/>
      </c>
      <c r="DV43" s="13">
        <f>(SUMIF($AF$4:$AF$108,BT43,$BH$4:$BH$108)+SUMIF($AH$4:$AH$108,BT43,$BI$4:$BI$108))</f>
        <v/>
      </c>
      <c r="DW43" s="13">
        <f>(SUMIF($AF$4:$AF$108,BT43,$BJ$4:$BJ$108)+SUMIF($AH$4:$AH$108,BT43,$BK$4:$BK$108))</f>
        <v/>
      </c>
      <c r="DX43" s="13">
        <f>IFERROR(DU43*3+DV43*1,0)</f>
        <v/>
      </c>
      <c r="DY43" s="13">
        <f>CB43</f>
        <v/>
      </c>
      <c r="DZ43" s="13">
        <f>IF(DT43&gt;0,RANK(DX43,DX40:DX43)+CG38+DA38,)</f>
        <v/>
      </c>
      <c r="EA43" s="13">
        <f>IF(AND(DT43&gt;0,COUNTIF(DZ40:DZ43,DZ43)&gt;1),SUMIFS($AI$4:$AI$108,$AF$4:$AF$108,$BT43,$M$4:$M$108,3)+SUMIFS($AK$4:$AK$108,$AH$4:$AH$108,$BT43,$M$4:$M$108,3)-SUMIFS($AK$4:$AK$108,$AF$4:$AF$108,$BT43,$M$4:$M$108,3)-SUMIFS($AI$4:$AI$108,$AH$4:$AH$108,$BT43,$M$4:$M$108,3),)</f>
        <v/>
      </c>
      <c r="EB43" s="13">
        <f>IF(AND(DT43&gt;0,COUNTIF(DZ40:DZ43,DZ43)&gt;1),DZ43+RANK(EA43,EA40:EA43)-1,DZ43)</f>
        <v/>
      </c>
      <c r="EC43" s="13">
        <f>IF(AND(DT43&gt;0,COUNTIF(EB40:EB43,EB43)&gt;1),SUMIFS($AI$4:$AI$108,$AF$4:$AF$108,$BT43,$M$4:$M$108,3)+SUMIFS($AK$4:$AK$108,$AH$4:$AH$108,$BT43,$M$4:$M$108,3),)</f>
        <v/>
      </c>
      <c r="ED43" s="13">
        <f>IF(AND(DT43&gt;0,COUNTIF(EB40:EB43,EB43)&gt;1),EB43+RANK(EC43,EC40:EC43)-1,EB43)</f>
        <v/>
      </c>
      <c r="EE43" s="13">
        <f>IF(ED43=0,"",ED43)</f>
        <v/>
      </c>
      <c r="EF43" s="13">
        <f>IF(OR(EE43="",COUNTIF(EE40:EE43,EE43)=1),"",$BZ43)</f>
        <v/>
      </c>
      <c r="EG43" s="13">
        <f>IF(EE43="","",IF(COUNTIF(EE40:EE43,EE43)=1,EE43,EE43+RANK(EF43,EF40:EF43,0)-1))</f>
        <v/>
      </c>
      <c r="EH43" s="13">
        <f>IF(OR(EG43="",COUNTIF(EG40:EG43,EG43)=1),"",$BX43)</f>
        <v/>
      </c>
      <c r="EI43" s="13">
        <f>IF(EE43="","",IF(COUNTIF(EG40:EG43,EG43)=1,EG43,EG43+RANK(EH43,EH40:EH43,0)-1))</f>
        <v/>
      </c>
      <c r="EJ43" s="13">
        <f>IF(OR(EI43="",COUNTIF(EI40:EI43,EI43)=1),"",$BU43)</f>
        <v/>
      </c>
      <c r="EK43" s="13">
        <f>IF(EE43="","",IF(COUNTIF(EI40:EI43,EI43)=1,EI43,EI43+RANK(EJ43,EJ40:EJ43,0)-1))</f>
        <v/>
      </c>
      <c r="EL43" s="13">
        <f>IF(DT43&gt;0,CG38+DA38+RANK(EK43,EK40:EK43,1),)</f>
        <v/>
      </c>
      <c r="EN43" s="13">
        <f>IF(CC43=4,BT43,)</f>
        <v/>
      </c>
      <c r="EO43" s="13">
        <f>(SUMIF($AF$4:$AF$108,$BT43,$BL$4:$BL$108)+SUMIF($AH$4:$AH$108,$BT43,$BM$4:$BM$108))</f>
        <v/>
      </c>
      <c r="EP43" s="13">
        <f>(SUMIF($AF$4:$AF$108,$BT43,$BN$4:$BN$108)+SUMIF($AH$4:$AH$108,$BT43,$BO$4:$BO$108))</f>
        <v/>
      </c>
      <c r="EQ43" s="13">
        <f>(SUMIF($AF$4:$AF$108,$BT43,$BP$4:$BP$108)+SUMIF($AH$4:$AH$108,$BT43,$BQ$4:$BQ$108))</f>
        <v/>
      </c>
      <c r="ER43" s="13">
        <f>IFERROR(EO43*3+EP43*1,0)</f>
        <v/>
      </c>
      <c r="ES43" s="13">
        <f>$CB43</f>
        <v/>
      </c>
      <c r="ET43" s="13">
        <f>IF(EN43&gt;0,RANK(ER43,ER40:ER43)+CG38+DA38+DU38,)</f>
        <v/>
      </c>
      <c r="EU43" s="13">
        <f>IF(AND(EN43&gt;0,COUNTIF(ET40:ET43,ET43)&gt;1),SUMIFS($AI$4:$AI$108,$AF$4:$AF$108,$BT43,$M$4:$M$108,4)+SUMIFS($AK$4:$AK$108,$AH$4:$AH$108,$BT43,$M$4:$M$108,4)-SUMIFS($AK$4:$AK$108,$AF$4:$AF$108,$BT43,$M$4:$M$108,4)-SUMIFS($AI$4:$AI$108,$AH$4:$AH$108,$BT43,$M$4:$M$108,4),)</f>
        <v/>
      </c>
      <c r="EV43" s="13">
        <f>IF(AND(EN43&gt;0,COUNTIF(ET40:ET43,ET43)&gt;1),ET43+RANK(EU43,EU40:EU43)-1,ET43)</f>
        <v/>
      </c>
      <c r="EW43" s="13">
        <f>IF(AND(EN43&gt;0,COUNTIF(EV43:EV46,EV43)&gt;1),SUMIFS($AI$4:$AI$108,$AF$4:$AF$108,$BT43,$M$4:$M$108,4)+SUMIFS($AK$4:$AK$108,$AH$4:$AH$108,$BT43,$M$4:$M$108,4),)</f>
        <v/>
      </c>
      <c r="EX43" s="13">
        <f>IF(AND(EN43&gt;0,COUNTIF(EV40:EV43,EV43)&gt;1),EV43+RANK(EW43,EW40:EW43)-1,EV43)</f>
        <v/>
      </c>
      <c r="EY43" s="13">
        <f>IF(EX43=0,"",EX43)</f>
        <v/>
      </c>
      <c r="EZ43" s="13">
        <f>IF(OR(EY43="",COUNTIF(EY40:EY43,EY43)=1),"",$BZ43)</f>
        <v/>
      </c>
      <c r="FA43" s="13">
        <f>IF(EY43="","",IF(COUNTIF(EY40:EY43,EY43)=1,EY43,EY43+RANK(EZ43,EZ40:EZ43,0)-1))</f>
        <v/>
      </c>
      <c r="FB43" s="13">
        <f>IF(OR(FA43="",COUNTIF(FA40:FA43,FA43)=1),"",$BX43)</f>
        <v/>
      </c>
      <c r="FC43" s="13">
        <f>IF(EY43="","",IF(COUNTIF(FA40:FA43,FA43)=1,FA43,FA43+RANK(FB43,FB40:FB43,0)-1))</f>
        <v/>
      </c>
      <c r="FD43" s="13">
        <f>IF(OR(FC43="",COUNTIF(FC40:FC43,FC43)=1),"",$BU43)</f>
        <v/>
      </c>
      <c r="FE43" s="13">
        <f>IF(EY43="","",IF(COUNTIF(FC40:FC43,FC43)=1,FC43,FC43+RANK(FD43,FD40:FD43,0)-1))</f>
        <v/>
      </c>
      <c r="FF43" s="13">
        <f>IF(EN43&gt;0,CG38+DA38+DU38+RANK(FE43,FE40:FE43,1),)</f>
        <v/>
      </c>
      <c r="FH43" s="13">
        <f>IFERROR(VLOOKUP(FJ43,CF39:CX43,19,FALSE),IFERROR(VLOOKUP(FJ43,CZ39:DR43,19,FALSE),IFERROR(VLOOKUP(FJ43,DT39:EL43,19,FALSE),VLOOKUP(FJ43,EN39:FF43,19,FALSE))))</f>
        <v/>
      </c>
      <c r="FI43" s="13">
        <f>RANK(FH43,FH40:FH43,1)+COUNTIF(FH40:FH43,FH43)-1</f>
        <v/>
      </c>
      <c r="FJ43" s="12">
        <f>BT43</f>
        <v/>
      </c>
      <c r="FZ43" s="79" t="n">
        <v>41</v>
      </c>
      <c r="GA43" s="3">
        <f>GB43&amp;GC43&amp;GD43&amp;GE43&amp;GF43&amp;GG43&amp;GH43&amp;GI43</f>
        <v/>
      </c>
      <c r="GB43" s="3" t="inlineStr">
        <is>
          <t>C</t>
        </is>
      </c>
      <c r="GC43" s="3" t="inlineStr">
        <is>
          <t>G</t>
        </is>
      </c>
      <c r="GD43" s="3" t="inlineStr">
        <is>
          <t>E</t>
        </is>
      </c>
      <c r="GE43" s="3" t="inlineStr">
        <is>
          <t>D</t>
        </is>
      </c>
      <c r="GF43" s="3" t="inlineStr">
        <is>
          <t>H</t>
        </is>
      </c>
      <c r="GG43" s="3" t="inlineStr">
        <is>
          <t>F</t>
        </is>
      </c>
      <c r="GH43" s="3" t="inlineStr">
        <is>
          <t>L</t>
        </is>
      </c>
      <c r="GI43" s="3" t="inlineStr">
        <is>
          <t>K</t>
        </is>
      </c>
      <c r="GJ43" s="9">
        <f>VLOOKUP(GB43,$FM$3:$FN$15,2,FALSE)</f>
        <v/>
      </c>
      <c r="GK43" s="9">
        <f>VLOOKUP(GC43,$FM$3:$FN$15,2,FALSE)</f>
        <v/>
      </c>
      <c r="GL43" s="9">
        <f>VLOOKUP(GD43,$FM$3:$FN$15,2,FALSE)</f>
        <v/>
      </c>
      <c r="GM43" s="9">
        <f>VLOOKUP(GE43,$FM$3:$FN$15,2,FALSE)</f>
        <v/>
      </c>
      <c r="GN43" s="9">
        <f>VLOOKUP(GF43,$FM$3:$FN$15,2,FALSE)</f>
        <v/>
      </c>
      <c r="GO43" s="9">
        <f>VLOOKUP(GG43,$FM$3:$FN$15,2,FALSE)</f>
        <v/>
      </c>
      <c r="GP43" s="9">
        <f>VLOOKUP(GH43,$FM$3:$FN$15,2,FALSE)</f>
        <v/>
      </c>
      <c r="GQ43" s="9">
        <f>VLOOKUP(GI43,$FM$3:$FN$15,2,FALSE)</f>
        <v/>
      </c>
      <c r="GR43" s="9">
        <f>IFERROR(IF(AND(VLOOKUP(GB43,$FX$4:$FX$15,1,FALSE)=GB43,VLOOKUP(GC43,$FX$4:$FX$15,1,FALSE)=GC43,VLOOKUP(GD43,$FX$4:$FX$15,1,FALSE)=GD43,VLOOKUP(GE43,$FX$4:$FX$15,1,FALSE)=GE43,VLOOKUP(GF43,$FX$4:$FX$15,1,FALSE)=GF43,VLOOKUP(GG43,$FX$4:$FX$15,1,FALSE)=GG43,VLOOKUP(GH43,$FX$4:$FX$15,1,FALSE)=GH43,VLOOKUP(GI43,$FX$4:$FX$15,1,FALSE)=GI43),FZ43,""),"")</f>
        <v/>
      </c>
      <c r="GX43" s="79" t="n"/>
    </row>
    <row r="44" ht="14.25" customHeight="1">
      <c r="B44" s="58" t="n">
        <v>55</v>
      </c>
      <c r="C44" s="59" t="n">
        <v>46198</v>
      </c>
      <c r="D44" s="60" t="inlineStr">
        <is>
          <t>Curaçao</t>
        </is>
      </c>
      <c r="E44" s="61" t="inlineStr">
        <is>
          <t>-</t>
        </is>
      </c>
      <c r="F44" s="62" t="inlineStr">
        <is>
          <t>Elfenbenskusten</t>
        </is>
      </c>
      <c r="G44" s="63" t="n">
        <v>0</v>
      </c>
      <c r="H44" s="64" t="inlineStr">
        <is>
          <t>-</t>
        </is>
      </c>
      <c r="I44" s="63" t="n">
        <v>1</v>
      </c>
      <c r="J44" s="65">
        <f>IF(OR(ISBLANK(G44),ISBLANK(I44)),"",IF(G44&gt;I44,1,IF(G44&lt;I44,2,"X")))</f>
        <v/>
      </c>
      <c r="K44" s="66">
        <f>IF(OR(G44="",I44="",'[1]Resultat &amp; tabell'!G44="",'[1]Resultat &amp; tabell'!I44=""),0,IF(G44='[1]Resultat &amp; tabell'!G44,2,0)+IF(I44='[1]Resultat &amp; tabell'!I44,2,0)+IF(J44='[1]Resultat &amp; tabell'!J44,2,0))</f>
        <v/>
      </c>
      <c r="L44" s="67" t="n"/>
      <c r="M44" s="29">
        <f>IF(VLOOKUP(D44,$BT$39:$CC$43,10,FALSE)=VLOOKUP(F44,$BT$39:$CC$43,10,FALSE),VLOOKUP(D44,$BT$39:$CC$43,10,FALSE),"-")</f>
        <v/>
      </c>
      <c r="O44" s="91">
        <f>IF(COUNTBLANK(G40:G45)+COUNTBLANK(I40:I45)=0,"Resultat OK","Fyll i resultat")</f>
        <v/>
      </c>
      <c r="P44" s="92" t="n"/>
      <c r="Q44" s="92" t="n"/>
      <c r="R44" s="92" t="n"/>
      <c r="S44" s="92" t="n"/>
      <c r="T44" s="92" t="n"/>
      <c r="U44" s="92" t="n"/>
      <c r="V44" s="3" t="n"/>
      <c r="X44" s="1" t="n"/>
      <c r="AE44" s="72">
        <f>C44</f>
        <v/>
      </c>
      <c r="AF44" s="72">
        <f>D44</f>
        <v/>
      </c>
      <c r="AG44" s="72">
        <f>E44</f>
        <v/>
      </c>
      <c r="AH44" s="72">
        <f>F44</f>
        <v/>
      </c>
      <c r="AI44" s="63">
        <f>IF(G44="","",G44)</f>
        <v/>
      </c>
      <c r="AJ44" s="58">
        <f>H44</f>
        <v/>
      </c>
      <c r="AK44" s="63">
        <f>IF(I44="","",I44)</f>
        <v/>
      </c>
      <c r="AL44" s="65">
        <f>J44</f>
        <v/>
      </c>
      <c r="AM44" s="73" t="n"/>
      <c r="AN44" s="13">
        <f>IF(AI44&gt;AK44,1,0)</f>
        <v/>
      </c>
      <c r="AO44" s="13">
        <f>IF(AK44&gt;AI44,1,0)</f>
        <v/>
      </c>
      <c r="AP44" s="13">
        <f>IF(AND(AI44=AK44,AI44&lt;&gt;""),1,0)</f>
        <v/>
      </c>
      <c r="AQ44" s="13">
        <f>IF(AND(AI44=AK44,AI44&lt;&gt;""),1,0)</f>
        <v/>
      </c>
      <c r="AR44" s="13">
        <f>IF(AI44&lt;AK44,1,0)</f>
        <v/>
      </c>
      <c r="AS44" s="13">
        <f>IF(AK44&lt;AI44,1,)</f>
        <v/>
      </c>
      <c r="AT44" s="13">
        <f>IF(ISERROR(VLOOKUP(AF44,CF:CF,1,FALSE)),0,1)*IF(ISERROR(VLOOKUP(AH44,CF:CF,1,FALSE)),0,1)*AN44</f>
        <v/>
      </c>
      <c r="AU44" s="13">
        <f>IF(ISERROR(VLOOKUP(AF44,CF:CF,1,FALSE)),0,1)*IF(ISERROR(VLOOKUP(AH44,CF:CF,1,FALSE)),0,1)*AO44</f>
        <v/>
      </c>
      <c r="AV44" s="13">
        <f>IF(ISERROR(VLOOKUP(AF44,CF:CF,1,FALSE)),0,1)*IF(ISERROR(VLOOKUP(AH44,CF:CF,1,FALSE)),0,1)*AP44</f>
        <v/>
      </c>
      <c r="AW44" s="13">
        <f>IF(ISERROR(VLOOKUP(AF44,CF:CF,1,FALSE)),0,1)*IF(ISERROR(VLOOKUP(AH44,CF:CF,1,FALSE)),0,1)*AQ44</f>
        <v/>
      </c>
      <c r="AX44" s="13">
        <f>IF(ISERROR(VLOOKUP(AF44,CF:CF,1,FALSE)),0,1)*IF(ISERROR(VLOOKUP(AH44,CF:CF,1,FALSE)),0,1)*AR44</f>
        <v/>
      </c>
      <c r="AY44" s="13">
        <f>IF(ISERROR(VLOOKUP(AF44,CF:CF,1,FALSE)),0,1)*IF(ISERROR(VLOOKUP(AH44,CF:CF,1,FALSE)),0,1)*AS44</f>
        <v/>
      </c>
      <c r="AZ44" s="13">
        <f>IF(ISERROR(VLOOKUP(AF44,CZ:CZ,1,FALSE)),0,1)*IF(ISERROR(VLOOKUP(AH44,CZ:CZ,1,FALSE)),0,1)*AN44</f>
        <v/>
      </c>
      <c r="BA44" s="13">
        <f>IF(ISERROR(VLOOKUP(AF44,CZ:CZ,1,FALSE)),0,1)*IF(ISERROR(VLOOKUP(AH44,CZ:CZ,1,FALSE)),0,1)*AO44</f>
        <v/>
      </c>
      <c r="BB44" s="13">
        <f>IF(ISERROR(VLOOKUP(AF44,CZ:CZ,1,FALSE)),0,1)*IF(ISERROR(VLOOKUP(AH44,CZ:CZ,1,FALSE)),0,1)*AP44</f>
        <v/>
      </c>
      <c r="BC44" s="13">
        <f>IF(ISERROR(VLOOKUP(AF44,CZ:CZ,1,FALSE)),0,1)*IF(ISERROR(VLOOKUP(AH44,CZ:CZ,1,FALSE)),0,1)*AQ44</f>
        <v/>
      </c>
      <c r="BD44" s="13">
        <f>IF(ISERROR(VLOOKUP(AF44,CZ:CZ,1,FALSE)),0,1)*IF(ISERROR(VLOOKUP(AH44,CZ:CZ,1,FALSE)),0,1)*AR44</f>
        <v/>
      </c>
      <c r="BE44" s="13">
        <f>IF(ISERROR(VLOOKUP(AF44,CZ:CZ,1,FALSE)),0,1)*IF(ISERROR(VLOOKUP(AH44,CZ:CZ,1,FALSE)),0,1)*AS44</f>
        <v/>
      </c>
      <c r="BF44" s="13">
        <f>IF(ISERROR(VLOOKUP(AF44,DT:DT,1,FALSE)),0,1)*IF(ISERROR(VLOOKUP(AH44,DT:DT,1,FALSE)),0,1)*AN44</f>
        <v/>
      </c>
      <c r="BG44" s="13">
        <f>IF(ISERROR(VLOOKUP(AF44,DT:DT,1,FALSE)),0,1)*IF(ISERROR(VLOOKUP(AH44,DT:DT,1,FALSE)),0,1)*AO44</f>
        <v/>
      </c>
      <c r="BH44" s="13">
        <f>IF(ISERROR(VLOOKUP(AF44,DT:DT,1,FALSE)),0,1)*IF(ISERROR(VLOOKUP(AH44,DT:DT,1,FALSE)),0,1)*AP44</f>
        <v/>
      </c>
      <c r="BI44" s="13">
        <f>IF(ISERROR(VLOOKUP(AF44,DT:DT,1,FALSE)),0,1)*IF(ISERROR(VLOOKUP(AH44,DT:DT,1,FALSE)),0,1)*AQ44</f>
        <v/>
      </c>
      <c r="BJ44" s="13">
        <f>IF(ISERROR(VLOOKUP(AF44,DT:DT,1,FALSE)),0,1)*IF(ISERROR(VLOOKUP(AH44,DT:DT,1,FALSE)),0,1)*AR44</f>
        <v/>
      </c>
      <c r="BK44" s="13">
        <f>IF(ISERROR(VLOOKUP(AF44,DT:DT,1,FALSE)),0,1)*IF(ISERROR(VLOOKUP(AH44,DT:DT,1,FALSE)),0,1)*AS44</f>
        <v/>
      </c>
      <c r="BL44" s="13">
        <f>IF(ISERROR(VLOOKUP(AF44,EN:EN,1,FALSE)),0,1)*IF(ISERROR(VLOOKUP(AH44,EN:EN,1,FALSE)),0,1)*AN44</f>
        <v/>
      </c>
      <c r="BM44" s="13">
        <f>IF(ISERROR(VLOOKUP(AF44,EN:EN,1,FALSE)),0,1)*IF(ISERROR(VLOOKUP(AH44,EN:EN,1,FALSE)),0,1)*AO44</f>
        <v/>
      </c>
      <c r="BN44" s="13">
        <f>IF(ISERROR(VLOOKUP(AF44,EN:EN,1,FALSE)),0,1)*IF(ISERROR(VLOOKUP(AH44,EN:EN,1,FALSE)),0,1)*AP44</f>
        <v/>
      </c>
      <c r="BO44" s="13">
        <f>IF(ISERROR(VLOOKUP(AF44,EN:EN,1,FALSE)),0,1)*IF(ISERROR(VLOOKUP(AH44,EN:EN,1,FALSE)),0,1)*AQ44</f>
        <v/>
      </c>
      <c r="BP44" s="13">
        <f>IF(ISERROR(VLOOKUP(AF44,EN:EN,1,FALSE)),0,1)*IF(ISERROR(VLOOKUP(AH44,EN:EN,1,FALSE)),0,1)*AR44</f>
        <v/>
      </c>
      <c r="BQ44" s="13">
        <f>IF(ISERROR(VLOOKUP(AF44,EN:EN,1,FALSE)),0,1)*IF(ISERROR(VLOOKUP(AH44,EN:EN,1,FALSE)),0,1)*AS44</f>
        <v/>
      </c>
      <c r="FZ44" s="79" t="n">
        <v>42</v>
      </c>
      <c r="GA44" s="3">
        <f>GB44&amp;GC44&amp;GD44&amp;GE44&amp;GF44&amp;GG44&amp;GH44&amp;GI44</f>
        <v/>
      </c>
      <c r="GB44" s="3" t="inlineStr">
        <is>
          <t>C</t>
        </is>
      </c>
      <c r="GC44" s="3" t="inlineStr">
        <is>
          <t>G</t>
        </is>
      </c>
      <c r="GD44" s="3" t="inlineStr">
        <is>
          <t>J</t>
        </is>
      </c>
      <c r="GE44" s="3" t="inlineStr">
        <is>
          <t>D</t>
        </is>
      </c>
      <c r="GF44" s="3" t="inlineStr">
        <is>
          <t>H</t>
        </is>
      </c>
      <c r="GG44" s="3" t="inlineStr">
        <is>
          <t>F</t>
        </is>
      </c>
      <c r="GH44" s="3" t="inlineStr">
        <is>
          <t>L</t>
        </is>
      </c>
      <c r="GI44" s="3" t="inlineStr">
        <is>
          <t>E</t>
        </is>
      </c>
      <c r="GJ44" s="9">
        <f>VLOOKUP(GB44,$FM$3:$FN$15,2,FALSE)</f>
        <v/>
      </c>
      <c r="GK44" s="9">
        <f>VLOOKUP(GC44,$FM$3:$FN$15,2,FALSE)</f>
        <v/>
      </c>
      <c r="GL44" s="9">
        <f>VLOOKUP(GD44,$FM$3:$FN$15,2,FALSE)</f>
        <v/>
      </c>
      <c r="GM44" s="9">
        <f>VLOOKUP(GE44,$FM$3:$FN$15,2,FALSE)</f>
        <v/>
      </c>
      <c r="GN44" s="9">
        <f>VLOOKUP(GF44,$FM$3:$FN$15,2,FALSE)</f>
        <v/>
      </c>
      <c r="GO44" s="9">
        <f>VLOOKUP(GG44,$FM$3:$FN$15,2,FALSE)</f>
        <v/>
      </c>
      <c r="GP44" s="9">
        <f>VLOOKUP(GH44,$FM$3:$FN$15,2,FALSE)</f>
        <v/>
      </c>
      <c r="GQ44" s="9">
        <f>VLOOKUP(GI44,$FM$3:$FN$15,2,FALSE)</f>
        <v/>
      </c>
      <c r="GR44" s="9">
        <f>IFERROR(IF(AND(VLOOKUP(GB44,$FX$4:$FX$15,1,FALSE)=GB44,VLOOKUP(GC44,$FX$4:$FX$15,1,FALSE)=GC44,VLOOKUP(GD44,$FX$4:$FX$15,1,FALSE)=GD44,VLOOKUP(GE44,$FX$4:$FX$15,1,FALSE)=GE44,VLOOKUP(GF44,$FX$4:$FX$15,1,FALSE)=GF44,VLOOKUP(GG44,$FX$4:$FX$15,1,FALSE)=GG44,VLOOKUP(GH44,$FX$4:$FX$15,1,FALSE)=GH44,VLOOKUP(GI44,$FX$4:$FX$15,1,FALSE)=GI44),FZ44,""),"")</f>
        <v/>
      </c>
      <c r="GX44" s="79" t="n"/>
    </row>
    <row r="45" ht="14.25" customHeight="1">
      <c r="B45" s="58" t="n">
        <v>56</v>
      </c>
      <c r="C45" s="59" t="n">
        <v>46198</v>
      </c>
      <c r="D45" s="60" t="inlineStr">
        <is>
          <t>Ecuador</t>
        </is>
      </c>
      <c r="E45" s="61" t="inlineStr">
        <is>
          <t>-</t>
        </is>
      </c>
      <c r="F45" s="62" t="inlineStr">
        <is>
          <t>Tyskland</t>
        </is>
      </c>
      <c r="G45" s="63" t="n">
        <v>1</v>
      </c>
      <c r="H45" s="64" t="inlineStr">
        <is>
          <t>-</t>
        </is>
      </c>
      <c r="I45" s="63" t="n">
        <v>2</v>
      </c>
      <c r="J45" s="65">
        <f>IF(OR(ISBLANK(G45),ISBLANK(I45)),"",IF(G45&gt;I45,1,IF(G45&lt;I45,2,"X")))</f>
        <v/>
      </c>
      <c r="K45" s="66">
        <f>IF(OR(G45="",I45="",'[1]Resultat &amp; tabell'!G45="",'[1]Resultat &amp; tabell'!I45=""),0,IF(G45='[1]Resultat &amp; tabell'!G45,2,0)+IF(I45='[1]Resultat &amp; tabell'!I45,2,0)+IF(J45='[1]Resultat &amp; tabell'!J45,2,0))</f>
        <v/>
      </c>
      <c r="L45" s="67" t="n"/>
      <c r="M45" s="29">
        <f>IF(VLOOKUP(D45,$BT$39:$CC$43,10,FALSE)=VLOOKUP(F45,$BT$39:$CC$43,10,FALSE),VLOOKUP(D45,$BT$39:$CC$43,10,FALSE),"-")</f>
        <v/>
      </c>
      <c r="V45" s="3" t="n"/>
      <c r="AE45" s="72">
        <f>C45</f>
        <v/>
      </c>
      <c r="AF45" s="72">
        <f>D45</f>
        <v/>
      </c>
      <c r="AG45" s="72">
        <f>E45</f>
        <v/>
      </c>
      <c r="AH45" s="72">
        <f>F45</f>
        <v/>
      </c>
      <c r="AI45" s="63">
        <f>IF(G45="","",G45)</f>
        <v/>
      </c>
      <c r="AJ45" s="58">
        <f>H45</f>
        <v/>
      </c>
      <c r="AK45" s="63">
        <f>IF(I45="","",I45)</f>
        <v/>
      </c>
      <c r="AL45" s="65">
        <f>J45</f>
        <v/>
      </c>
      <c r="AM45" s="73" t="n"/>
      <c r="AN45" s="13">
        <f>IF(AI45&gt;AK45,1,0)</f>
        <v/>
      </c>
      <c r="AO45" s="13">
        <f>IF(AK45&gt;AI45,1,0)</f>
        <v/>
      </c>
      <c r="AP45" s="13">
        <f>IF(AND(AI45=AK45,AI45&lt;&gt;""),1,0)</f>
        <v/>
      </c>
      <c r="AQ45" s="13">
        <f>IF(AND(AI45=AK45,AI45&lt;&gt;""),1,0)</f>
        <v/>
      </c>
      <c r="AR45" s="13">
        <f>IF(AI45&lt;AK45,1,0)</f>
        <v/>
      </c>
      <c r="AS45" s="13">
        <f>IF(AK45&lt;AI45,1,)</f>
        <v/>
      </c>
      <c r="AT45" s="13">
        <f>IF(ISERROR(VLOOKUP(AF45,CF:CF,1,FALSE)),0,1)*IF(ISERROR(VLOOKUP(AH45,CF:CF,1,FALSE)),0,1)*AN45</f>
        <v/>
      </c>
      <c r="AU45" s="13">
        <f>IF(ISERROR(VLOOKUP(AF45,CF:CF,1,FALSE)),0,1)*IF(ISERROR(VLOOKUP(AH45,CF:CF,1,FALSE)),0,1)*AO45</f>
        <v/>
      </c>
      <c r="AV45" s="13">
        <f>IF(ISERROR(VLOOKUP(AF45,CF:CF,1,FALSE)),0,1)*IF(ISERROR(VLOOKUP(AH45,CF:CF,1,FALSE)),0,1)*AP45</f>
        <v/>
      </c>
      <c r="AW45" s="13">
        <f>IF(ISERROR(VLOOKUP(AF45,CF:CF,1,FALSE)),0,1)*IF(ISERROR(VLOOKUP(AH45,CF:CF,1,FALSE)),0,1)*AQ45</f>
        <v/>
      </c>
      <c r="AX45" s="13">
        <f>IF(ISERROR(VLOOKUP(AF45,CF:CF,1,FALSE)),0,1)*IF(ISERROR(VLOOKUP(AH45,CF:CF,1,FALSE)),0,1)*AR45</f>
        <v/>
      </c>
      <c r="AY45" s="13">
        <f>IF(ISERROR(VLOOKUP(AF45,CF:CF,1,FALSE)),0,1)*IF(ISERROR(VLOOKUP(AH45,CF:CF,1,FALSE)),0,1)*AS45</f>
        <v/>
      </c>
      <c r="AZ45" s="13">
        <f>IF(ISERROR(VLOOKUP(AF45,CZ:CZ,1,FALSE)),0,1)*IF(ISERROR(VLOOKUP(AH45,CZ:CZ,1,FALSE)),0,1)*AN45</f>
        <v/>
      </c>
      <c r="BA45" s="13">
        <f>IF(ISERROR(VLOOKUP(AF45,CZ:CZ,1,FALSE)),0,1)*IF(ISERROR(VLOOKUP(AH45,CZ:CZ,1,FALSE)),0,1)*AO45</f>
        <v/>
      </c>
      <c r="BB45" s="13">
        <f>IF(ISERROR(VLOOKUP(AF45,CZ:CZ,1,FALSE)),0,1)*IF(ISERROR(VLOOKUP(AH45,CZ:CZ,1,FALSE)),0,1)*AP45</f>
        <v/>
      </c>
      <c r="BC45" s="13">
        <f>IF(ISERROR(VLOOKUP(AF45,CZ:CZ,1,FALSE)),0,1)*IF(ISERROR(VLOOKUP(AH45,CZ:CZ,1,FALSE)),0,1)*AQ45</f>
        <v/>
      </c>
      <c r="BD45" s="13">
        <f>IF(ISERROR(VLOOKUP(AF45,CZ:CZ,1,FALSE)),0,1)*IF(ISERROR(VLOOKUP(AH45,CZ:CZ,1,FALSE)),0,1)*AR45</f>
        <v/>
      </c>
      <c r="BE45" s="13">
        <f>IF(ISERROR(VLOOKUP(AF45,CZ:CZ,1,FALSE)),0,1)*IF(ISERROR(VLOOKUP(AH45,CZ:CZ,1,FALSE)),0,1)*AS45</f>
        <v/>
      </c>
      <c r="BF45" s="13">
        <f>IF(ISERROR(VLOOKUP(AF45,DT:DT,1,FALSE)),0,1)*IF(ISERROR(VLOOKUP(AH45,DT:DT,1,FALSE)),0,1)*AN45</f>
        <v/>
      </c>
      <c r="BG45" s="13">
        <f>IF(ISERROR(VLOOKUP(AF45,DT:DT,1,FALSE)),0,1)*IF(ISERROR(VLOOKUP(AH45,DT:DT,1,FALSE)),0,1)*AO45</f>
        <v/>
      </c>
      <c r="BH45" s="13">
        <f>IF(ISERROR(VLOOKUP(AF45,DT:DT,1,FALSE)),0,1)*IF(ISERROR(VLOOKUP(AH45,DT:DT,1,FALSE)),0,1)*AP45</f>
        <v/>
      </c>
      <c r="BI45" s="13">
        <f>IF(ISERROR(VLOOKUP(AF45,DT:DT,1,FALSE)),0,1)*IF(ISERROR(VLOOKUP(AH45,DT:DT,1,FALSE)),0,1)*AQ45</f>
        <v/>
      </c>
      <c r="BJ45" s="13">
        <f>IF(ISERROR(VLOOKUP(AF45,DT:DT,1,FALSE)),0,1)*IF(ISERROR(VLOOKUP(AH45,DT:DT,1,FALSE)),0,1)*AR45</f>
        <v/>
      </c>
      <c r="BK45" s="13">
        <f>IF(ISERROR(VLOOKUP(AF45,DT:DT,1,FALSE)),0,1)*IF(ISERROR(VLOOKUP(AH45,DT:DT,1,FALSE)),0,1)*AS45</f>
        <v/>
      </c>
      <c r="BL45" s="13">
        <f>IF(ISERROR(VLOOKUP(AF45,EN:EN,1,FALSE)),0,1)*IF(ISERROR(VLOOKUP(AH45,EN:EN,1,FALSE)),0,1)*AN45</f>
        <v/>
      </c>
      <c r="BM45" s="13">
        <f>IF(ISERROR(VLOOKUP(AF45,EN:EN,1,FALSE)),0,1)*IF(ISERROR(VLOOKUP(AH45,EN:EN,1,FALSE)),0,1)*AO45</f>
        <v/>
      </c>
      <c r="BN45" s="13">
        <f>IF(ISERROR(VLOOKUP(AF45,EN:EN,1,FALSE)),0,1)*IF(ISERROR(VLOOKUP(AH45,EN:EN,1,FALSE)),0,1)*AP45</f>
        <v/>
      </c>
      <c r="BO45" s="13">
        <f>IF(ISERROR(VLOOKUP(AF45,EN:EN,1,FALSE)),0,1)*IF(ISERROR(VLOOKUP(AH45,EN:EN,1,FALSE)),0,1)*AQ45</f>
        <v/>
      </c>
      <c r="BP45" s="13">
        <f>IF(ISERROR(VLOOKUP(AF45,EN:EN,1,FALSE)),0,1)*IF(ISERROR(VLOOKUP(AH45,EN:EN,1,FALSE)),0,1)*AR45</f>
        <v/>
      </c>
      <c r="BQ45" s="13">
        <f>IF(ISERROR(VLOOKUP(AF45,EN:EN,1,FALSE)),0,1)*IF(ISERROR(VLOOKUP(AH45,EN:EN,1,FALSE)),0,1)*AS45</f>
        <v/>
      </c>
      <c r="FZ45" s="79" t="n">
        <v>43</v>
      </c>
      <c r="GA45" s="3">
        <f>GB45&amp;GC45&amp;GD45&amp;GE45&amp;GF45&amp;GG45&amp;GH45&amp;GI45</f>
        <v/>
      </c>
      <c r="GB45" s="3" t="inlineStr">
        <is>
          <t>C</t>
        </is>
      </c>
      <c r="GC45" s="3" t="inlineStr">
        <is>
          <t>G</t>
        </is>
      </c>
      <c r="GD45" s="3" t="inlineStr">
        <is>
          <t>J</t>
        </is>
      </c>
      <c r="GE45" s="3" t="inlineStr">
        <is>
          <t>D</t>
        </is>
      </c>
      <c r="GF45" s="3" t="inlineStr">
        <is>
          <t>H</t>
        </is>
      </c>
      <c r="GG45" s="3" t="inlineStr">
        <is>
          <t>F</t>
        </is>
      </c>
      <c r="GH45" s="3" t="inlineStr">
        <is>
          <t>E</t>
        </is>
      </c>
      <c r="GI45" s="3" t="inlineStr">
        <is>
          <t>K</t>
        </is>
      </c>
      <c r="GJ45" s="9">
        <f>VLOOKUP(GB45,$FM$3:$FN$15,2,FALSE)</f>
        <v/>
      </c>
      <c r="GK45" s="9">
        <f>VLOOKUP(GC45,$FM$3:$FN$15,2,FALSE)</f>
        <v/>
      </c>
      <c r="GL45" s="9">
        <f>VLOOKUP(GD45,$FM$3:$FN$15,2,FALSE)</f>
        <v/>
      </c>
      <c r="GM45" s="9">
        <f>VLOOKUP(GE45,$FM$3:$FN$15,2,FALSE)</f>
        <v/>
      </c>
      <c r="GN45" s="9">
        <f>VLOOKUP(GF45,$FM$3:$FN$15,2,FALSE)</f>
        <v/>
      </c>
      <c r="GO45" s="9">
        <f>VLOOKUP(GG45,$FM$3:$FN$15,2,FALSE)</f>
        <v/>
      </c>
      <c r="GP45" s="9">
        <f>VLOOKUP(GH45,$FM$3:$FN$15,2,FALSE)</f>
        <v/>
      </c>
      <c r="GQ45" s="9">
        <f>VLOOKUP(GI45,$FM$3:$FN$15,2,FALSE)</f>
        <v/>
      </c>
      <c r="GR45" s="9">
        <f>IFERROR(IF(AND(VLOOKUP(GB45,$FX$4:$FX$15,1,FALSE)=GB45,VLOOKUP(GC45,$FX$4:$FX$15,1,FALSE)=GC45,VLOOKUP(GD45,$FX$4:$FX$15,1,FALSE)=GD45,VLOOKUP(GE45,$FX$4:$FX$15,1,FALSE)=GE45,VLOOKUP(GF45,$FX$4:$FX$15,1,FALSE)=GF45,VLOOKUP(GG45,$FX$4:$FX$15,1,FALSE)=GG45,VLOOKUP(GH45,$FX$4:$FX$15,1,FALSE)=GH45,VLOOKUP(GI45,$FX$4:$FX$15,1,FALSE)=GI45),FZ45,""),"")</f>
        <v/>
      </c>
      <c r="GX45" s="79" t="n"/>
    </row>
    <row r="46" ht="14.25" customHeight="1">
      <c r="C46" s="94" t="n"/>
      <c r="J46" s="23" t="n"/>
      <c r="K46" s="16" t="n"/>
      <c r="L46" s="49" t="n"/>
      <c r="V46" s="3" t="n"/>
      <c r="AE46" s="111" t="n"/>
      <c r="AF46" s="112" t="n"/>
      <c r="AG46" s="113" t="n"/>
      <c r="AH46" s="113" t="n"/>
      <c r="AL46" s="23" t="n"/>
      <c r="AM46" s="16" t="n"/>
      <c r="FZ46" s="79" t="n">
        <v>44</v>
      </c>
      <c r="GA46" s="3">
        <f>GB46&amp;GC46&amp;GD46&amp;GE46&amp;GF46&amp;GG46&amp;GH46&amp;GI46</f>
        <v/>
      </c>
      <c r="GB46" s="3" t="inlineStr">
        <is>
          <t>C</t>
        </is>
      </c>
      <c r="GC46" s="3" t="inlineStr">
        <is>
          <t>G</t>
        </is>
      </c>
      <c r="GD46" s="3" t="inlineStr">
        <is>
          <t>E</t>
        </is>
      </c>
      <c r="GE46" s="3" t="inlineStr">
        <is>
          <t>D</t>
        </is>
      </c>
      <c r="GF46" s="3" t="inlineStr">
        <is>
          <t>H</t>
        </is>
      </c>
      <c r="GG46" s="3" t="inlineStr">
        <is>
          <t>F</t>
        </is>
      </c>
      <c r="GH46" s="3" t="inlineStr">
        <is>
          <t>L</t>
        </is>
      </c>
      <c r="GI46" s="3" t="inlineStr">
        <is>
          <t>I</t>
        </is>
      </c>
      <c r="GJ46" s="9">
        <f>VLOOKUP(GB46,$FM$3:$FN$15,2,FALSE)</f>
        <v/>
      </c>
      <c r="GK46" s="9">
        <f>VLOOKUP(GC46,$FM$3:$FN$15,2,FALSE)</f>
        <v/>
      </c>
      <c r="GL46" s="9">
        <f>VLOOKUP(GD46,$FM$3:$FN$15,2,FALSE)</f>
        <v/>
      </c>
      <c r="GM46" s="9">
        <f>VLOOKUP(GE46,$FM$3:$FN$15,2,FALSE)</f>
        <v/>
      </c>
      <c r="GN46" s="9">
        <f>VLOOKUP(GF46,$FM$3:$FN$15,2,FALSE)</f>
        <v/>
      </c>
      <c r="GO46" s="9">
        <f>VLOOKUP(GG46,$FM$3:$FN$15,2,FALSE)</f>
        <v/>
      </c>
      <c r="GP46" s="9">
        <f>VLOOKUP(GH46,$FM$3:$FN$15,2,FALSE)</f>
        <v/>
      </c>
      <c r="GQ46" s="9">
        <f>VLOOKUP(GI46,$FM$3:$FN$15,2,FALSE)</f>
        <v/>
      </c>
      <c r="GR46" s="9">
        <f>IFERROR(IF(AND(VLOOKUP(GB46,$FX$4:$FX$15,1,FALSE)=GB46,VLOOKUP(GC46,$FX$4:$FX$15,1,FALSE)=GC46,VLOOKUP(GD46,$FX$4:$FX$15,1,FALSE)=GD46,VLOOKUP(GE46,$FX$4:$FX$15,1,FALSE)=GE46,VLOOKUP(GF46,$FX$4:$FX$15,1,FALSE)=GF46,VLOOKUP(GG46,$FX$4:$FX$15,1,FALSE)=GG46,VLOOKUP(GH46,$FX$4:$FX$15,1,FALSE)=GH46,VLOOKUP(GI46,$FX$4:$FX$15,1,FALSE)=GI46),FZ46,""),"")</f>
        <v/>
      </c>
      <c r="GX46" s="79" t="n"/>
    </row>
    <row r="47" ht="14.25" customFormat="1" customHeight="1" s="104">
      <c r="B47" s="19" t="inlineStr">
        <is>
          <t>Grupp F</t>
        </is>
      </c>
      <c r="C47" s="97" t="n"/>
      <c r="D47" s="98" t="n"/>
      <c r="E47" s="33" t="n"/>
      <c r="F47" s="98" t="n"/>
      <c r="G47" s="25" t="n"/>
      <c r="H47" s="25" t="n"/>
      <c r="I47" s="25" t="n"/>
      <c r="J47" s="23" t="n"/>
      <c r="K47" s="16" t="n"/>
      <c r="L47" s="49" t="n"/>
      <c r="M47" s="103" t="n"/>
      <c r="N47" s="103" t="n"/>
      <c r="O47" s="19" t="inlineStr">
        <is>
          <t>Grupp F</t>
        </is>
      </c>
      <c r="V47" s="33" t="n"/>
      <c r="X47" s="33" t="n"/>
      <c r="Y47" s="33" t="n"/>
      <c r="Z47" s="33" t="n"/>
      <c r="AA47" s="33" t="n"/>
      <c r="AB47" s="132" t="n"/>
      <c r="AC47" s="133" t="n"/>
      <c r="AE47" s="32" t="inlineStr">
        <is>
          <t>Grupp F</t>
        </is>
      </c>
      <c r="AF47" s="9" t="n"/>
      <c r="AG47" s="9" t="n"/>
      <c r="AH47" s="9" t="n"/>
      <c r="AI47" s="33" t="n"/>
      <c r="AJ47" s="33" t="n"/>
      <c r="AK47" s="33" t="n"/>
      <c r="AL47" s="23" t="n"/>
      <c r="AM47" s="16" t="n"/>
      <c r="AN47" s="13" t="n"/>
      <c r="AO47" s="13" t="n"/>
      <c r="AP47" s="13" t="n"/>
      <c r="AQ47" s="13" t="n"/>
      <c r="AR47" s="13" t="n"/>
      <c r="AS47" s="13" t="n"/>
      <c r="AT47" s="13" t="n"/>
      <c r="AU47" s="13" t="n"/>
      <c r="AV47" s="13" t="n"/>
      <c r="AW47" s="13" t="n"/>
      <c r="AX47" s="13" t="n"/>
      <c r="AY47" s="13" t="n"/>
      <c r="AZ47" s="13" t="n"/>
      <c r="BA47" s="13" t="n"/>
      <c r="BB47" s="13" t="n"/>
      <c r="BC47" s="13" t="n"/>
      <c r="BD47" s="13" t="n"/>
      <c r="BE47" s="13" t="n"/>
      <c r="BF47" s="13" t="n"/>
      <c r="BG47" s="13" t="n"/>
      <c r="BH47" s="13" t="n"/>
      <c r="BI47" s="13" t="n"/>
      <c r="BJ47" s="13" t="n"/>
      <c r="BK47" s="13" t="n"/>
      <c r="BL47" s="13" t="n"/>
      <c r="BM47" s="13" t="n"/>
      <c r="BN47" s="13" t="n"/>
      <c r="BO47" s="13" t="n"/>
      <c r="BP47" s="13" t="n"/>
      <c r="BQ47" s="13" t="n"/>
      <c r="BR47" s="12" t="n"/>
      <c r="BS47" s="12" t="n"/>
      <c r="BT47" s="39" t="inlineStr">
        <is>
          <t>Rank 0</t>
        </is>
      </c>
      <c r="BU47" s="34" t="n"/>
      <c r="BV47" s="34" t="n"/>
      <c r="BW47" s="34" t="n"/>
      <c r="BX47" s="34" t="n"/>
      <c r="BY47" s="34" t="n"/>
      <c r="BZ47" s="34" t="n"/>
      <c r="CA47" s="34" t="n"/>
      <c r="CB47" s="39" t="n"/>
      <c r="CC47" s="34" t="n"/>
      <c r="CD47" s="34" t="n"/>
      <c r="CE47" s="12" t="n"/>
      <c r="CF47" s="40" t="inlineStr">
        <is>
          <t>Rank 1</t>
        </is>
      </c>
      <c r="CG47" s="35">
        <f>COUNTIF(CC49:CC52,1)</f>
        <v/>
      </c>
      <c r="CH47" s="35" t="n"/>
      <c r="CI47" s="35" t="n"/>
      <c r="CJ47" s="35" t="n"/>
      <c r="CK47" s="35" t="n"/>
      <c r="CL47" s="35" t="n"/>
      <c r="CM47" s="35" t="n"/>
      <c r="CN47" s="35" t="n"/>
      <c r="CO47" s="35" t="n"/>
      <c r="CP47" s="35" t="n"/>
      <c r="CQ47" s="13" t="n"/>
      <c r="CR47" s="13" t="n"/>
      <c r="CS47" s="13" t="n"/>
      <c r="CT47" s="13" t="n"/>
      <c r="CU47" s="13" t="n"/>
      <c r="CV47" s="13" t="n"/>
      <c r="CW47" s="13" t="n"/>
      <c r="CX47" s="13" t="n"/>
      <c r="CY47" s="12" t="n"/>
      <c r="CZ47" s="41" t="inlineStr">
        <is>
          <t>Rank 2</t>
        </is>
      </c>
      <c r="DA47" s="36">
        <f>COUNTIF(CC49:CC52,2)</f>
        <v/>
      </c>
      <c r="DB47" s="36" t="n"/>
      <c r="DC47" s="36" t="n"/>
      <c r="DD47" s="36" t="n"/>
      <c r="DE47" s="36" t="n"/>
      <c r="DF47" s="36" t="n"/>
      <c r="DG47" s="36" t="n"/>
      <c r="DH47" s="36" t="n"/>
      <c r="DI47" s="36" t="n"/>
      <c r="DJ47" s="41" t="n"/>
      <c r="DK47" s="12" t="n"/>
      <c r="DL47" s="12" t="n"/>
      <c r="DM47" s="12" t="n"/>
      <c r="DN47" s="12" t="n"/>
      <c r="DO47" s="12" t="n"/>
      <c r="DP47" s="12" t="n"/>
      <c r="DQ47" s="12" t="n"/>
      <c r="DR47" s="12" t="n"/>
      <c r="DS47" s="12" t="n"/>
      <c r="DT47" s="37" t="inlineStr">
        <is>
          <t>Rank 3</t>
        </is>
      </c>
      <c r="DU47" s="37">
        <f>COUNTIF(CC49:CC52,3)</f>
        <v/>
      </c>
      <c r="DV47" s="37" t="n"/>
      <c r="DW47" s="37" t="n"/>
      <c r="DX47" s="37" t="n"/>
      <c r="DY47" s="37" t="n"/>
      <c r="DZ47" s="37" t="n"/>
      <c r="EA47" s="37" t="n"/>
      <c r="EB47" s="37" t="n"/>
      <c r="EC47" s="37" t="n"/>
      <c r="ED47" s="37" t="n"/>
      <c r="EE47" s="13" t="n"/>
      <c r="EF47" s="13" t="n"/>
      <c r="EG47" s="13" t="n"/>
      <c r="EH47" s="13" t="n"/>
      <c r="EI47" s="13" t="n"/>
      <c r="EJ47" s="13" t="n"/>
      <c r="EK47" s="13" t="n"/>
      <c r="EL47" s="13" t="n"/>
      <c r="EM47" s="12" t="n"/>
      <c r="EN47" s="38" t="inlineStr">
        <is>
          <t>Rank 4</t>
        </is>
      </c>
      <c r="EO47" s="38">
        <f>COUNTIF(CC49:CC52,4)</f>
        <v/>
      </c>
      <c r="EP47" s="38" t="n"/>
      <c r="EQ47" s="38" t="n"/>
      <c r="ER47" s="38" t="n"/>
      <c r="ES47" s="38" t="n"/>
      <c r="ET47" s="38" t="n"/>
      <c r="EU47" s="38" t="n"/>
      <c r="EV47" s="38" t="n"/>
      <c r="EW47" s="38" t="n"/>
      <c r="EX47" s="38" t="n"/>
      <c r="EY47" s="13" t="n"/>
      <c r="EZ47" s="13" t="n"/>
      <c r="FA47" s="13" t="n"/>
      <c r="FB47" s="13" t="n"/>
      <c r="FC47" s="13" t="n"/>
      <c r="FD47" s="13" t="n"/>
      <c r="FE47" s="13" t="n"/>
      <c r="FF47" s="13" t="n"/>
      <c r="FG47" s="12" t="n"/>
      <c r="FH47" s="13" t="n"/>
      <c r="FI47" s="13" t="n"/>
      <c r="FJ47" s="12" t="n"/>
      <c r="FZ47" s="79" t="n">
        <v>45</v>
      </c>
      <c r="GA47" s="3">
        <f>GB47&amp;GC47&amp;GD47&amp;GE47&amp;GF47&amp;GG47&amp;GH47&amp;GI47</f>
        <v/>
      </c>
      <c r="GB47" s="3" t="inlineStr">
        <is>
          <t>C</t>
        </is>
      </c>
      <c r="GC47" s="3" t="inlineStr">
        <is>
          <t>G</t>
        </is>
      </c>
      <c r="GD47" s="3" t="inlineStr">
        <is>
          <t>E</t>
        </is>
      </c>
      <c r="GE47" s="3" t="inlineStr">
        <is>
          <t>D</t>
        </is>
      </c>
      <c r="GF47" s="3" t="inlineStr">
        <is>
          <t>H</t>
        </is>
      </c>
      <c r="GG47" s="3" t="inlineStr">
        <is>
          <t>F</t>
        </is>
      </c>
      <c r="GH47" s="3" t="inlineStr">
        <is>
          <t>I</t>
        </is>
      </c>
      <c r="GI47" s="3" t="inlineStr">
        <is>
          <t>K</t>
        </is>
      </c>
      <c r="GJ47" s="9">
        <f>VLOOKUP(GB47,$FM$3:$FN$15,2,FALSE)</f>
        <v/>
      </c>
      <c r="GK47" s="9">
        <f>VLOOKUP(GC47,$FM$3:$FN$15,2,FALSE)</f>
        <v/>
      </c>
      <c r="GL47" s="9">
        <f>VLOOKUP(GD47,$FM$3:$FN$15,2,FALSE)</f>
        <v/>
      </c>
      <c r="GM47" s="9">
        <f>VLOOKUP(GE47,$FM$3:$FN$15,2,FALSE)</f>
        <v/>
      </c>
      <c r="GN47" s="9">
        <f>VLOOKUP(GF47,$FM$3:$FN$15,2,FALSE)</f>
        <v/>
      </c>
      <c r="GO47" s="9">
        <f>VLOOKUP(GG47,$FM$3:$FN$15,2,FALSE)</f>
        <v/>
      </c>
      <c r="GP47" s="9">
        <f>VLOOKUP(GH47,$FM$3:$FN$15,2,FALSE)</f>
        <v/>
      </c>
      <c r="GQ47" s="9">
        <f>VLOOKUP(GI47,$FM$3:$FN$15,2,FALSE)</f>
        <v/>
      </c>
      <c r="GR47" s="9">
        <f>IFERROR(IF(AND(VLOOKUP(GB47,$FX$4:$FX$15,1,FALSE)=GB47,VLOOKUP(GC47,$FX$4:$FX$15,1,FALSE)=GC47,VLOOKUP(GD47,$FX$4:$FX$15,1,FALSE)=GD47,VLOOKUP(GE47,$FX$4:$FX$15,1,FALSE)=GE47,VLOOKUP(GF47,$FX$4:$FX$15,1,FALSE)=GF47,VLOOKUP(GG47,$FX$4:$FX$15,1,FALSE)=GG47,VLOOKUP(GH47,$FX$4:$FX$15,1,FALSE)=GH47,VLOOKUP(GI47,$FX$4:$FX$15,1,FALSE)=GI47),FZ47,""),"")</f>
        <v/>
      </c>
      <c r="GX47" s="23" t="n"/>
    </row>
    <row r="48" ht="14.25" customFormat="1" customHeight="1" s="104">
      <c r="B48" s="117" t="inlineStr">
        <is>
          <t>Match</t>
        </is>
      </c>
      <c r="C48" s="107" t="inlineStr">
        <is>
          <t>Datum</t>
        </is>
      </c>
      <c r="D48" s="210" t="inlineStr">
        <is>
          <t>Match</t>
        </is>
      </c>
      <c r="E48" s="211" t="n"/>
      <c r="F48" s="212" t="n"/>
      <c r="G48" s="184" t="inlineStr">
        <is>
          <t>Resultat</t>
        </is>
      </c>
      <c r="H48" s="217" t="n"/>
      <c r="I48" s="217" t="n"/>
      <c r="J48" s="47" t="inlineStr">
        <is>
          <t>1X2</t>
        </is>
      </c>
      <c r="K48" s="48" t="inlineStr">
        <is>
          <t>Poäng</t>
        </is>
      </c>
      <c r="L48" s="49" t="n"/>
      <c r="M48" s="103" t="n"/>
      <c r="N48" s="103" t="n"/>
      <c r="O48" s="51" t="inlineStr">
        <is>
          <t>Lag</t>
        </is>
      </c>
      <c r="P48" s="186" t="inlineStr">
        <is>
          <t>V</t>
        </is>
      </c>
      <c r="Q48" s="186" t="inlineStr">
        <is>
          <t>O</t>
        </is>
      </c>
      <c r="R48" s="186" t="inlineStr">
        <is>
          <t>F</t>
        </is>
      </c>
      <c r="S48" s="186" t="inlineStr">
        <is>
          <t>GM</t>
        </is>
      </c>
      <c r="T48" s="186" t="inlineStr">
        <is>
          <t>IM</t>
        </is>
      </c>
      <c r="U48" s="186" t="inlineStr">
        <is>
          <t>+/-</t>
        </is>
      </c>
      <c r="V48" s="187" t="inlineStr">
        <is>
          <t>P</t>
        </is>
      </c>
      <c r="X48" s="19" t="n"/>
      <c r="Y48" s="33" t="n"/>
      <c r="AA48" s="33" t="n"/>
      <c r="AB48" s="132" t="n"/>
      <c r="AC48" s="133" t="n"/>
      <c r="AE48" s="51" t="inlineStr">
        <is>
          <t>Datum</t>
        </is>
      </c>
      <c r="AF48" s="193" t="inlineStr">
        <is>
          <t>Match</t>
        </is>
      </c>
      <c r="AG48" s="211" t="n"/>
      <c r="AH48" s="211" t="n"/>
      <c r="AI48" s="182" t="inlineStr">
        <is>
          <t>Resultat</t>
        </is>
      </c>
      <c r="AJ48" s="211" t="n"/>
      <c r="AK48" s="211" t="n"/>
      <c r="AL48" s="47" t="inlineStr">
        <is>
          <t>Tecken</t>
        </is>
      </c>
      <c r="AM48" s="16" t="n"/>
      <c r="AN48" s="34" t="inlineStr">
        <is>
          <t>V1</t>
        </is>
      </c>
      <c r="AO48" s="34" t="inlineStr">
        <is>
          <t>V2</t>
        </is>
      </c>
      <c r="AP48" s="34" t="inlineStr">
        <is>
          <t>O1</t>
        </is>
      </c>
      <c r="AQ48" s="34" t="inlineStr">
        <is>
          <t>O2</t>
        </is>
      </c>
      <c r="AR48" s="34" t="inlineStr">
        <is>
          <t>F1</t>
        </is>
      </c>
      <c r="AS48" s="34" t="inlineStr">
        <is>
          <t>F2</t>
        </is>
      </c>
      <c r="AT48" s="35" t="inlineStr">
        <is>
          <t>V1</t>
        </is>
      </c>
      <c r="AU48" s="35" t="inlineStr">
        <is>
          <t>V2</t>
        </is>
      </c>
      <c r="AV48" s="35" t="inlineStr">
        <is>
          <t>O1</t>
        </is>
      </c>
      <c r="AW48" s="35" t="inlineStr">
        <is>
          <t>O2</t>
        </is>
      </c>
      <c r="AX48" s="35" t="inlineStr">
        <is>
          <t>F1</t>
        </is>
      </c>
      <c r="AY48" s="35" t="inlineStr">
        <is>
          <t>F2</t>
        </is>
      </c>
      <c r="AZ48" s="36" t="inlineStr">
        <is>
          <t>V1</t>
        </is>
      </c>
      <c r="BA48" s="36" t="inlineStr">
        <is>
          <t>V2</t>
        </is>
      </c>
      <c r="BB48" s="36" t="inlineStr">
        <is>
          <t>O1</t>
        </is>
      </c>
      <c r="BC48" s="36" t="inlineStr">
        <is>
          <t>O2</t>
        </is>
      </c>
      <c r="BD48" s="36" t="inlineStr">
        <is>
          <t>F1</t>
        </is>
      </c>
      <c r="BE48" s="36" t="inlineStr">
        <is>
          <t>F2</t>
        </is>
      </c>
      <c r="BF48" s="37" t="inlineStr">
        <is>
          <t>V1</t>
        </is>
      </c>
      <c r="BG48" s="37" t="inlineStr">
        <is>
          <t>V2</t>
        </is>
      </c>
      <c r="BH48" s="37" t="inlineStr">
        <is>
          <t>O1</t>
        </is>
      </c>
      <c r="BI48" s="37" t="inlineStr">
        <is>
          <t>O2</t>
        </is>
      </c>
      <c r="BJ48" s="37" t="inlineStr">
        <is>
          <t>F1</t>
        </is>
      </c>
      <c r="BK48" s="37" t="inlineStr">
        <is>
          <t>F2</t>
        </is>
      </c>
      <c r="BL48" s="38" t="inlineStr">
        <is>
          <t>V1</t>
        </is>
      </c>
      <c r="BM48" s="38" t="inlineStr">
        <is>
          <t>V2</t>
        </is>
      </c>
      <c r="BN48" s="38" t="inlineStr">
        <is>
          <t>O1</t>
        </is>
      </c>
      <c r="BO48" s="38" t="inlineStr">
        <is>
          <t>O2</t>
        </is>
      </c>
      <c r="BP48" s="38" t="inlineStr">
        <is>
          <t>F1</t>
        </is>
      </c>
      <c r="BQ48" s="38" t="inlineStr">
        <is>
          <t>F2</t>
        </is>
      </c>
      <c r="BR48" s="12" t="n"/>
      <c r="BS48" s="12" t="n"/>
      <c r="BT48" s="39" t="inlineStr">
        <is>
          <t>Lag</t>
        </is>
      </c>
      <c r="BU48" s="34" t="inlineStr">
        <is>
          <t>V</t>
        </is>
      </c>
      <c r="BV48" s="34" t="inlineStr">
        <is>
          <t>O</t>
        </is>
      </c>
      <c r="BW48" s="34" t="inlineStr">
        <is>
          <t>F</t>
        </is>
      </c>
      <c r="BX48" s="34" t="inlineStr">
        <is>
          <t>GM</t>
        </is>
      </c>
      <c r="BY48" s="34" t="inlineStr">
        <is>
          <t>IM</t>
        </is>
      </c>
      <c r="BZ48" s="34" t="inlineStr">
        <is>
          <t>+/-</t>
        </is>
      </c>
      <c r="CA48" s="34" t="inlineStr">
        <is>
          <t>P</t>
        </is>
      </c>
      <c r="CB48" s="39" t="inlineStr">
        <is>
          <t>Grupp</t>
        </is>
      </c>
      <c r="CC48" s="34" t="inlineStr">
        <is>
          <t>Rank P</t>
        </is>
      </c>
      <c r="CD48" s="34" t="inlineStr">
        <is>
          <t>Rank +/-</t>
        </is>
      </c>
      <c r="CE48" s="12" t="n"/>
      <c r="CF48" s="40" t="inlineStr">
        <is>
          <t>Lag</t>
        </is>
      </c>
      <c r="CG48" s="35" t="inlineStr">
        <is>
          <t>V</t>
        </is>
      </c>
      <c r="CH48" s="35" t="inlineStr">
        <is>
          <t>O</t>
        </is>
      </c>
      <c r="CI48" s="35" t="inlineStr">
        <is>
          <t>F</t>
        </is>
      </c>
      <c r="CJ48" s="35" t="inlineStr">
        <is>
          <t>P</t>
        </is>
      </c>
      <c r="CK48" s="35" t="inlineStr">
        <is>
          <t>Grupp</t>
        </is>
      </c>
      <c r="CL48" s="35" t="inlineStr">
        <is>
          <t>Rank P</t>
        </is>
      </c>
      <c r="CM48" s="56" t="inlineStr">
        <is>
          <t>+/-</t>
        </is>
      </c>
      <c r="CN48" s="56" t="inlineStr">
        <is>
          <t>+/- rank</t>
        </is>
      </c>
      <c r="CO48" s="56" t="inlineStr">
        <is>
          <t>GM</t>
        </is>
      </c>
      <c r="CP48" s="56" t="inlineStr">
        <is>
          <t>GM rank</t>
        </is>
      </c>
      <c r="CQ48" s="35" t="inlineStr">
        <is>
          <t>Rank internal</t>
        </is>
      </c>
      <c r="CR48" s="56" t="inlineStr">
        <is>
          <t>+/- all</t>
        </is>
      </c>
      <c r="CS48" s="56" t="inlineStr">
        <is>
          <t>+/- rank all</t>
        </is>
      </c>
      <c r="CT48" s="56" t="inlineStr">
        <is>
          <t>GM all</t>
        </is>
      </c>
      <c r="CU48" s="56" t="inlineStr">
        <is>
          <t>GM rank all</t>
        </is>
      </c>
      <c r="CV48" s="56" t="inlineStr">
        <is>
          <t>V all</t>
        </is>
      </c>
      <c r="CW48" s="56" t="inlineStr">
        <is>
          <t>V rank all</t>
        </is>
      </c>
      <c r="CX48" s="35" t="inlineStr">
        <is>
          <t>Rank all</t>
        </is>
      </c>
      <c r="CY48" s="12" t="n"/>
      <c r="CZ48" s="41" t="inlineStr">
        <is>
          <t>Lag</t>
        </is>
      </c>
      <c r="DA48" s="36" t="inlineStr">
        <is>
          <t>V</t>
        </is>
      </c>
      <c r="DB48" s="36" t="inlineStr">
        <is>
          <t>O</t>
        </is>
      </c>
      <c r="DC48" s="36" t="inlineStr">
        <is>
          <t>F</t>
        </is>
      </c>
      <c r="DD48" s="36" t="inlineStr">
        <is>
          <t>P</t>
        </is>
      </c>
      <c r="DE48" s="36" t="inlineStr">
        <is>
          <t>Grupp</t>
        </is>
      </c>
      <c r="DF48" s="36" t="inlineStr">
        <is>
          <t>Rank P</t>
        </is>
      </c>
      <c r="DG48" s="36" t="inlineStr">
        <is>
          <t>+/-</t>
        </is>
      </c>
      <c r="DH48" s="36" t="inlineStr">
        <is>
          <t>+/- rank</t>
        </is>
      </c>
      <c r="DI48" s="36" t="inlineStr">
        <is>
          <t>GM</t>
        </is>
      </c>
      <c r="DJ48" s="41" t="inlineStr">
        <is>
          <t>GM rank</t>
        </is>
      </c>
      <c r="DK48" s="41" t="inlineStr">
        <is>
          <t>Rank internal</t>
        </is>
      </c>
      <c r="DL48" s="41" t="inlineStr">
        <is>
          <t>+/- all</t>
        </is>
      </c>
      <c r="DM48" s="41" t="inlineStr">
        <is>
          <t>+/- rank all</t>
        </is>
      </c>
      <c r="DN48" s="41" t="inlineStr">
        <is>
          <t>GM all</t>
        </is>
      </c>
      <c r="DO48" s="41" t="inlineStr">
        <is>
          <t>GM rank all</t>
        </is>
      </c>
      <c r="DP48" s="41" t="inlineStr">
        <is>
          <t>V all</t>
        </is>
      </c>
      <c r="DQ48" s="41" t="inlineStr">
        <is>
          <t>V rank all</t>
        </is>
      </c>
      <c r="DR48" s="41" t="inlineStr">
        <is>
          <t>Rank all</t>
        </is>
      </c>
      <c r="DS48" s="12" t="n"/>
      <c r="DT48" s="37" t="inlineStr">
        <is>
          <t>Lag</t>
        </is>
      </c>
      <c r="DU48" s="37" t="inlineStr">
        <is>
          <t>V</t>
        </is>
      </c>
      <c r="DV48" s="37" t="inlineStr">
        <is>
          <t>O</t>
        </is>
      </c>
      <c r="DW48" s="37" t="inlineStr">
        <is>
          <t>F</t>
        </is>
      </c>
      <c r="DX48" s="37" t="inlineStr">
        <is>
          <t>P</t>
        </is>
      </c>
      <c r="DY48" s="37" t="inlineStr">
        <is>
          <t>Grupp</t>
        </is>
      </c>
      <c r="DZ48" s="37" t="inlineStr">
        <is>
          <t>Rank P</t>
        </is>
      </c>
      <c r="EA48" s="37" t="inlineStr">
        <is>
          <t>+/-</t>
        </is>
      </c>
      <c r="EB48" s="37" t="inlineStr">
        <is>
          <t>+/- rank</t>
        </is>
      </c>
      <c r="EC48" s="37" t="inlineStr">
        <is>
          <t>GM</t>
        </is>
      </c>
      <c r="ED48" s="37" t="inlineStr">
        <is>
          <t>GM rank</t>
        </is>
      </c>
      <c r="EE48" s="37" t="inlineStr">
        <is>
          <t>Rank internal</t>
        </is>
      </c>
      <c r="EF48" s="37" t="inlineStr">
        <is>
          <t>+/- all</t>
        </is>
      </c>
      <c r="EG48" s="37" t="inlineStr">
        <is>
          <t>+/- rank all</t>
        </is>
      </c>
      <c r="EH48" s="37" t="inlineStr">
        <is>
          <t>GM all</t>
        </is>
      </c>
      <c r="EI48" s="37" t="inlineStr">
        <is>
          <t>GM rank all</t>
        </is>
      </c>
      <c r="EJ48" s="37" t="inlineStr">
        <is>
          <t>V all</t>
        </is>
      </c>
      <c r="EK48" s="37" t="inlineStr">
        <is>
          <t>V rank all</t>
        </is>
      </c>
      <c r="EL48" s="37" t="inlineStr">
        <is>
          <t>Rank all</t>
        </is>
      </c>
      <c r="EM48" s="12" t="n"/>
      <c r="EN48" s="38" t="inlineStr">
        <is>
          <t>Lag</t>
        </is>
      </c>
      <c r="EO48" s="38" t="inlineStr">
        <is>
          <t>V</t>
        </is>
      </c>
      <c r="EP48" s="38" t="inlineStr">
        <is>
          <t>O</t>
        </is>
      </c>
      <c r="EQ48" s="38" t="inlineStr">
        <is>
          <t>F</t>
        </is>
      </c>
      <c r="ER48" s="38" t="inlineStr">
        <is>
          <t>P</t>
        </is>
      </c>
      <c r="ES48" s="38" t="inlineStr">
        <is>
          <t>Grupp</t>
        </is>
      </c>
      <c r="ET48" s="38" t="inlineStr">
        <is>
          <t>Rank P</t>
        </is>
      </c>
      <c r="EU48" s="38" t="inlineStr">
        <is>
          <t>+/-</t>
        </is>
      </c>
      <c r="EV48" s="38" t="inlineStr">
        <is>
          <t>+/- rank</t>
        </is>
      </c>
      <c r="EW48" s="38" t="inlineStr">
        <is>
          <t>GM</t>
        </is>
      </c>
      <c r="EX48" s="38" t="inlineStr">
        <is>
          <t>GM rank</t>
        </is>
      </c>
      <c r="EY48" s="38" t="inlineStr">
        <is>
          <t>Rank internal</t>
        </is>
      </c>
      <c r="EZ48" s="38" t="inlineStr">
        <is>
          <t>+/- all</t>
        </is>
      </c>
      <c r="FA48" s="38" t="inlineStr">
        <is>
          <t>+/- rank all</t>
        </is>
      </c>
      <c r="FB48" s="38" t="inlineStr">
        <is>
          <t>GM all</t>
        </is>
      </c>
      <c r="FC48" s="38" t="inlineStr">
        <is>
          <t>GM rank all</t>
        </is>
      </c>
      <c r="FD48" s="38" t="inlineStr">
        <is>
          <t>V all</t>
        </is>
      </c>
      <c r="FE48" s="38" t="inlineStr">
        <is>
          <t>V rank all</t>
        </is>
      </c>
      <c r="FF48" s="38" t="inlineStr">
        <is>
          <t>Rank all</t>
        </is>
      </c>
      <c r="FG48" s="12" t="n"/>
      <c r="FH48" s="38" t="inlineStr">
        <is>
          <t>Rank</t>
        </is>
      </c>
      <c r="FI48" s="38" t="inlineStr">
        <is>
          <t>Rank Ties</t>
        </is>
      </c>
      <c r="FJ48" s="12" t="n"/>
      <c r="FZ48" s="79" t="n">
        <v>46</v>
      </c>
      <c r="GA48" s="3">
        <f>GB48&amp;GC48&amp;GD48&amp;GE48&amp;GF48&amp;GG48&amp;GH48&amp;GI48</f>
        <v/>
      </c>
      <c r="GB48" s="3" t="inlineStr">
        <is>
          <t>C</t>
        </is>
      </c>
      <c r="GC48" s="3" t="inlineStr">
        <is>
          <t>G</t>
        </is>
      </c>
      <c r="GD48" s="3" t="inlineStr">
        <is>
          <t>J</t>
        </is>
      </c>
      <c r="GE48" s="3" t="inlineStr">
        <is>
          <t>D</t>
        </is>
      </c>
      <c r="GF48" s="3" t="inlineStr">
        <is>
          <t>H</t>
        </is>
      </c>
      <c r="GG48" s="3" t="inlineStr">
        <is>
          <t>F</t>
        </is>
      </c>
      <c r="GH48" s="3" t="inlineStr">
        <is>
          <t>E</t>
        </is>
      </c>
      <c r="GI48" s="3" t="inlineStr">
        <is>
          <t>I</t>
        </is>
      </c>
      <c r="GJ48" s="9">
        <f>VLOOKUP(GB48,$FM$3:$FN$15,2,FALSE)</f>
        <v/>
      </c>
      <c r="GK48" s="9">
        <f>VLOOKUP(GC48,$FM$3:$FN$15,2,FALSE)</f>
        <v/>
      </c>
      <c r="GL48" s="9">
        <f>VLOOKUP(GD48,$FM$3:$FN$15,2,FALSE)</f>
        <v/>
      </c>
      <c r="GM48" s="9">
        <f>VLOOKUP(GE48,$FM$3:$FN$15,2,FALSE)</f>
        <v/>
      </c>
      <c r="GN48" s="9">
        <f>VLOOKUP(GF48,$FM$3:$FN$15,2,FALSE)</f>
        <v/>
      </c>
      <c r="GO48" s="9">
        <f>VLOOKUP(GG48,$FM$3:$FN$15,2,FALSE)</f>
        <v/>
      </c>
      <c r="GP48" s="9">
        <f>VLOOKUP(GH48,$FM$3:$FN$15,2,FALSE)</f>
        <v/>
      </c>
      <c r="GQ48" s="9">
        <f>VLOOKUP(GI48,$FM$3:$FN$15,2,FALSE)</f>
        <v/>
      </c>
      <c r="GR48" s="9">
        <f>IFERROR(IF(AND(VLOOKUP(GB48,$FX$4:$FX$15,1,FALSE)=GB48,VLOOKUP(GC48,$FX$4:$FX$15,1,FALSE)=GC48,VLOOKUP(GD48,$FX$4:$FX$15,1,FALSE)=GD48,VLOOKUP(GE48,$FX$4:$FX$15,1,FALSE)=GE48,VLOOKUP(GF48,$FX$4:$FX$15,1,FALSE)=GF48,VLOOKUP(GG48,$FX$4:$FX$15,1,FALSE)=GG48,VLOOKUP(GH48,$FX$4:$FX$15,1,FALSE)=GH48,VLOOKUP(GI48,$FX$4:$FX$15,1,FALSE)=GI48),FZ48,""),"")</f>
        <v/>
      </c>
      <c r="GX48" s="23" t="n"/>
    </row>
    <row r="49" ht="14.25" customHeight="1">
      <c r="B49" s="58" t="n">
        <v>11</v>
      </c>
      <c r="C49" s="59" t="n">
        <v>46187</v>
      </c>
      <c r="D49" s="60" t="inlineStr">
        <is>
          <t>Nederländerna</t>
        </is>
      </c>
      <c r="E49" s="61" t="inlineStr">
        <is>
          <t>-</t>
        </is>
      </c>
      <c r="F49" s="62" t="inlineStr">
        <is>
          <t>Japan</t>
        </is>
      </c>
      <c r="G49" s="63" t="n">
        <v>2</v>
      </c>
      <c r="H49" s="64" t="inlineStr">
        <is>
          <t>-</t>
        </is>
      </c>
      <c r="I49" s="63" t="n">
        <v>0</v>
      </c>
      <c r="J49" s="65">
        <f>IF(OR(ISBLANK(G49),ISBLANK(I49)),"",IF(G49&gt;I49,1,IF(G49&lt;I49,2,"X")))</f>
        <v/>
      </c>
      <c r="K49" s="66">
        <f>IF(OR(G49="",I49="",'[1]Resultat &amp; tabell'!G49="",'[1]Resultat &amp; tabell'!I49=""),0,IF(G49='[1]Resultat &amp; tabell'!G49,2,0)+IF(I49='[1]Resultat &amp; tabell'!I49,2,0)+IF(J49='[1]Resultat &amp; tabell'!J49,2,0))</f>
        <v/>
      </c>
      <c r="L49" s="67" t="n"/>
      <c r="M49" s="29">
        <f>IF(VLOOKUP(D49,$BT$48:$CC$52,10,FALSE)=VLOOKUP(F49,$BT$48:$CC$52,10,FALSE),VLOOKUP(D49,$BT$48:$CC$52,10,FALSE),"-")</f>
        <v/>
      </c>
      <c r="N49" s="30" t="n">
        <v>1</v>
      </c>
      <c r="O49" s="68">
        <f>VLOOKUP(N49,FI49:FJ52,2,FALSE)</f>
        <v/>
      </c>
      <c r="P49" s="69">
        <f>VLOOKUP($O49,$BT$49:$CA$52,2,FALSE)</f>
        <v/>
      </c>
      <c r="Q49" s="69">
        <f>VLOOKUP($O49,$BT$49:$CA$52,3,FALSE)</f>
        <v/>
      </c>
      <c r="R49" s="69">
        <f>VLOOKUP($O49,$BT$49:$CA$52,4,FALSE)</f>
        <v/>
      </c>
      <c r="S49" s="69">
        <f>VLOOKUP($O49,$BT$49:$CA$52,5,FALSE)</f>
        <v/>
      </c>
      <c r="T49" s="69">
        <f>VLOOKUP($O49,$BT$49:$CA$52,6,FALSE)</f>
        <v/>
      </c>
      <c r="U49" s="69">
        <f>VLOOKUP($O49,$BT$49:$CA$52,7,FALSE)</f>
        <v/>
      </c>
      <c r="V49" s="70">
        <f>VLOOKUP($O49,$BT$49:$CA$52,8,FALSE)</f>
        <v/>
      </c>
      <c r="X49" s="1" t="n"/>
      <c r="AE49" s="72">
        <f>C49</f>
        <v/>
      </c>
      <c r="AF49" s="72">
        <f>D49</f>
        <v/>
      </c>
      <c r="AG49" s="72">
        <f>E49</f>
        <v/>
      </c>
      <c r="AH49" s="72">
        <f>F49</f>
        <v/>
      </c>
      <c r="AI49" s="63">
        <f>IF(G49="","",G49)</f>
        <v/>
      </c>
      <c r="AJ49" s="58">
        <f>H49</f>
        <v/>
      </c>
      <c r="AK49" s="63">
        <f>IF(I49="","",I49)</f>
        <v/>
      </c>
      <c r="AL49" s="65">
        <f>J49</f>
        <v/>
      </c>
      <c r="AM49" s="73" t="n"/>
      <c r="AN49" s="13">
        <f>IF(AI49&gt;AK49,1,0)</f>
        <v/>
      </c>
      <c r="AO49" s="13">
        <f>IF(AK49&gt;AI49,1,0)</f>
        <v/>
      </c>
      <c r="AP49" s="13">
        <f>IF(AND(AI49=AK49,AI49&lt;&gt;""),1,0)</f>
        <v/>
      </c>
      <c r="AQ49" s="13">
        <f>IF(AND(AI49=AK49,AI49&lt;&gt;""),1,0)</f>
        <v/>
      </c>
      <c r="AR49" s="13">
        <f>IF(AI49&lt;AK49,1,0)</f>
        <v/>
      </c>
      <c r="AS49" s="13">
        <f>IF(AK49&lt;AI49,1,)</f>
        <v/>
      </c>
      <c r="AT49" s="13">
        <f>IF(ISERROR(VLOOKUP(AF49,CF:CF,1,FALSE)),0,1)*IF(ISERROR(VLOOKUP(AH49,CF:CF,1,FALSE)),0,1)*AN49</f>
        <v/>
      </c>
      <c r="AU49" s="13">
        <f>IF(ISERROR(VLOOKUP(AF49,CF:CF,1,FALSE)),0,1)*IF(ISERROR(VLOOKUP(AH49,CF:CF,1,FALSE)),0,1)*AO49</f>
        <v/>
      </c>
      <c r="AV49" s="13">
        <f>IF(ISERROR(VLOOKUP(AF49,CF:CF,1,FALSE)),0,1)*IF(ISERROR(VLOOKUP(AH49,CF:CF,1,FALSE)),0,1)*AP49</f>
        <v/>
      </c>
      <c r="AW49" s="13">
        <f>IF(ISERROR(VLOOKUP(AF49,CF:CF,1,FALSE)),0,1)*IF(ISERROR(VLOOKUP(AH49,CF:CF,1,FALSE)),0,1)*AQ49</f>
        <v/>
      </c>
      <c r="AX49" s="13">
        <f>IF(ISERROR(VLOOKUP(AF49,CF:CF,1,FALSE)),0,1)*IF(ISERROR(VLOOKUP(AH49,CF:CF,1,FALSE)),0,1)*AR49</f>
        <v/>
      </c>
      <c r="AY49" s="13">
        <f>IF(ISERROR(VLOOKUP(AF49,CF:CF,1,FALSE)),0,1)*IF(ISERROR(VLOOKUP(AH49,CF:CF,1,FALSE)),0,1)*AS49</f>
        <v/>
      </c>
      <c r="AZ49" s="13">
        <f>IF(ISERROR(VLOOKUP(AF49,CZ:CZ,1,FALSE)),0,1)*IF(ISERROR(VLOOKUP(AH49,CZ:CZ,1,FALSE)),0,1)*AN49</f>
        <v/>
      </c>
      <c r="BA49" s="13">
        <f>IF(ISERROR(VLOOKUP(AF49,CZ:CZ,1,FALSE)),0,1)*IF(ISERROR(VLOOKUP(AH49,CZ:CZ,1,FALSE)),0,1)*AO49</f>
        <v/>
      </c>
      <c r="BB49" s="13">
        <f>IF(ISERROR(VLOOKUP(AF49,CZ:CZ,1,FALSE)),0,1)*IF(ISERROR(VLOOKUP(AH49,CZ:CZ,1,FALSE)),0,1)*AP49</f>
        <v/>
      </c>
      <c r="BC49" s="13">
        <f>IF(ISERROR(VLOOKUP(AF49,CZ:CZ,1,FALSE)),0,1)*IF(ISERROR(VLOOKUP(AH49,CZ:CZ,1,FALSE)),0,1)*AQ49</f>
        <v/>
      </c>
      <c r="BD49" s="13">
        <f>IF(ISERROR(VLOOKUP(AF49,CZ:CZ,1,FALSE)),0,1)*IF(ISERROR(VLOOKUP(AH49,CZ:CZ,1,FALSE)),0,1)*AR49</f>
        <v/>
      </c>
      <c r="BE49" s="13">
        <f>IF(ISERROR(VLOOKUP(AF49,CZ:CZ,1,FALSE)),0,1)*IF(ISERROR(VLOOKUP(AH49,CZ:CZ,1,FALSE)),0,1)*AS49</f>
        <v/>
      </c>
      <c r="BF49" s="13">
        <f>IF(ISERROR(VLOOKUP(AF49,DT:DT,1,FALSE)),0,1)*IF(ISERROR(VLOOKUP(AH49,DT:DT,1,FALSE)),0,1)*AN49</f>
        <v/>
      </c>
      <c r="BG49" s="13">
        <f>IF(ISERROR(VLOOKUP(AF49,DT:DT,1,FALSE)),0,1)*IF(ISERROR(VLOOKUP(AH49,DT:DT,1,FALSE)),0,1)*AO49</f>
        <v/>
      </c>
      <c r="BH49" s="13">
        <f>IF(ISERROR(VLOOKUP(AF49,DT:DT,1,FALSE)),0,1)*IF(ISERROR(VLOOKUP(AH49,DT:DT,1,FALSE)),0,1)*AP49</f>
        <v/>
      </c>
      <c r="BI49" s="13">
        <f>IF(ISERROR(VLOOKUP(AF49,DT:DT,1,FALSE)),0,1)*IF(ISERROR(VLOOKUP(AH49,DT:DT,1,FALSE)),0,1)*AQ49</f>
        <v/>
      </c>
      <c r="BJ49" s="13">
        <f>IF(ISERROR(VLOOKUP(AF49,DT:DT,1,FALSE)),0,1)*IF(ISERROR(VLOOKUP(AH49,DT:DT,1,FALSE)),0,1)*AR49</f>
        <v/>
      </c>
      <c r="BK49" s="13">
        <f>IF(ISERROR(VLOOKUP(AF49,DT:DT,1,FALSE)),0,1)*IF(ISERROR(VLOOKUP(AH49,DT:DT,1,FALSE)),0,1)*AS49</f>
        <v/>
      </c>
      <c r="BL49" s="13">
        <f>IF(ISERROR(VLOOKUP(AF49,EN:EN,1,FALSE)),0,1)*IF(ISERROR(VLOOKUP(AH49,EN:EN,1,FALSE)),0,1)*AN49</f>
        <v/>
      </c>
      <c r="BM49" s="13">
        <f>IF(ISERROR(VLOOKUP(AF49,EN:EN,1,FALSE)),0,1)*IF(ISERROR(VLOOKUP(AH49,EN:EN,1,FALSE)),0,1)*AO49</f>
        <v/>
      </c>
      <c r="BN49" s="13">
        <f>IF(ISERROR(VLOOKUP(AF49,EN:EN,1,FALSE)),0,1)*IF(ISERROR(VLOOKUP(AH49,EN:EN,1,FALSE)),0,1)*AP49</f>
        <v/>
      </c>
      <c r="BO49" s="13">
        <f>IF(ISERROR(VLOOKUP(AF49,EN:EN,1,FALSE)),0,1)*IF(ISERROR(VLOOKUP(AH49,EN:EN,1,FALSE)),0,1)*AQ49</f>
        <v/>
      </c>
      <c r="BP49" s="13">
        <f>IF(ISERROR(VLOOKUP(AF49,EN:EN,1,FALSE)),0,1)*IF(ISERROR(VLOOKUP(AH49,EN:EN,1,FALSE)),0,1)*AR49</f>
        <v/>
      </c>
      <c r="BQ49" s="13">
        <f>IF(ISERROR(VLOOKUP(AF49,EN:EN,1,FALSE)),0,1)*IF(ISERROR(VLOOKUP(AH49,EN:EN,1,FALSE)),0,1)*AS49</f>
        <v/>
      </c>
      <c r="BT49" s="12" t="inlineStr">
        <is>
          <t>Nederländerna</t>
        </is>
      </c>
      <c r="BU49" s="13">
        <f>(SUMIF(AF$4:AF$108,BT49,AN$4:AN$108)+SUMIF(AH$4:AH$108,BT49,AO$4:AO$108))</f>
        <v/>
      </c>
      <c r="BV49" s="13">
        <f>(SUMIF(AF$4:AF$108,BT49,AP$4:AP$108)+SUMIF(AH$4:AH$108,BT49,AQ$4:AQ$108))</f>
        <v/>
      </c>
      <c r="BW49" s="13">
        <f>(SUMIF(AF$4:AF$108,BT49,AR$4:AR$108)+SUMIF(AH$4:AH$108,BT49,AS$4:AS$108))</f>
        <v/>
      </c>
      <c r="BX49" s="13">
        <f>SUMIF($AF$4:$AF$108,BT49,$AI$4:$AI$108)+SUMIF($AH$4:$AH$108,BT49,$AK$4:$AK$108)</f>
        <v/>
      </c>
      <c r="BY49" s="13">
        <f>SUMIF($AF$4:$AF$108,BT49,$AK$4:$AK$108)+SUMIF($AH$4:$AH$108,BT49,$AI$4:$AI$108)</f>
        <v/>
      </c>
      <c r="BZ49" s="13">
        <f>BX49-BY49</f>
        <v/>
      </c>
      <c r="CA49" s="13">
        <f>IFERROR(BU49*3+BV49*1,0)</f>
        <v/>
      </c>
      <c r="CB49" s="13" t="inlineStr">
        <is>
          <t>F</t>
        </is>
      </c>
      <c r="CC49" s="74">
        <f>RANK(CA49,CA49:CA52)</f>
        <v/>
      </c>
      <c r="CD49" s="13">
        <f>SUMPRODUCT((CA49:CA52=CA49)*(BZ49:BZ52&gt;BZ49))</f>
        <v/>
      </c>
      <c r="CF49" s="12">
        <f>IF(CC49=1,BT49,)</f>
        <v/>
      </c>
      <c r="CG49" s="13">
        <f>(SUMIF($AF$4:$AF$108,$BT49,$AT$4:$AT$108)+SUMIF($AH$4:$AH$108,$BT49,$AU$4:$AU$108))</f>
        <v/>
      </c>
      <c r="CH49" s="13">
        <f>(SUMIF($AF$4:$AF$108,$BT49,$AV$4:$AV$108)+SUMIF($AH$4:$AH$108,$BT49,$AW$4:$AW$108))</f>
        <v/>
      </c>
      <c r="CI49" s="13">
        <f>(SUMIF($AF$4:$AF$108,$BT49,$AX$4:$AX$108)+SUMIF($AH$4:$AH$108,$BT49,$AY$4:$AY$108))</f>
        <v/>
      </c>
      <c r="CJ49" s="13">
        <f>IFERROR(CG49*3+CH49*1,0)</f>
        <v/>
      </c>
      <c r="CK49" s="13">
        <f>CB49</f>
        <v/>
      </c>
      <c r="CL49" s="13">
        <f>IF(CF49&gt;0,RANK(CJ49,CJ49:CJ52),)</f>
        <v/>
      </c>
      <c r="CM49" s="13">
        <f>IF(AND(CF49&gt;0,COUNTIF(CL49:CL52,CL49)&gt;1),SUMIFS($AI$4:$AI$108,$AF$4:$AF$108,$BT49,$M$4:$M$108,1)+SUMIFS($AK$4:$AK$108,$AH$4:$AH$108,$BT49,$M$4:$M$108,1)-SUMIFS($AK$4:$AK$108,$AF$4:$AF$108,$BT49,$M$4:$M$108,1)-SUMIFS($AI$4:$AI$108,$AH$4:$AH$108,$BT49,$M$4:$M$108,1),)</f>
        <v/>
      </c>
      <c r="CN49" s="13">
        <f>IF(AND(CF49&gt;0,COUNTIF(CL49:CL52,CL49)&gt;1),CL49+RANK(CM49,CM49:CM52)-1,CL49)</f>
        <v/>
      </c>
      <c r="CO49" s="13">
        <f>IF(AND(CF49&gt;0,COUNTIF(CN49:CN52,CN49)&gt;1),SUMIFS($AI$4:$AI$108,$AF$4:$AF$108,$BT49,$M$4:$M$108,1)+SUMIFS($AK$4:$AK$108,$AH$4:$AH$108,$BT49,$M$4:$M$108,1),)</f>
        <v/>
      </c>
      <c r="CP49" s="13">
        <f>IF(AND(CF49&gt;0,COUNTIF(CN49:CN52,CN49)&gt;1),CN49+RANK(CO49,CO49:CO52)-1,CN49)</f>
        <v/>
      </c>
      <c r="CQ49" s="13">
        <f>IF(CP49=0,"",CP49)</f>
        <v/>
      </c>
      <c r="CR49" s="13">
        <f>IF(OR(CQ49="",COUNTIF(CQ49:CQ52,CQ49)=1),"",$BZ49)</f>
        <v/>
      </c>
      <c r="CS49" s="13">
        <f>IF(CQ49="","",IF(COUNTIF(CQ49:CQ52,CQ49)=1,CQ49,CQ49+RANK(CR49,CR49:CR52,0)-1))</f>
        <v/>
      </c>
      <c r="CT49" s="13">
        <f>IF(OR(CS49="",COUNTIF(CS49:CS52,CS49)=1),"",$BX49)</f>
        <v/>
      </c>
      <c r="CU49" s="13">
        <f>IF(CQ49="","",IF(COUNTIF(CS49:CS52,CS49)=1,CS49,CS49+RANK(CT49,CT49:CT52,0)-1))</f>
        <v/>
      </c>
      <c r="CV49" s="13">
        <f>IF(OR(CU49="",COUNTIF(CU49:CU52,CU49)=1),"",$BU49)</f>
        <v/>
      </c>
      <c r="CW49" s="13">
        <f>IF(CQ49="","",IF(COUNTIF(CU49:CU52,CU49)=1,CU49,CU49+RANK(CV49,CV49:CV52,0)-1))</f>
        <v/>
      </c>
      <c r="CX49" s="13">
        <f>IF(CF49&gt;0,BM47+RANK(CW49,CW49:CW52,1),)</f>
        <v/>
      </c>
      <c r="CZ49" s="12">
        <f>IF(CC49=2,BT49,)</f>
        <v/>
      </c>
      <c r="DA49" s="13">
        <f>(SUMIF($AF$4:$AF$108,$BT49,$AZ$4:$AZ$108)+SUMIF($AH$4:$AH$108,$BT49,$BA$4:$BA$108))</f>
        <v/>
      </c>
      <c r="DB49" s="13">
        <f>(SUMIF($AF$4:$AF$108,$BT49,$BB$4:$BB$108)+SUMIF($AH$4:$AH$108,$BT49,$BC$4:$BC$108))</f>
        <v/>
      </c>
      <c r="DC49" s="13">
        <f>(SUMIF($AF$4:$AF$108,$BT49,$BD$4:$BD$108)+SUMIF($AH$4:$AH$108,$BT49,$BE$4:$BE$108))</f>
        <v/>
      </c>
      <c r="DD49" s="13">
        <f>IFERROR(DA49*3+DB49*1,0)</f>
        <v/>
      </c>
      <c r="DE49" s="13">
        <f>$CB49</f>
        <v/>
      </c>
      <c r="DF49" s="13">
        <f>IF(CZ49&gt;0,RANK(DD49,DD49:DD52)+CG47,)</f>
        <v/>
      </c>
      <c r="DG49" s="13">
        <f>IF(AND(CZ49&gt;0,COUNTIF(DF49:DF52,DF49)&gt;1),SUMIFS($AI$4:$AI$108,$AF$4:$AF$108,$BT49,$M$4:$M$108,2)+SUMIFS($AK$4:$AK$108,$AH$4:$AH108,$BT49,$M$4:$M$108,2)-SUMIFS($AK$4:$AK$108,$AF$4:$AF$108,$BT49,$M$4:$M$108,2)-SUMIFS($AI$4:$AI$108,$AH$4:$AH$108,$BT49,$M$4:$M$108,2),)</f>
        <v/>
      </c>
      <c r="DH49" s="13">
        <f>IF(AND(CZ49&gt;0,COUNTIF(DF49:DF52,DF49)&gt;1),DF49+RANK(DG49,DG49:DG52)-1,DF49)</f>
        <v/>
      </c>
      <c r="DI49" s="13">
        <f>IF(AND(CZ49&gt;0,COUNTIF(DH49:DH52,DH49)&gt;1),SUMIFS($AI$4:$AI$108,$AF$4:$AF$108,$BT49,$M$4:$M$108,2)+SUMIFS($AK$4:$AK$108,$AH$4:$AH$108,$BT49,$M$4:$M$108,2),)</f>
        <v/>
      </c>
      <c r="DJ49" s="13">
        <f>IF(AND(CZ49&gt;0,COUNTIF(DH49:DH52,DH49)&gt;1),DH49+RANK(DI49,DI49:DI52)-1,DH49)</f>
        <v/>
      </c>
      <c r="DK49" s="75">
        <f>IF(DJ49=0,"",DJ49)</f>
        <v/>
      </c>
      <c r="DL49" s="75">
        <f>IF(OR(DK49="",COUNTIF(DK49:DK52,DK49)=1),"",$BZ49)</f>
        <v/>
      </c>
      <c r="DM49" s="75">
        <f>IF(DK49="","",IF(COUNTIF(DK49:DK52,DK49)=1,DK49,DK49+RANK(DL49,DL49:DL52,0)-1))</f>
        <v/>
      </c>
      <c r="DN49" s="75">
        <f>IF(OR(DM49="",COUNTIF(DM49:DM52,DM49)=1),"",$BX49)</f>
        <v/>
      </c>
      <c r="DO49" s="75">
        <f>IF(DK49="","",IF(COUNTIF(DM49:DM52,DM49)=1,DM49,DM49+RANK(DN49,DN49:DN52,0)-1))</f>
        <v/>
      </c>
      <c r="DP49" s="75">
        <f>IF(OR(DO49="",COUNTIF(DO49:DO52,DO49)=1),"",$BU49)</f>
        <v/>
      </c>
      <c r="DQ49" s="75">
        <f>IF(DK49="","",IF(COUNTIF(DO49:DO52,DO49)=1,DO49,DO49+RANK(DP49,DP49:DP52,0)-1))</f>
        <v/>
      </c>
      <c r="DR49" s="13">
        <f>IF(CZ49&gt;0,CG47+RANK(DQ49,DQ49:DQ52,1),)</f>
        <v/>
      </c>
      <c r="DT49" s="13">
        <f>IF(CC49=3,BT49,)</f>
        <v/>
      </c>
      <c r="DU49" s="13">
        <f>(SUMIF($AF$4:$AF$108,BT49,$BF$4:$BF$108)+SUMIF($AH$4:$AH$108,BT49,$BG$4:$BG$108))</f>
        <v/>
      </c>
      <c r="DV49" s="13">
        <f>(SUMIF($AF$4:$AF$108,BT49,$BH$4:$BH$108)+SUMIF($AH$4:$AH$108,BT49,$BI$4:$BI$108))</f>
        <v/>
      </c>
      <c r="DW49" s="13">
        <f>(SUMIF($AF$4:$AF$108,BT49,$BJ$4:$BJ$108)+SUMIF($AH$4:$AH$108,BT49,$BK$4:$BK$108))</f>
        <v/>
      </c>
      <c r="DX49" s="13">
        <f>IFERROR(DU49*3+DV49*1,0)</f>
        <v/>
      </c>
      <c r="DY49" s="13">
        <f>CB49</f>
        <v/>
      </c>
      <c r="DZ49" s="13">
        <f>IF(DT49&gt;0,RANK(DX49,DX49:DX52)+CG47+DA47,)</f>
        <v/>
      </c>
      <c r="EA49" s="13">
        <f>IF(AND(DT49&gt;0,COUNTIF(DZ49:DZ52,DZ49)&gt;1),SUMIFS($AI$4:$AI$108,$AF$4:$AF$108,$BT49,$M$4:$M$108,3)+SUMIFS($AK$4:$AK$108,$AH$4:$AH$108,$BT49,$M$4:$M$108,3)-SUMIFS($AK$4:$AK$108,$AF$4:$AF$108,$BT49,$M$4:$M$108,3)-SUMIFS($AI$4:$AI$108,$AH$4:$AH$108,$BT49,$M$4:$M$108,3),)</f>
        <v/>
      </c>
      <c r="EB49" s="13">
        <f>IF(AND(DT49&gt;0,COUNTIF(DZ49:DZ52,DZ49)&gt;1),DZ49+RANK(EA49,EA49:EA52)-1,DZ49)</f>
        <v/>
      </c>
      <c r="EC49" s="13">
        <f>IF(AND(DT49&gt;0,COUNTIF(EB49:EB52,EB49)&gt;1),SUMIFS($AI$4:$AI$108,$AF$4:$AF$108,$BT49,$M$4:$M$108,3)+SUMIFS($AK$4:$AK$108,$AH$4:$AH$108,$BT49,$M$4:$M$108,3),)</f>
        <v/>
      </c>
      <c r="ED49" s="13">
        <f>IF(AND(DT49&gt;0,COUNTIF(EB49:EB52,EB49)&gt;1),EB49+RANK(EC49,EC49:EC52)-1,EB49)</f>
        <v/>
      </c>
      <c r="EE49" s="13">
        <f>IF(ED49=0,"",ED49)</f>
        <v/>
      </c>
      <c r="EF49" s="13">
        <f>IF(OR(EE49="",COUNTIF(EE49:EE52,EE49)=1),"",$BZ49)</f>
        <v/>
      </c>
      <c r="EG49" s="13">
        <f>IF(EE49="","",IF(COUNTIF(EE49:EE52,EE49)=1,EE49,EE49+RANK(EF49,EF49:EF52,0)-1))</f>
        <v/>
      </c>
      <c r="EH49" s="13">
        <f>IF(OR(EG49="",COUNTIF(EG49:EG52,EG49)=1),"",$BX49)</f>
        <v/>
      </c>
      <c r="EI49" s="13">
        <f>IF(EE49="","",IF(COUNTIF(EG49:EG52,EG49)=1,EG49,EG49+RANK(EH49,EH49:EH52,0)-1))</f>
        <v/>
      </c>
      <c r="EJ49" s="13">
        <f>IF(OR(EI49="",COUNTIF(EI49:EI52,EI49)=1),"",$BU49)</f>
        <v/>
      </c>
      <c r="EK49" s="13">
        <f>IF(EE49="","",IF(COUNTIF(EI49:EI52,EI49)=1,EI49,EI49+RANK(EJ49,EJ49:EJ52,0)-1))</f>
        <v/>
      </c>
      <c r="EL49" s="13">
        <f>IF(DT49&gt;0,CG47+DA47+RANK(EK49,EK49:EK52,1),)</f>
        <v/>
      </c>
      <c r="EN49" s="13">
        <f>IF(CC49=4,BT49,)</f>
        <v/>
      </c>
      <c r="EO49" s="13">
        <f>(SUMIF($AF$4:$AF$108,$BT49,$BL$4:$BL$108)+SUMIF($AH$4:$AH$108,$BT49,$BM$4:$BM$108))</f>
        <v/>
      </c>
      <c r="EP49" s="13">
        <f>(SUMIF($AF$4:$AF$108,$BT49,$BN$4:$BN$108)+SUMIF($AH$4:$AH$108,$BT49,$BO$4:$BO$108))</f>
        <v/>
      </c>
      <c r="EQ49" s="13">
        <f>(SUMIF($AF$4:$AF$108,$BT49,$BP$4:$BP$108)+SUMIF($AH$4:$AH$108,$BT49,$BQ$4:$BQ$108))</f>
        <v/>
      </c>
      <c r="ER49" s="13">
        <f>IFERROR(EO49*3+EP49*1,0)</f>
        <v/>
      </c>
      <c r="ES49" s="13">
        <f>$CB49</f>
        <v/>
      </c>
      <c r="ET49" s="13">
        <f>IF(EN49&gt;0,RANK(ER49,ER49:ER52)+CG47+DA47+DU47,)</f>
        <v/>
      </c>
      <c r="EU49" s="13">
        <f>IF(AND(EN49&gt;0,COUNTIF(ET49:ET52,ET49)&gt;1),SUMIFS($AI$4:$AI$108,$AF$4:$AF$108,$BT49,$M$4:$M$108,4)+SUMIFS($AK$4:$AK$108,$AH$4:$AH$108,$BT49,$M$4:$M$108,4)-SUMIFS($AK$4:$AK$108,$AF$4:$AF$108,$BT49,$M$4:$M$108,4)-SUMIFS($AI$4:$AI$108,$AH$4:$AH$108,$BT49,$M$4:$M$108,4),)</f>
        <v/>
      </c>
      <c r="EV49" s="13">
        <f>IF(AND(EN49&gt;0,COUNTIF(ET49:ET52,ET49)&gt;1),ET49+RANK(EU49,EU49:EU52)-1,ET49)</f>
        <v/>
      </c>
      <c r="EW49" s="13">
        <f>IF(AND(EN49&gt;0,COUNTIF(EV49:EV52,EV49)&gt;1),SUMIFS($AI$4:$AI$108,$AF$4:$AF$108,$BT49,$M$4:$M$108,4)+SUMIFS($AK$4:$AK$108,$AH$4:$AH$108,$BT49,$M$4:$M$108,4),)</f>
        <v/>
      </c>
      <c r="EX49" s="13">
        <f>IF(AND(EN49&gt;0,COUNTIF(EV49:EV52,EV49)&gt;1),EV49+RANK(EW49,EW49:EW52)-1,EV49)</f>
        <v/>
      </c>
      <c r="EY49" s="13">
        <f>IF(EX49=0,"",EX49)</f>
        <v/>
      </c>
      <c r="EZ49" s="13">
        <f>IF(OR(EY49="",COUNTIF(EY49:EY52,EY49)=1),"",$BZ49)</f>
        <v/>
      </c>
      <c r="FA49" s="13">
        <f>IF(EY49="","",IF(COUNTIF(EY49:EY52,EY49)=1,EY49,EY49+RANK(EZ49,EZ49:EZ52,0)-1))</f>
        <v/>
      </c>
      <c r="FB49" s="13">
        <f>IF(OR(FA49="",COUNTIF(FA49:FA52,FA49)=1),"",$BX49)</f>
        <v/>
      </c>
      <c r="FC49" s="13">
        <f>IF(EY49="","",IF(COUNTIF(FA49:FA52,FA49)=1,FA49,FA49+RANK(FB49,FB49:FB52,0)-1))</f>
        <v/>
      </c>
      <c r="FD49" s="13">
        <f>IF(OR(FC49="",COUNTIF(FC49:FC52,FC49)=1),"",$BU49)</f>
        <v/>
      </c>
      <c r="FE49" s="13">
        <f>IF(EY49="","",IF(COUNTIF(FC49:FC52,FC49)=1,FC49,FC49+RANK(FD49,FD49:FD52,0)-1))</f>
        <v/>
      </c>
      <c r="FF49" s="13">
        <f>IF(EN49&gt;0,CG47+DA47+DU47+RANK(FE49,FE49:FE52,1),)</f>
        <v/>
      </c>
      <c r="FH49" s="13">
        <f>IFERROR(VLOOKUP(FJ49,CF48:CX52,19,FALSE),IFERROR(VLOOKUP(FJ49,CZ48:DR52,19,FALSE),IFERROR(VLOOKUP(FJ49,DT48:EL52,19,FALSE),VLOOKUP(FJ49,EN48:FF52,19,FALSE))))</f>
        <v/>
      </c>
      <c r="FI49" s="13">
        <f>RANK(FH49,FH49:FH52,1)+COUNTIF(FH49:FH49,FH49)-1</f>
        <v/>
      </c>
      <c r="FJ49" s="12">
        <f>BT49</f>
        <v/>
      </c>
      <c r="FZ49" s="79" t="n">
        <v>47</v>
      </c>
      <c r="GA49" s="3">
        <f>GB49&amp;GC49&amp;GD49&amp;GE49&amp;GF49&amp;GG49&amp;GH49&amp;GI49</f>
        <v/>
      </c>
      <c r="GB49" s="3" t="inlineStr">
        <is>
          <t>H</t>
        </is>
      </c>
      <c r="GC49" s="3" t="inlineStr">
        <is>
          <t>J</t>
        </is>
      </c>
      <c r="GD49" s="3" t="inlineStr">
        <is>
          <t>B</t>
        </is>
      </c>
      <c r="GE49" s="3" t="inlineStr">
        <is>
          <t>F</t>
        </is>
      </c>
      <c r="GF49" s="3" t="inlineStr">
        <is>
          <t>I</t>
        </is>
      </c>
      <c r="GG49" s="3" t="inlineStr">
        <is>
          <t>G</t>
        </is>
      </c>
      <c r="GH49" s="3" t="inlineStr">
        <is>
          <t>L</t>
        </is>
      </c>
      <c r="GI49" s="3" t="inlineStr">
        <is>
          <t>K</t>
        </is>
      </c>
      <c r="GJ49" s="9">
        <f>VLOOKUP(GB49,$FM$3:$FN$15,2,FALSE)</f>
        <v/>
      </c>
      <c r="GK49" s="9">
        <f>VLOOKUP(GC49,$FM$3:$FN$15,2,FALSE)</f>
        <v/>
      </c>
      <c r="GL49" s="9">
        <f>VLOOKUP(GD49,$FM$3:$FN$15,2,FALSE)</f>
        <v/>
      </c>
      <c r="GM49" s="9">
        <f>VLOOKUP(GE49,$FM$3:$FN$15,2,FALSE)</f>
        <v/>
      </c>
      <c r="GN49" s="9">
        <f>VLOOKUP(GF49,$FM$3:$FN$15,2,FALSE)</f>
        <v/>
      </c>
      <c r="GO49" s="9">
        <f>VLOOKUP(GG49,$FM$3:$FN$15,2,FALSE)</f>
        <v/>
      </c>
      <c r="GP49" s="9">
        <f>VLOOKUP(GH49,$FM$3:$FN$15,2,FALSE)</f>
        <v/>
      </c>
      <c r="GQ49" s="9">
        <f>VLOOKUP(GI49,$FM$3:$FN$15,2,FALSE)</f>
        <v/>
      </c>
      <c r="GR49" s="9">
        <f>IFERROR(IF(AND(VLOOKUP(GB49,$FX$4:$FX$15,1,FALSE)=GB49,VLOOKUP(GC49,$FX$4:$FX$15,1,FALSE)=GC49,VLOOKUP(GD49,$FX$4:$FX$15,1,FALSE)=GD49,VLOOKUP(GE49,$FX$4:$FX$15,1,FALSE)=GE49,VLOOKUP(GF49,$FX$4:$FX$15,1,FALSE)=GF49,VLOOKUP(GG49,$FX$4:$FX$15,1,FALSE)=GG49,VLOOKUP(GH49,$FX$4:$FX$15,1,FALSE)=GH49,VLOOKUP(GI49,$FX$4:$FX$15,1,FALSE)=GI49),FZ49,""),"")</f>
        <v/>
      </c>
      <c r="GX49" s="79" t="n"/>
    </row>
    <row r="50" ht="14.25" customHeight="1">
      <c r="B50" s="58" t="n">
        <v>12</v>
      </c>
      <c r="C50" s="59" t="n">
        <v>46188</v>
      </c>
      <c r="D50" s="60" t="inlineStr">
        <is>
          <t>Sverige</t>
        </is>
      </c>
      <c r="E50" s="61" t="inlineStr">
        <is>
          <t>-</t>
        </is>
      </c>
      <c r="F50" s="62" t="inlineStr">
        <is>
          <t>Tunisien</t>
        </is>
      </c>
      <c r="G50" s="63" t="n">
        <v>2</v>
      </c>
      <c r="H50" s="64" t="inlineStr">
        <is>
          <t>-</t>
        </is>
      </c>
      <c r="I50" s="63" t="n">
        <v>0</v>
      </c>
      <c r="J50" s="65">
        <f>IF(OR(ISBLANK(G50),ISBLANK(I50)),"",IF(G50&gt;I50,1,IF(G50&lt;I50,2,"X")))</f>
        <v/>
      </c>
      <c r="K50" s="66">
        <f>IF(OR(G50="",I50="",'[1]Resultat &amp; tabell'!G50="",'[1]Resultat &amp; tabell'!I50=""),0,IF(G50='[1]Resultat &amp; tabell'!G50,2,0)+IF(I50='[1]Resultat &amp; tabell'!I50,2,0)+IF(J50='[1]Resultat &amp; tabell'!J50,2,0))</f>
        <v/>
      </c>
      <c r="L50" s="67" t="n"/>
      <c r="M50" s="29">
        <f>IF(VLOOKUP(D50,$BT$48:$CC$52,10,FALSE)=VLOOKUP(F50,$BT$48:$CC$52,10,FALSE),VLOOKUP(D50,$BT$48:$CC$52,10,FALSE),"-")</f>
        <v/>
      </c>
      <c r="N50" s="30" t="n">
        <v>2</v>
      </c>
      <c r="O50" s="80">
        <f>VLOOKUP(N50,FI49:FJ52,2,FALSE)</f>
        <v/>
      </c>
      <c r="P50" s="81">
        <f>VLOOKUP($O50,$BT$49:$CA$52,2,FALSE)</f>
        <v/>
      </c>
      <c r="Q50" s="81">
        <f>VLOOKUP($O50,$BT$49:$CA$52,3,FALSE)</f>
        <v/>
      </c>
      <c r="R50" s="81">
        <f>VLOOKUP($O50,$BT$49:$CA$52,4,FALSE)</f>
        <v/>
      </c>
      <c r="S50" s="81">
        <f>VLOOKUP($O50,$BT$49:$CA$52,5,FALSE)</f>
        <v/>
      </c>
      <c r="T50" s="81">
        <f>VLOOKUP($O50,$BT$49:$CA$52,6,FALSE)</f>
        <v/>
      </c>
      <c r="U50" s="81">
        <f>VLOOKUP($O50,$BT$49:$CA$52,7,FALSE)</f>
        <v/>
      </c>
      <c r="V50" s="82">
        <f>VLOOKUP($O50,$BT$49:$CA$52,8,FALSE)</f>
        <v/>
      </c>
      <c r="X50" s="1" t="n"/>
      <c r="AE50" s="72">
        <f>C50</f>
        <v/>
      </c>
      <c r="AF50" s="72">
        <f>D50</f>
        <v/>
      </c>
      <c r="AG50" s="72">
        <f>E50</f>
        <v/>
      </c>
      <c r="AH50" s="72">
        <f>F50</f>
        <v/>
      </c>
      <c r="AI50" s="63">
        <f>IF(G50="","",G50)</f>
        <v/>
      </c>
      <c r="AJ50" s="58">
        <f>H50</f>
        <v/>
      </c>
      <c r="AK50" s="63">
        <f>IF(I50="","",I50)</f>
        <v/>
      </c>
      <c r="AL50" s="65">
        <f>J50</f>
        <v/>
      </c>
      <c r="AM50" s="73" t="n"/>
      <c r="AN50" s="13">
        <f>IF(AI50&gt;AK50,1,0)</f>
        <v/>
      </c>
      <c r="AO50" s="13">
        <f>IF(AK50&gt;AI50,1,0)</f>
        <v/>
      </c>
      <c r="AP50" s="13">
        <f>IF(AND(AI50=AK50,AI50&lt;&gt;""),1,0)</f>
        <v/>
      </c>
      <c r="AQ50" s="13">
        <f>IF(AND(AI50=AK50,AI50&lt;&gt;""),1,0)</f>
        <v/>
      </c>
      <c r="AR50" s="13">
        <f>IF(AI50&lt;AK50,1,0)</f>
        <v/>
      </c>
      <c r="AS50" s="13">
        <f>IF(AK50&lt;AI50,1,)</f>
        <v/>
      </c>
      <c r="AT50" s="13">
        <f>IF(ISERROR(VLOOKUP(AF50,CF:CF,1,FALSE)),0,1)*IF(ISERROR(VLOOKUP(AH50,CF:CF,1,FALSE)),0,1)*AN50</f>
        <v/>
      </c>
      <c r="AU50" s="13">
        <f>IF(ISERROR(VLOOKUP(AF50,CF:CF,1,FALSE)),0,1)*IF(ISERROR(VLOOKUP(AH50,CF:CF,1,FALSE)),0,1)*AO50</f>
        <v/>
      </c>
      <c r="AV50" s="13">
        <f>IF(ISERROR(VLOOKUP(AF50,CF:CF,1,FALSE)),0,1)*IF(ISERROR(VLOOKUP(AH50,CF:CF,1,FALSE)),0,1)*AP50</f>
        <v/>
      </c>
      <c r="AW50" s="13">
        <f>IF(ISERROR(VLOOKUP(AF50,CF:CF,1,FALSE)),0,1)*IF(ISERROR(VLOOKUP(AH50,CF:CF,1,FALSE)),0,1)*AQ50</f>
        <v/>
      </c>
      <c r="AX50" s="13">
        <f>IF(ISERROR(VLOOKUP(AF50,CF:CF,1,FALSE)),0,1)*IF(ISERROR(VLOOKUP(AH50,CF:CF,1,FALSE)),0,1)*AR50</f>
        <v/>
      </c>
      <c r="AY50" s="13">
        <f>IF(ISERROR(VLOOKUP(AF50,CF:CF,1,FALSE)),0,1)*IF(ISERROR(VLOOKUP(AH50,CF:CF,1,FALSE)),0,1)*AS50</f>
        <v/>
      </c>
      <c r="AZ50" s="13">
        <f>IF(ISERROR(VLOOKUP(AF50,CZ:CZ,1,FALSE)),0,1)*IF(ISERROR(VLOOKUP(AH50,CZ:CZ,1,FALSE)),0,1)*AN50</f>
        <v/>
      </c>
      <c r="BA50" s="13">
        <f>IF(ISERROR(VLOOKUP(AF50,CZ:CZ,1,FALSE)),0,1)*IF(ISERROR(VLOOKUP(AH50,CZ:CZ,1,FALSE)),0,1)*AO50</f>
        <v/>
      </c>
      <c r="BB50" s="13">
        <f>IF(ISERROR(VLOOKUP(AF50,CZ:CZ,1,FALSE)),0,1)*IF(ISERROR(VLOOKUP(AH50,CZ:CZ,1,FALSE)),0,1)*AP50</f>
        <v/>
      </c>
      <c r="BC50" s="13">
        <f>IF(ISERROR(VLOOKUP(AF50,CZ:CZ,1,FALSE)),0,1)*IF(ISERROR(VLOOKUP(AH50,CZ:CZ,1,FALSE)),0,1)*AQ50</f>
        <v/>
      </c>
      <c r="BD50" s="13">
        <f>IF(ISERROR(VLOOKUP(AF50,CZ:CZ,1,FALSE)),0,1)*IF(ISERROR(VLOOKUP(AH50,CZ:CZ,1,FALSE)),0,1)*AR50</f>
        <v/>
      </c>
      <c r="BE50" s="13">
        <f>IF(ISERROR(VLOOKUP(AF50,CZ:CZ,1,FALSE)),0,1)*IF(ISERROR(VLOOKUP(AH50,CZ:CZ,1,FALSE)),0,1)*AS50</f>
        <v/>
      </c>
      <c r="BF50" s="13">
        <f>IF(ISERROR(VLOOKUP(AF50,DT:DT,1,FALSE)),0,1)*IF(ISERROR(VLOOKUP(AH50,DT:DT,1,FALSE)),0,1)*AN50</f>
        <v/>
      </c>
      <c r="BG50" s="13">
        <f>IF(ISERROR(VLOOKUP(AF50,DT:DT,1,FALSE)),0,1)*IF(ISERROR(VLOOKUP(AH50,DT:DT,1,FALSE)),0,1)*AO50</f>
        <v/>
      </c>
      <c r="BH50" s="13">
        <f>IF(ISERROR(VLOOKUP(AF50,DT:DT,1,FALSE)),0,1)*IF(ISERROR(VLOOKUP(AH50,DT:DT,1,FALSE)),0,1)*AP50</f>
        <v/>
      </c>
      <c r="BI50" s="13">
        <f>IF(ISERROR(VLOOKUP(AF50,DT:DT,1,FALSE)),0,1)*IF(ISERROR(VLOOKUP(AH50,DT:DT,1,FALSE)),0,1)*AQ50</f>
        <v/>
      </c>
      <c r="BJ50" s="13">
        <f>IF(ISERROR(VLOOKUP(AF50,DT:DT,1,FALSE)),0,1)*IF(ISERROR(VLOOKUP(AH50,DT:DT,1,FALSE)),0,1)*AR50</f>
        <v/>
      </c>
      <c r="BK50" s="13">
        <f>IF(ISERROR(VLOOKUP(AF50,DT:DT,1,FALSE)),0,1)*IF(ISERROR(VLOOKUP(AH50,DT:DT,1,FALSE)),0,1)*AS50</f>
        <v/>
      </c>
      <c r="BL50" s="13">
        <f>IF(ISERROR(VLOOKUP(AF50,EN:EN,1,FALSE)),0,1)*IF(ISERROR(VLOOKUP(AH50,EN:EN,1,FALSE)),0,1)*AN50</f>
        <v/>
      </c>
      <c r="BM50" s="13">
        <f>IF(ISERROR(VLOOKUP(AF50,EN:EN,1,FALSE)),0,1)*IF(ISERROR(VLOOKUP(AH50,EN:EN,1,FALSE)),0,1)*AO50</f>
        <v/>
      </c>
      <c r="BN50" s="13">
        <f>IF(ISERROR(VLOOKUP(AF50,EN:EN,1,FALSE)),0,1)*IF(ISERROR(VLOOKUP(AH50,EN:EN,1,FALSE)),0,1)*AP50</f>
        <v/>
      </c>
      <c r="BO50" s="13">
        <f>IF(ISERROR(VLOOKUP(AF50,EN:EN,1,FALSE)),0,1)*IF(ISERROR(VLOOKUP(AH50,EN:EN,1,FALSE)),0,1)*AQ50</f>
        <v/>
      </c>
      <c r="BP50" s="13">
        <f>IF(ISERROR(VLOOKUP(AF50,EN:EN,1,FALSE)),0,1)*IF(ISERROR(VLOOKUP(AH50,EN:EN,1,FALSE)),0,1)*AR50</f>
        <v/>
      </c>
      <c r="BQ50" s="13">
        <f>IF(ISERROR(VLOOKUP(AF50,EN:EN,1,FALSE)),0,1)*IF(ISERROR(VLOOKUP(AH50,EN:EN,1,FALSE)),0,1)*AS50</f>
        <v/>
      </c>
      <c r="BT50" s="12" t="inlineStr">
        <is>
          <t>Japan</t>
        </is>
      </c>
      <c r="BU50" s="13">
        <f>(SUMIF(AF$4:AF$108,BT50,AN$4:AN$108)+SUMIF(AH$4:AH$108,BT50,AO$4:AO$108))</f>
        <v/>
      </c>
      <c r="BV50" s="13">
        <f>(SUMIF(AF$4:AF$108,BT50,AP$4:AP$108)+SUMIF(AH$4:AH$108,BT50,AQ$4:AQ$108))</f>
        <v/>
      </c>
      <c r="BW50" s="13">
        <f>(SUMIF(AF$4:AF$108,BT50,AR$4:AR$108)+SUMIF(AH$4:AH$108,BT50,AS$4:AS$108))</f>
        <v/>
      </c>
      <c r="BX50" s="13">
        <f>SUMIF($AF$4:$AF$108,BT50,$AI$4:$AI$108)+SUMIF($AH$4:$AH$108,BT50,$AK$4:$AK$108)</f>
        <v/>
      </c>
      <c r="BY50" s="13">
        <f>SUMIF($AF$4:$AF$108,BT50,$AK$4:$AK$108)+SUMIF($AH$4:$AH$108,BT50,$AI$4:$AI$108)</f>
        <v/>
      </c>
      <c r="BZ50" s="13">
        <f>BX50-BY50</f>
        <v/>
      </c>
      <c r="CA50" s="13">
        <f>IFERROR(BU50*3+BV50*1,0)</f>
        <v/>
      </c>
      <c r="CB50" s="13" t="inlineStr">
        <is>
          <t>F</t>
        </is>
      </c>
      <c r="CC50" s="74">
        <f>RANK(CA50,CA49:CA52)</f>
        <v/>
      </c>
      <c r="CD50" s="13">
        <f>SUMPRODUCT((CA49:CA52=CA50)*(BZ49:BZ52&gt;BZ50))</f>
        <v/>
      </c>
      <c r="CF50" s="12">
        <f>IF(CC50=1,BT50,)</f>
        <v/>
      </c>
      <c r="CG50" s="13">
        <f>(SUMIF($AF$4:$AF$108,$BT50,$AT$4:$AT$108)+SUMIF($AH$4:$AH$108,$BT50,$AU$4:$AU$108))</f>
        <v/>
      </c>
      <c r="CH50" s="13">
        <f>(SUMIF($AF$4:$AF$108,$BT50,$AV$4:$AV$108)+SUMIF($AH$4:$AH$108,$BT50,$AW$4:$AW$108))</f>
        <v/>
      </c>
      <c r="CI50" s="13">
        <f>(SUMIF($AF$4:$AF$108,$BT50,$AX$4:$AX$108)+SUMIF($AH$4:$AH$108,$BT50,$AY$4:$AY$108))</f>
        <v/>
      </c>
      <c r="CJ50" s="13">
        <f>IFERROR(CG50*3+CH50*1,0)</f>
        <v/>
      </c>
      <c r="CK50" s="13">
        <f>CB50</f>
        <v/>
      </c>
      <c r="CL50" s="13">
        <f>IF(CF50&gt;0,RANK(CJ50,CJ49:CJ52),)</f>
        <v/>
      </c>
      <c r="CM50" s="13">
        <f>IF(AND(CF50&gt;0,COUNTIF(CL49:CL52,CL50)&gt;1),SUMIFS($AI$4:$AI$108,$AF$4:$AF$108,$BT50,$M$4:$M$108,1)+SUMIFS($AK$4:$AK$108,$AH$4:$AH$108,$BT50,$M$4:$M$108,1)-SUMIFS($AK$4:$AK$108,$AF$4:$AF$108,$BT50,$M$4:$M$108,1)-SUMIFS($AI$4:$AI$108,$AH$4:$AH$108,$BT50,$M$4:$M$108,1),)</f>
        <v/>
      </c>
      <c r="CN50" s="13">
        <f>IF(AND(CF50&gt;0,COUNTIF(CL49:CL52,CL50)&gt;1),CL50+RANK(CM50,CM49:CM52)-1,CL50)</f>
        <v/>
      </c>
      <c r="CO50" s="13">
        <f>IF(AND(CF50&gt;0,COUNTIF(CN49:CN52,CN50)&gt;1),SUMIFS($AI$4:$AI$108,$AF$4:$AF$108,$BT50,$M$4:$M$108,1)+SUMIFS($AK$4:$AK$108,$AH$4:$AH$108,$BT50,$M$4:$M$108,1),)</f>
        <v/>
      </c>
      <c r="CP50" s="13">
        <f>IF(AND(CF50&gt;0,COUNTIF(CN49:CN52,CN50)&gt;1),CN50+RANK(CO50,CO49:CO52)-1,CN50)</f>
        <v/>
      </c>
      <c r="CQ50" s="13">
        <f>IF(CP50=0,"",CP50)</f>
        <v/>
      </c>
      <c r="CR50" s="13">
        <f>IF(OR(CQ50="",COUNTIF(CQ49:CQ52,CQ50)=1),"",$BZ50)</f>
        <v/>
      </c>
      <c r="CS50" s="13">
        <f>IF(CQ50="","",IF(COUNTIF(CQ49:CQ52,CQ50)=1,CQ50,CQ50+RANK(CR50,CR49:CR52,0)-1))</f>
        <v/>
      </c>
      <c r="CT50" s="13">
        <f>IF(OR(CS50="",COUNTIF(CS49:CS52,CS50)=1),"",$BX50)</f>
        <v/>
      </c>
      <c r="CU50" s="13">
        <f>IF(CQ50="","",IF(COUNTIF(CS49:CS52,CS50)=1,CS50,CS50+RANK(CT50,CT49:CT52,0)-1))</f>
        <v/>
      </c>
      <c r="CV50" s="13">
        <f>IF(OR(CU50="",COUNTIF(CU49:CU52,CU50)=1),"",$BU50)</f>
        <v/>
      </c>
      <c r="CW50" s="13">
        <f>IF(CQ50="","",IF(COUNTIF(CU49:CU52,CU50)=1,CU50,CU50+RANK(CV50,CV49:CV52,0)-1))</f>
        <v/>
      </c>
      <c r="CX50" s="13">
        <f>IF(CF50&gt;0,BM47+RANK(CW50,CW49:CW52,1),)</f>
        <v/>
      </c>
      <c r="CZ50" s="12">
        <f>IF(CC50=2,BT50,)</f>
        <v/>
      </c>
      <c r="DA50" s="13">
        <f>(SUMIF($AF$4:$AF$108,$BT50,$AZ$4:$AZ$108)+SUMIF($AH$4:$AH$108,$BT50,$BA$4:$BA$108))</f>
        <v/>
      </c>
      <c r="DB50" s="13">
        <f>(SUMIF($AF$4:$AF$108,$BT50,$BB$4:$BB$108)+SUMIF($AH$4:$AH$108,$BT50,$BC$4:$BC$108))</f>
        <v/>
      </c>
      <c r="DC50" s="13">
        <f>(SUMIF($AF$4:$AF$108,$BT50,$BD$4:$BD$108)+SUMIF($AH$4:$AH$108,$BT50,$BE$4:$BE$108))</f>
        <v/>
      </c>
      <c r="DD50" s="13">
        <f>IFERROR(DA50*3+DB50*1,0)</f>
        <v/>
      </c>
      <c r="DE50" s="13">
        <f>$CB50</f>
        <v/>
      </c>
      <c r="DF50" s="13">
        <f>IF(CZ50&gt;0,RANK(DD50,DD49:DD52)+CG47,)</f>
        <v/>
      </c>
      <c r="DG50" s="13">
        <f>IF(AND(CZ50&gt;0,COUNTIF(DF49:DF52,DF50)&gt;1),SUMIFS($AI$4:$AI$108,$AF$4:$AF$108,$BT50,$M$4:$M$108,2)+SUMIFS($AK$4:$AK$108,$AH$4:$AH108,$BT50,$M$4:$M$108,2)-SUMIFS($AK$4:$AK$108,$AF$4:$AF$108,$BT50,$M$4:$M$108,2)-SUMIFS($AI$4:$AI$108,$AH$4:$AH$108,$BT50,$M$4:$M$108,2),)</f>
        <v/>
      </c>
      <c r="DH50" s="13">
        <f>IF(AND(CZ50&gt;0,COUNTIF(DF49:DF52,DF50)&gt;1),DF50+RANK(DG50,DG49:DG52)-1,DF50)</f>
        <v/>
      </c>
      <c r="DI50" s="13">
        <f>IF(AND(CZ50&gt;0,COUNTIF(DH49:DH52,DH50)&gt;1),SUMIFS($AI$4:$AI$108,$AF$4:$AF$108,$BT50,$M$4:$M$108,2)+SUMIFS($AK$4:$AK$108,$AH$4:$AH$108,$BT50,$M$4:$M$108,2),)</f>
        <v/>
      </c>
      <c r="DJ50" s="13">
        <f>IF(AND(CZ50&gt;0,COUNTIF(DH49:DH52,DH50)&gt;1),DH50+RANK(DI50,DI49:DI52)-1,DH50)</f>
        <v/>
      </c>
      <c r="DK50" s="75">
        <f>IF(DJ50=0,"",DJ50)</f>
        <v/>
      </c>
      <c r="DL50" s="75">
        <f>IF(OR(DK50="",COUNTIF(DK49:DK52,DK50)=1),"",$BZ50)</f>
        <v/>
      </c>
      <c r="DM50" s="75">
        <f>IF(DK50="","",IF(COUNTIF(DK49:DK52,DK50)=1,DK50,DK50+RANK(DL50,DL49:DL52,0)-1))</f>
        <v/>
      </c>
      <c r="DN50" s="75">
        <f>IF(OR(DM50="",COUNTIF(DM49:DM52,DM50)=1),"",$BX50)</f>
        <v/>
      </c>
      <c r="DO50" s="75">
        <f>IF(DK50="","",IF(COUNTIF(DM49:DM52,DM50)=1,DM50,DM50+RANK(DN50,DN49:DN52,0)-1))</f>
        <v/>
      </c>
      <c r="DP50" s="75">
        <f>IF(OR(DO50="",COUNTIF(DO49:DO52,DO50)=1),"",$BU50)</f>
        <v/>
      </c>
      <c r="DQ50" s="75">
        <f>IF(DK50="","",IF(COUNTIF(DO49:DO52,DO50)=1,DO50,DO50+RANK(DP50,DP49:DP52,0)-1))</f>
        <v/>
      </c>
      <c r="DR50" s="13">
        <f>IF(CZ50&gt;0,CG47+RANK(DQ50,DQ49:DQ52,1),)</f>
        <v/>
      </c>
      <c r="DT50" s="13">
        <f>IF(CC50=3,BT50,)</f>
        <v/>
      </c>
      <c r="DU50" s="13">
        <f>(SUMIF($AF$4:$AF$108,BT50,$BF$4:$BF$108)+SUMIF($AH$4:$AH$108,BT50,$BG$4:$BG$108))</f>
        <v/>
      </c>
      <c r="DV50" s="13">
        <f>(SUMIF($AF$4:$AF$108,BT50,$BH$4:$BH$108)+SUMIF($AH$4:$AH$108,BT50,$BI$4:$BI$108))</f>
        <v/>
      </c>
      <c r="DW50" s="13">
        <f>(SUMIF($AF$4:$AF$108,BT50,$BJ$4:$BJ$108)+SUMIF($AH$4:$AH$108,BT50,$BK$4:$BK$108))</f>
        <v/>
      </c>
      <c r="DX50" s="13">
        <f>IFERROR(DU50*3+DV50*1,0)</f>
        <v/>
      </c>
      <c r="DY50" s="13">
        <f>CB50</f>
        <v/>
      </c>
      <c r="DZ50" s="13">
        <f>IF(DT50&gt;0,RANK(DX50,DX49:DX52)+CG47+DA47,)</f>
        <v/>
      </c>
      <c r="EA50" s="13">
        <f>IF(AND(DT50&gt;0,COUNTIF(DZ49:DZ52,DZ50)&gt;1),SUMIFS($AI$4:$AI$108,$AF$4:$AF$108,$BT50,$M$4:$M$108,3)+SUMIFS($AK$4:$AK$108,$AH$4:$AH$108,$BT50,$M$4:$M$108,3)-SUMIFS($AK$4:$AK$108,$AF$4:$AF$108,$BT50,$M$4:$M$108,3)-SUMIFS($AI$4:$AI$108,$AH$4:$AH$108,$BT50,$M$4:$M$108,3),)</f>
        <v/>
      </c>
      <c r="EB50" s="13">
        <f>IF(AND(DT50&gt;0,COUNTIF(DZ49:DZ52,DZ50)&gt;1),DZ50+RANK(EA50,EA49:EA52)-1,DZ50)</f>
        <v/>
      </c>
      <c r="EC50" s="13">
        <f>IF(AND(DT50&gt;0,COUNTIF(EB49:EB52,EB50)&gt;1),SUMIFS($AI$4:$AI$108,$AF$4:$AF$108,$BT50,$M$4:$M$108,3)+SUMIFS($AK$4:$AK$108,$AH$4:$AH$108,$BT50,$M$4:$M$108,3),)</f>
        <v/>
      </c>
      <c r="ED50" s="13">
        <f>IF(AND(DT50&gt;0,COUNTIF(EB49:EB52,EB50)&gt;1),EB50+RANK(EC50,EC49:EC52)-1,EB50)</f>
        <v/>
      </c>
      <c r="EE50" s="13">
        <f>IF(ED50=0,"",ED50)</f>
        <v/>
      </c>
      <c r="EF50" s="13">
        <f>IF(OR(EE50="",COUNTIF(EE49:EE52,EE50)=1),"",$BZ50)</f>
        <v/>
      </c>
      <c r="EG50" s="13">
        <f>IF(EE50="","",IF(COUNTIF(EE49:EE52,EE50)=1,EE50,EE50+RANK(EF50,EF49:EF52,0)-1))</f>
        <v/>
      </c>
      <c r="EH50" s="13">
        <f>IF(OR(EG50="",COUNTIF(EG49:EG52,EG50)=1),"",$BX50)</f>
        <v/>
      </c>
      <c r="EI50" s="13">
        <f>IF(EE50="","",IF(COUNTIF(EG49:EG52,EG50)=1,EG50,EG50+RANK(EH50,EH49:EH52,0)-1))</f>
        <v/>
      </c>
      <c r="EJ50" s="13">
        <f>IF(OR(EI50="",COUNTIF(EI49:EI52,EI50)=1),"",$BU50)</f>
        <v/>
      </c>
      <c r="EK50" s="13">
        <f>IF(EE50="","",IF(COUNTIF(EI49:EI52,EI50)=1,EI50,EI50+RANK(EJ50,EJ49:EJ52,0)-1))</f>
        <v/>
      </c>
      <c r="EL50" s="13">
        <f>IF(DT50&gt;0,CG47+DA47+RANK(EK50,EK49:EK52,1),)</f>
        <v/>
      </c>
      <c r="EN50" s="13">
        <f>IF(CC50=4,BT50,)</f>
        <v/>
      </c>
      <c r="EO50" s="13">
        <f>(SUMIF($AF$4:$AF$108,$BT50,$BL$4:$BL$108)+SUMIF($AH$4:$AH$108,$BT50,$BM$4:$BM$108))</f>
        <v/>
      </c>
      <c r="EP50" s="13">
        <f>(SUMIF($AF$4:$AF$108,$BT50,$BN$4:$BN$108)+SUMIF($AH$4:$AH$108,$BT50,$BO$4:$BO$108))</f>
        <v/>
      </c>
      <c r="EQ50" s="13">
        <f>(SUMIF($AF$4:$AF$108,$BT50,$BP$4:$BP$108)+SUMIF($AH$4:$AH$108,$BT50,$BQ$4:$BQ$108))</f>
        <v/>
      </c>
      <c r="ER50" s="13">
        <f>IFERROR(EO50*3+EP50*1,0)</f>
        <v/>
      </c>
      <c r="ES50" s="13">
        <f>$CB50</f>
        <v/>
      </c>
      <c r="ET50" s="13">
        <f>IF(EN50&gt;0,RANK(ER50,ER49:ER52)+CG47+DA47+DU47,)</f>
        <v/>
      </c>
      <c r="EU50" s="13">
        <f>IF(AND(EN50&gt;0,COUNTIF(ET49:ET52,ET50)&gt;1),SUMIFS($AI$4:$AI$108,$AF$4:$AF$108,$BT50,$M$4:$M$108,4)+SUMIFS($AK$4:$AK$108,$AH$4:$AH$108,$BT50,$M$4:$M$108,4)-SUMIFS($AK$4:$AK$108,$AF$4:$AF$108,$BT50,$M$4:$M$108,4)-SUMIFS($AI$4:$AI$108,$AH$4:$AH$108,$BT50,$M$4:$M$108,4),)</f>
        <v/>
      </c>
      <c r="EV50" s="13">
        <f>IF(AND(EN50&gt;0,COUNTIF(ET49:ET52,ET50)&gt;1),ET50+RANK(EU50,EU49:EU52)-1,ET50)</f>
        <v/>
      </c>
      <c r="EW50" s="13">
        <f>IF(AND(EN50&gt;0,COUNTIF(EV50:EV53,EV50)&gt;1),SUMIFS($AI$4:$AI$108,$AF$4:$AF$108,$BT50,$M$4:$M$108,4)+SUMIFS($AK$4:$AK$108,$AH$4:$AH$108,$BT50,$M$4:$M$108,4),)</f>
        <v/>
      </c>
      <c r="EX50" s="13">
        <f>IF(AND(EN50&gt;0,COUNTIF(EV49:EV52,EV50)&gt;1),EV50+RANK(EW50,EW49:EW52)-1,EV50)</f>
        <v/>
      </c>
      <c r="EY50" s="13">
        <f>IF(EX50=0,"",EX50)</f>
        <v/>
      </c>
      <c r="EZ50" s="13">
        <f>IF(OR(EY50="",COUNTIF(EY49:EY52,EY50)=1),"",$BZ50)</f>
        <v/>
      </c>
      <c r="FA50" s="13">
        <f>IF(EY50="","",IF(COUNTIF(EY49:EY52,EY50)=1,EY50,EY50+RANK(EZ50,EZ49:EZ52,0)-1))</f>
        <v/>
      </c>
      <c r="FB50" s="13">
        <f>IF(OR(FA50="",COUNTIF(FA49:FA52,FA50)=1),"",$BX50)</f>
        <v/>
      </c>
      <c r="FC50" s="13">
        <f>IF(EY50="","",IF(COUNTIF(FA49:FA52,FA50)=1,FA50,FA50+RANK(FB50,FB49:FB52,0)-1))</f>
        <v/>
      </c>
      <c r="FD50" s="13">
        <f>IF(OR(FC50="",COUNTIF(FC49:FC52,FC50)=1),"",$BU50)</f>
        <v/>
      </c>
      <c r="FE50" s="13">
        <f>IF(EY50="","",IF(COUNTIF(FC49:FC52,FC50)=1,FC50,FC50+RANK(FD50,FD49:FD52,0)-1))</f>
        <v/>
      </c>
      <c r="FF50" s="13">
        <f>IF(EN50&gt;0,CG47+DA47+DU47+RANK(FE50,FE49:FE52,1),)</f>
        <v/>
      </c>
      <c r="FH50" s="13">
        <f>IFERROR(VLOOKUP(FJ50,CF48:CX52,19,FALSE),IFERROR(VLOOKUP(FJ50,CZ48:DR52,19,FALSE),IFERROR(VLOOKUP(FJ50,DT48:EL52,19,FALSE),VLOOKUP(FJ50,EN48:FF52,19,FALSE))))</f>
        <v/>
      </c>
      <c r="FI50" s="13">
        <f>RANK(FH50,FH49:FH52,1)+COUNTIF(FH49:FH50,FH50)-1</f>
        <v/>
      </c>
      <c r="FJ50" s="12">
        <f>BT50</f>
        <v/>
      </c>
      <c r="FZ50" s="79" t="n">
        <v>48</v>
      </c>
      <c r="GA50" s="3">
        <f>GB50&amp;GC50&amp;GD50&amp;GE50&amp;GF50&amp;GG50&amp;GH50&amp;GI50</f>
        <v/>
      </c>
      <c r="GB50" s="3" t="inlineStr">
        <is>
          <t>E</t>
        </is>
      </c>
      <c r="GC50" s="3" t="inlineStr">
        <is>
          <t>J</t>
        </is>
      </c>
      <c r="GD50" s="3" t="inlineStr">
        <is>
          <t>I</t>
        </is>
      </c>
      <c r="GE50" s="3" t="inlineStr">
        <is>
          <t>B</t>
        </is>
      </c>
      <c r="GF50" s="3" t="inlineStr">
        <is>
          <t>H</t>
        </is>
      </c>
      <c r="GG50" s="3" t="inlineStr">
        <is>
          <t>G</t>
        </is>
      </c>
      <c r="GH50" s="3" t="inlineStr">
        <is>
          <t>L</t>
        </is>
      </c>
      <c r="GI50" s="3" t="inlineStr">
        <is>
          <t>K</t>
        </is>
      </c>
      <c r="GJ50" s="9">
        <f>VLOOKUP(GB50,$FM$3:$FN$15,2,FALSE)</f>
        <v/>
      </c>
      <c r="GK50" s="9">
        <f>VLOOKUP(GC50,$FM$3:$FN$15,2,FALSE)</f>
        <v/>
      </c>
      <c r="GL50" s="9">
        <f>VLOOKUP(GD50,$FM$3:$FN$15,2,FALSE)</f>
        <v/>
      </c>
      <c r="GM50" s="9">
        <f>VLOOKUP(GE50,$FM$3:$FN$15,2,FALSE)</f>
        <v/>
      </c>
      <c r="GN50" s="9">
        <f>VLOOKUP(GF50,$FM$3:$FN$15,2,FALSE)</f>
        <v/>
      </c>
      <c r="GO50" s="9">
        <f>VLOOKUP(GG50,$FM$3:$FN$15,2,FALSE)</f>
        <v/>
      </c>
      <c r="GP50" s="9">
        <f>VLOOKUP(GH50,$FM$3:$FN$15,2,FALSE)</f>
        <v/>
      </c>
      <c r="GQ50" s="9">
        <f>VLOOKUP(GI50,$FM$3:$FN$15,2,FALSE)</f>
        <v/>
      </c>
      <c r="GR50" s="9">
        <f>IFERROR(IF(AND(VLOOKUP(GB50,$FX$4:$FX$15,1,FALSE)=GB50,VLOOKUP(GC50,$FX$4:$FX$15,1,FALSE)=GC50,VLOOKUP(GD50,$FX$4:$FX$15,1,FALSE)=GD50,VLOOKUP(GE50,$FX$4:$FX$15,1,FALSE)=GE50,VLOOKUP(GF50,$FX$4:$FX$15,1,FALSE)=GF50,VLOOKUP(GG50,$FX$4:$FX$15,1,FALSE)=GG50,VLOOKUP(GH50,$FX$4:$FX$15,1,FALSE)=GH50,VLOOKUP(GI50,$FX$4:$FX$15,1,FALSE)=GI50),FZ50,""),"")</f>
        <v/>
      </c>
      <c r="GX50" s="79" t="n"/>
    </row>
    <row r="51" ht="14.25" customHeight="1">
      <c r="B51" s="58" t="n">
        <v>35</v>
      </c>
      <c r="C51" s="59" t="n">
        <v>46193</v>
      </c>
      <c r="D51" s="60" t="inlineStr">
        <is>
          <t>Nederländerna</t>
        </is>
      </c>
      <c r="E51" s="61" t="inlineStr">
        <is>
          <t>-</t>
        </is>
      </c>
      <c r="F51" s="62" t="inlineStr">
        <is>
          <t>Sverige</t>
        </is>
      </c>
      <c r="G51" s="63" t="n">
        <v>2</v>
      </c>
      <c r="H51" s="64" t="inlineStr">
        <is>
          <t>-</t>
        </is>
      </c>
      <c r="I51" s="63" t="n">
        <v>1</v>
      </c>
      <c r="J51" s="65">
        <f>IF(OR(ISBLANK(G51),ISBLANK(I51)),"",IF(G51&gt;I51,1,IF(G51&lt;I51,2,"X")))</f>
        <v/>
      </c>
      <c r="K51" s="66">
        <f>IF(OR(G51="",I51="",'[1]Resultat &amp; tabell'!G51="",'[1]Resultat &amp; tabell'!I51=""),0,IF(G51='[1]Resultat &amp; tabell'!G51,2,0)+IF(I51='[1]Resultat &amp; tabell'!I51,2,0)+IF(J51='[1]Resultat &amp; tabell'!J51,2,0))</f>
        <v/>
      </c>
      <c r="L51" s="67" t="n"/>
      <c r="M51" s="29">
        <f>IF(VLOOKUP(D51,$BT$48:$CC$52,10,FALSE)=VLOOKUP(F51,$BT$48:$CC$52,10,FALSE),VLOOKUP(D51,$BT$48:$CC$52,10,FALSE),"-")</f>
        <v/>
      </c>
      <c r="N51" s="30" t="n">
        <v>3</v>
      </c>
      <c r="O51" s="83">
        <f>VLOOKUP(N51,FI49:FJ52,2,FALSE)</f>
        <v/>
      </c>
      <c r="P51" s="84">
        <f>VLOOKUP($O51,$BT$49:$CA$52,2,FALSE)</f>
        <v/>
      </c>
      <c r="Q51" s="84">
        <f>VLOOKUP($O51,$BT$49:$CA$52,3,FALSE)</f>
        <v/>
      </c>
      <c r="R51" s="84">
        <f>VLOOKUP($O51,$BT$49:$CA$52,4,FALSE)</f>
        <v/>
      </c>
      <c r="S51" s="84">
        <f>VLOOKUP($O51,$BT$49:$CA$52,5,FALSE)</f>
        <v/>
      </c>
      <c r="T51" s="84">
        <f>VLOOKUP($O51,$BT$49:$CA$52,6,FALSE)</f>
        <v/>
      </c>
      <c r="U51" s="84">
        <f>VLOOKUP($O51,$BT$49:$CA$52,7,FALSE)</f>
        <v/>
      </c>
      <c r="V51" s="85">
        <f>VLOOKUP($O51,$BT$49:$CA$52,8,FALSE)</f>
        <v/>
      </c>
      <c r="X51" s="1" t="n"/>
      <c r="AE51" s="72">
        <f>C51</f>
        <v/>
      </c>
      <c r="AF51" s="72">
        <f>D51</f>
        <v/>
      </c>
      <c r="AG51" s="72">
        <f>E51</f>
        <v/>
      </c>
      <c r="AH51" s="72">
        <f>F51</f>
        <v/>
      </c>
      <c r="AI51" s="63">
        <f>IF(G51="","",G51)</f>
        <v/>
      </c>
      <c r="AJ51" s="58">
        <f>H51</f>
        <v/>
      </c>
      <c r="AK51" s="63">
        <f>IF(I51="","",I51)</f>
        <v/>
      </c>
      <c r="AL51" s="65">
        <f>J51</f>
        <v/>
      </c>
      <c r="AM51" s="73" t="n"/>
      <c r="AN51" s="13">
        <f>IF(AI51&gt;AK51,1,0)</f>
        <v/>
      </c>
      <c r="AO51" s="13">
        <f>IF(AK51&gt;AI51,1,0)</f>
        <v/>
      </c>
      <c r="AP51" s="13">
        <f>IF(AND(AI51=AK51,AI51&lt;&gt;""),1,0)</f>
        <v/>
      </c>
      <c r="AQ51" s="13">
        <f>IF(AND(AI51=AK51,AI51&lt;&gt;""),1,0)</f>
        <v/>
      </c>
      <c r="AR51" s="13">
        <f>IF(AI51&lt;AK51,1,0)</f>
        <v/>
      </c>
      <c r="AS51" s="13">
        <f>IF(AK51&lt;AI51,1,)</f>
        <v/>
      </c>
      <c r="AT51" s="13">
        <f>IF(ISERROR(VLOOKUP(AF51,CF:CF,1,FALSE)),0,1)*IF(ISERROR(VLOOKUP(AH51,CF:CF,1,FALSE)),0,1)*AN51</f>
        <v/>
      </c>
      <c r="AU51" s="13">
        <f>IF(ISERROR(VLOOKUP(AF51,CF:CF,1,FALSE)),0,1)*IF(ISERROR(VLOOKUP(AH51,CF:CF,1,FALSE)),0,1)*AO51</f>
        <v/>
      </c>
      <c r="AV51" s="13">
        <f>IF(ISERROR(VLOOKUP(AF51,CF:CF,1,FALSE)),0,1)*IF(ISERROR(VLOOKUP(AH51,CF:CF,1,FALSE)),0,1)*AP51</f>
        <v/>
      </c>
      <c r="AW51" s="13">
        <f>IF(ISERROR(VLOOKUP(AF51,CF:CF,1,FALSE)),0,1)*IF(ISERROR(VLOOKUP(AH51,CF:CF,1,FALSE)),0,1)*AQ51</f>
        <v/>
      </c>
      <c r="AX51" s="13">
        <f>IF(ISERROR(VLOOKUP(AF51,CF:CF,1,FALSE)),0,1)*IF(ISERROR(VLOOKUP(AH51,CF:CF,1,FALSE)),0,1)*AR51</f>
        <v/>
      </c>
      <c r="AY51" s="13">
        <f>IF(ISERROR(VLOOKUP(AF51,CF:CF,1,FALSE)),0,1)*IF(ISERROR(VLOOKUP(AH51,CF:CF,1,FALSE)),0,1)*AS51</f>
        <v/>
      </c>
      <c r="AZ51" s="13">
        <f>IF(ISERROR(VLOOKUP(AF51,CZ:CZ,1,FALSE)),0,1)*IF(ISERROR(VLOOKUP(AH51,CZ:CZ,1,FALSE)),0,1)*AN51</f>
        <v/>
      </c>
      <c r="BA51" s="13">
        <f>IF(ISERROR(VLOOKUP(AF51,CZ:CZ,1,FALSE)),0,1)*IF(ISERROR(VLOOKUP(AH51,CZ:CZ,1,FALSE)),0,1)*AO51</f>
        <v/>
      </c>
      <c r="BB51" s="13">
        <f>IF(ISERROR(VLOOKUP(AF51,CZ:CZ,1,FALSE)),0,1)*IF(ISERROR(VLOOKUP(AH51,CZ:CZ,1,FALSE)),0,1)*AP51</f>
        <v/>
      </c>
      <c r="BC51" s="13">
        <f>IF(ISERROR(VLOOKUP(AF51,CZ:CZ,1,FALSE)),0,1)*IF(ISERROR(VLOOKUP(AH51,CZ:CZ,1,FALSE)),0,1)*AQ51</f>
        <v/>
      </c>
      <c r="BD51" s="13">
        <f>IF(ISERROR(VLOOKUP(AF51,CZ:CZ,1,FALSE)),0,1)*IF(ISERROR(VLOOKUP(AH51,CZ:CZ,1,FALSE)),0,1)*AR51</f>
        <v/>
      </c>
      <c r="BE51" s="13">
        <f>IF(ISERROR(VLOOKUP(AF51,CZ:CZ,1,FALSE)),0,1)*IF(ISERROR(VLOOKUP(AH51,CZ:CZ,1,FALSE)),0,1)*AS51</f>
        <v/>
      </c>
      <c r="BF51" s="13">
        <f>IF(ISERROR(VLOOKUP(AF51,DT:DT,1,FALSE)),0,1)*IF(ISERROR(VLOOKUP(AH51,DT:DT,1,FALSE)),0,1)*AN51</f>
        <v/>
      </c>
      <c r="BG51" s="13">
        <f>IF(ISERROR(VLOOKUP(AF51,DT:DT,1,FALSE)),0,1)*IF(ISERROR(VLOOKUP(AH51,DT:DT,1,FALSE)),0,1)*AO51</f>
        <v/>
      </c>
      <c r="BH51" s="13">
        <f>IF(ISERROR(VLOOKUP(AF51,DT:DT,1,FALSE)),0,1)*IF(ISERROR(VLOOKUP(AH51,DT:DT,1,FALSE)),0,1)*AP51</f>
        <v/>
      </c>
      <c r="BI51" s="13">
        <f>IF(ISERROR(VLOOKUP(AF51,DT:DT,1,FALSE)),0,1)*IF(ISERROR(VLOOKUP(AH51,DT:DT,1,FALSE)),0,1)*AQ51</f>
        <v/>
      </c>
      <c r="BJ51" s="13">
        <f>IF(ISERROR(VLOOKUP(AF51,DT:DT,1,FALSE)),0,1)*IF(ISERROR(VLOOKUP(AH51,DT:DT,1,FALSE)),0,1)*AR51</f>
        <v/>
      </c>
      <c r="BK51" s="13">
        <f>IF(ISERROR(VLOOKUP(AF51,DT:DT,1,FALSE)),0,1)*IF(ISERROR(VLOOKUP(AH51,DT:DT,1,FALSE)),0,1)*AS51</f>
        <v/>
      </c>
      <c r="BL51" s="13">
        <f>IF(ISERROR(VLOOKUP(AF51,EN:EN,1,FALSE)),0,1)*IF(ISERROR(VLOOKUP(AH51,EN:EN,1,FALSE)),0,1)*AN51</f>
        <v/>
      </c>
      <c r="BM51" s="13">
        <f>IF(ISERROR(VLOOKUP(AF51,EN:EN,1,FALSE)),0,1)*IF(ISERROR(VLOOKUP(AH51,EN:EN,1,FALSE)),0,1)*AO51</f>
        <v/>
      </c>
      <c r="BN51" s="13">
        <f>IF(ISERROR(VLOOKUP(AF51,EN:EN,1,FALSE)),0,1)*IF(ISERROR(VLOOKUP(AH51,EN:EN,1,FALSE)),0,1)*AP51</f>
        <v/>
      </c>
      <c r="BO51" s="13">
        <f>IF(ISERROR(VLOOKUP(AF51,EN:EN,1,FALSE)),0,1)*IF(ISERROR(VLOOKUP(AH51,EN:EN,1,FALSE)),0,1)*AQ51</f>
        <v/>
      </c>
      <c r="BP51" s="13">
        <f>IF(ISERROR(VLOOKUP(AF51,EN:EN,1,FALSE)),0,1)*IF(ISERROR(VLOOKUP(AH51,EN:EN,1,FALSE)),0,1)*AR51</f>
        <v/>
      </c>
      <c r="BQ51" s="13">
        <f>IF(ISERROR(VLOOKUP(AF51,EN:EN,1,FALSE)),0,1)*IF(ISERROR(VLOOKUP(AH51,EN:EN,1,FALSE)),0,1)*AS51</f>
        <v/>
      </c>
      <c r="BT51" s="12" t="inlineStr">
        <is>
          <t>Sverige</t>
        </is>
      </c>
      <c r="BU51" s="13">
        <f>(SUMIF(AF$4:AF$108,BT51,AN$4:AN$108)+SUMIF(AH$4:AH$108,BT51,AO$4:AO$108))</f>
        <v/>
      </c>
      <c r="BV51" s="13">
        <f>(SUMIF(AF$4:AF$108,BT51,AP$4:AP$108)+SUMIF(AH$4:AH$108,BT51,AQ$4:AQ$108))</f>
        <v/>
      </c>
      <c r="BW51" s="13">
        <f>(SUMIF(AF$4:AF$108,BT51,AR$4:AR$108)+SUMIF(AH$4:AH$108,BT51,AS$4:AS$108))</f>
        <v/>
      </c>
      <c r="BX51" s="13">
        <f>SUMIF($AF$4:$AF$108,BT51,$AI$4:$AI$108)+SUMIF($AH$4:$AH$108,BT51,$AK$4:$AK$108)</f>
        <v/>
      </c>
      <c r="BY51" s="13">
        <f>SUMIF($AF$4:$AF$108,BT51,$AK$4:$AK$108)+SUMIF($AH$4:$AH$108,BT51,$AI$4:$AI$108)</f>
        <v/>
      </c>
      <c r="BZ51" s="13">
        <f>BX51-BY51</f>
        <v/>
      </c>
      <c r="CA51" s="13">
        <f>IFERROR(BU51*3+BV51*1,0)</f>
        <v/>
      </c>
      <c r="CB51" s="13" t="inlineStr">
        <is>
          <t>F</t>
        </is>
      </c>
      <c r="CC51" s="74">
        <f>RANK(CA51,CA49:CA52)</f>
        <v/>
      </c>
      <c r="CD51" s="13">
        <f>SUMPRODUCT((CA49:CA52=CA51)*(BZ49:BZ52&gt;BZ51))</f>
        <v/>
      </c>
      <c r="CF51" s="12">
        <f>IF(CC51=1,BT51,)</f>
        <v/>
      </c>
      <c r="CG51" s="13">
        <f>(SUMIF($AF$4:$AF$108,$BT51,$AT$4:$AT$108)+SUMIF($AH$4:$AH$108,$BT51,$AU$4:$AU$108))</f>
        <v/>
      </c>
      <c r="CH51" s="13">
        <f>(SUMIF($AF$4:$AF$108,$BT51,$AV$4:$AV$108)+SUMIF($AH$4:$AH$108,$BT51,$AW$4:$AW$108))</f>
        <v/>
      </c>
      <c r="CI51" s="13">
        <f>(SUMIF($AF$4:$AF$108,$BT51,$AX$4:$AX$108)+SUMIF($AH$4:$AH$108,$BT51,$AY$4:$AY$108))</f>
        <v/>
      </c>
      <c r="CJ51" s="13">
        <f>IFERROR(CG51*3+CH51*1,0)</f>
        <v/>
      </c>
      <c r="CK51" s="13">
        <f>CB51</f>
        <v/>
      </c>
      <c r="CL51" s="13">
        <f>IF(CF51&gt;0,RANK(CJ51,CJ49:CJ52),)</f>
        <v/>
      </c>
      <c r="CM51" s="13">
        <f>IF(AND(CF51&gt;0,COUNTIF(CL49:CL52,CL51)&gt;1),SUMIFS($AI$4:$AI$108,$AF$4:$AF$108,$BT51,$M$4:$M$108,1)+SUMIFS($AK$4:$AK$108,$AH$4:$AH$108,$BT51,$M$4:$M$108,1)-SUMIFS($AK$4:$AK$108,$AF$4:$AF$108,$BT51,$M$4:$M$108,1)-SUMIFS($AI$4:$AI$108,$AH$4:$AH$108,$BT51,$M$4:$M$108,1),)</f>
        <v/>
      </c>
      <c r="CN51" s="13">
        <f>IF(AND(CF51&gt;0,COUNTIF(CL49:CL52,CL51)&gt;1),CL51+RANK(CM51,CM49:CM52)-1,CL51)</f>
        <v/>
      </c>
      <c r="CO51" s="13">
        <f>IF(AND(CF51&gt;0,COUNTIF(CN49:CN52,CN51)&gt;1),SUMIFS($AI$4:$AI$108,$AF$4:$AF$108,$BT51,$M$4:$M$108,1)+SUMIFS($AK$4:$AK$108,$AH$4:$AH$108,$BT51,$M$4:$M$108,1),)</f>
        <v/>
      </c>
      <c r="CP51" s="13">
        <f>IF(AND(CF51&gt;0,COUNTIF(CN49:CN52,CN51)&gt;1),CN51+RANK(CO51,CO49:CO52)-1,CN51)</f>
        <v/>
      </c>
      <c r="CQ51" s="13">
        <f>IF(CP51=0,"",CP51)</f>
        <v/>
      </c>
      <c r="CR51" s="13">
        <f>IF(OR(CQ51="",COUNTIF(CQ49:CQ52,CQ51)=1),"",$BZ51)</f>
        <v/>
      </c>
      <c r="CS51" s="13">
        <f>IF(CQ51="","",IF(COUNTIF(CQ49:CQ52,CQ51)=1,CQ51,CQ51+RANK(CR51,CR49:CR52,0)-1))</f>
        <v/>
      </c>
      <c r="CT51" s="13">
        <f>IF(OR(CS51="",COUNTIF(CS49:CS52,CS51)=1),"",$BX51)</f>
        <v/>
      </c>
      <c r="CU51" s="13">
        <f>IF(CQ51="","",IF(COUNTIF(CS49:CS52,CS51)=1,CS51,CS51+RANK(CT51,CT49:CT52,0)-1))</f>
        <v/>
      </c>
      <c r="CV51" s="13">
        <f>IF(OR(CU51="",COUNTIF(CU49:CU52,CU51)=1),"",$BU51)</f>
        <v/>
      </c>
      <c r="CW51" s="13">
        <f>IF(CQ51="","",IF(COUNTIF(CU49:CU52,CU51)=1,CU51,CU51+RANK(CV51,CV49:CV52,0)-1))</f>
        <v/>
      </c>
      <c r="CX51" s="13">
        <f>IF(CF51&gt;0,BM47+RANK(CW51,CW49:CW52,1),)</f>
        <v/>
      </c>
      <c r="CZ51" s="12">
        <f>IF(CC51=2,BT51,)</f>
        <v/>
      </c>
      <c r="DA51" s="13">
        <f>(SUMIF($AF$4:$AF$108,$BT51,$AZ$4:$AZ$108)+SUMIF($AH$4:$AH$108,$BT51,$BA$4:$BA$108))</f>
        <v/>
      </c>
      <c r="DB51" s="13">
        <f>(SUMIF($AF$4:$AF$108,$BT51,$BB$4:$BB$108)+SUMIF($AH$4:$AH$108,$BT51,$BC$4:$BC$108))</f>
        <v/>
      </c>
      <c r="DC51" s="13">
        <f>(SUMIF($AF$4:$AF$108,$BT51,$BD$4:$BD$108)+SUMIF($AH$4:$AH$108,$BT51,$BE$4:$BE$108))</f>
        <v/>
      </c>
      <c r="DD51" s="13">
        <f>IFERROR(DA51*3+DB51*1,0)</f>
        <v/>
      </c>
      <c r="DE51" s="13">
        <f>$CB51</f>
        <v/>
      </c>
      <c r="DF51" s="13">
        <f>IF(CZ51&gt;0,RANK(DD51,DD49:DD52)+CG47,)</f>
        <v/>
      </c>
      <c r="DG51" s="13">
        <f>IF(AND(CZ51&gt;0,COUNTIF(DF49:DF52,DF51)&gt;1),SUMIFS($AI$4:$AI$108,$AF$4:$AF$108,$BT51,$M$4:$M$108,2)+SUMIFS($AK$4:$AK$108,$AH$4:$AH108,$BT51,$M$4:$M$108,2)-SUMIFS($AK$4:$AK$108,$AF$4:$AF$108,$BT51,$M$4:$M$108,2)-SUMIFS($AI$4:$AI$108,$AH$4:$AH$108,$BT51,$M$4:$M$108,2),)</f>
        <v/>
      </c>
      <c r="DH51" s="13">
        <f>IF(AND(CZ51&gt;0,COUNTIF(DF49:DF52,DF51)&gt;1),DF51+RANK(DG51,DG49:DG52)-1,DF51)</f>
        <v/>
      </c>
      <c r="DI51" s="13">
        <f>IF(AND(CZ51&gt;0,COUNTIF(DH49:DH52,DH51)&gt;1),SUMIFS($AI$4:$AI$108,$AF$4:$AF$108,$BT51,$M$4:$M$108,2)+SUMIFS($AK$4:$AK$108,$AH$4:$AH$108,$BT51,$M$4:$M$108,2),)</f>
        <v/>
      </c>
      <c r="DJ51" s="13">
        <f>IF(AND(CZ51&gt;0,COUNTIF(DH49:DH52,DH51)&gt;1),DH51+RANK(DI51,DI49:DI52)-1,DH51)</f>
        <v/>
      </c>
      <c r="DK51" s="75">
        <f>IF(DJ51=0,"",DJ51)</f>
        <v/>
      </c>
      <c r="DL51" s="75">
        <f>IF(OR(DK51="",COUNTIF(DK49:DK52,DK51)=1),"",$BZ51)</f>
        <v/>
      </c>
      <c r="DM51" s="75">
        <f>IF(DK51="","",IF(COUNTIF(DK49:DK52,DK51)=1,DK51,DK51+RANK(DL51,DL49:DL52,0)-1))</f>
        <v/>
      </c>
      <c r="DN51" s="75">
        <f>IF(OR(DM51="",COUNTIF(DM49:DM52,DM51)=1),"",$BX51)</f>
        <v/>
      </c>
      <c r="DO51" s="75">
        <f>IF(DK51="","",IF(COUNTIF(DM49:DM52,DM51)=1,DM51,DM51+RANK(DN51,DN49:DN52,0)-1))</f>
        <v/>
      </c>
      <c r="DP51" s="75">
        <f>IF(OR(DO51="",COUNTIF(DO49:DO52,DO51)=1),"",$BU51)</f>
        <v/>
      </c>
      <c r="DQ51" s="75">
        <f>IF(DK51="","",IF(COUNTIF(DO49:DO52,DO51)=1,DO51,DO51+RANK(DP51,DP49:DP52,0)-1))</f>
        <v/>
      </c>
      <c r="DR51" s="13">
        <f>IF(CZ51&gt;0,CG47+RANK(DQ51,DQ49:DQ52,1),)</f>
        <v/>
      </c>
      <c r="DT51" s="13">
        <f>IF(CC51=3,BT51,)</f>
        <v/>
      </c>
      <c r="DU51" s="13">
        <f>(SUMIF($AF$4:$AF$108,BT51,$BF$4:$BF$108)+SUMIF($AH$4:$AH$108,BT51,$BG$4:$BG$108))</f>
        <v/>
      </c>
      <c r="DV51" s="13">
        <f>(SUMIF($AF$4:$AF$108,BT51,$BH$4:$BH$108)+SUMIF($AH$4:$AH$108,BT51,$BI$4:$BI$108))</f>
        <v/>
      </c>
      <c r="DW51" s="13">
        <f>(SUMIF($AF$4:$AF$108,BT51,$BJ$4:$BJ$108)+SUMIF($AH$4:$AH$108,BT51,$BK$4:$BK$108))</f>
        <v/>
      </c>
      <c r="DX51" s="13">
        <f>IFERROR(DU51*3+DV51*1,0)</f>
        <v/>
      </c>
      <c r="DY51" s="13">
        <f>CB51</f>
        <v/>
      </c>
      <c r="DZ51" s="13">
        <f>IF(DT51&gt;0,RANK(DX51,DX49:DX52)+CG47+DA47,)</f>
        <v/>
      </c>
      <c r="EA51" s="13">
        <f>IF(AND(DT51&gt;0,COUNTIF(DZ49:DZ52,DZ51)&gt;1),SUMIFS($AI$4:$AI$108,$AF$4:$AF$108,$BT51,$M$4:$M$108,3)+SUMIFS($AK$4:$AK$108,$AH$4:$AH$108,$BT51,$M$4:$M$108,3)-SUMIFS($AK$4:$AK$108,$AF$4:$AF$108,$BT51,$M$4:$M$108,3)-SUMIFS($AI$4:$AI$108,$AH$4:$AH$108,$BT51,$M$4:$M$108,3),)</f>
        <v/>
      </c>
      <c r="EB51" s="13">
        <f>IF(AND(DT51&gt;0,COUNTIF(DZ49:DZ52,DZ51)&gt;1),DZ51+RANK(EA51,EA49:EA52)-1,DZ51)</f>
        <v/>
      </c>
      <c r="EC51" s="13">
        <f>IF(AND(DT51&gt;0,COUNTIF(EB49:EB52,EB51)&gt;1),SUMIFS($AI$4:$AI$108,$AF$4:$AF$108,$BT51,$M$4:$M$108,3)+SUMIFS($AK$4:$AK$108,$AH$4:$AH$108,$BT51,$M$4:$M$108,3),)</f>
        <v/>
      </c>
      <c r="ED51" s="13">
        <f>IF(AND(DT51&gt;0,COUNTIF(EB49:EB52,EB51)&gt;1),EB51+RANK(EC51,EC49:EC52)-1,EB51)</f>
        <v/>
      </c>
      <c r="EE51" s="13">
        <f>IF(ED51=0,"",ED51)</f>
        <v/>
      </c>
      <c r="EF51" s="13">
        <f>IF(OR(EE51="",COUNTIF(EE49:EE52,EE51)=1),"",$BZ51)</f>
        <v/>
      </c>
      <c r="EG51" s="13">
        <f>IF(EE51="","",IF(COUNTIF(EE49:EE52,EE51)=1,EE51,EE51+RANK(EF51,EF49:EF52,0)-1))</f>
        <v/>
      </c>
      <c r="EH51" s="13">
        <f>IF(OR(EG51="",COUNTIF(EG49:EG52,EG51)=1),"",$BX51)</f>
        <v/>
      </c>
      <c r="EI51" s="13">
        <f>IF(EE51="","",IF(COUNTIF(EG49:EG52,EG51)=1,EG51,EG51+RANK(EH51,EH49:EH52,0)-1))</f>
        <v/>
      </c>
      <c r="EJ51" s="13">
        <f>IF(OR(EI51="",COUNTIF(EI49:EI52,EI51)=1),"",$BU51)</f>
        <v/>
      </c>
      <c r="EK51" s="13">
        <f>IF(EE51="","",IF(COUNTIF(EI49:EI52,EI51)=1,EI51,EI51+RANK(EJ51,EJ49:EJ52,0)-1))</f>
        <v/>
      </c>
      <c r="EL51" s="13">
        <f>IF(DT51&gt;0,CG47+DA47+RANK(EK51,EK49:EK52,1),)</f>
        <v/>
      </c>
      <c r="EN51" s="13">
        <f>IF(CC51=4,BT51,)</f>
        <v/>
      </c>
      <c r="EO51" s="13">
        <f>(SUMIF($AF$4:$AF$108,$BT51,$BL$4:$BL$108)+SUMIF($AH$4:$AH$108,$BT51,$BM$4:$BM$108))</f>
        <v/>
      </c>
      <c r="EP51" s="13">
        <f>(SUMIF($AF$4:$AF$108,$BT51,$BN$4:$BN$108)+SUMIF($AH$4:$AH$108,$BT51,$BO$4:$BO$108))</f>
        <v/>
      </c>
      <c r="EQ51" s="13">
        <f>(SUMIF($AF$4:$AF$108,$BT51,$BP$4:$BP$108)+SUMIF($AH$4:$AH$108,$BT51,$BQ$4:$BQ$108))</f>
        <v/>
      </c>
      <c r="ER51" s="13">
        <f>IFERROR(EO51*3+EP51*1,0)</f>
        <v/>
      </c>
      <c r="ES51" s="13">
        <f>$CB51</f>
        <v/>
      </c>
      <c r="ET51" s="13">
        <f>IF(EN51&gt;0,RANK(ER51,ER49:ER52)+CG47+DA47+DU47,)</f>
        <v/>
      </c>
      <c r="EU51" s="13">
        <f>IF(AND(EN51&gt;0,COUNTIF(ET49:ET52,ET51)&gt;1),SUMIFS($AI$4:$AI$108,$AF$4:$AF$108,$BT51,$M$4:$M$108,4)+SUMIFS($AK$4:$AK$108,$AH$4:$AH$108,$BT51,$M$4:$M$108,4)-SUMIFS($AK$4:$AK$108,$AF$4:$AF$108,$BT51,$M$4:$M$108,4)-SUMIFS($AI$4:$AI$108,$AH$4:$AH$108,$BT51,$M$4:$M$108,4),)</f>
        <v/>
      </c>
      <c r="EV51" s="13">
        <f>IF(AND(EN51&gt;0,COUNTIF(ET49:ET52,ET51)&gt;1),ET51+RANK(EU51,EU49:EU52)-1,ET51)</f>
        <v/>
      </c>
      <c r="EW51" s="13">
        <f>IF(AND(EN51&gt;0,COUNTIF(EV51:EV54,EV51)&gt;1),SUMIFS($AI$4:$AI$108,$AF$4:$AF$108,$BT51,$M$4:$M$108,4)+SUMIFS($AK$4:$AK$108,$AH$4:$AH$108,$BT51,$M$4:$M$108,4),)</f>
        <v/>
      </c>
      <c r="EX51" s="13">
        <f>IF(AND(EN51&gt;0,COUNTIF(EV49:EV52,EV51)&gt;1),EV51+RANK(EW51,EW49:EW52)-1,EV51)</f>
        <v/>
      </c>
      <c r="EY51" s="13">
        <f>IF(EX51=0,"",EX51)</f>
        <v/>
      </c>
      <c r="EZ51" s="13">
        <f>IF(OR(EY51="",COUNTIF(EY49:EY52,EY51)=1),"",$BZ51)</f>
        <v/>
      </c>
      <c r="FA51" s="13">
        <f>IF(EY51="","",IF(COUNTIF(EY49:EY52,EY51)=1,EY51,EY51+RANK(EZ51,EZ49:EZ52,0)-1))</f>
        <v/>
      </c>
      <c r="FB51" s="13">
        <f>IF(OR(FA51="",COUNTIF(FA49:FA52,FA51)=1),"",$BX51)</f>
        <v/>
      </c>
      <c r="FC51" s="13">
        <f>IF(EY51="","",IF(COUNTIF(FA49:FA52,FA51)=1,FA51,FA51+RANK(FB51,FB49:FB52,0)-1))</f>
        <v/>
      </c>
      <c r="FD51" s="13">
        <f>IF(OR(FC51="",COUNTIF(FC49:FC52,FC51)=1),"",$BU51)</f>
        <v/>
      </c>
      <c r="FE51" s="13">
        <f>IF(EY51="","",IF(COUNTIF(FC49:FC52,FC51)=1,FC51,FC51+RANK(FD51,FD49:FD52,0)-1))</f>
        <v/>
      </c>
      <c r="FF51" s="13">
        <f>IF(EN51&gt;0,CG47+DA47+DU47+RANK(FE51,FE49:FE52,1),)</f>
        <v/>
      </c>
      <c r="FH51" s="13">
        <f>IFERROR(VLOOKUP(FJ51,CF48:CX52,19,FALSE),IFERROR(VLOOKUP(FJ51,CZ48:DR52,19,FALSE),IFERROR(VLOOKUP(FJ51,DT48:EL52,19,FALSE),VLOOKUP(FJ51,EN48:FF52,19,FALSE))))</f>
        <v/>
      </c>
      <c r="FI51" s="13">
        <f>RANK(FH51,FH49:FH52,1)+COUNTIF(FH49:FH51,FH51)-1</f>
        <v/>
      </c>
      <c r="FJ51" s="12">
        <f>BT51</f>
        <v/>
      </c>
      <c r="FZ51" s="79" t="n">
        <v>49</v>
      </c>
      <c r="GA51" s="3">
        <f>GB51&amp;GC51&amp;GD51&amp;GE51&amp;GF51&amp;GG51&amp;GH51&amp;GI51</f>
        <v/>
      </c>
      <c r="GB51" s="3" t="inlineStr">
        <is>
          <t>E</t>
        </is>
      </c>
      <c r="GC51" s="3" t="inlineStr">
        <is>
          <t>J</t>
        </is>
      </c>
      <c r="GD51" s="3" t="inlineStr">
        <is>
          <t>B</t>
        </is>
      </c>
      <c r="GE51" s="3" t="inlineStr">
        <is>
          <t>F</t>
        </is>
      </c>
      <c r="GF51" s="3" t="inlineStr">
        <is>
          <t>I</t>
        </is>
      </c>
      <c r="GG51" s="3" t="inlineStr">
        <is>
          <t>H</t>
        </is>
      </c>
      <c r="GH51" s="3" t="inlineStr">
        <is>
          <t>L</t>
        </is>
      </c>
      <c r="GI51" s="3" t="inlineStr">
        <is>
          <t>K</t>
        </is>
      </c>
      <c r="GJ51" s="9">
        <f>VLOOKUP(GB51,$FM$3:$FN$15,2,FALSE)</f>
        <v/>
      </c>
      <c r="GK51" s="9">
        <f>VLOOKUP(GC51,$FM$3:$FN$15,2,FALSE)</f>
        <v/>
      </c>
      <c r="GL51" s="9">
        <f>VLOOKUP(GD51,$FM$3:$FN$15,2,FALSE)</f>
        <v/>
      </c>
      <c r="GM51" s="9">
        <f>VLOOKUP(GE51,$FM$3:$FN$15,2,FALSE)</f>
        <v/>
      </c>
      <c r="GN51" s="9">
        <f>VLOOKUP(GF51,$FM$3:$FN$15,2,FALSE)</f>
        <v/>
      </c>
      <c r="GO51" s="9">
        <f>VLOOKUP(GG51,$FM$3:$FN$15,2,FALSE)</f>
        <v/>
      </c>
      <c r="GP51" s="9">
        <f>VLOOKUP(GH51,$FM$3:$FN$15,2,FALSE)</f>
        <v/>
      </c>
      <c r="GQ51" s="9">
        <f>VLOOKUP(GI51,$FM$3:$FN$15,2,FALSE)</f>
        <v/>
      </c>
      <c r="GR51" s="9">
        <f>IFERROR(IF(AND(VLOOKUP(GB51,$FX$4:$FX$15,1,FALSE)=GB51,VLOOKUP(GC51,$FX$4:$FX$15,1,FALSE)=GC51,VLOOKUP(GD51,$FX$4:$FX$15,1,FALSE)=GD51,VLOOKUP(GE51,$FX$4:$FX$15,1,FALSE)=GE51,VLOOKUP(GF51,$FX$4:$FX$15,1,FALSE)=GF51,VLOOKUP(GG51,$FX$4:$FX$15,1,FALSE)=GG51,VLOOKUP(GH51,$FX$4:$FX$15,1,FALSE)=GH51,VLOOKUP(GI51,$FX$4:$FX$15,1,FALSE)=GI51),FZ51,""),"")</f>
        <v/>
      </c>
      <c r="GX51" s="79" t="n"/>
    </row>
    <row r="52" ht="14.25" customHeight="1">
      <c r="B52" s="58" t="n">
        <v>36</v>
      </c>
      <c r="C52" s="59" t="n">
        <v>46194</v>
      </c>
      <c r="D52" s="60" t="inlineStr">
        <is>
          <t>Tunisien</t>
        </is>
      </c>
      <c r="E52" s="61" t="inlineStr">
        <is>
          <t>-</t>
        </is>
      </c>
      <c r="F52" s="62" t="inlineStr">
        <is>
          <t>Japan</t>
        </is>
      </c>
      <c r="G52" s="63" t="n">
        <v>0</v>
      </c>
      <c r="H52" s="64" t="inlineStr">
        <is>
          <t>-</t>
        </is>
      </c>
      <c r="I52" s="63" t="n">
        <v>3</v>
      </c>
      <c r="J52" s="65">
        <f>IF(OR(ISBLANK(G52),ISBLANK(I52)),"",IF(G52&gt;I52,1,IF(G52&lt;I52,2,"X")))</f>
        <v/>
      </c>
      <c r="K52" s="66">
        <f>IF(OR(G52="",I52="",'[1]Resultat &amp; tabell'!G52="",'[1]Resultat &amp; tabell'!I52=""),0,IF(G52='[1]Resultat &amp; tabell'!G52,2,0)+IF(I52='[1]Resultat &amp; tabell'!I52,2,0)+IF(J52='[1]Resultat &amp; tabell'!J52,2,0))</f>
        <v/>
      </c>
      <c r="L52" s="67" t="n"/>
      <c r="M52" s="29">
        <f>IF(VLOOKUP(D52,$BT$48:$CC$52,10,FALSE)=VLOOKUP(F52,$BT$48:$CC$52,10,FALSE),VLOOKUP(D52,$BT$48:$CC$52,10,FALSE),"-")</f>
        <v/>
      </c>
      <c r="N52" s="30" t="n">
        <v>4</v>
      </c>
      <c r="O52" s="86">
        <f>VLOOKUP(N52,FI49:FJ52,2,FALSE)</f>
        <v/>
      </c>
      <c r="P52" s="87">
        <f>VLOOKUP($O52,$BT$49:$CA$52,2,FALSE)</f>
        <v/>
      </c>
      <c r="Q52" s="87">
        <f>VLOOKUP($O52,$BT$49:$CA$52,3,FALSE)</f>
        <v/>
      </c>
      <c r="R52" s="87">
        <f>VLOOKUP($O52,$BT$49:$CA$52,4,FALSE)</f>
        <v/>
      </c>
      <c r="S52" s="87">
        <f>VLOOKUP($O52,$BT$49:$CA$52,5,FALSE)</f>
        <v/>
      </c>
      <c r="T52" s="87">
        <f>VLOOKUP($O52,$BT$49:$CA$52,6,FALSE)</f>
        <v/>
      </c>
      <c r="U52" s="87">
        <f>VLOOKUP($O52,$BT$49:$CA$52,7,FALSE)</f>
        <v/>
      </c>
      <c r="V52" s="82">
        <f>VLOOKUP($O52,$BT$49:$CA$52,8,FALSE)</f>
        <v/>
      </c>
      <c r="X52" s="1" t="n"/>
      <c r="AE52" s="72">
        <f>C52</f>
        <v/>
      </c>
      <c r="AF52" s="72">
        <f>D52</f>
        <v/>
      </c>
      <c r="AG52" s="72">
        <f>E52</f>
        <v/>
      </c>
      <c r="AH52" s="72">
        <f>F52</f>
        <v/>
      </c>
      <c r="AI52" s="63">
        <f>IF(G52="","",G52)</f>
        <v/>
      </c>
      <c r="AJ52" s="58">
        <f>H52</f>
        <v/>
      </c>
      <c r="AK52" s="63">
        <f>IF(I52="","",I52)</f>
        <v/>
      </c>
      <c r="AL52" s="65">
        <f>J52</f>
        <v/>
      </c>
      <c r="AM52" s="73" t="n"/>
      <c r="AN52" s="13">
        <f>IF(AI52&gt;AK52,1,0)</f>
        <v/>
      </c>
      <c r="AO52" s="13">
        <f>IF(AK52&gt;AI52,1,0)</f>
        <v/>
      </c>
      <c r="AP52" s="13">
        <f>IF(AND(AI52=AK52,AI52&lt;&gt;""),1,0)</f>
        <v/>
      </c>
      <c r="AQ52" s="13">
        <f>IF(AND(AI52=AK52,AI52&lt;&gt;""),1,0)</f>
        <v/>
      </c>
      <c r="AR52" s="13">
        <f>IF(AI52&lt;AK52,1,0)</f>
        <v/>
      </c>
      <c r="AS52" s="13">
        <f>IF(AK52&lt;AI52,1,)</f>
        <v/>
      </c>
      <c r="AT52" s="13">
        <f>IF(ISERROR(VLOOKUP(AF52,CF:CF,1,FALSE)),0,1)*IF(ISERROR(VLOOKUP(AH52,CF:CF,1,FALSE)),0,1)*AN52</f>
        <v/>
      </c>
      <c r="AU52" s="13">
        <f>IF(ISERROR(VLOOKUP(AF52,CF:CF,1,FALSE)),0,1)*IF(ISERROR(VLOOKUP(AH52,CF:CF,1,FALSE)),0,1)*AO52</f>
        <v/>
      </c>
      <c r="AV52" s="13">
        <f>IF(ISERROR(VLOOKUP(AF52,CF:CF,1,FALSE)),0,1)*IF(ISERROR(VLOOKUP(AH52,CF:CF,1,FALSE)),0,1)*AP52</f>
        <v/>
      </c>
      <c r="AW52" s="13">
        <f>IF(ISERROR(VLOOKUP(AF52,CF:CF,1,FALSE)),0,1)*IF(ISERROR(VLOOKUP(AH52,CF:CF,1,FALSE)),0,1)*AQ52</f>
        <v/>
      </c>
      <c r="AX52" s="13">
        <f>IF(ISERROR(VLOOKUP(AF52,CF:CF,1,FALSE)),0,1)*IF(ISERROR(VLOOKUP(AH52,CF:CF,1,FALSE)),0,1)*AR52</f>
        <v/>
      </c>
      <c r="AY52" s="13">
        <f>IF(ISERROR(VLOOKUP(AF52,CF:CF,1,FALSE)),0,1)*IF(ISERROR(VLOOKUP(AH52,CF:CF,1,FALSE)),0,1)*AS52</f>
        <v/>
      </c>
      <c r="AZ52" s="13">
        <f>IF(ISERROR(VLOOKUP(AF52,CZ:CZ,1,FALSE)),0,1)*IF(ISERROR(VLOOKUP(AH52,CZ:CZ,1,FALSE)),0,1)*AN52</f>
        <v/>
      </c>
      <c r="BA52" s="13">
        <f>IF(ISERROR(VLOOKUP(AF52,CZ:CZ,1,FALSE)),0,1)*IF(ISERROR(VLOOKUP(AH52,CZ:CZ,1,FALSE)),0,1)*AO52</f>
        <v/>
      </c>
      <c r="BB52" s="13">
        <f>IF(ISERROR(VLOOKUP(AF52,CZ:CZ,1,FALSE)),0,1)*IF(ISERROR(VLOOKUP(AH52,CZ:CZ,1,FALSE)),0,1)*AP52</f>
        <v/>
      </c>
      <c r="BC52" s="13">
        <f>IF(ISERROR(VLOOKUP(AF52,CZ:CZ,1,FALSE)),0,1)*IF(ISERROR(VLOOKUP(AH52,CZ:CZ,1,FALSE)),0,1)*AQ52</f>
        <v/>
      </c>
      <c r="BD52" s="13">
        <f>IF(ISERROR(VLOOKUP(AF52,CZ:CZ,1,FALSE)),0,1)*IF(ISERROR(VLOOKUP(AH52,CZ:CZ,1,FALSE)),0,1)*AR52</f>
        <v/>
      </c>
      <c r="BE52" s="13">
        <f>IF(ISERROR(VLOOKUP(AF52,CZ:CZ,1,FALSE)),0,1)*IF(ISERROR(VLOOKUP(AH52,CZ:CZ,1,FALSE)),0,1)*AS52</f>
        <v/>
      </c>
      <c r="BF52" s="13">
        <f>IF(ISERROR(VLOOKUP(AF52,DT:DT,1,FALSE)),0,1)*IF(ISERROR(VLOOKUP(AH52,DT:DT,1,FALSE)),0,1)*AN52</f>
        <v/>
      </c>
      <c r="BG52" s="13">
        <f>IF(ISERROR(VLOOKUP(AF52,DT:DT,1,FALSE)),0,1)*IF(ISERROR(VLOOKUP(AH52,DT:DT,1,FALSE)),0,1)*AO52</f>
        <v/>
      </c>
      <c r="BH52" s="13">
        <f>IF(ISERROR(VLOOKUP(AF52,DT:DT,1,FALSE)),0,1)*IF(ISERROR(VLOOKUP(AH52,DT:DT,1,FALSE)),0,1)*AP52</f>
        <v/>
      </c>
      <c r="BI52" s="13">
        <f>IF(ISERROR(VLOOKUP(AF52,DT:DT,1,FALSE)),0,1)*IF(ISERROR(VLOOKUP(AH52,DT:DT,1,FALSE)),0,1)*AQ52</f>
        <v/>
      </c>
      <c r="BJ52" s="13">
        <f>IF(ISERROR(VLOOKUP(AF52,DT:DT,1,FALSE)),0,1)*IF(ISERROR(VLOOKUP(AH52,DT:DT,1,FALSE)),0,1)*AR52</f>
        <v/>
      </c>
      <c r="BK52" s="13">
        <f>IF(ISERROR(VLOOKUP(AF52,DT:DT,1,FALSE)),0,1)*IF(ISERROR(VLOOKUP(AH52,DT:DT,1,FALSE)),0,1)*AS52</f>
        <v/>
      </c>
      <c r="BL52" s="13">
        <f>IF(ISERROR(VLOOKUP(AF52,EN:EN,1,FALSE)),0,1)*IF(ISERROR(VLOOKUP(AH52,EN:EN,1,FALSE)),0,1)*AN52</f>
        <v/>
      </c>
      <c r="BM52" s="13">
        <f>IF(ISERROR(VLOOKUP(AF52,EN:EN,1,FALSE)),0,1)*IF(ISERROR(VLOOKUP(AH52,EN:EN,1,FALSE)),0,1)*AO52</f>
        <v/>
      </c>
      <c r="BN52" s="13">
        <f>IF(ISERROR(VLOOKUP(AF52,EN:EN,1,FALSE)),0,1)*IF(ISERROR(VLOOKUP(AH52,EN:EN,1,FALSE)),0,1)*AP52</f>
        <v/>
      </c>
      <c r="BO52" s="13">
        <f>IF(ISERROR(VLOOKUP(AF52,EN:EN,1,FALSE)),0,1)*IF(ISERROR(VLOOKUP(AH52,EN:EN,1,FALSE)),0,1)*AQ52</f>
        <v/>
      </c>
      <c r="BP52" s="13">
        <f>IF(ISERROR(VLOOKUP(AF52,EN:EN,1,FALSE)),0,1)*IF(ISERROR(VLOOKUP(AH52,EN:EN,1,FALSE)),0,1)*AR52</f>
        <v/>
      </c>
      <c r="BQ52" s="13">
        <f>IF(ISERROR(VLOOKUP(AF52,EN:EN,1,FALSE)),0,1)*IF(ISERROR(VLOOKUP(AH52,EN:EN,1,FALSE)),0,1)*AS52</f>
        <v/>
      </c>
      <c r="BT52" s="88" t="inlineStr">
        <is>
          <t>Tunisien</t>
        </is>
      </c>
      <c r="BU52" s="13">
        <f>(SUMIF(AF$4:AF$108,BT52,AN$4:AN$108)+SUMIF(AH$4:AH$108,BT52,AO$4:AO$108))</f>
        <v/>
      </c>
      <c r="BV52" s="13">
        <f>(SUMIF(AF$4:AF$108,BT52,AP$4:AP$108)+SUMIF(AH$4:AH$108,BT52,AQ$4:AQ$108))</f>
        <v/>
      </c>
      <c r="BW52" s="13">
        <f>(SUMIF(AF$4:AF$108,BT52,AR$4:AR$108)+SUMIF(AH$4:AH$108,BT52,AS$4:AS$108))</f>
        <v/>
      </c>
      <c r="BX52" s="13">
        <f>SUMIF($AF$4:$AF$108,BT52,$AI$4:$AI$108)+SUMIF($AH$4:$AH$108,BT52,$AK$4:$AK$108)</f>
        <v/>
      </c>
      <c r="BY52" s="13">
        <f>SUMIF($AF$4:$AF$108,BT52,$AK$4:$AK$108)+SUMIF($AH$4:$AH$108,BT52,$AI$4:$AI$108)</f>
        <v/>
      </c>
      <c r="BZ52" s="13">
        <f>BX52-BY52</f>
        <v/>
      </c>
      <c r="CA52" s="13">
        <f>IFERROR(BU52*3+BV52*1,0)</f>
        <v/>
      </c>
      <c r="CB52" s="89" t="inlineStr">
        <is>
          <t>F</t>
        </is>
      </c>
      <c r="CC52" s="74">
        <f>RANK(CA52,CA49:CA52)</f>
        <v/>
      </c>
      <c r="CD52" s="13">
        <f>SUMPRODUCT((CA49:CA52=CA52)*(BZ49:BZ52&gt;BZ52))</f>
        <v/>
      </c>
      <c r="CF52" s="88">
        <f>IF(CC52=1,BT52,)</f>
        <v/>
      </c>
      <c r="CG52" s="13">
        <f>(SUMIF($AF$4:$AF$108,$BT52,$AT$4:$AT$108)+SUMIF($AH$4:$AH$108,$BT52,$AU$4:$AU$108))</f>
        <v/>
      </c>
      <c r="CH52" s="13">
        <f>(SUMIF($AF$4:$AF$108,$BT52,$AV$4:$AV$108)+SUMIF($AH$4:$AH$108,$BT52,$AW$4:$AW$108))</f>
        <v/>
      </c>
      <c r="CI52" s="13">
        <f>(SUMIF($AF$4:$AF$108,$BT52,$AX$4:$AX$108)+SUMIF($AH$4:$AH$108,$BT52,$AY$4:$AY$108))</f>
        <v/>
      </c>
      <c r="CJ52" s="13">
        <f>IFERROR(CG52*3+CH52*1,0)</f>
        <v/>
      </c>
      <c r="CK52" s="13">
        <f>CB52</f>
        <v/>
      </c>
      <c r="CL52" s="13">
        <f>IF(CF52&gt;0,RANK(CJ52,CJ49:CJ52),)</f>
        <v/>
      </c>
      <c r="CM52" s="13">
        <f>IF(AND(CF52&gt;0,COUNTIF(CL49:CL52,CL52)&gt;1),SUMIFS($AI$4:$AI$108,$AF$4:$AF$108,$BT52,$M$4:$M$108,1)+SUMIFS($AK$4:$AK$108,$AH$4:$AH$108,$BT52,$M$4:$M$108,1)-SUMIFS($AK$4:$AK$108,$AF$4:$AF$108,$BT52,$M$4:$M$108,1)-SUMIFS($AI$4:$AI$108,$AH$4:$AH$108,$BT52,$M$4:$M$108,1),)</f>
        <v/>
      </c>
      <c r="CN52" s="13">
        <f>IF(AND(CF52&gt;0,COUNTIF(CL49:CL52,CL52)&gt;1),CL52+RANK(CM52,CM49:CM52)-1,CL52)</f>
        <v/>
      </c>
      <c r="CO52" s="13">
        <f>IF(AND(CF52&gt;0,COUNTIF(CN49:CN52,CN52)&gt;1),SUMIFS($AI$4:$AI$108,$AF$4:$AF$108,$BT52,$M$4:$M$108,1)+SUMIFS($AK$4:$AK$108,$AH$4:$AH$108,$BT52,$M$4:$M$108,1),)</f>
        <v/>
      </c>
      <c r="CP52" s="13">
        <f>IF(AND(CF52&gt;0,COUNTIF(CN49:CN52,CN52)&gt;1),CN52+RANK(CO52,CO49:CO52)-1,CN52)</f>
        <v/>
      </c>
      <c r="CQ52" s="13">
        <f>IF(CP52=0,"",CP52)</f>
        <v/>
      </c>
      <c r="CR52" s="13">
        <f>IF(OR(CQ52="",COUNTIF(CQ49:CQ52,CQ52)=1),"",$BZ52)</f>
        <v/>
      </c>
      <c r="CS52" s="13">
        <f>IF(CQ52="","",IF(COUNTIF(CQ49:CQ52,CQ52)=1,CQ52,CQ52+RANK(CR52,CR49:CR52,0)-1))</f>
        <v/>
      </c>
      <c r="CT52" s="13">
        <f>IF(OR(CS52="",COUNTIF(CS49:CS52,CS52)=1),"",$BX52)</f>
        <v/>
      </c>
      <c r="CU52" s="13">
        <f>IF(CQ52="","",IF(COUNTIF(CS49:CS52,CS52)=1,CS52,CS52+RANK(CT52,CT49:CT52,0)-1))</f>
        <v/>
      </c>
      <c r="CV52" s="13">
        <f>IF(OR(CU52="",COUNTIF(CU49:CU52,CU52)=1),"",$BU52)</f>
        <v/>
      </c>
      <c r="CW52" s="13">
        <f>IF(CQ52="","",IF(COUNTIF(CU49:CU52,CU52)=1,CU52,CU52+RANK(CV52,CV49:CV52,0)-1))</f>
        <v/>
      </c>
      <c r="CX52" s="13">
        <f>IF(CF52&gt;0,BM47+RANK(CW52,CW49:CW52,1),)</f>
        <v/>
      </c>
      <c r="CZ52" s="88">
        <f>IF(CC52=2,BT52,)</f>
        <v/>
      </c>
      <c r="DA52" s="13">
        <f>(SUMIF($AF$4:$AF$108,$BT52,$AZ$4:$AZ$108)+SUMIF($AH$4:$AH$108,$BT52,$BA$4:$BA$108))</f>
        <v/>
      </c>
      <c r="DB52" s="13">
        <f>(SUMIF($AF$4:$AF$108,$BT52,$BB$4:$BB$108)+SUMIF($AH$4:$AH$108,$BT52,$BC$4:$BC$108))</f>
        <v/>
      </c>
      <c r="DC52" s="13">
        <f>(SUMIF($AF$4:$AF$108,$BT52,$BD$4:$BD$108)+SUMIF($AH$4:$AH$108,$BT52,$BE$4:$BE$108))</f>
        <v/>
      </c>
      <c r="DD52" s="13">
        <f>IFERROR(DA52*3+DB52*1,0)</f>
        <v/>
      </c>
      <c r="DE52" s="13">
        <f>$CB52</f>
        <v/>
      </c>
      <c r="DF52" s="13">
        <f>IF(CZ52&gt;0,RANK(DD52,DD49:DD52)+CG47,)</f>
        <v/>
      </c>
      <c r="DG52" s="13">
        <f>IF(AND(CZ52&gt;0,COUNTIF(DF49:DF52,DF52)&gt;1),SUMIFS($AI$4:$AI$108,$AF$4:$AF$108,$BT52,$M$4:$M$108,2)+SUMIFS($AK$4:$AK$108,$AH$4:$AH108,$BT52,$M$4:$M$108,2)-SUMIFS($AK$4:$AK$108,$AF$4:$AF$108,$BT52,$M$4:$M$108,2)-SUMIFS($AI$4:$AI$108,$AH$4:$AH$108,$BT52,$M$4:$M$108,2),)</f>
        <v/>
      </c>
      <c r="DH52" s="13">
        <f>IF(AND(CZ52&gt;0,COUNTIF(DF49:DF52,DF52)&gt;1),DF52+RANK(DG52,DG49:DG52)-1,DF52)</f>
        <v/>
      </c>
      <c r="DI52" s="13">
        <f>IF(AND(CZ52&gt;0,COUNTIF(DH49:DH52,DH52)&gt;1),SUMIFS($AI$4:$AI$108,$AF$4:$AF$108,$BT52,$M$4:$M$108,2)+SUMIFS($AK$4:$AK$108,$AH$4:$AH$108,$BT52,$M$4:$M$108,2),)</f>
        <v/>
      </c>
      <c r="DJ52" s="13">
        <f>IF(AND(CZ52&gt;0,COUNTIF(DH49:DH52,DH52)&gt;1),DH52+RANK(DI52,DI49:DI52)-1,DH52)</f>
        <v/>
      </c>
      <c r="DK52" s="75">
        <f>IF(DJ52=0,"",DJ52)</f>
        <v/>
      </c>
      <c r="DL52" s="75">
        <f>IF(OR(DK52="",COUNTIF(DK49:DK52,DK52)=1),"",$BZ52)</f>
        <v/>
      </c>
      <c r="DM52" s="75">
        <f>IF(DK52="","",IF(COUNTIF(DK49:DK52,DK52)=1,DK52,DK52+RANK(DL52,DL49:DL52,0)-1))</f>
        <v/>
      </c>
      <c r="DN52" s="75">
        <f>IF(OR(DM52="",COUNTIF(DM49:DM52,DM52)=1),"",$BX52)</f>
        <v/>
      </c>
      <c r="DO52" s="75">
        <f>IF(DK52="","",IF(COUNTIF(DM49:DM52,DM52)=1,DM52,DM52+RANK(DN52,DN49:DN52,0)-1))</f>
        <v/>
      </c>
      <c r="DP52" s="75">
        <f>IF(OR(DO52="",COUNTIF(DO49:DO52,DO52)=1),"",$BU52)</f>
        <v/>
      </c>
      <c r="DQ52" s="75">
        <f>IF(DK52="","",IF(COUNTIF(DO49:DO52,DO52)=1,DO52,DO52+RANK(DP52,DP49:DP52,0)-1))</f>
        <v/>
      </c>
      <c r="DR52" s="13">
        <f>IF(CZ52&gt;0,CG47+RANK(DQ52,DQ49:DQ52,1),)</f>
        <v/>
      </c>
      <c r="DT52" s="89">
        <f>IF(CC52=3,BT52,)</f>
        <v/>
      </c>
      <c r="DU52" s="13">
        <f>(SUMIF($AF$4:$AF$108,BT52,$BF$4:$BF$108)+SUMIF($AH$4:$AH$108,BT52,$BG$4:$BG$108))</f>
        <v/>
      </c>
      <c r="DV52" s="13">
        <f>(SUMIF($AF$4:$AF$108,BT52,$BH$4:$BH$108)+SUMIF($AH$4:$AH$108,BT52,$BI$4:$BI$108))</f>
        <v/>
      </c>
      <c r="DW52" s="13">
        <f>(SUMIF($AF$4:$AF$108,BT52,$BJ$4:$BJ$108)+SUMIF($AH$4:$AH$108,BT52,$BK$4:$BK$108))</f>
        <v/>
      </c>
      <c r="DX52" s="13">
        <f>IFERROR(DU52*3+DV52*1,0)</f>
        <v/>
      </c>
      <c r="DY52" s="13">
        <f>CB52</f>
        <v/>
      </c>
      <c r="DZ52" s="13">
        <f>IF(DT52&gt;0,RANK(DX52,DX49:DX52)+CG47+DA47,)</f>
        <v/>
      </c>
      <c r="EA52" s="13">
        <f>IF(AND(DT52&gt;0,COUNTIF(DZ49:DZ52,DZ52)&gt;1),SUMIFS($AI$4:$AI$108,$AF$4:$AF$108,$BT52,$M$4:$M$108,3)+SUMIFS($AK$4:$AK$108,$AH$4:$AH$108,$BT52,$M$4:$M$108,3)-SUMIFS($AK$4:$AK$108,$AF$4:$AF$108,$BT52,$M$4:$M$108,3)-SUMIFS($AI$4:$AI$108,$AH$4:$AH$108,$BT52,$M$4:$M$108,3),)</f>
        <v/>
      </c>
      <c r="EB52" s="13">
        <f>IF(AND(DT52&gt;0,COUNTIF(DZ49:DZ52,DZ52)&gt;1),DZ52+RANK(EA52,EA49:EA52)-1,DZ52)</f>
        <v/>
      </c>
      <c r="EC52" s="13">
        <f>IF(AND(DT52&gt;0,COUNTIF(EB49:EB52,EB52)&gt;1),SUMIFS($AI$4:$AI$108,$AF$4:$AF$108,$BT52,$M$4:$M$108,3)+SUMIFS($AK$4:$AK$108,$AH$4:$AH$108,$BT52,$M$4:$M$108,3),)</f>
        <v/>
      </c>
      <c r="ED52" s="13">
        <f>IF(AND(DT52&gt;0,COUNTIF(EB49:EB52,EB52)&gt;1),EB52+RANK(EC52,EC49:EC52)-1,EB52)</f>
        <v/>
      </c>
      <c r="EE52" s="13">
        <f>IF(ED52=0,"",ED52)</f>
        <v/>
      </c>
      <c r="EF52" s="13">
        <f>IF(OR(EE52="",COUNTIF(EE49:EE52,EE52)=1),"",$BZ52)</f>
        <v/>
      </c>
      <c r="EG52" s="13">
        <f>IF(EE52="","",IF(COUNTIF(EE49:EE52,EE52)=1,EE52,EE52+RANK(EF52,EF49:EF52,0)-1))</f>
        <v/>
      </c>
      <c r="EH52" s="13">
        <f>IF(OR(EG52="",COUNTIF(EG49:EG52,EG52)=1),"",$BX52)</f>
        <v/>
      </c>
      <c r="EI52" s="13">
        <f>IF(EE52="","",IF(COUNTIF(EG49:EG52,EG52)=1,EG52,EG52+RANK(EH52,EH49:EH52,0)-1))</f>
        <v/>
      </c>
      <c r="EJ52" s="13">
        <f>IF(OR(EI52="",COUNTIF(EI49:EI52,EI52)=1),"",$BU52)</f>
        <v/>
      </c>
      <c r="EK52" s="13">
        <f>IF(EE52="","",IF(COUNTIF(EI49:EI52,EI52)=1,EI52,EI52+RANK(EJ52,EJ49:EJ52,0)-1))</f>
        <v/>
      </c>
      <c r="EL52" s="13">
        <f>IF(DT52&gt;0,CG47+DA47+RANK(EK52,EK49:EK52,1),)</f>
        <v/>
      </c>
      <c r="EN52" s="13">
        <f>IF(CC52=4,BT52,)</f>
        <v/>
      </c>
      <c r="EO52" s="13">
        <f>(SUMIF($AF$4:$AF$108,$BT52,$BL$4:$BL$108)+SUMIF($AH$4:$AH$108,$BT52,$BM$4:$BM$108))</f>
        <v/>
      </c>
      <c r="EP52" s="13">
        <f>(SUMIF($AF$4:$AF$108,$BT52,$BN$4:$BN$108)+SUMIF($AH$4:$AH$108,$BT52,$BO$4:$BO$108))</f>
        <v/>
      </c>
      <c r="EQ52" s="13">
        <f>(SUMIF($AF$4:$AF$108,$BT52,$BP$4:$BP$108)+SUMIF($AH$4:$AH$108,$BT52,$BQ$4:$BQ$108))</f>
        <v/>
      </c>
      <c r="ER52" s="13">
        <f>IFERROR(EO52*3+EP52*1,0)</f>
        <v/>
      </c>
      <c r="ES52" s="13">
        <f>$CB52</f>
        <v/>
      </c>
      <c r="ET52" s="13">
        <f>IF(EN52&gt;0,RANK(ER52,ER49:ER52)+CG47+DA47+DU47,)</f>
        <v/>
      </c>
      <c r="EU52" s="13">
        <f>IF(AND(EN52&gt;0,COUNTIF(ET49:ET52,ET52)&gt;1),SUMIFS($AI$4:$AI$108,$AF$4:$AF$108,$BT52,$M$4:$M$108,4)+SUMIFS($AK$4:$AK$108,$AH$4:$AH$108,$BT52,$M$4:$M$108,4)-SUMIFS($AK$4:$AK$108,$AF$4:$AF$108,$BT52,$M$4:$M$108,4)-SUMIFS($AI$4:$AI$108,$AH$4:$AH$108,$BT52,$M$4:$M$108,4),)</f>
        <v/>
      </c>
      <c r="EV52" s="13">
        <f>IF(AND(EN52&gt;0,COUNTIF(ET49:ET52,ET52)&gt;1),ET52+RANK(EU52,EU49:EU52)-1,ET52)</f>
        <v/>
      </c>
      <c r="EW52" s="13">
        <f>IF(AND(EN52&gt;0,COUNTIF(EV52:EV55,EV52)&gt;1),SUMIFS($AI$4:$AI$108,$AF$4:$AF$108,$BT52,$M$4:$M$108,4)+SUMIFS($AK$4:$AK$108,$AH$4:$AH$108,$BT52,$M$4:$M$108,4),)</f>
        <v/>
      </c>
      <c r="EX52" s="13">
        <f>IF(AND(EN52&gt;0,COUNTIF(EV49:EV52,EV52)&gt;1),EV52+RANK(EW52,EW49:EW52)-1,EV52)</f>
        <v/>
      </c>
      <c r="EY52" s="13">
        <f>IF(EX52=0,"",EX52)</f>
        <v/>
      </c>
      <c r="EZ52" s="13">
        <f>IF(OR(EY52="",COUNTIF(EY49:EY52,EY52)=1),"",$BZ52)</f>
        <v/>
      </c>
      <c r="FA52" s="13">
        <f>IF(EY52="","",IF(COUNTIF(EY49:EY52,EY52)=1,EY52,EY52+RANK(EZ52,EZ49:EZ52,0)-1))</f>
        <v/>
      </c>
      <c r="FB52" s="13">
        <f>IF(OR(FA52="",COUNTIF(FA49:FA52,FA52)=1),"",$BX52)</f>
        <v/>
      </c>
      <c r="FC52" s="13">
        <f>IF(EY52="","",IF(COUNTIF(FA49:FA52,FA52)=1,FA52,FA52+RANK(FB52,FB49:FB52,0)-1))</f>
        <v/>
      </c>
      <c r="FD52" s="13">
        <f>IF(OR(FC52="",COUNTIF(FC49:FC52,FC52)=1),"",$BU52)</f>
        <v/>
      </c>
      <c r="FE52" s="13">
        <f>IF(EY52="","",IF(COUNTIF(FC49:FC52,FC52)=1,FC52,FC52+RANK(FD52,FD49:FD52,0)-1))</f>
        <v/>
      </c>
      <c r="FF52" s="13">
        <f>IF(EN52&gt;0,CG47+DA47+DU47+RANK(FE52,FE49:FE52,1),)</f>
        <v/>
      </c>
      <c r="FH52" s="13">
        <f>IFERROR(VLOOKUP(FJ52,CF48:CX52,19,FALSE),IFERROR(VLOOKUP(FJ52,CZ48:DR52,19,FALSE),IFERROR(VLOOKUP(FJ52,DT48:EL52,19,FALSE),VLOOKUP(FJ52,EN48:FF52,19,FALSE))))</f>
        <v/>
      </c>
      <c r="FI52" s="13">
        <f>RANK(FH52,FH49:FH52,1)+COUNTIF(FH49:FH52,FH52)-1</f>
        <v/>
      </c>
      <c r="FJ52" s="12">
        <f>BT52</f>
        <v/>
      </c>
      <c r="FZ52" s="79" t="n">
        <v>50</v>
      </c>
      <c r="GA52" s="3">
        <f>GB52&amp;GC52&amp;GD52&amp;GE52&amp;GF52&amp;GG52&amp;GH52&amp;GI52</f>
        <v/>
      </c>
      <c r="GB52" s="3" t="inlineStr">
        <is>
          <t>E</t>
        </is>
      </c>
      <c r="GC52" s="3" t="inlineStr">
        <is>
          <t>J</t>
        </is>
      </c>
      <c r="GD52" s="3" t="inlineStr">
        <is>
          <t>B</t>
        </is>
      </c>
      <c r="GE52" s="3" t="inlineStr">
        <is>
          <t>F</t>
        </is>
      </c>
      <c r="GF52" s="3" t="inlineStr">
        <is>
          <t>I</t>
        </is>
      </c>
      <c r="GG52" s="3" t="inlineStr">
        <is>
          <t>G</t>
        </is>
      </c>
      <c r="GH52" s="3" t="inlineStr">
        <is>
          <t>L</t>
        </is>
      </c>
      <c r="GI52" s="3" t="inlineStr">
        <is>
          <t>K</t>
        </is>
      </c>
      <c r="GJ52" s="9">
        <f>VLOOKUP(GB52,$FM$3:$FN$15,2,FALSE)</f>
        <v/>
      </c>
      <c r="GK52" s="9">
        <f>VLOOKUP(GC52,$FM$3:$FN$15,2,FALSE)</f>
        <v/>
      </c>
      <c r="GL52" s="9">
        <f>VLOOKUP(GD52,$FM$3:$FN$15,2,FALSE)</f>
        <v/>
      </c>
      <c r="GM52" s="9">
        <f>VLOOKUP(GE52,$FM$3:$FN$15,2,FALSE)</f>
        <v/>
      </c>
      <c r="GN52" s="9">
        <f>VLOOKUP(GF52,$FM$3:$FN$15,2,FALSE)</f>
        <v/>
      </c>
      <c r="GO52" s="9">
        <f>VLOOKUP(GG52,$FM$3:$FN$15,2,FALSE)</f>
        <v/>
      </c>
      <c r="GP52" s="9">
        <f>VLOOKUP(GH52,$FM$3:$FN$15,2,FALSE)</f>
        <v/>
      </c>
      <c r="GQ52" s="9">
        <f>VLOOKUP(GI52,$FM$3:$FN$15,2,FALSE)</f>
        <v/>
      </c>
      <c r="GR52" s="9">
        <f>IFERROR(IF(AND(VLOOKUP(GB52,$FX$4:$FX$15,1,FALSE)=GB52,VLOOKUP(GC52,$FX$4:$FX$15,1,FALSE)=GC52,VLOOKUP(GD52,$FX$4:$FX$15,1,FALSE)=GD52,VLOOKUP(GE52,$FX$4:$FX$15,1,FALSE)=GE52,VLOOKUP(GF52,$FX$4:$FX$15,1,FALSE)=GF52,VLOOKUP(GG52,$FX$4:$FX$15,1,FALSE)=GG52,VLOOKUP(GH52,$FX$4:$FX$15,1,FALSE)=GH52,VLOOKUP(GI52,$FX$4:$FX$15,1,FALSE)=GI52),FZ52,""),"")</f>
        <v/>
      </c>
      <c r="GX52" s="79" t="n"/>
    </row>
    <row r="53" ht="14.25" customHeight="1">
      <c r="B53" s="58" t="n">
        <v>57</v>
      </c>
      <c r="C53" s="59" t="n">
        <v>46199</v>
      </c>
      <c r="D53" s="60" t="inlineStr">
        <is>
          <t>Japan</t>
        </is>
      </c>
      <c r="E53" s="61" t="inlineStr">
        <is>
          <t>-</t>
        </is>
      </c>
      <c r="F53" s="62" t="inlineStr">
        <is>
          <t>Sverige</t>
        </is>
      </c>
      <c r="G53" s="63" t="n">
        <v>1</v>
      </c>
      <c r="H53" s="64" t="inlineStr">
        <is>
          <t>-</t>
        </is>
      </c>
      <c r="I53" s="63" t="n">
        <v>1</v>
      </c>
      <c r="J53" s="65">
        <f>IF(OR(ISBLANK(G53),ISBLANK(I53)),"",IF(G53&gt;I53,1,IF(G53&lt;I53,2,"X")))</f>
        <v/>
      </c>
      <c r="K53" s="66">
        <f>IF(OR(G53="",I53="",'[1]Resultat &amp; tabell'!G53="",'[1]Resultat &amp; tabell'!I53=""),0,IF(G53='[1]Resultat &amp; tabell'!G53,2,0)+IF(I53='[1]Resultat &amp; tabell'!I53,2,0)+IF(J53='[1]Resultat &amp; tabell'!J53,2,0))</f>
        <v/>
      </c>
      <c r="L53" s="67" t="n"/>
      <c r="M53" s="29">
        <f>IF(VLOOKUP(D53,$BT$48:$CC$52,10,FALSE)=VLOOKUP(F53,$BT$48:$CC$52,10,FALSE),VLOOKUP(D53,$BT$48:$CC$52,10,FALSE),"-")</f>
        <v/>
      </c>
      <c r="O53" s="134">
        <f>IF(COUNTBLANK(G49:G54)+COUNTBLANK(I49:I54)=0,"Resultat OK","Fyll i resultat")</f>
        <v/>
      </c>
      <c r="P53" s="92" t="n"/>
      <c r="Q53" s="92" t="n"/>
      <c r="R53" s="92" t="n"/>
      <c r="S53" s="92" t="n"/>
      <c r="T53" s="92" t="n"/>
      <c r="U53" s="92" t="n"/>
      <c r="V53" s="3" t="n"/>
      <c r="X53" s="1" t="n"/>
      <c r="AE53" s="72">
        <f>C53</f>
        <v/>
      </c>
      <c r="AF53" s="72">
        <f>D53</f>
        <v/>
      </c>
      <c r="AG53" s="72">
        <f>E53</f>
        <v/>
      </c>
      <c r="AH53" s="72">
        <f>F53</f>
        <v/>
      </c>
      <c r="AI53" s="63">
        <f>IF(G53="","",G53)</f>
        <v/>
      </c>
      <c r="AJ53" s="58">
        <f>H53</f>
        <v/>
      </c>
      <c r="AK53" s="63">
        <f>IF(I53="","",I53)</f>
        <v/>
      </c>
      <c r="AL53" s="65">
        <f>J53</f>
        <v/>
      </c>
      <c r="AM53" s="73" t="n"/>
      <c r="AN53" s="13">
        <f>IF(AI53&gt;AK53,1,0)</f>
        <v/>
      </c>
      <c r="AO53" s="13">
        <f>IF(AK53&gt;AI53,1,0)</f>
        <v/>
      </c>
      <c r="AP53" s="13">
        <f>IF(AND(AI53=AK53,AI53&lt;&gt;""),1,0)</f>
        <v/>
      </c>
      <c r="AQ53" s="13">
        <f>IF(AND(AI53=AK53,AI53&lt;&gt;""),1,0)</f>
        <v/>
      </c>
      <c r="AR53" s="13">
        <f>IF(AI53&lt;AK53,1,0)</f>
        <v/>
      </c>
      <c r="AS53" s="13">
        <f>IF(AK53&lt;AI53,1,)</f>
        <v/>
      </c>
      <c r="AT53" s="13">
        <f>IF(ISERROR(VLOOKUP(AF53,CF:CF,1,FALSE)),0,1)*IF(ISERROR(VLOOKUP(AH53,CF:CF,1,FALSE)),0,1)*AN53</f>
        <v/>
      </c>
      <c r="AU53" s="13">
        <f>IF(ISERROR(VLOOKUP(AF53,CF:CF,1,FALSE)),0,1)*IF(ISERROR(VLOOKUP(AH53,CF:CF,1,FALSE)),0,1)*AO53</f>
        <v/>
      </c>
      <c r="AV53" s="13">
        <f>IF(ISERROR(VLOOKUP(AF53,CF:CF,1,FALSE)),0,1)*IF(ISERROR(VLOOKUP(AH53,CF:CF,1,FALSE)),0,1)*AP53</f>
        <v/>
      </c>
      <c r="AW53" s="13">
        <f>IF(ISERROR(VLOOKUP(AF53,CF:CF,1,FALSE)),0,1)*IF(ISERROR(VLOOKUP(AH53,CF:CF,1,FALSE)),0,1)*AQ53</f>
        <v/>
      </c>
      <c r="AX53" s="13">
        <f>IF(ISERROR(VLOOKUP(AF53,CF:CF,1,FALSE)),0,1)*IF(ISERROR(VLOOKUP(AH53,CF:CF,1,FALSE)),0,1)*AR53</f>
        <v/>
      </c>
      <c r="AY53" s="13">
        <f>IF(ISERROR(VLOOKUP(AF53,CF:CF,1,FALSE)),0,1)*IF(ISERROR(VLOOKUP(AH53,CF:CF,1,FALSE)),0,1)*AS53</f>
        <v/>
      </c>
      <c r="AZ53" s="13">
        <f>IF(ISERROR(VLOOKUP(AF53,CZ:CZ,1,FALSE)),0,1)*IF(ISERROR(VLOOKUP(AH53,CZ:CZ,1,FALSE)),0,1)*AN53</f>
        <v/>
      </c>
      <c r="BA53" s="13">
        <f>IF(ISERROR(VLOOKUP(AF53,CZ:CZ,1,FALSE)),0,1)*IF(ISERROR(VLOOKUP(AH53,CZ:CZ,1,FALSE)),0,1)*AO53</f>
        <v/>
      </c>
      <c r="BB53" s="13">
        <f>IF(ISERROR(VLOOKUP(AF53,CZ:CZ,1,FALSE)),0,1)*IF(ISERROR(VLOOKUP(AH53,CZ:CZ,1,FALSE)),0,1)*AP53</f>
        <v/>
      </c>
      <c r="BC53" s="13">
        <f>IF(ISERROR(VLOOKUP(AF53,CZ:CZ,1,FALSE)),0,1)*IF(ISERROR(VLOOKUP(AH53,CZ:CZ,1,FALSE)),0,1)*AQ53</f>
        <v/>
      </c>
      <c r="BD53" s="13">
        <f>IF(ISERROR(VLOOKUP(AF53,CZ:CZ,1,FALSE)),0,1)*IF(ISERROR(VLOOKUP(AH53,CZ:CZ,1,FALSE)),0,1)*AR53</f>
        <v/>
      </c>
      <c r="BE53" s="13">
        <f>IF(ISERROR(VLOOKUP(AF53,CZ:CZ,1,FALSE)),0,1)*IF(ISERROR(VLOOKUP(AH53,CZ:CZ,1,FALSE)),0,1)*AS53</f>
        <v/>
      </c>
      <c r="BF53" s="13">
        <f>IF(ISERROR(VLOOKUP(AF53,DT:DT,1,FALSE)),0,1)*IF(ISERROR(VLOOKUP(AH53,DT:DT,1,FALSE)),0,1)*AN53</f>
        <v/>
      </c>
      <c r="BG53" s="13">
        <f>IF(ISERROR(VLOOKUP(AF53,DT:DT,1,FALSE)),0,1)*IF(ISERROR(VLOOKUP(AH53,DT:DT,1,FALSE)),0,1)*AO53</f>
        <v/>
      </c>
      <c r="BH53" s="13">
        <f>IF(ISERROR(VLOOKUP(AF53,DT:DT,1,FALSE)),0,1)*IF(ISERROR(VLOOKUP(AH53,DT:DT,1,FALSE)),0,1)*AP53</f>
        <v/>
      </c>
      <c r="BI53" s="13">
        <f>IF(ISERROR(VLOOKUP(AF53,DT:DT,1,FALSE)),0,1)*IF(ISERROR(VLOOKUP(AH53,DT:DT,1,FALSE)),0,1)*AQ53</f>
        <v/>
      </c>
      <c r="BJ53" s="13">
        <f>IF(ISERROR(VLOOKUP(AF53,DT:DT,1,FALSE)),0,1)*IF(ISERROR(VLOOKUP(AH53,DT:DT,1,FALSE)),0,1)*AR53</f>
        <v/>
      </c>
      <c r="BK53" s="13">
        <f>IF(ISERROR(VLOOKUP(AF53,DT:DT,1,FALSE)),0,1)*IF(ISERROR(VLOOKUP(AH53,DT:DT,1,FALSE)),0,1)*AS53</f>
        <v/>
      </c>
      <c r="BL53" s="13">
        <f>IF(ISERROR(VLOOKUP(AF53,EN:EN,1,FALSE)),0,1)*IF(ISERROR(VLOOKUP(AH53,EN:EN,1,FALSE)),0,1)*AN53</f>
        <v/>
      </c>
      <c r="BM53" s="13">
        <f>IF(ISERROR(VLOOKUP(AF53,EN:EN,1,FALSE)),0,1)*IF(ISERROR(VLOOKUP(AH53,EN:EN,1,FALSE)),0,1)*AO53</f>
        <v/>
      </c>
      <c r="BN53" s="13">
        <f>IF(ISERROR(VLOOKUP(AF53,EN:EN,1,FALSE)),0,1)*IF(ISERROR(VLOOKUP(AH53,EN:EN,1,FALSE)),0,1)*AP53</f>
        <v/>
      </c>
      <c r="BO53" s="13">
        <f>IF(ISERROR(VLOOKUP(AF53,EN:EN,1,FALSE)),0,1)*IF(ISERROR(VLOOKUP(AH53,EN:EN,1,FALSE)),0,1)*AQ53</f>
        <v/>
      </c>
      <c r="BP53" s="13">
        <f>IF(ISERROR(VLOOKUP(AF53,EN:EN,1,FALSE)),0,1)*IF(ISERROR(VLOOKUP(AH53,EN:EN,1,FALSE)),0,1)*AR53</f>
        <v/>
      </c>
      <c r="BQ53" s="13">
        <f>IF(ISERROR(VLOOKUP(AF53,EN:EN,1,FALSE)),0,1)*IF(ISERROR(VLOOKUP(AH53,EN:EN,1,FALSE)),0,1)*AS53</f>
        <v/>
      </c>
      <c r="FZ53" s="79" t="n">
        <v>51</v>
      </c>
      <c r="GA53" s="3">
        <f>GB53&amp;GC53&amp;GD53&amp;GE53&amp;GF53&amp;GG53&amp;GH53&amp;GI53</f>
        <v/>
      </c>
      <c r="GB53" s="3" t="inlineStr">
        <is>
          <t>E</t>
        </is>
      </c>
      <c r="GC53" s="3" t="inlineStr">
        <is>
          <t>J</t>
        </is>
      </c>
      <c r="GD53" s="3" t="inlineStr">
        <is>
          <t>B</t>
        </is>
      </c>
      <c r="GE53" s="3" t="inlineStr">
        <is>
          <t>F</t>
        </is>
      </c>
      <c r="GF53" s="3" t="inlineStr">
        <is>
          <t>H</t>
        </is>
      </c>
      <c r="GG53" s="3" t="inlineStr">
        <is>
          <t>G</t>
        </is>
      </c>
      <c r="GH53" s="3" t="inlineStr">
        <is>
          <t>L</t>
        </is>
      </c>
      <c r="GI53" s="3" t="inlineStr">
        <is>
          <t>K</t>
        </is>
      </c>
      <c r="GJ53" s="9">
        <f>VLOOKUP(GB53,$FM$3:$FN$15,2,FALSE)</f>
        <v/>
      </c>
      <c r="GK53" s="9">
        <f>VLOOKUP(GC53,$FM$3:$FN$15,2,FALSE)</f>
        <v/>
      </c>
      <c r="GL53" s="9">
        <f>VLOOKUP(GD53,$FM$3:$FN$15,2,FALSE)</f>
        <v/>
      </c>
      <c r="GM53" s="9">
        <f>VLOOKUP(GE53,$FM$3:$FN$15,2,FALSE)</f>
        <v/>
      </c>
      <c r="GN53" s="9">
        <f>VLOOKUP(GF53,$FM$3:$FN$15,2,FALSE)</f>
        <v/>
      </c>
      <c r="GO53" s="9">
        <f>VLOOKUP(GG53,$FM$3:$FN$15,2,FALSE)</f>
        <v/>
      </c>
      <c r="GP53" s="9">
        <f>VLOOKUP(GH53,$FM$3:$FN$15,2,FALSE)</f>
        <v/>
      </c>
      <c r="GQ53" s="9">
        <f>VLOOKUP(GI53,$FM$3:$FN$15,2,FALSE)</f>
        <v/>
      </c>
      <c r="GR53" s="9">
        <f>IFERROR(IF(AND(VLOOKUP(GB53,$FX$4:$FX$15,1,FALSE)=GB53,VLOOKUP(GC53,$FX$4:$FX$15,1,FALSE)=GC53,VLOOKUP(GD53,$FX$4:$FX$15,1,FALSE)=GD53,VLOOKUP(GE53,$FX$4:$FX$15,1,FALSE)=GE53,VLOOKUP(GF53,$FX$4:$FX$15,1,FALSE)=GF53,VLOOKUP(GG53,$FX$4:$FX$15,1,FALSE)=GG53,VLOOKUP(GH53,$FX$4:$FX$15,1,FALSE)=GH53,VLOOKUP(GI53,$FX$4:$FX$15,1,FALSE)=GI53),FZ53,""),"")</f>
        <v/>
      </c>
      <c r="GX53" s="79" t="n"/>
    </row>
    <row r="54" ht="14.25" customHeight="1">
      <c r="B54" s="58" t="n">
        <v>58</v>
      </c>
      <c r="C54" s="59" t="n">
        <v>46199</v>
      </c>
      <c r="D54" s="60" t="inlineStr">
        <is>
          <t>Tunisien</t>
        </is>
      </c>
      <c r="E54" s="61" t="inlineStr">
        <is>
          <t>-</t>
        </is>
      </c>
      <c r="F54" s="62" t="inlineStr">
        <is>
          <t>Nederländerna</t>
        </is>
      </c>
      <c r="G54" s="63" t="n">
        <v>0</v>
      </c>
      <c r="H54" s="64" t="inlineStr">
        <is>
          <t>-</t>
        </is>
      </c>
      <c r="I54" s="63" t="n">
        <v>3</v>
      </c>
      <c r="J54" s="65">
        <f>IF(OR(ISBLANK(G54),ISBLANK(I54)),"",IF(G54&gt;I54,1,IF(G54&lt;I54,2,"X")))</f>
        <v/>
      </c>
      <c r="K54" s="66">
        <f>IF(OR(G54="",I54="",'[1]Resultat &amp; tabell'!G54="",'[1]Resultat &amp; tabell'!I54=""),0,IF(G54='[1]Resultat &amp; tabell'!G54,2,0)+IF(I54='[1]Resultat &amp; tabell'!I54,2,0)+IF(J54='[1]Resultat &amp; tabell'!J54,2,0))</f>
        <v/>
      </c>
      <c r="L54" s="67" t="n"/>
      <c r="M54" s="29">
        <f>IF(VLOOKUP(D54,$BT$48:$CC$52,10,FALSE)=VLOOKUP(F54,$BT$48:$CC$52,10,FALSE),VLOOKUP(D54,$BT$48:$CC$52,10,FALSE),"-")</f>
        <v/>
      </c>
      <c r="V54" s="3" t="n"/>
      <c r="X54" s="1" t="n"/>
      <c r="AE54" s="72">
        <f>C54</f>
        <v/>
      </c>
      <c r="AF54" s="72">
        <f>D54</f>
        <v/>
      </c>
      <c r="AG54" s="72">
        <f>E54</f>
        <v/>
      </c>
      <c r="AH54" s="72">
        <f>F54</f>
        <v/>
      </c>
      <c r="AI54" s="63">
        <f>IF(G54="","",G54)</f>
        <v/>
      </c>
      <c r="AJ54" s="58">
        <f>H54</f>
        <v/>
      </c>
      <c r="AK54" s="63">
        <f>IF(I54="","",I54)</f>
        <v/>
      </c>
      <c r="AL54" s="65">
        <f>J54</f>
        <v/>
      </c>
      <c r="AM54" s="73" t="n"/>
      <c r="AN54" s="13">
        <f>IF(AI54&gt;AK54,1,0)</f>
        <v/>
      </c>
      <c r="AO54" s="13">
        <f>IF(AK54&gt;AI54,1,0)</f>
        <v/>
      </c>
      <c r="AP54" s="13">
        <f>IF(AND(AI54=AK54,AI54&lt;&gt;""),1,0)</f>
        <v/>
      </c>
      <c r="AQ54" s="13">
        <f>IF(AND(AI54=AK54,AI54&lt;&gt;""),1,0)</f>
        <v/>
      </c>
      <c r="AR54" s="13">
        <f>IF(AI54&lt;AK54,1,0)</f>
        <v/>
      </c>
      <c r="AS54" s="13">
        <f>IF(AK54&lt;AI54,1,)</f>
        <v/>
      </c>
      <c r="AT54" s="13">
        <f>IF(ISERROR(VLOOKUP(AF54,CF:CF,1,FALSE)),0,1)*IF(ISERROR(VLOOKUP(AH54,CF:CF,1,FALSE)),0,1)*AN54</f>
        <v/>
      </c>
      <c r="AU54" s="13">
        <f>IF(ISERROR(VLOOKUP(AF54,CF:CF,1,FALSE)),0,1)*IF(ISERROR(VLOOKUP(AH54,CF:CF,1,FALSE)),0,1)*AO54</f>
        <v/>
      </c>
      <c r="AV54" s="13">
        <f>IF(ISERROR(VLOOKUP(AF54,CF:CF,1,FALSE)),0,1)*IF(ISERROR(VLOOKUP(AH54,CF:CF,1,FALSE)),0,1)*AP54</f>
        <v/>
      </c>
      <c r="AW54" s="13">
        <f>IF(ISERROR(VLOOKUP(AF54,CF:CF,1,FALSE)),0,1)*IF(ISERROR(VLOOKUP(AH54,CF:CF,1,FALSE)),0,1)*AQ54</f>
        <v/>
      </c>
      <c r="AX54" s="13">
        <f>IF(ISERROR(VLOOKUP(AF54,CF:CF,1,FALSE)),0,1)*IF(ISERROR(VLOOKUP(AH54,CF:CF,1,FALSE)),0,1)*AR54</f>
        <v/>
      </c>
      <c r="AY54" s="13">
        <f>IF(ISERROR(VLOOKUP(AF54,CF:CF,1,FALSE)),0,1)*IF(ISERROR(VLOOKUP(AH54,CF:CF,1,FALSE)),0,1)*AS54</f>
        <v/>
      </c>
      <c r="AZ54" s="13">
        <f>IF(ISERROR(VLOOKUP(AF54,CZ:CZ,1,FALSE)),0,1)*IF(ISERROR(VLOOKUP(AH54,CZ:CZ,1,FALSE)),0,1)*AN54</f>
        <v/>
      </c>
      <c r="BA54" s="13">
        <f>IF(ISERROR(VLOOKUP(AF54,CZ:CZ,1,FALSE)),0,1)*IF(ISERROR(VLOOKUP(AH54,CZ:CZ,1,FALSE)),0,1)*AO54</f>
        <v/>
      </c>
      <c r="BB54" s="13">
        <f>IF(ISERROR(VLOOKUP(AF54,CZ:CZ,1,FALSE)),0,1)*IF(ISERROR(VLOOKUP(AH54,CZ:CZ,1,FALSE)),0,1)*AP54</f>
        <v/>
      </c>
      <c r="BC54" s="13">
        <f>IF(ISERROR(VLOOKUP(AF54,CZ:CZ,1,FALSE)),0,1)*IF(ISERROR(VLOOKUP(AH54,CZ:CZ,1,FALSE)),0,1)*AQ54</f>
        <v/>
      </c>
      <c r="BD54" s="13">
        <f>IF(ISERROR(VLOOKUP(AF54,CZ:CZ,1,FALSE)),0,1)*IF(ISERROR(VLOOKUP(AH54,CZ:CZ,1,FALSE)),0,1)*AR54</f>
        <v/>
      </c>
      <c r="BE54" s="13">
        <f>IF(ISERROR(VLOOKUP(AF54,CZ:CZ,1,FALSE)),0,1)*IF(ISERROR(VLOOKUP(AH54,CZ:CZ,1,FALSE)),0,1)*AS54</f>
        <v/>
      </c>
      <c r="BF54" s="13">
        <f>IF(ISERROR(VLOOKUP(AF54,DT:DT,1,FALSE)),0,1)*IF(ISERROR(VLOOKUP(AH54,DT:DT,1,FALSE)),0,1)*AN54</f>
        <v/>
      </c>
      <c r="BG54" s="13">
        <f>IF(ISERROR(VLOOKUP(AF54,DT:DT,1,FALSE)),0,1)*IF(ISERROR(VLOOKUP(AH54,DT:DT,1,FALSE)),0,1)*AO54</f>
        <v/>
      </c>
      <c r="BH54" s="13">
        <f>IF(ISERROR(VLOOKUP(AF54,DT:DT,1,FALSE)),0,1)*IF(ISERROR(VLOOKUP(AH54,DT:DT,1,FALSE)),0,1)*AP54</f>
        <v/>
      </c>
      <c r="BI54" s="13">
        <f>IF(ISERROR(VLOOKUP(AF54,DT:DT,1,FALSE)),0,1)*IF(ISERROR(VLOOKUP(AH54,DT:DT,1,FALSE)),0,1)*AQ54</f>
        <v/>
      </c>
      <c r="BJ54" s="13">
        <f>IF(ISERROR(VLOOKUP(AF54,DT:DT,1,FALSE)),0,1)*IF(ISERROR(VLOOKUP(AH54,DT:DT,1,FALSE)),0,1)*AR54</f>
        <v/>
      </c>
      <c r="BK54" s="13">
        <f>IF(ISERROR(VLOOKUP(AF54,DT:DT,1,FALSE)),0,1)*IF(ISERROR(VLOOKUP(AH54,DT:DT,1,FALSE)),0,1)*AS54</f>
        <v/>
      </c>
      <c r="BL54" s="13">
        <f>IF(ISERROR(VLOOKUP(AF54,EN:EN,1,FALSE)),0,1)*IF(ISERROR(VLOOKUP(AH54,EN:EN,1,FALSE)),0,1)*AN54</f>
        <v/>
      </c>
      <c r="BM54" s="13">
        <f>IF(ISERROR(VLOOKUP(AF54,EN:EN,1,FALSE)),0,1)*IF(ISERROR(VLOOKUP(AH54,EN:EN,1,FALSE)),0,1)*AO54</f>
        <v/>
      </c>
      <c r="BN54" s="13">
        <f>IF(ISERROR(VLOOKUP(AF54,EN:EN,1,FALSE)),0,1)*IF(ISERROR(VLOOKUP(AH54,EN:EN,1,FALSE)),0,1)*AP54</f>
        <v/>
      </c>
      <c r="BO54" s="13">
        <f>IF(ISERROR(VLOOKUP(AF54,EN:EN,1,FALSE)),0,1)*IF(ISERROR(VLOOKUP(AH54,EN:EN,1,FALSE)),0,1)*AQ54</f>
        <v/>
      </c>
      <c r="BP54" s="13">
        <f>IF(ISERROR(VLOOKUP(AF54,EN:EN,1,FALSE)),0,1)*IF(ISERROR(VLOOKUP(AH54,EN:EN,1,FALSE)),0,1)*AR54</f>
        <v/>
      </c>
      <c r="BQ54" s="13">
        <f>IF(ISERROR(VLOOKUP(AF54,EN:EN,1,FALSE)),0,1)*IF(ISERROR(VLOOKUP(AH54,EN:EN,1,FALSE)),0,1)*AS54</f>
        <v/>
      </c>
      <c r="FZ54" s="79" t="n">
        <v>52</v>
      </c>
      <c r="GA54" s="3">
        <f>GB54&amp;GC54&amp;GD54&amp;GE54&amp;GF54&amp;GG54&amp;GH54&amp;GI54</f>
        <v/>
      </c>
      <c r="GB54" s="3" t="inlineStr">
        <is>
          <t>E</t>
        </is>
      </c>
      <c r="GC54" s="3" t="inlineStr">
        <is>
          <t>G</t>
        </is>
      </c>
      <c r="GD54" s="3" t="inlineStr">
        <is>
          <t>B</t>
        </is>
      </c>
      <c r="GE54" s="3" t="inlineStr">
        <is>
          <t>F</t>
        </is>
      </c>
      <c r="GF54" s="3" t="inlineStr">
        <is>
          <t>I</t>
        </is>
      </c>
      <c r="GG54" s="3" t="inlineStr">
        <is>
          <t>H</t>
        </is>
      </c>
      <c r="GH54" s="3" t="inlineStr">
        <is>
          <t>L</t>
        </is>
      </c>
      <c r="GI54" s="3" t="inlineStr">
        <is>
          <t>K</t>
        </is>
      </c>
      <c r="GJ54" s="9">
        <f>VLOOKUP(GB54,$FM$3:$FN$15,2,FALSE)</f>
        <v/>
      </c>
      <c r="GK54" s="9">
        <f>VLOOKUP(GC54,$FM$3:$FN$15,2,FALSE)</f>
        <v/>
      </c>
      <c r="GL54" s="9">
        <f>VLOOKUP(GD54,$FM$3:$FN$15,2,FALSE)</f>
        <v/>
      </c>
      <c r="GM54" s="9">
        <f>VLOOKUP(GE54,$FM$3:$FN$15,2,FALSE)</f>
        <v/>
      </c>
      <c r="GN54" s="9">
        <f>VLOOKUP(GF54,$FM$3:$FN$15,2,FALSE)</f>
        <v/>
      </c>
      <c r="GO54" s="9">
        <f>VLOOKUP(GG54,$FM$3:$FN$15,2,FALSE)</f>
        <v/>
      </c>
      <c r="GP54" s="9">
        <f>VLOOKUP(GH54,$FM$3:$FN$15,2,FALSE)</f>
        <v/>
      </c>
      <c r="GQ54" s="9">
        <f>VLOOKUP(GI54,$FM$3:$FN$15,2,FALSE)</f>
        <v/>
      </c>
      <c r="GR54" s="9">
        <f>IFERROR(IF(AND(VLOOKUP(GB54,$FX$4:$FX$15,1,FALSE)=GB54,VLOOKUP(GC54,$FX$4:$FX$15,1,FALSE)=GC54,VLOOKUP(GD54,$FX$4:$FX$15,1,FALSE)=GD54,VLOOKUP(GE54,$FX$4:$FX$15,1,FALSE)=GE54,VLOOKUP(GF54,$FX$4:$FX$15,1,FALSE)=GF54,VLOOKUP(GG54,$FX$4:$FX$15,1,FALSE)=GG54,VLOOKUP(GH54,$FX$4:$FX$15,1,FALSE)=GH54,VLOOKUP(GI54,$FX$4:$FX$15,1,FALSE)=GI54),FZ54,""),"")</f>
        <v/>
      </c>
      <c r="GX54" s="79" t="n"/>
    </row>
    <row r="55" ht="14.25" customHeight="1">
      <c r="C55" s="94" t="n"/>
      <c r="J55" s="23" t="n"/>
      <c r="K55" s="16" t="n"/>
      <c r="L55" s="49" t="n"/>
      <c r="V55" s="3" t="n"/>
      <c r="X55" s="1" t="n"/>
      <c r="AL55" s="23" t="n"/>
      <c r="AM55" s="16" t="n"/>
      <c r="FZ55" s="79" t="n">
        <v>53</v>
      </c>
      <c r="GA55" s="3">
        <f>GB55&amp;GC55&amp;GD55&amp;GE55&amp;GF55&amp;GG55&amp;GH55&amp;GI55</f>
        <v/>
      </c>
      <c r="GB55" s="3" t="inlineStr">
        <is>
          <t>E</t>
        </is>
      </c>
      <c r="GC55" s="3" t="inlineStr">
        <is>
          <t>J</t>
        </is>
      </c>
      <c r="GD55" s="3" t="inlineStr">
        <is>
          <t>B</t>
        </is>
      </c>
      <c r="GE55" s="3" t="inlineStr">
        <is>
          <t>F</t>
        </is>
      </c>
      <c r="GF55" s="3" t="inlineStr">
        <is>
          <t>H</t>
        </is>
      </c>
      <c r="GG55" s="3" t="inlineStr">
        <is>
          <t>G</t>
        </is>
      </c>
      <c r="GH55" s="3" t="inlineStr">
        <is>
          <t>L</t>
        </is>
      </c>
      <c r="GI55" s="3" t="inlineStr">
        <is>
          <t>I</t>
        </is>
      </c>
      <c r="GJ55" s="9">
        <f>VLOOKUP(GB55,$FM$3:$FN$15,2,FALSE)</f>
        <v/>
      </c>
      <c r="GK55" s="9">
        <f>VLOOKUP(GC55,$FM$3:$FN$15,2,FALSE)</f>
        <v/>
      </c>
      <c r="GL55" s="9">
        <f>VLOOKUP(GD55,$FM$3:$FN$15,2,FALSE)</f>
        <v/>
      </c>
      <c r="GM55" s="9">
        <f>VLOOKUP(GE55,$FM$3:$FN$15,2,FALSE)</f>
        <v/>
      </c>
      <c r="GN55" s="9">
        <f>VLOOKUP(GF55,$FM$3:$FN$15,2,FALSE)</f>
        <v/>
      </c>
      <c r="GO55" s="9">
        <f>VLOOKUP(GG55,$FM$3:$FN$15,2,FALSE)</f>
        <v/>
      </c>
      <c r="GP55" s="9">
        <f>VLOOKUP(GH55,$FM$3:$FN$15,2,FALSE)</f>
        <v/>
      </c>
      <c r="GQ55" s="9">
        <f>VLOOKUP(GI55,$FM$3:$FN$15,2,FALSE)</f>
        <v/>
      </c>
      <c r="GR55" s="9">
        <f>IFERROR(IF(AND(VLOOKUP(GB55,$FX$4:$FX$15,1,FALSE)=GB55,VLOOKUP(GC55,$FX$4:$FX$15,1,FALSE)=GC55,VLOOKUP(GD55,$FX$4:$FX$15,1,FALSE)=GD55,VLOOKUP(GE55,$FX$4:$FX$15,1,FALSE)=GE55,VLOOKUP(GF55,$FX$4:$FX$15,1,FALSE)=GF55,VLOOKUP(GG55,$FX$4:$FX$15,1,FALSE)=GG55,VLOOKUP(GH55,$FX$4:$FX$15,1,FALSE)=GH55,VLOOKUP(GI55,$FX$4:$FX$15,1,FALSE)=GI55),FZ55,""),"")</f>
        <v/>
      </c>
      <c r="GX55" s="79" t="n"/>
    </row>
    <row r="56" ht="14.25" customFormat="1" customHeight="1" s="104">
      <c r="B56" s="19" t="inlineStr">
        <is>
          <t>Grupp G</t>
        </is>
      </c>
      <c r="C56" s="97" t="n"/>
      <c r="D56" s="98" t="n"/>
      <c r="E56" s="33" t="n"/>
      <c r="F56" s="98" t="n"/>
      <c r="G56" s="25" t="n"/>
      <c r="H56" s="25" t="n"/>
      <c r="I56" s="25" t="n"/>
      <c r="J56" s="23" t="n"/>
      <c r="K56" s="16" t="n"/>
      <c r="L56" s="49" t="n"/>
      <c r="M56" s="103" t="n"/>
      <c r="N56" s="103" t="n"/>
      <c r="O56" s="19" t="inlineStr">
        <is>
          <t>Grupp G</t>
        </is>
      </c>
      <c r="V56" s="33" t="n"/>
      <c r="X56" s="19" t="n"/>
      <c r="Y56" s="33" t="n"/>
      <c r="Z56" s="33" t="n"/>
      <c r="AA56" s="33" t="n"/>
      <c r="AB56" s="132" t="n"/>
      <c r="AC56" s="133" t="n"/>
      <c r="AE56" s="19" t="inlineStr">
        <is>
          <t>Grupp G</t>
        </is>
      </c>
      <c r="AF56" s="97" t="n"/>
      <c r="AG56" s="98" t="n"/>
      <c r="AH56" s="33" t="n"/>
      <c r="AI56" s="98" t="n"/>
      <c r="AJ56" s="33" t="n"/>
      <c r="AK56" s="33" t="n"/>
      <c r="AL56" s="33" t="n"/>
      <c r="AM56" s="188" t="n"/>
      <c r="AN56" s="23" t="n"/>
      <c r="AO56" s="13" t="n"/>
      <c r="AP56" s="13" t="n"/>
      <c r="AQ56" s="13" t="n"/>
      <c r="AR56" s="13" t="n"/>
      <c r="AS56" s="13" t="n"/>
      <c r="AT56" s="13" t="n"/>
      <c r="AU56" s="13" t="n"/>
      <c r="AV56" s="13" t="n"/>
      <c r="AW56" s="13" t="n"/>
      <c r="AX56" s="13" t="n"/>
      <c r="AY56" s="13" t="n"/>
      <c r="AZ56" s="13" t="n"/>
      <c r="BA56" s="13" t="n"/>
      <c r="BB56" s="13" t="n"/>
      <c r="BC56" s="13" t="n"/>
      <c r="BD56" s="13" t="n"/>
      <c r="BE56" s="13" t="n"/>
      <c r="BF56" s="13" t="n"/>
      <c r="BG56" s="13" t="n"/>
      <c r="BH56" s="13" t="n"/>
      <c r="BI56" s="13" t="n"/>
      <c r="BJ56" s="13" t="n"/>
      <c r="BK56" s="13" t="n"/>
      <c r="BL56" s="13" t="n"/>
      <c r="BM56" s="13" t="n"/>
      <c r="BN56" s="13" t="n"/>
      <c r="BO56" s="13" t="n"/>
      <c r="BP56" s="13" t="n"/>
      <c r="BQ56" s="13" t="n"/>
      <c r="BR56" s="12" t="n"/>
      <c r="BS56" s="12" t="n"/>
      <c r="BT56" s="39" t="inlineStr">
        <is>
          <t>Rank 0</t>
        </is>
      </c>
      <c r="BU56" s="34" t="n"/>
      <c r="BV56" s="34" t="n"/>
      <c r="BW56" s="34" t="n"/>
      <c r="BX56" s="34" t="n"/>
      <c r="BY56" s="34" t="n"/>
      <c r="BZ56" s="34" t="n"/>
      <c r="CA56" s="34" t="n"/>
      <c r="CB56" s="39" t="n"/>
      <c r="CC56" s="34" t="n"/>
      <c r="CD56" s="34" t="n"/>
      <c r="CE56" s="12" t="n"/>
      <c r="CF56" s="40" t="inlineStr">
        <is>
          <t>Rank 1</t>
        </is>
      </c>
      <c r="CG56" s="35">
        <f>COUNTIF(CC58:CC61,1)</f>
        <v/>
      </c>
      <c r="CH56" s="35" t="n"/>
      <c r="CI56" s="35" t="n"/>
      <c r="CJ56" s="35" t="n"/>
      <c r="CK56" s="35" t="n"/>
      <c r="CL56" s="35" t="n"/>
      <c r="CM56" s="35" t="n"/>
      <c r="CN56" s="35" t="n"/>
      <c r="CO56" s="35" t="n"/>
      <c r="CP56" s="35" t="n"/>
      <c r="CQ56" s="13" t="n"/>
      <c r="CR56" s="13" t="n"/>
      <c r="CS56" s="13" t="n"/>
      <c r="CT56" s="13" t="n"/>
      <c r="CU56" s="13" t="n"/>
      <c r="CV56" s="13" t="n"/>
      <c r="CW56" s="13" t="n"/>
      <c r="CX56" s="13" t="n"/>
      <c r="CY56" s="12" t="n"/>
      <c r="CZ56" s="41" t="inlineStr">
        <is>
          <t>Rank 2</t>
        </is>
      </c>
      <c r="DA56" s="36">
        <f>COUNTIF(CC58:CC61,2)</f>
        <v/>
      </c>
      <c r="DB56" s="36" t="n"/>
      <c r="DC56" s="36" t="n"/>
      <c r="DD56" s="36" t="n"/>
      <c r="DE56" s="36" t="n"/>
      <c r="DF56" s="36" t="n"/>
      <c r="DG56" s="36" t="n"/>
      <c r="DH56" s="36" t="n"/>
      <c r="DI56" s="36" t="n"/>
      <c r="DJ56" s="41" t="n"/>
      <c r="DK56" s="12" t="n"/>
      <c r="DL56" s="12" t="n"/>
      <c r="DM56" s="12" t="n"/>
      <c r="DN56" s="12" t="n"/>
      <c r="DO56" s="12" t="n"/>
      <c r="DP56" s="12" t="n"/>
      <c r="DQ56" s="12" t="n"/>
      <c r="DR56" s="12" t="n"/>
      <c r="DS56" s="12" t="n"/>
      <c r="DT56" s="37" t="inlineStr">
        <is>
          <t>Rank 3</t>
        </is>
      </c>
      <c r="DU56" s="37">
        <f>COUNTIF(CC58:CC61,3)</f>
        <v/>
      </c>
      <c r="DV56" s="37" t="n"/>
      <c r="DW56" s="37" t="n"/>
      <c r="DX56" s="37" t="n"/>
      <c r="DY56" s="37" t="n"/>
      <c r="DZ56" s="37" t="n"/>
      <c r="EA56" s="37" t="n"/>
      <c r="EB56" s="37" t="n"/>
      <c r="EC56" s="37" t="n"/>
      <c r="ED56" s="37" t="n"/>
      <c r="EE56" s="13" t="n"/>
      <c r="EF56" s="13" t="n"/>
      <c r="EG56" s="13" t="n"/>
      <c r="EH56" s="13" t="n"/>
      <c r="EI56" s="13" t="n"/>
      <c r="EJ56" s="13" t="n"/>
      <c r="EK56" s="13" t="n"/>
      <c r="EL56" s="13" t="n"/>
      <c r="EM56" s="12" t="n"/>
      <c r="EN56" s="38" t="inlineStr">
        <is>
          <t>Rank 4</t>
        </is>
      </c>
      <c r="EO56" s="38">
        <f>COUNTIF(CC58:CC61,4)</f>
        <v/>
      </c>
      <c r="EP56" s="38" t="n"/>
      <c r="EQ56" s="38" t="n"/>
      <c r="ER56" s="38" t="n"/>
      <c r="ES56" s="38" t="n"/>
      <c r="ET56" s="38" t="n"/>
      <c r="EU56" s="38" t="n"/>
      <c r="EV56" s="38" t="n"/>
      <c r="EW56" s="38" t="n"/>
      <c r="EX56" s="38" t="n"/>
      <c r="EY56" s="13" t="n"/>
      <c r="EZ56" s="13" t="n"/>
      <c r="FA56" s="13" t="n"/>
      <c r="FB56" s="13" t="n"/>
      <c r="FC56" s="13" t="n"/>
      <c r="FD56" s="13" t="n"/>
      <c r="FE56" s="13" t="n"/>
      <c r="FF56" s="13" t="n"/>
      <c r="FG56" s="12" t="n"/>
      <c r="FH56" s="13" t="n"/>
      <c r="FI56" s="13" t="n"/>
      <c r="FJ56" s="12" t="n"/>
      <c r="FZ56" s="79" t="n">
        <v>54</v>
      </c>
      <c r="GA56" s="3">
        <f>GB56&amp;GC56&amp;GD56&amp;GE56&amp;GF56&amp;GG56&amp;GH56&amp;GI56</f>
        <v/>
      </c>
      <c r="GB56" s="3" t="inlineStr">
        <is>
          <t>E</t>
        </is>
      </c>
      <c r="GC56" s="3" t="inlineStr">
        <is>
          <t>J</t>
        </is>
      </c>
      <c r="GD56" s="3" t="inlineStr">
        <is>
          <t>B</t>
        </is>
      </c>
      <c r="GE56" s="3" t="inlineStr">
        <is>
          <t>F</t>
        </is>
      </c>
      <c r="GF56" s="3" t="inlineStr">
        <is>
          <t>H</t>
        </is>
      </c>
      <c r="GG56" s="3" t="inlineStr">
        <is>
          <t>G</t>
        </is>
      </c>
      <c r="GH56" s="3" t="inlineStr">
        <is>
          <t>I</t>
        </is>
      </c>
      <c r="GI56" s="3" t="inlineStr">
        <is>
          <t>K</t>
        </is>
      </c>
      <c r="GJ56" s="9">
        <f>VLOOKUP(GB56,$FM$3:$FN$15,2,FALSE)</f>
        <v/>
      </c>
      <c r="GK56" s="9">
        <f>VLOOKUP(GC56,$FM$3:$FN$15,2,FALSE)</f>
        <v/>
      </c>
      <c r="GL56" s="9">
        <f>VLOOKUP(GD56,$FM$3:$FN$15,2,FALSE)</f>
        <v/>
      </c>
      <c r="GM56" s="9">
        <f>VLOOKUP(GE56,$FM$3:$FN$15,2,FALSE)</f>
        <v/>
      </c>
      <c r="GN56" s="9">
        <f>VLOOKUP(GF56,$FM$3:$FN$15,2,FALSE)</f>
        <v/>
      </c>
      <c r="GO56" s="9">
        <f>VLOOKUP(GG56,$FM$3:$FN$15,2,FALSE)</f>
        <v/>
      </c>
      <c r="GP56" s="9">
        <f>VLOOKUP(GH56,$FM$3:$FN$15,2,FALSE)</f>
        <v/>
      </c>
      <c r="GQ56" s="9">
        <f>VLOOKUP(GI56,$FM$3:$FN$15,2,FALSE)</f>
        <v/>
      </c>
      <c r="GR56" s="9">
        <f>IFERROR(IF(AND(VLOOKUP(GB56,$FX$4:$FX$15,1,FALSE)=GB56,VLOOKUP(GC56,$FX$4:$FX$15,1,FALSE)=GC56,VLOOKUP(GD56,$FX$4:$FX$15,1,FALSE)=GD56,VLOOKUP(GE56,$FX$4:$FX$15,1,FALSE)=GE56,VLOOKUP(GF56,$FX$4:$FX$15,1,FALSE)=GF56,VLOOKUP(GG56,$FX$4:$FX$15,1,FALSE)=GG56,VLOOKUP(GH56,$FX$4:$FX$15,1,FALSE)=GH56,VLOOKUP(GI56,$FX$4:$FX$15,1,FALSE)=GI56),FZ56,""),"")</f>
        <v/>
      </c>
      <c r="GX56" s="23" t="n"/>
    </row>
    <row r="57" ht="14.25" customFormat="1" customHeight="1" s="104">
      <c r="B57" s="117" t="inlineStr">
        <is>
          <t>Match</t>
        </is>
      </c>
      <c r="C57" s="107" t="inlineStr">
        <is>
          <t>Datum</t>
        </is>
      </c>
      <c r="D57" s="210" t="inlineStr">
        <is>
          <t>Match</t>
        </is>
      </c>
      <c r="E57" s="211" t="n"/>
      <c r="F57" s="212" t="n"/>
      <c r="G57" s="184" t="inlineStr">
        <is>
          <t>Resultat</t>
        </is>
      </c>
      <c r="H57" s="217" t="n"/>
      <c r="I57" s="217" t="n"/>
      <c r="J57" s="47" t="inlineStr">
        <is>
          <t>1X2</t>
        </is>
      </c>
      <c r="K57" s="48" t="inlineStr">
        <is>
          <t>Poäng</t>
        </is>
      </c>
      <c r="L57" s="49" t="n"/>
      <c r="M57" s="103" t="n"/>
      <c r="N57" s="103" t="n"/>
      <c r="O57" s="51" t="inlineStr">
        <is>
          <t>Lag</t>
        </is>
      </c>
      <c r="P57" s="186" t="inlineStr">
        <is>
          <t>V</t>
        </is>
      </c>
      <c r="Q57" s="186" t="inlineStr">
        <is>
          <t>O</t>
        </is>
      </c>
      <c r="R57" s="186" t="inlineStr">
        <is>
          <t>F</t>
        </is>
      </c>
      <c r="S57" s="186" t="inlineStr">
        <is>
          <t>GM</t>
        </is>
      </c>
      <c r="T57" s="186" t="inlineStr">
        <is>
          <t>IM</t>
        </is>
      </c>
      <c r="U57" s="186" t="inlineStr">
        <is>
          <t>+/-</t>
        </is>
      </c>
      <c r="V57" s="187" t="inlineStr">
        <is>
          <t>P</t>
        </is>
      </c>
      <c r="X57" s="19" t="n"/>
      <c r="Y57" s="33" t="n"/>
      <c r="Z57" s="33" t="n"/>
      <c r="AA57" s="33" t="n"/>
      <c r="AB57" s="132" t="n"/>
      <c r="AC57" s="133" t="n"/>
      <c r="AE57" s="107" t="inlineStr">
        <is>
          <t>Datum</t>
        </is>
      </c>
      <c r="AF57" s="210" t="inlineStr">
        <is>
          <t>Match</t>
        </is>
      </c>
      <c r="AG57" s="211" t="n"/>
      <c r="AH57" s="212" t="n"/>
      <c r="AI57" s="182" t="inlineStr">
        <is>
          <t>Resultat</t>
        </is>
      </c>
      <c r="AJ57" s="211" t="n"/>
      <c r="AK57" s="211" t="n"/>
      <c r="AL57" s="47" t="inlineStr">
        <is>
          <t>Tecken</t>
        </is>
      </c>
      <c r="AM57" s="16" t="n"/>
      <c r="AN57" s="34" t="inlineStr">
        <is>
          <t>V1</t>
        </is>
      </c>
      <c r="AO57" s="34" t="inlineStr">
        <is>
          <t>V2</t>
        </is>
      </c>
      <c r="AP57" s="34" t="inlineStr">
        <is>
          <t>O1</t>
        </is>
      </c>
      <c r="AQ57" s="34" t="inlineStr">
        <is>
          <t>O2</t>
        </is>
      </c>
      <c r="AR57" s="34" t="inlineStr">
        <is>
          <t>F1</t>
        </is>
      </c>
      <c r="AS57" s="34" t="inlineStr">
        <is>
          <t>F2</t>
        </is>
      </c>
      <c r="AT57" s="35" t="inlineStr">
        <is>
          <t>V1</t>
        </is>
      </c>
      <c r="AU57" s="35" t="inlineStr">
        <is>
          <t>V2</t>
        </is>
      </c>
      <c r="AV57" s="35" t="inlineStr">
        <is>
          <t>O1</t>
        </is>
      </c>
      <c r="AW57" s="35" t="inlineStr">
        <is>
          <t>O2</t>
        </is>
      </c>
      <c r="AX57" s="35" t="inlineStr">
        <is>
          <t>F1</t>
        </is>
      </c>
      <c r="AY57" s="35" t="inlineStr">
        <is>
          <t>F2</t>
        </is>
      </c>
      <c r="AZ57" s="36" t="inlineStr">
        <is>
          <t>V1</t>
        </is>
      </c>
      <c r="BA57" s="36" t="inlineStr">
        <is>
          <t>V2</t>
        </is>
      </c>
      <c r="BB57" s="36" t="inlineStr">
        <is>
          <t>O1</t>
        </is>
      </c>
      <c r="BC57" s="36" t="inlineStr">
        <is>
          <t>O2</t>
        </is>
      </c>
      <c r="BD57" s="36" t="inlineStr">
        <is>
          <t>F1</t>
        </is>
      </c>
      <c r="BE57" s="36" t="inlineStr">
        <is>
          <t>F2</t>
        </is>
      </c>
      <c r="BF57" s="37" t="inlineStr">
        <is>
          <t>V1</t>
        </is>
      </c>
      <c r="BG57" s="37" t="inlineStr">
        <is>
          <t>V2</t>
        </is>
      </c>
      <c r="BH57" s="37" t="inlineStr">
        <is>
          <t>O1</t>
        </is>
      </c>
      <c r="BI57" s="37" t="inlineStr">
        <is>
          <t>O2</t>
        </is>
      </c>
      <c r="BJ57" s="37" t="inlineStr">
        <is>
          <t>F1</t>
        </is>
      </c>
      <c r="BK57" s="37" t="inlineStr">
        <is>
          <t>F2</t>
        </is>
      </c>
      <c r="BL57" s="38" t="inlineStr">
        <is>
          <t>V1</t>
        </is>
      </c>
      <c r="BM57" s="38" t="inlineStr">
        <is>
          <t>V2</t>
        </is>
      </c>
      <c r="BN57" s="38" t="inlineStr">
        <is>
          <t>O1</t>
        </is>
      </c>
      <c r="BO57" s="38" t="inlineStr">
        <is>
          <t>O2</t>
        </is>
      </c>
      <c r="BP57" s="38" t="inlineStr">
        <is>
          <t>F1</t>
        </is>
      </c>
      <c r="BQ57" s="38" t="inlineStr">
        <is>
          <t>F2</t>
        </is>
      </c>
      <c r="BR57" s="12" t="n"/>
      <c r="BS57" s="12" t="n"/>
      <c r="BT57" s="39" t="inlineStr">
        <is>
          <t>Lag</t>
        </is>
      </c>
      <c r="BU57" s="34" t="inlineStr">
        <is>
          <t>V</t>
        </is>
      </c>
      <c r="BV57" s="34" t="inlineStr">
        <is>
          <t>O</t>
        </is>
      </c>
      <c r="BW57" s="34" t="inlineStr">
        <is>
          <t>F</t>
        </is>
      </c>
      <c r="BX57" s="34" t="inlineStr">
        <is>
          <t>GM</t>
        </is>
      </c>
      <c r="BY57" s="34" t="inlineStr">
        <is>
          <t>IM</t>
        </is>
      </c>
      <c r="BZ57" s="34" t="inlineStr">
        <is>
          <t>+/-</t>
        </is>
      </c>
      <c r="CA57" s="34" t="inlineStr">
        <is>
          <t>P</t>
        </is>
      </c>
      <c r="CB57" s="39" t="inlineStr">
        <is>
          <t>Grupp</t>
        </is>
      </c>
      <c r="CC57" s="34" t="inlineStr">
        <is>
          <t>Rank P</t>
        </is>
      </c>
      <c r="CD57" s="34" t="inlineStr">
        <is>
          <t>Rank +/-</t>
        </is>
      </c>
      <c r="CE57" s="12" t="n"/>
      <c r="CF57" s="40" t="inlineStr">
        <is>
          <t>Lag</t>
        </is>
      </c>
      <c r="CG57" s="35" t="inlineStr">
        <is>
          <t>V</t>
        </is>
      </c>
      <c r="CH57" s="35" t="inlineStr">
        <is>
          <t>O</t>
        </is>
      </c>
      <c r="CI57" s="35" t="inlineStr">
        <is>
          <t>F</t>
        </is>
      </c>
      <c r="CJ57" s="35" t="inlineStr">
        <is>
          <t>P</t>
        </is>
      </c>
      <c r="CK57" s="35" t="inlineStr">
        <is>
          <t>Grupp</t>
        </is>
      </c>
      <c r="CL57" s="35" t="inlineStr">
        <is>
          <t>Rank P</t>
        </is>
      </c>
      <c r="CM57" s="56" t="inlineStr">
        <is>
          <t>+/-</t>
        </is>
      </c>
      <c r="CN57" s="56" t="inlineStr">
        <is>
          <t>+/- rank</t>
        </is>
      </c>
      <c r="CO57" s="56" t="inlineStr">
        <is>
          <t>GM</t>
        </is>
      </c>
      <c r="CP57" s="56" t="inlineStr">
        <is>
          <t>GM rank</t>
        </is>
      </c>
      <c r="CQ57" s="35" t="inlineStr">
        <is>
          <t>Rank internal</t>
        </is>
      </c>
      <c r="CR57" s="56" t="inlineStr">
        <is>
          <t>+/- all</t>
        </is>
      </c>
      <c r="CS57" s="56" t="inlineStr">
        <is>
          <t>+/- rank all</t>
        </is>
      </c>
      <c r="CT57" s="56" t="inlineStr">
        <is>
          <t>GM all</t>
        </is>
      </c>
      <c r="CU57" s="56" t="inlineStr">
        <is>
          <t>GM rank all</t>
        </is>
      </c>
      <c r="CV57" s="56" t="inlineStr">
        <is>
          <t>V all</t>
        </is>
      </c>
      <c r="CW57" s="56" t="inlineStr">
        <is>
          <t>V rank all</t>
        </is>
      </c>
      <c r="CX57" s="35" t="inlineStr">
        <is>
          <t>Rank all</t>
        </is>
      </c>
      <c r="CY57" s="12" t="n"/>
      <c r="CZ57" s="41" t="inlineStr">
        <is>
          <t>Lag</t>
        </is>
      </c>
      <c r="DA57" s="36" t="inlineStr">
        <is>
          <t>V</t>
        </is>
      </c>
      <c r="DB57" s="36" t="inlineStr">
        <is>
          <t>O</t>
        </is>
      </c>
      <c r="DC57" s="36" t="inlineStr">
        <is>
          <t>F</t>
        </is>
      </c>
      <c r="DD57" s="36" t="inlineStr">
        <is>
          <t>P</t>
        </is>
      </c>
      <c r="DE57" s="36" t="inlineStr">
        <is>
          <t>Grupp</t>
        </is>
      </c>
      <c r="DF57" s="36" t="inlineStr">
        <is>
          <t>Rank P</t>
        </is>
      </c>
      <c r="DG57" s="36" t="inlineStr">
        <is>
          <t>+/-</t>
        </is>
      </c>
      <c r="DH57" s="36" t="inlineStr">
        <is>
          <t>+/- rank</t>
        </is>
      </c>
      <c r="DI57" s="36" t="inlineStr">
        <is>
          <t>GM</t>
        </is>
      </c>
      <c r="DJ57" s="41" t="inlineStr">
        <is>
          <t>GM rank</t>
        </is>
      </c>
      <c r="DK57" s="41" t="inlineStr">
        <is>
          <t>Rank internal</t>
        </is>
      </c>
      <c r="DL57" s="41" t="inlineStr">
        <is>
          <t>+/- all</t>
        </is>
      </c>
      <c r="DM57" s="41" t="inlineStr">
        <is>
          <t>+/- rank all</t>
        </is>
      </c>
      <c r="DN57" s="41" t="inlineStr">
        <is>
          <t>GM all</t>
        </is>
      </c>
      <c r="DO57" s="41" t="inlineStr">
        <is>
          <t>GM rank all</t>
        </is>
      </c>
      <c r="DP57" s="41" t="inlineStr">
        <is>
          <t>V all</t>
        </is>
      </c>
      <c r="DQ57" s="41" t="inlineStr">
        <is>
          <t>V rank all</t>
        </is>
      </c>
      <c r="DR57" s="41" t="inlineStr">
        <is>
          <t>Rank all</t>
        </is>
      </c>
      <c r="DS57" s="12" t="n"/>
      <c r="DT57" s="37" t="inlineStr">
        <is>
          <t>Lag</t>
        </is>
      </c>
      <c r="DU57" s="37" t="inlineStr">
        <is>
          <t>V</t>
        </is>
      </c>
      <c r="DV57" s="37" t="inlineStr">
        <is>
          <t>O</t>
        </is>
      </c>
      <c r="DW57" s="37" t="inlineStr">
        <is>
          <t>F</t>
        </is>
      </c>
      <c r="DX57" s="37" t="inlineStr">
        <is>
          <t>P</t>
        </is>
      </c>
      <c r="DY57" s="37" t="inlineStr">
        <is>
          <t>Grupp</t>
        </is>
      </c>
      <c r="DZ57" s="37" t="inlineStr">
        <is>
          <t>Rank P</t>
        </is>
      </c>
      <c r="EA57" s="37" t="inlineStr">
        <is>
          <t>+/-</t>
        </is>
      </c>
      <c r="EB57" s="37" t="inlineStr">
        <is>
          <t>+/- rank</t>
        </is>
      </c>
      <c r="EC57" s="37" t="inlineStr">
        <is>
          <t>GM</t>
        </is>
      </c>
      <c r="ED57" s="37" t="inlineStr">
        <is>
          <t>GM rank</t>
        </is>
      </c>
      <c r="EE57" s="37" t="inlineStr">
        <is>
          <t>Rank internal</t>
        </is>
      </c>
      <c r="EF57" s="37" t="inlineStr">
        <is>
          <t>+/- all</t>
        </is>
      </c>
      <c r="EG57" s="37" t="inlineStr">
        <is>
          <t>+/- rank all</t>
        </is>
      </c>
      <c r="EH57" s="37" t="inlineStr">
        <is>
          <t>GM all</t>
        </is>
      </c>
      <c r="EI57" s="37" t="inlineStr">
        <is>
          <t>GM rank all</t>
        </is>
      </c>
      <c r="EJ57" s="37" t="inlineStr">
        <is>
          <t>V all</t>
        </is>
      </c>
      <c r="EK57" s="37" t="inlineStr">
        <is>
          <t>V rank all</t>
        </is>
      </c>
      <c r="EL57" s="37" t="inlineStr">
        <is>
          <t>Rank all</t>
        </is>
      </c>
      <c r="EM57" s="12" t="n"/>
      <c r="EN57" s="38" t="inlineStr">
        <is>
          <t>Lag</t>
        </is>
      </c>
      <c r="EO57" s="38" t="inlineStr">
        <is>
          <t>V</t>
        </is>
      </c>
      <c r="EP57" s="38" t="inlineStr">
        <is>
          <t>O</t>
        </is>
      </c>
      <c r="EQ57" s="38" t="inlineStr">
        <is>
          <t>F</t>
        </is>
      </c>
      <c r="ER57" s="38" t="inlineStr">
        <is>
          <t>P</t>
        </is>
      </c>
      <c r="ES57" s="38" t="inlineStr">
        <is>
          <t>Grupp</t>
        </is>
      </c>
      <c r="ET57" s="38" t="inlineStr">
        <is>
          <t>Rank P</t>
        </is>
      </c>
      <c r="EU57" s="38" t="inlineStr">
        <is>
          <t>+/-</t>
        </is>
      </c>
      <c r="EV57" s="38" t="inlineStr">
        <is>
          <t>+/- rank</t>
        </is>
      </c>
      <c r="EW57" s="38" t="inlineStr">
        <is>
          <t>GM</t>
        </is>
      </c>
      <c r="EX57" s="38" t="inlineStr">
        <is>
          <t>GM rank</t>
        </is>
      </c>
      <c r="EY57" s="38" t="inlineStr">
        <is>
          <t>Rank internal</t>
        </is>
      </c>
      <c r="EZ57" s="38" t="inlineStr">
        <is>
          <t>+/- all</t>
        </is>
      </c>
      <c r="FA57" s="38" t="inlineStr">
        <is>
          <t>+/- rank all</t>
        </is>
      </c>
      <c r="FB57" s="38" t="inlineStr">
        <is>
          <t>GM all</t>
        </is>
      </c>
      <c r="FC57" s="38" t="inlineStr">
        <is>
          <t>GM rank all</t>
        </is>
      </c>
      <c r="FD57" s="38" t="inlineStr">
        <is>
          <t>V all</t>
        </is>
      </c>
      <c r="FE57" s="38" t="inlineStr">
        <is>
          <t>V rank all</t>
        </is>
      </c>
      <c r="FF57" s="38" t="inlineStr">
        <is>
          <t>Rank all</t>
        </is>
      </c>
      <c r="FG57" s="12" t="n"/>
      <c r="FH57" s="38" t="inlineStr">
        <is>
          <t>Rank</t>
        </is>
      </c>
      <c r="FI57" s="38" t="inlineStr">
        <is>
          <t>Rank Ties</t>
        </is>
      </c>
      <c r="FJ57" s="12" t="n"/>
      <c r="FZ57" s="79" t="n">
        <v>55</v>
      </c>
      <c r="GA57" s="3">
        <f>GB57&amp;GC57&amp;GD57&amp;GE57&amp;GF57&amp;GG57&amp;GH57&amp;GI57</f>
        <v/>
      </c>
      <c r="GB57" s="3" t="inlineStr">
        <is>
          <t>H</t>
        </is>
      </c>
      <c r="GC57" s="3" t="inlineStr">
        <is>
          <t>J</t>
        </is>
      </c>
      <c r="GD57" s="3" t="inlineStr">
        <is>
          <t>B</t>
        </is>
      </c>
      <c r="GE57" s="3" t="inlineStr">
        <is>
          <t>D</t>
        </is>
      </c>
      <c r="GF57" s="3" t="inlineStr">
        <is>
          <t>I</t>
        </is>
      </c>
      <c r="GG57" s="3" t="inlineStr">
        <is>
          <t>G</t>
        </is>
      </c>
      <c r="GH57" s="3" t="inlineStr">
        <is>
          <t>L</t>
        </is>
      </c>
      <c r="GI57" s="3" t="inlineStr">
        <is>
          <t>K</t>
        </is>
      </c>
      <c r="GJ57" s="9">
        <f>VLOOKUP(GB57,$FM$3:$FN$15,2,FALSE)</f>
        <v/>
      </c>
      <c r="GK57" s="9">
        <f>VLOOKUP(GC57,$FM$3:$FN$15,2,FALSE)</f>
        <v/>
      </c>
      <c r="GL57" s="9">
        <f>VLOOKUP(GD57,$FM$3:$FN$15,2,FALSE)</f>
        <v/>
      </c>
      <c r="GM57" s="9">
        <f>VLOOKUP(GE57,$FM$3:$FN$15,2,FALSE)</f>
        <v/>
      </c>
      <c r="GN57" s="9">
        <f>VLOOKUP(GF57,$FM$3:$FN$15,2,FALSE)</f>
        <v/>
      </c>
      <c r="GO57" s="9">
        <f>VLOOKUP(GG57,$FM$3:$FN$15,2,FALSE)</f>
        <v/>
      </c>
      <c r="GP57" s="9">
        <f>VLOOKUP(GH57,$FM$3:$FN$15,2,FALSE)</f>
        <v/>
      </c>
      <c r="GQ57" s="9">
        <f>VLOOKUP(GI57,$FM$3:$FN$15,2,FALSE)</f>
        <v/>
      </c>
      <c r="GR57" s="9">
        <f>IFERROR(IF(AND(VLOOKUP(GB57,$FX$4:$FX$15,1,FALSE)=GB57,VLOOKUP(GC57,$FX$4:$FX$15,1,FALSE)=GC57,VLOOKUP(GD57,$FX$4:$FX$15,1,FALSE)=GD57,VLOOKUP(GE57,$FX$4:$FX$15,1,FALSE)=GE57,VLOOKUP(GF57,$FX$4:$FX$15,1,FALSE)=GF57,VLOOKUP(GG57,$FX$4:$FX$15,1,FALSE)=GG57,VLOOKUP(GH57,$FX$4:$FX$15,1,FALSE)=GH57,VLOOKUP(GI57,$FX$4:$FX$15,1,FALSE)=GI57),FZ57,""),"")</f>
        <v/>
      </c>
      <c r="GX57" s="23" t="n"/>
    </row>
    <row r="58" ht="14.25" customHeight="1">
      <c r="B58" s="58" t="n">
        <v>16</v>
      </c>
      <c r="C58" s="59" t="n">
        <v>46188</v>
      </c>
      <c r="D58" s="60" t="inlineStr">
        <is>
          <t>Belgien</t>
        </is>
      </c>
      <c r="E58" s="61" t="inlineStr">
        <is>
          <t>-</t>
        </is>
      </c>
      <c r="F58" s="62" t="inlineStr">
        <is>
          <t>Egypten</t>
        </is>
      </c>
      <c r="G58" s="63" t="n">
        <v>2</v>
      </c>
      <c r="H58" s="64" t="inlineStr">
        <is>
          <t>-</t>
        </is>
      </c>
      <c r="I58" s="63" t="n">
        <v>1</v>
      </c>
      <c r="J58" s="65">
        <f>IF(OR(ISBLANK(G58),ISBLANK(I58)),"",IF(G58&gt;I58,1,IF(G58&lt;I58,2,"X")))</f>
        <v/>
      </c>
      <c r="K58" s="66">
        <f>IF(OR(G58="",I58="",'[1]Resultat &amp; tabell'!G58="",'[1]Resultat &amp; tabell'!I58=""),0,IF(G58='[1]Resultat &amp; tabell'!G58,2,0)+IF(I58='[1]Resultat &amp; tabell'!I58,2,0)+IF(J58='[1]Resultat &amp; tabell'!J58,2,0))</f>
        <v/>
      </c>
      <c r="L58" s="67" t="n"/>
      <c r="M58" s="29">
        <f>IF(VLOOKUP(D58,$BT$57:$CC$61,10,FALSE)=VLOOKUP(F58,$BT$57:$CC$61,10,FALSE),VLOOKUP(D58,$BT$57:$CC$61,10,FALSE),"-")</f>
        <v/>
      </c>
      <c r="N58" s="30" t="n">
        <v>1</v>
      </c>
      <c r="O58" s="68">
        <f>VLOOKUP(N58,FI58:FJ61,2,FALSE)</f>
        <v/>
      </c>
      <c r="P58" s="69">
        <f>VLOOKUP($O58,$BT$58:$CA$61,2,FALSE)</f>
        <v/>
      </c>
      <c r="Q58" s="69">
        <f>VLOOKUP($O58,$BT$58:$CA$61,3,FALSE)</f>
        <v/>
      </c>
      <c r="R58" s="69">
        <f>VLOOKUP($O58,$BT$58:$CA$61,4,FALSE)</f>
        <v/>
      </c>
      <c r="S58" s="69">
        <f>VLOOKUP($O58,$BT$58:$CA$61,5,FALSE)</f>
        <v/>
      </c>
      <c r="T58" s="69">
        <f>VLOOKUP($O58,$BT$58:$CA$61,6,FALSE)</f>
        <v/>
      </c>
      <c r="U58" s="69">
        <f>VLOOKUP($O58,$BT$58:$CA$61,7,FALSE)</f>
        <v/>
      </c>
      <c r="V58" s="70">
        <f>VLOOKUP($O58,$BT$58:$CA$61,8,FALSE)</f>
        <v/>
      </c>
      <c r="X58" s="1" t="n"/>
      <c r="AE58" s="72">
        <f>C58</f>
        <v/>
      </c>
      <c r="AF58" s="72">
        <f>D58</f>
        <v/>
      </c>
      <c r="AG58" s="72">
        <f>E58</f>
        <v/>
      </c>
      <c r="AH58" s="72">
        <f>F58</f>
        <v/>
      </c>
      <c r="AI58" s="63">
        <f>IF(G58="","",G58)</f>
        <v/>
      </c>
      <c r="AJ58" s="58">
        <f>H58</f>
        <v/>
      </c>
      <c r="AK58" s="63">
        <f>IF(I58="","",I58)</f>
        <v/>
      </c>
      <c r="AL58" s="65">
        <f>J58</f>
        <v/>
      </c>
      <c r="AM58" s="73" t="n"/>
      <c r="AN58" s="13">
        <f>IF(AI58&gt;AK58,1,0)</f>
        <v/>
      </c>
      <c r="AO58" s="13">
        <f>IF(AK58&gt;AI58,1,0)</f>
        <v/>
      </c>
      <c r="AP58" s="13">
        <f>IF(AND(AI58=AK58,AI58&lt;&gt;""),1,0)</f>
        <v/>
      </c>
      <c r="AQ58" s="13">
        <f>IF(AND(AI58=AK58,AI58&lt;&gt;""),1,0)</f>
        <v/>
      </c>
      <c r="AR58" s="13">
        <f>IF(AI58&lt;AK58,1,0)</f>
        <v/>
      </c>
      <c r="AS58" s="13">
        <f>IF(AK58&lt;AI58,1,)</f>
        <v/>
      </c>
      <c r="AT58" s="13">
        <f>IF(ISERROR(VLOOKUP(AF58,CF:CF,1,FALSE)),0,1)*IF(ISERROR(VLOOKUP(AH58,CF:CF,1,FALSE)),0,1)*AN58</f>
        <v/>
      </c>
      <c r="AU58" s="13">
        <f>IF(ISERROR(VLOOKUP(AF58,CF:CF,1,FALSE)),0,1)*IF(ISERROR(VLOOKUP(AH58,CF:CF,1,FALSE)),0,1)*AO58</f>
        <v/>
      </c>
      <c r="AV58" s="13">
        <f>IF(ISERROR(VLOOKUP(AF58,CF:CF,1,FALSE)),0,1)*IF(ISERROR(VLOOKUP(AH58,CF:CF,1,FALSE)),0,1)*AP58</f>
        <v/>
      </c>
      <c r="AW58" s="13">
        <f>IF(ISERROR(VLOOKUP(AF58,CF:CF,1,FALSE)),0,1)*IF(ISERROR(VLOOKUP(AH58,CF:CF,1,FALSE)),0,1)*AQ58</f>
        <v/>
      </c>
      <c r="AX58" s="13">
        <f>IF(ISERROR(VLOOKUP(AF58,CF:CF,1,FALSE)),0,1)*IF(ISERROR(VLOOKUP(AH58,CF:CF,1,FALSE)),0,1)*AR58</f>
        <v/>
      </c>
      <c r="AY58" s="13">
        <f>IF(ISERROR(VLOOKUP(AF58,CF:CF,1,FALSE)),0,1)*IF(ISERROR(VLOOKUP(AH58,CF:CF,1,FALSE)),0,1)*AS58</f>
        <v/>
      </c>
      <c r="AZ58" s="13">
        <f>IF(ISERROR(VLOOKUP(AF58,CZ:CZ,1,FALSE)),0,1)*IF(ISERROR(VLOOKUP(AH58,CZ:CZ,1,FALSE)),0,1)*AN58</f>
        <v/>
      </c>
      <c r="BA58" s="13">
        <f>IF(ISERROR(VLOOKUP(AF58,CZ:CZ,1,FALSE)),0,1)*IF(ISERROR(VLOOKUP(AH58,CZ:CZ,1,FALSE)),0,1)*AO58</f>
        <v/>
      </c>
      <c r="BB58" s="13">
        <f>IF(ISERROR(VLOOKUP(AF58,CZ:CZ,1,FALSE)),0,1)*IF(ISERROR(VLOOKUP(AH58,CZ:CZ,1,FALSE)),0,1)*AP58</f>
        <v/>
      </c>
      <c r="BC58" s="13">
        <f>IF(ISERROR(VLOOKUP(AF58,CZ:CZ,1,FALSE)),0,1)*IF(ISERROR(VLOOKUP(AH58,CZ:CZ,1,FALSE)),0,1)*AQ58</f>
        <v/>
      </c>
      <c r="BD58" s="13">
        <f>IF(ISERROR(VLOOKUP(AF58,CZ:CZ,1,FALSE)),0,1)*IF(ISERROR(VLOOKUP(AH58,CZ:CZ,1,FALSE)),0,1)*AR58</f>
        <v/>
      </c>
      <c r="BE58" s="13">
        <f>IF(ISERROR(VLOOKUP(AF58,CZ:CZ,1,FALSE)),0,1)*IF(ISERROR(VLOOKUP(AH58,CZ:CZ,1,FALSE)),0,1)*AS58</f>
        <v/>
      </c>
      <c r="BF58" s="13">
        <f>IF(ISERROR(VLOOKUP(AF58,DT:DT,1,FALSE)),0,1)*IF(ISERROR(VLOOKUP(AH58,DT:DT,1,FALSE)),0,1)*AN58</f>
        <v/>
      </c>
      <c r="BG58" s="13">
        <f>IF(ISERROR(VLOOKUP(AF58,DT:DT,1,FALSE)),0,1)*IF(ISERROR(VLOOKUP(AH58,DT:DT,1,FALSE)),0,1)*AO58</f>
        <v/>
      </c>
      <c r="BH58" s="13">
        <f>IF(ISERROR(VLOOKUP(AF58,DT:DT,1,FALSE)),0,1)*IF(ISERROR(VLOOKUP(AH58,DT:DT,1,FALSE)),0,1)*AP58</f>
        <v/>
      </c>
      <c r="BI58" s="13">
        <f>IF(ISERROR(VLOOKUP(AF58,DT:DT,1,FALSE)),0,1)*IF(ISERROR(VLOOKUP(AH58,DT:DT,1,FALSE)),0,1)*AQ58</f>
        <v/>
      </c>
      <c r="BJ58" s="13">
        <f>IF(ISERROR(VLOOKUP(AF58,DT:DT,1,FALSE)),0,1)*IF(ISERROR(VLOOKUP(AH58,DT:DT,1,FALSE)),0,1)*AR58</f>
        <v/>
      </c>
      <c r="BK58" s="13">
        <f>IF(ISERROR(VLOOKUP(AF58,DT:DT,1,FALSE)),0,1)*IF(ISERROR(VLOOKUP(AH58,DT:DT,1,FALSE)),0,1)*AS58</f>
        <v/>
      </c>
      <c r="BL58" s="13">
        <f>IF(ISERROR(VLOOKUP(AF58,EN:EN,1,FALSE)),0,1)*IF(ISERROR(VLOOKUP(AH58,EN:EN,1,FALSE)),0,1)*AN58</f>
        <v/>
      </c>
      <c r="BM58" s="13">
        <f>IF(ISERROR(VLOOKUP(AF58,EN:EN,1,FALSE)),0,1)*IF(ISERROR(VLOOKUP(AH58,EN:EN,1,FALSE)),0,1)*AO58</f>
        <v/>
      </c>
      <c r="BN58" s="13">
        <f>IF(ISERROR(VLOOKUP(AF58,EN:EN,1,FALSE)),0,1)*IF(ISERROR(VLOOKUP(AH58,EN:EN,1,FALSE)),0,1)*AP58</f>
        <v/>
      </c>
      <c r="BO58" s="13">
        <f>IF(ISERROR(VLOOKUP(AF58,EN:EN,1,FALSE)),0,1)*IF(ISERROR(VLOOKUP(AH58,EN:EN,1,FALSE)),0,1)*AQ58</f>
        <v/>
      </c>
      <c r="BP58" s="13">
        <f>IF(ISERROR(VLOOKUP(AF58,EN:EN,1,FALSE)),0,1)*IF(ISERROR(VLOOKUP(AH58,EN:EN,1,FALSE)),0,1)*AR58</f>
        <v/>
      </c>
      <c r="BQ58" s="13">
        <f>IF(ISERROR(VLOOKUP(AF58,EN:EN,1,FALSE)),0,1)*IF(ISERROR(VLOOKUP(AH58,EN:EN,1,FALSE)),0,1)*AS58</f>
        <v/>
      </c>
      <c r="BT58" s="12" t="inlineStr">
        <is>
          <t>Belgien</t>
        </is>
      </c>
      <c r="BU58" s="13">
        <f>(SUMIF(AF$4:AF$108,BT58,AN$4:AN$108)+SUMIF(AH$4:AH$108,BT58,AO$4:AO$108))</f>
        <v/>
      </c>
      <c r="BV58" s="13">
        <f>(SUMIF(AF$4:AF$108,BT58,AP$4:AP$108)+SUMIF(AH$4:AH$108,BT58,AQ$4:AQ$108))</f>
        <v/>
      </c>
      <c r="BW58" s="13">
        <f>(SUMIF(AF$4:AF$108,BT58,AR$4:AR$108)+SUMIF(AH$4:AH$108,BT58,AS$4:AS$108))</f>
        <v/>
      </c>
      <c r="BX58" s="13">
        <f>SUMIF($AF$4:$AF$108,BT58,$AI$4:$AI$108)+SUMIF($AH$4:$AH$108,BT58,$AK$4:$AK$108)</f>
        <v/>
      </c>
      <c r="BY58" s="13">
        <f>SUMIF($AF$4:$AF$108,BT58,$AK$4:$AK$108)+SUMIF($AH$4:$AH$108,BT58,$AI$4:$AI$108)</f>
        <v/>
      </c>
      <c r="BZ58" s="13">
        <f>BX58-BY58</f>
        <v/>
      </c>
      <c r="CA58" s="13">
        <f>IFERROR(BU58*3+BV58*1,0)</f>
        <v/>
      </c>
      <c r="CB58" s="13" t="inlineStr">
        <is>
          <t>G</t>
        </is>
      </c>
      <c r="CC58" s="74">
        <f>RANK(CA58,CA58:CA61)</f>
        <v/>
      </c>
      <c r="CD58" s="13">
        <f>SUMPRODUCT((CA58:CA61=CA58)*(BZ58:BZ61&gt;BZ58))</f>
        <v/>
      </c>
      <c r="CF58" s="12">
        <f>IF(CC58=1,BT58,)</f>
        <v/>
      </c>
      <c r="CG58" s="13">
        <f>(SUMIF($AF$4:$AF$108,$BT58,$AT$4:$AT$108)+SUMIF($AH$4:$AH$108,$BT58,$AU$4:$AU$108))</f>
        <v/>
      </c>
      <c r="CH58" s="13">
        <f>(SUMIF($AF$4:$AF$108,$BT58,$AV$4:$AV$108)+SUMIF($AH$4:$AH$108,$BT58,$AW$4:$AW$108))</f>
        <v/>
      </c>
      <c r="CI58" s="13">
        <f>(SUMIF($AF$4:$AF$108,$BT58,$AX$4:$AX$108)+SUMIF($AH$4:$AH$108,$BT58,$AY$4:$AY$108))</f>
        <v/>
      </c>
      <c r="CJ58" s="13">
        <f>IFERROR(CG58*3+CH58*1,0)</f>
        <v/>
      </c>
      <c r="CK58" s="13">
        <f>CB58</f>
        <v/>
      </c>
      <c r="CL58" s="13">
        <f>IF(CF58&gt;0,RANK(CJ58,CJ58:CJ61),)</f>
        <v/>
      </c>
      <c r="CM58" s="13">
        <f>IF(AND(CF58&gt;0,COUNTIF(CL58:CL61,CL58)&gt;1),SUMIFS($AI$4:$AI$108,$AF$4:$AF$108,$BT58,$M$4:$M$108,1)+SUMIFS($AK$4:$AK$108,$AH$4:$AH$108,$BT58,$M$4:$M$108,1)-SUMIFS($AK$4:$AK$108,$AF$4:$AF$108,$BT58,$M$4:$M$108,1)-SUMIFS($AI$4:$AI$108,$AH$4:$AH$108,$BT58,$M$4:$M$108,1),)</f>
        <v/>
      </c>
      <c r="CN58" s="13">
        <f>IF(AND(CF58&gt;0,COUNTIF(CL58:CL61,CL58)&gt;1),CL58+RANK(CM58,CM58:CM61)-1,CL58)</f>
        <v/>
      </c>
      <c r="CO58" s="13">
        <f>IF(AND(CF58&gt;0,COUNTIF(CN58:CN61,CN58)&gt;1),SUMIFS($AI$4:$AI$108,$AF$4:$AF$108,$BT58,$M$4:$M$108,1)+SUMIFS($AK$4:$AK$108,$AH$4:$AH$108,$BT58,$M$4:$M$108,1),)</f>
        <v/>
      </c>
      <c r="CP58" s="13">
        <f>IF(AND(CF58&gt;0,COUNTIF(CN58:CN61,CN58)&gt;1),CN58+RANK(CO58,CO58:CO61)-1,CN58)</f>
        <v/>
      </c>
      <c r="CQ58" s="13">
        <f>IF(CP58=0,"",CP58)</f>
        <v/>
      </c>
      <c r="CR58" s="13">
        <f>IF(OR(CQ58="",COUNTIF(CQ58:CQ61,CQ58)=1),"",$BZ58)</f>
        <v/>
      </c>
      <c r="CS58" s="13">
        <f>IF(CQ58="","",IF(COUNTIF(CQ58:CQ61,CQ58)=1,CQ58,CQ58+RANK(CR58,CR58:CR61,0)-1))</f>
        <v/>
      </c>
      <c r="CT58" s="13">
        <f>IF(OR(CS58="",COUNTIF(CS58:CS61,CS58)=1),"",$BX58)</f>
        <v/>
      </c>
      <c r="CU58" s="13">
        <f>IF(CQ58="","",IF(COUNTIF(CS58:CS61,CS58)=1,CS58,CS58+RANK(CT58,CT58:CT61,0)-1))</f>
        <v/>
      </c>
      <c r="CV58" s="13">
        <f>IF(OR(CU58="",COUNTIF(CU58:CU61,CU58)=1),"",$BU58)</f>
        <v/>
      </c>
      <c r="CW58" s="13">
        <f>IF(CQ58="","",IF(COUNTIF(CU58:CU61,CU58)=1,CU58,CU58+RANK(CV58,CV58:CV61,0)-1))</f>
        <v/>
      </c>
      <c r="CX58" s="13">
        <f>IF(CF58&gt;0,BM56+RANK(CW58,CW58:CW61,1),)</f>
        <v/>
      </c>
      <c r="CZ58" s="12">
        <f>IF(CC58=2,BT58,)</f>
        <v/>
      </c>
      <c r="DA58" s="13">
        <f>(SUMIF($AF$4:$AF$108,$BT58,$AZ$4:$AZ$108)+SUMIF($AH$4:$AH$108,$BT58,$BA$4:$BA$108))</f>
        <v/>
      </c>
      <c r="DB58" s="13">
        <f>(SUMIF($AF$4:$AF$108,$BT58,$BB$4:$BB$108)+SUMIF($AH$4:$AH$108,$BT58,$BC$4:$BC$108))</f>
        <v/>
      </c>
      <c r="DC58" s="13">
        <f>(SUMIF($AF$4:$AF$108,$BT58,$BD$4:$BD$108)+SUMIF($AH$4:$AH$108,$BT58,$BE$4:$BE$108))</f>
        <v/>
      </c>
      <c r="DD58" s="13">
        <f>IFERROR(DA58*3+DB58*1,0)</f>
        <v/>
      </c>
      <c r="DE58" s="13">
        <f>$CB58</f>
        <v/>
      </c>
      <c r="DF58" s="13">
        <f>IF(CZ58&gt;0,RANK(DD58,DD58:DD61)+CG56,)</f>
        <v/>
      </c>
      <c r="DG58" s="13">
        <f>IF(AND(CZ58&gt;0,COUNTIF(DF58:DF61,DF58)&gt;1),SUMIFS($AI$4:$AI$108,$AF$4:$AF$108,$BT58,$M$4:$M$108,2)+SUMIFS($AK$4:$AK$108,$AH$4:$AH108,$BT58,$M$4:$M$108,2)-SUMIFS($AK$4:$AK$108,$AF$4:$AF$108,$BT58,$M$4:$M$108,2)-SUMIFS($AI$4:$AI$108,$AH$4:$AH$108,$BT58,$M$4:$M$108,2),)</f>
        <v/>
      </c>
      <c r="DH58" s="13">
        <f>IF(AND(CZ58&gt;0,COUNTIF(DF58:DF61,DF58)&gt;1),DF58+RANK(DG58,DG58:DG61)-1,DF58)</f>
        <v/>
      </c>
      <c r="DI58" s="13">
        <f>IF(AND(CZ58&gt;0,COUNTIF(DH58:DH61,DH58)&gt;1),SUMIFS($AI$4:$AI$108,$AF$4:$AF$108,$BT58,$M$4:$M$108,2)+SUMIFS($AK$4:$AK$108,$AH$4:$AH$108,$BT58,$M$4:$M$108,2),)</f>
        <v/>
      </c>
      <c r="DJ58" s="13">
        <f>IF(AND(CZ58&gt;0,COUNTIF(DH58:DH61,DH58)&gt;1),DH58+RANK(DI58,DI58:DI61)-1,DH58)</f>
        <v/>
      </c>
      <c r="DK58" s="75">
        <f>IF(DJ58=0,"",DJ58)</f>
        <v/>
      </c>
      <c r="DL58" s="75">
        <f>IF(OR(DK58="",COUNTIF(DK58:DK61,DK58)=1),"",$BZ58)</f>
        <v/>
      </c>
      <c r="DM58" s="75">
        <f>IF(DK58="","",IF(COUNTIF(DK58:DK61,DK58)=1,DK58,DK58+RANK(DL58,DL58:DL61,0)-1))</f>
        <v/>
      </c>
      <c r="DN58" s="75">
        <f>IF(OR(DM58="",COUNTIF(DM58:DM61,DM58)=1),"",$BX58)</f>
        <v/>
      </c>
      <c r="DO58" s="75">
        <f>IF(DK58="","",IF(COUNTIF(DM58:DM61,DM58)=1,DM58,DM58+RANK(DN58,DN58:DN61,0)-1))</f>
        <v/>
      </c>
      <c r="DP58" s="75">
        <f>IF(OR(DO58="",COUNTIF(DO58:DO61,DO58)=1),"",$BU58)</f>
        <v/>
      </c>
      <c r="DQ58" s="75">
        <f>IF(DK58="","",IF(COUNTIF(DO58:DO61,DO58)=1,DO58,DO58+RANK(DP58,DP58:DP61,0)-1))</f>
        <v/>
      </c>
      <c r="DR58" s="13">
        <f>IF(CZ58&gt;0,CG56+RANK(DQ58,DQ58:DQ61,1),)</f>
        <v/>
      </c>
      <c r="DT58" s="13">
        <f>IF(CC58=3,BT58,)</f>
        <v/>
      </c>
      <c r="DU58" s="13">
        <f>(SUMIF($AF$4:$AF$108,BT58,$BF$4:$BF$108)+SUMIF($AH$4:$AH$108,BT58,$BG$4:$BG$108))</f>
        <v/>
      </c>
      <c r="DV58" s="13">
        <f>(SUMIF($AF$4:$AF$108,BT58,$BH$4:$BH$108)+SUMIF($AH$4:$AH$108,BT58,$BI$4:$BI$108))</f>
        <v/>
      </c>
      <c r="DW58" s="13">
        <f>(SUMIF($AF$4:$AF$108,BT58,$BJ$4:$BJ$108)+SUMIF($AH$4:$AH$108,BT58,$BK$4:$BK$108))</f>
        <v/>
      </c>
      <c r="DX58" s="13">
        <f>IFERROR(DU58*3+DV58*1,0)</f>
        <v/>
      </c>
      <c r="DY58" s="13">
        <f>CB58</f>
        <v/>
      </c>
      <c r="DZ58" s="13">
        <f>IF(DT58&gt;0,RANK(DX58,DX58:DX61)+CG56+DA56,)</f>
        <v/>
      </c>
      <c r="EA58" s="13">
        <f>IF(AND(DT58&gt;0,COUNTIF(DZ58:DZ61,DZ58)&gt;1),SUMIFS($AI$4:$AI$108,$AF$4:$AF$108,$BT58,$M$4:$M$108,3)+SUMIFS($AK$4:$AK$108,$AH$4:$AH$108,$BT58,$M$4:$M$108,3)-SUMIFS($AK$4:$AK$108,$AF$4:$AF$108,$BT58,$M$4:$M$108,3)-SUMIFS($AI$4:$AI$108,$AH$4:$AH$108,$BT58,$M$4:$M$108,3),)</f>
        <v/>
      </c>
      <c r="EB58" s="13">
        <f>IF(AND(DT58&gt;0,COUNTIF(DZ58:DZ61,DZ58)&gt;1),DZ58+RANK(EA58,EA58:EA61)-1,DZ58)</f>
        <v/>
      </c>
      <c r="EC58" s="13">
        <f>IF(AND(DT58&gt;0,COUNTIF(EB58:EB61,EB58)&gt;1),SUMIFS($AI$4:$AI$108,$AF$4:$AF$108,$BT58,$M$4:$M$108,3)+SUMIFS($AK$4:$AK$108,$AH$4:$AH$108,$BT58,$M$4:$M$108,3),)</f>
        <v/>
      </c>
      <c r="ED58" s="13">
        <f>IF(AND(DT58&gt;0,COUNTIF(EB58:EB61,EB58)&gt;1),EB58+RANK(EC58,EC58:EC61)-1,EB58)</f>
        <v/>
      </c>
      <c r="EE58" s="13">
        <f>IF(ED58=0,"",ED58)</f>
        <v/>
      </c>
      <c r="EF58" s="13">
        <f>IF(OR(EE58="",COUNTIF(EE58:EE61,EE58)=1),"",$BZ58)</f>
        <v/>
      </c>
      <c r="EG58" s="13">
        <f>IF(EE58="","",IF(COUNTIF(EE58:EE61,EE58)=1,EE58,EE58+RANK(EF58,EF58:EF61,0)-1))</f>
        <v/>
      </c>
      <c r="EH58" s="13">
        <f>IF(OR(EG58="",COUNTIF(EG58:EG61,EG58)=1),"",$BX58)</f>
        <v/>
      </c>
      <c r="EI58" s="13">
        <f>IF(EE58="","",IF(COUNTIF(EG58:EG61,EG58)=1,EG58,EG58+RANK(EH58,EH58:EH61,0)-1))</f>
        <v/>
      </c>
      <c r="EJ58" s="13">
        <f>IF(OR(EI58="",COUNTIF(EI58:EI61,EI58)=1),"",$BU58)</f>
        <v/>
      </c>
      <c r="EK58" s="13">
        <f>IF(EE58="","",IF(COUNTIF(EI58:EI61,EI58)=1,EI58,EI58+RANK(EJ58,EJ58:EJ61,0)-1))</f>
        <v/>
      </c>
      <c r="EL58" s="13">
        <f>IF(DT58&gt;0,CG56+DA56+RANK(EK58,EK58:EK61,1),)</f>
        <v/>
      </c>
      <c r="EN58" s="13">
        <f>IF(CC58=4,BT58,)</f>
        <v/>
      </c>
      <c r="EO58" s="13">
        <f>(SUMIF($AF$4:$AF$108,$BT58,$BL$4:$BL$108)+SUMIF($AH$4:$AH$108,$BT58,$BM$4:$BM$108))</f>
        <v/>
      </c>
      <c r="EP58" s="13">
        <f>(SUMIF($AF$4:$AF$108,$BT58,$BN$4:$BN$108)+SUMIF($AH$4:$AH$108,$BT58,$BO$4:$BO$108))</f>
        <v/>
      </c>
      <c r="EQ58" s="13">
        <f>(SUMIF($AF$4:$AF$108,$BT58,$BP$4:$BP$108)+SUMIF($AH$4:$AH$108,$BT58,$BQ$4:$BQ$108))</f>
        <v/>
      </c>
      <c r="ER58" s="13">
        <f>IFERROR(EO58*3+EP58*1,0)</f>
        <v/>
      </c>
      <c r="ES58" s="13">
        <f>$CB58</f>
        <v/>
      </c>
      <c r="ET58" s="13">
        <f>IF(EN58&gt;0,RANK(ER58,ER58:ER61)+CG56+DA56+DU56,)</f>
        <v/>
      </c>
      <c r="EU58" s="13">
        <f>IF(AND(EN58&gt;0,COUNTIF(ET58:ET61,ET58)&gt;1),SUMIFS($AI$4:$AI$108,$AF$4:$AF$108,$BT58,$M$4:$M$108,4)+SUMIFS($AK$4:$AK$108,$AH$4:$AH$108,$BT58,$M$4:$M$108,4)-SUMIFS($AK$4:$AK$108,$AF$4:$AF$108,$BT58,$M$4:$M$108,4)-SUMIFS($AI$4:$AI$108,$AH$4:$AH$108,$BT58,$M$4:$M$108,4),)</f>
        <v/>
      </c>
      <c r="EV58" s="13">
        <f>IF(AND(EN58&gt;0,COUNTIF(ET58:ET61,ET58)&gt;1),ET58+RANK(EU58,EU58:EU61)-1,ET58)</f>
        <v/>
      </c>
      <c r="EW58" s="13">
        <f>IF(AND(EN58&gt;0,COUNTIF(EV58:EV61,EV58)&gt;1),SUMIFS($AI$4:$AI$108,$AF$4:$AF$108,$BT58,$M$4:$M$108,4)+SUMIFS($AK$4:$AK$108,$AH$4:$AH$108,$BT58,$M$4:$M$108,4),)</f>
        <v/>
      </c>
      <c r="EX58" s="13">
        <f>IF(AND(EN58&gt;0,COUNTIF(EV58:EV61,EV58)&gt;1),EV58+RANK(EW58,EW58:EW61)-1,EV58)</f>
        <v/>
      </c>
      <c r="EY58" s="13">
        <f>IF(EX58=0,"",EX58)</f>
        <v/>
      </c>
      <c r="EZ58" s="13">
        <f>IF(OR(EY58="",COUNTIF(EY58:EY61,EY58)=1),"",$BZ58)</f>
        <v/>
      </c>
      <c r="FA58" s="13">
        <f>IF(EY58="","",IF(COUNTIF(EY58:EY61,EY58)=1,EY58,EY58+RANK(EZ58,EZ58:EZ61,0)-1))</f>
        <v/>
      </c>
      <c r="FB58" s="13">
        <f>IF(OR(FA58="",COUNTIF(FA58:FA61,FA58)=1),"",$BX58)</f>
        <v/>
      </c>
      <c r="FC58" s="13">
        <f>IF(EY58="","",IF(COUNTIF(FA58:FA61,FA58)=1,FA58,FA58+RANK(FB58,FB58:FB61,0)-1))</f>
        <v/>
      </c>
      <c r="FD58" s="13">
        <f>IF(OR(FC58="",COUNTIF(FC58:FC61,FC58)=1),"",$BU58)</f>
        <v/>
      </c>
      <c r="FE58" s="13">
        <f>IF(EY58="","",IF(COUNTIF(FC58:FC61,FC58)=1,FC58,FC58+RANK(FD58,FD58:FD61,0)-1))</f>
        <v/>
      </c>
      <c r="FF58" s="13">
        <f>IF(EN58&gt;0,CG56+DA56+DU56+RANK(FE58,FE58:FE61,1),)</f>
        <v/>
      </c>
      <c r="FH58" s="13">
        <f>IFERROR(VLOOKUP(FJ58,CF57:CX61,19,FALSE),IFERROR(VLOOKUP(FJ58,CZ57:DR61,19,FALSE),IFERROR(VLOOKUP(FJ58,DT57:EL61,19,FALSE),VLOOKUP(FJ58,EN57:FF61,19,FALSE))))</f>
        <v/>
      </c>
      <c r="FI58" s="13">
        <f>RANK(FH58,FH58:FH61,1)+COUNTIF(FH58:FH58,FH58)-1</f>
        <v/>
      </c>
      <c r="FJ58" s="12">
        <f>BT58</f>
        <v/>
      </c>
      <c r="FZ58" s="79" t="n">
        <v>56</v>
      </c>
      <c r="GA58" s="3">
        <f>GB58&amp;GC58&amp;GD58&amp;GE58&amp;GF58&amp;GG58&amp;GH58&amp;GI58</f>
        <v/>
      </c>
      <c r="GB58" s="3" t="inlineStr">
        <is>
          <t>H</t>
        </is>
      </c>
      <c r="GC58" s="3" t="inlineStr">
        <is>
          <t>J</t>
        </is>
      </c>
      <c r="GD58" s="3" t="inlineStr">
        <is>
          <t>B</t>
        </is>
      </c>
      <c r="GE58" s="3" t="inlineStr">
        <is>
          <t>D</t>
        </is>
      </c>
      <c r="GF58" s="3" t="inlineStr">
        <is>
          <t>I</t>
        </is>
      </c>
      <c r="GG58" s="3" t="inlineStr">
        <is>
          <t>F</t>
        </is>
      </c>
      <c r="GH58" s="3" t="inlineStr">
        <is>
          <t>L</t>
        </is>
      </c>
      <c r="GI58" s="3" t="inlineStr">
        <is>
          <t>K</t>
        </is>
      </c>
      <c r="GJ58" s="9">
        <f>VLOOKUP(GB58,$FM$3:$FN$15,2,FALSE)</f>
        <v/>
      </c>
      <c r="GK58" s="9">
        <f>VLOOKUP(GC58,$FM$3:$FN$15,2,FALSE)</f>
        <v/>
      </c>
      <c r="GL58" s="9">
        <f>VLOOKUP(GD58,$FM$3:$FN$15,2,FALSE)</f>
        <v/>
      </c>
      <c r="GM58" s="9">
        <f>VLOOKUP(GE58,$FM$3:$FN$15,2,FALSE)</f>
        <v/>
      </c>
      <c r="GN58" s="9">
        <f>VLOOKUP(GF58,$FM$3:$FN$15,2,FALSE)</f>
        <v/>
      </c>
      <c r="GO58" s="9">
        <f>VLOOKUP(GG58,$FM$3:$FN$15,2,FALSE)</f>
        <v/>
      </c>
      <c r="GP58" s="9">
        <f>VLOOKUP(GH58,$FM$3:$FN$15,2,FALSE)</f>
        <v/>
      </c>
      <c r="GQ58" s="9">
        <f>VLOOKUP(GI58,$FM$3:$FN$15,2,FALSE)</f>
        <v/>
      </c>
      <c r="GR58" s="9">
        <f>IFERROR(IF(AND(VLOOKUP(GB58,$FX$4:$FX$15,1,FALSE)=GB58,VLOOKUP(GC58,$FX$4:$FX$15,1,FALSE)=GC58,VLOOKUP(GD58,$FX$4:$FX$15,1,FALSE)=GD58,VLOOKUP(GE58,$FX$4:$FX$15,1,FALSE)=GE58,VLOOKUP(GF58,$FX$4:$FX$15,1,FALSE)=GF58,VLOOKUP(GG58,$FX$4:$FX$15,1,FALSE)=GG58,VLOOKUP(GH58,$FX$4:$FX$15,1,FALSE)=GH58,VLOOKUP(GI58,$FX$4:$FX$15,1,FALSE)=GI58),FZ58,""),"")</f>
        <v/>
      </c>
      <c r="GX58" s="79" t="n"/>
    </row>
    <row r="59" ht="14.25" customHeight="1">
      <c r="B59" s="58" t="n">
        <v>15</v>
      </c>
      <c r="C59" s="59" t="n">
        <v>46189</v>
      </c>
      <c r="D59" s="60" t="inlineStr">
        <is>
          <t>Iran</t>
        </is>
      </c>
      <c r="E59" s="61" t="inlineStr">
        <is>
          <t>-</t>
        </is>
      </c>
      <c r="F59" s="62" t="inlineStr">
        <is>
          <t>Nya Zeeland</t>
        </is>
      </c>
      <c r="G59" s="63" t="n">
        <v>2</v>
      </c>
      <c r="H59" s="64" t="inlineStr">
        <is>
          <t>-</t>
        </is>
      </c>
      <c r="I59" s="63" t="n">
        <v>0</v>
      </c>
      <c r="J59" s="65">
        <f>IF(OR(ISBLANK(G59),ISBLANK(I59)),"",IF(G59&gt;I59,1,IF(G59&lt;I59,2,"X")))</f>
        <v/>
      </c>
      <c r="K59" s="66">
        <f>IF(OR(G59="",I59="",'[1]Resultat &amp; tabell'!G59="",'[1]Resultat &amp; tabell'!I59=""),0,IF(G59='[1]Resultat &amp; tabell'!G59,2,0)+IF(I59='[1]Resultat &amp; tabell'!I59,2,0)+IF(J59='[1]Resultat &amp; tabell'!J59,2,0))</f>
        <v/>
      </c>
      <c r="L59" s="67" t="n"/>
      <c r="M59" s="29">
        <f>IF(VLOOKUP(D59,$BT$57:$CC$61,10,FALSE)=VLOOKUP(F59,$BT$57:$CC$61,10,FALSE),VLOOKUP(D59,$BT$57:$CC$61,10,FALSE),"-")</f>
        <v/>
      </c>
      <c r="N59" s="30" t="n">
        <v>2</v>
      </c>
      <c r="O59" s="80">
        <f>VLOOKUP(N59,FI58:FJ61,2,FALSE)</f>
        <v/>
      </c>
      <c r="P59" s="81">
        <f>VLOOKUP($O59,$BT$58:$CA$61,2,FALSE)</f>
        <v/>
      </c>
      <c r="Q59" s="81">
        <f>VLOOKUP($O59,$BT$58:$CA$61,3,FALSE)</f>
        <v/>
      </c>
      <c r="R59" s="81">
        <f>VLOOKUP($O59,$BT$58:$CA$61,4,FALSE)</f>
        <v/>
      </c>
      <c r="S59" s="81">
        <f>VLOOKUP($O59,$BT$58:$CA$61,5,FALSE)</f>
        <v/>
      </c>
      <c r="T59" s="81">
        <f>VLOOKUP($O59,$BT$58:$CA$61,6,FALSE)</f>
        <v/>
      </c>
      <c r="U59" s="81">
        <f>VLOOKUP($O59,$BT$58:$CA$61,7,FALSE)</f>
        <v/>
      </c>
      <c r="V59" s="82">
        <f>VLOOKUP($O59,$BT$58:$CA$61,8,FALSE)</f>
        <v/>
      </c>
      <c r="X59" s="136" t="n"/>
      <c r="AE59" s="72">
        <f>C59</f>
        <v/>
      </c>
      <c r="AF59" s="72">
        <f>D59</f>
        <v/>
      </c>
      <c r="AG59" s="72">
        <f>E59</f>
        <v/>
      </c>
      <c r="AH59" s="72">
        <f>F59</f>
        <v/>
      </c>
      <c r="AI59" s="63">
        <f>IF(G59="","",G59)</f>
        <v/>
      </c>
      <c r="AJ59" s="58">
        <f>H59</f>
        <v/>
      </c>
      <c r="AK59" s="63">
        <f>IF(I59="","",I59)</f>
        <v/>
      </c>
      <c r="AL59" s="65">
        <f>J59</f>
        <v/>
      </c>
      <c r="AM59" s="73" t="n"/>
      <c r="AN59" s="13">
        <f>IF(AI59&gt;AK59,1,0)</f>
        <v/>
      </c>
      <c r="AO59" s="13">
        <f>IF(AK59&gt;AI59,1,0)</f>
        <v/>
      </c>
      <c r="AP59" s="13">
        <f>IF(AND(AI59=AK59,AI59&lt;&gt;""),1,0)</f>
        <v/>
      </c>
      <c r="AQ59" s="13">
        <f>IF(AND(AI59=AK59,AI59&lt;&gt;""),1,0)</f>
        <v/>
      </c>
      <c r="AR59" s="13">
        <f>IF(AI59&lt;AK59,1,0)</f>
        <v/>
      </c>
      <c r="AS59" s="13">
        <f>IF(AK59&lt;AI59,1,)</f>
        <v/>
      </c>
      <c r="AT59" s="13">
        <f>IF(ISERROR(VLOOKUP(AF59,CF:CF,1,FALSE)),0,1)*IF(ISERROR(VLOOKUP(AH59,CF:CF,1,FALSE)),0,1)*AN59</f>
        <v/>
      </c>
      <c r="AU59" s="13">
        <f>IF(ISERROR(VLOOKUP(AF59,CF:CF,1,FALSE)),0,1)*IF(ISERROR(VLOOKUP(AH59,CF:CF,1,FALSE)),0,1)*AO59</f>
        <v/>
      </c>
      <c r="AV59" s="13">
        <f>IF(ISERROR(VLOOKUP(AF59,CF:CF,1,FALSE)),0,1)*IF(ISERROR(VLOOKUP(AH59,CF:CF,1,FALSE)),0,1)*AP59</f>
        <v/>
      </c>
      <c r="AW59" s="13">
        <f>IF(ISERROR(VLOOKUP(AF59,CF:CF,1,FALSE)),0,1)*IF(ISERROR(VLOOKUP(AH59,CF:CF,1,FALSE)),0,1)*AQ59</f>
        <v/>
      </c>
      <c r="AX59" s="13">
        <f>IF(ISERROR(VLOOKUP(AF59,CF:CF,1,FALSE)),0,1)*IF(ISERROR(VLOOKUP(AH59,CF:CF,1,FALSE)),0,1)*AR59</f>
        <v/>
      </c>
      <c r="AY59" s="13">
        <f>IF(ISERROR(VLOOKUP(AF59,CF:CF,1,FALSE)),0,1)*IF(ISERROR(VLOOKUP(AH59,CF:CF,1,FALSE)),0,1)*AS59</f>
        <v/>
      </c>
      <c r="AZ59" s="13">
        <f>IF(ISERROR(VLOOKUP(AF59,CZ:CZ,1,FALSE)),0,1)*IF(ISERROR(VLOOKUP(AH59,CZ:CZ,1,FALSE)),0,1)*AN59</f>
        <v/>
      </c>
      <c r="BA59" s="13">
        <f>IF(ISERROR(VLOOKUP(AF59,CZ:CZ,1,FALSE)),0,1)*IF(ISERROR(VLOOKUP(AH59,CZ:CZ,1,FALSE)),0,1)*AO59</f>
        <v/>
      </c>
      <c r="BB59" s="13">
        <f>IF(ISERROR(VLOOKUP(AF59,CZ:CZ,1,FALSE)),0,1)*IF(ISERROR(VLOOKUP(AH59,CZ:CZ,1,FALSE)),0,1)*AP59</f>
        <v/>
      </c>
      <c r="BC59" s="13">
        <f>IF(ISERROR(VLOOKUP(AF59,CZ:CZ,1,FALSE)),0,1)*IF(ISERROR(VLOOKUP(AH59,CZ:CZ,1,FALSE)),0,1)*AQ59</f>
        <v/>
      </c>
      <c r="BD59" s="13">
        <f>IF(ISERROR(VLOOKUP(AF59,CZ:CZ,1,FALSE)),0,1)*IF(ISERROR(VLOOKUP(AH59,CZ:CZ,1,FALSE)),0,1)*AR59</f>
        <v/>
      </c>
      <c r="BE59" s="13">
        <f>IF(ISERROR(VLOOKUP(AF59,CZ:CZ,1,FALSE)),0,1)*IF(ISERROR(VLOOKUP(AH59,CZ:CZ,1,FALSE)),0,1)*AS59</f>
        <v/>
      </c>
      <c r="BF59" s="13">
        <f>IF(ISERROR(VLOOKUP(AF59,DT:DT,1,FALSE)),0,1)*IF(ISERROR(VLOOKUP(AH59,DT:DT,1,FALSE)),0,1)*AN59</f>
        <v/>
      </c>
      <c r="BG59" s="13">
        <f>IF(ISERROR(VLOOKUP(AF59,DT:DT,1,FALSE)),0,1)*IF(ISERROR(VLOOKUP(AH59,DT:DT,1,FALSE)),0,1)*AO59</f>
        <v/>
      </c>
      <c r="BH59" s="13">
        <f>IF(ISERROR(VLOOKUP(AF59,DT:DT,1,FALSE)),0,1)*IF(ISERROR(VLOOKUP(AH59,DT:DT,1,FALSE)),0,1)*AP59</f>
        <v/>
      </c>
      <c r="BI59" s="13">
        <f>IF(ISERROR(VLOOKUP(AF59,DT:DT,1,FALSE)),0,1)*IF(ISERROR(VLOOKUP(AH59,DT:DT,1,FALSE)),0,1)*AQ59</f>
        <v/>
      </c>
      <c r="BJ59" s="13">
        <f>IF(ISERROR(VLOOKUP(AF59,DT:DT,1,FALSE)),0,1)*IF(ISERROR(VLOOKUP(AH59,DT:DT,1,FALSE)),0,1)*AR59</f>
        <v/>
      </c>
      <c r="BK59" s="13">
        <f>IF(ISERROR(VLOOKUP(AF59,DT:DT,1,FALSE)),0,1)*IF(ISERROR(VLOOKUP(AH59,DT:DT,1,FALSE)),0,1)*AS59</f>
        <v/>
      </c>
      <c r="BL59" s="13">
        <f>IF(ISERROR(VLOOKUP(AF59,EN:EN,1,FALSE)),0,1)*IF(ISERROR(VLOOKUP(AH59,EN:EN,1,FALSE)),0,1)*AN59</f>
        <v/>
      </c>
      <c r="BM59" s="13">
        <f>IF(ISERROR(VLOOKUP(AF59,EN:EN,1,FALSE)),0,1)*IF(ISERROR(VLOOKUP(AH59,EN:EN,1,FALSE)),0,1)*AO59</f>
        <v/>
      </c>
      <c r="BN59" s="13">
        <f>IF(ISERROR(VLOOKUP(AF59,EN:EN,1,FALSE)),0,1)*IF(ISERROR(VLOOKUP(AH59,EN:EN,1,FALSE)),0,1)*AP59</f>
        <v/>
      </c>
      <c r="BO59" s="13">
        <f>IF(ISERROR(VLOOKUP(AF59,EN:EN,1,FALSE)),0,1)*IF(ISERROR(VLOOKUP(AH59,EN:EN,1,FALSE)),0,1)*AQ59</f>
        <v/>
      </c>
      <c r="BP59" s="13">
        <f>IF(ISERROR(VLOOKUP(AF59,EN:EN,1,FALSE)),0,1)*IF(ISERROR(VLOOKUP(AH59,EN:EN,1,FALSE)),0,1)*AR59</f>
        <v/>
      </c>
      <c r="BQ59" s="13">
        <f>IF(ISERROR(VLOOKUP(AF59,EN:EN,1,FALSE)),0,1)*IF(ISERROR(VLOOKUP(AH59,EN:EN,1,FALSE)),0,1)*AS59</f>
        <v/>
      </c>
      <c r="BR59" s="27" t="n"/>
      <c r="BS59" s="27" t="n"/>
      <c r="BT59" s="12" t="inlineStr">
        <is>
          <t>Egypten</t>
        </is>
      </c>
      <c r="BU59" s="13">
        <f>(SUMIF(AF$4:AF$108,BT59,AN$4:AN$108)+SUMIF(AH$4:AH$108,BT59,AO$4:AO$108))</f>
        <v/>
      </c>
      <c r="BV59" s="13">
        <f>(SUMIF(AF$4:AF$108,BT59,AP$4:AP$108)+SUMIF(AH$4:AH$108,BT59,AQ$4:AQ$108))</f>
        <v/>
      </c>
      <c r="BW59" s="13">
        <f>(SUMIF(AF$4:AF$108,BT59,AR$4:AR$108)+SUMIF(AH$4:AH$108,BT59,AS$4:AS$108))</f>
        <v/>
      </c>
      <c r="BX59" s="13">
        <f>SUMIF($AF$4:$AF$108,BT59,$AI$4:$AI$108)+SUMIF($AH$4:$AH$108,BT59,$AK$4:$AK$108)</f>
        <v/>
      </c>
      <c r="BY59" s="13">
        <f>SUMIF($AF$4:$AF$108,BT59,$AK$4:$AK$108)+SUMIF($AH$4:$AH$108,BT59,$AI$4:$AI$108)</f>
        <v/>
      </c>
      <c r="BZ59" s="13">
        <f>BX59-BY59</f>
        <v/>
      </c>
      <c r="CA59" s="13">
        <f>IFERROR(BU59*3+BV59*1,0)</f>
        <v/>
      </c>
      <c r="CB59" s="13" t="inlineStr">
        <is>
          <t>G</t>
        </is>
      </c>
      <c r="CC59" s="74">
        <f>RANK(CA59,CA58:CA61)</f>
        <v/>
      </c>
      <c r="CD59" s="13">
        <f>SUMPRODUCT((CA58:CA61=CA59)*(BZ58:BZ61&gt;BZ59))</f>
        <v/>
      </c>
      <c r="CF59" s="12">
        <f>IF(CC59=1,BT59,)</f>
        <v/>
      </c>
      <c r="CG59" s="13">
        <f>(SUMIF($AF$4:$AF$108,$BT59,$AT$4:$AT$108)+SUMIF($AH$4:$AH$108,$BT59,$AU$4:$AU$108))</f>
        <v/>
      </c>
      <c r="CH59" s="13">
        <f>(SUMIF($AF$4:$AF$108,$BT59,$AV$4:$AV$108)+SUMIF($AH$4:$AH$108,$BT59,$AW$4:$AW$108))</f>
        <v/>
      </c>
      <c r="CI59" s="13">
        <f>(SUMIF($AF$4:$AF$108,$BT59,$AX$4:$AX$108)+SUMIF($AH$4:$AH$108,$BT59,$AY$4:$AY$108))</f>
        <v/>
      </c>
      <c r="CJ59" s="13">
        <f>IFERROR(CG59*3+CH59*1,0)</f>
        <v/>
      </c>
      <c r="CK59" s="13">
        <f>CB59</f>
        <v/>
      </c>
      <c r="CL59" s="13">
        <f>IF(CF59&gt;0,RANK(CJ59,CJ58:CJ61),)</f>
        <v/>
      </c>
      <c r="CM59" s="13">
        <f>IF(AND(CF59&gt;0,COUNTIF(CL58:CL61,CL59)&gt;1),SUMIFS($AI$4:$AI$108,$AF$4:$AF$108,$BT59,$M$4:$M$108,1)+SUMIFS($AK$4:$AK$108,$AH$4:$AH$108,$BT59,$M$4:$M$108,1)-SUMIFS($AK$4:$AK$108,$AF$4:$AF$108,$BT59,$M$4:$M$108,1)-SUMIFS($AI$4:$AI$108,$AH$4:$AH$108,$BT59,$M$4:$M$108,1),)</f>
        <v/>
      </c>
      <c r="CN59" s="13">
        <f>IF(AND(CF59&gt;0,COUNTIF(CL58:CL61,CL59)&gt;1),CL59+RANK(CM59,CM58:CM61)-1,CL59)</f>
        <v/>
      </c>
      <c r="CO59" s="13">
        <f>IF(AND(CF59&gt;0,COUNTIF(CN58:CN61,CN59)&gt;1),SUMIFS($AI$4:$AI$108,$AF$4:$AF$108,$BT59,$M$4:$M$108,1)+SUMIFS($AK$4:$AK$108,$AH$4:$AH$108,$BT59,$M$4:$M$108,1),)</f>
        <v/>
      </c>
      <c r="CP59" s="13">
        <f>IF(AND(CF59&gt;0,COUNTIF(CN58:CN61,CN59)&gt;1),CN59+RANK(CO59,CO58:CO61)-1,CN59)</f>
        <v/>
      </c>
      <c r="CQ59" s="13">
        <f>IF(CP59=0,"",CP59)</f>
        <v/>
      </c>
      <c r="CR59" s="13">
        <f>IF(OR(CQ59="",COUNTIF(CQ58:CQ61,CQ59)=1),"",$BZ59)</f>
        <v/>
      </c>
      <c r="CS59" s="13">
        <f>IF(CQ59="","",IF(COUNTIF(CQ58:CQ61,CQ59)=1,CQ59,CQ59+RANK(CR59,CR58:CR61,0)-1))</f>
        <v/>
      </c>
      <c r="CT59" s="13">
        <f>IF(OR(CS59="",COUNTIF(CS58:CS61,CS59)=1),"",$BX59)</f>
        <v/>
      </c>
      <c r="CU59" s="13">
        <f>IF(CQ59="","",IF(COUNTIF(CS58:CS61,CS59)=1,CS59,CS59+RANK(CT59,CT58:CT61,0)-1))</f>
        <v/>
      </c>
      <c r="CV59" s="13">
        <f>IF(OR(CU59="",COUNTIF(CU58:CU61,CU59)=1),"",$BU59)</f>
        <v/>
      </c>
      <c r="CW59" s="13">
        <f>IF(CQ59="","",IF(COUNTIF(CU58:CU61,CU59)=1,CU59,CU59+RANK(CV59,CV58:CV61,0)-1))</f>
        <v/>
      </c>
      <c r="CX59" s="13">
        <f>IF(CF59&gt;0,BM56+RANK(CW59,CW58:CW61,1),)</f>
        <v/>
      </c>
      <c r="CZ59" s="12">
        <f>IF(CC59=2,BT59,)</f>
        <v/>
      </c>
      <c r="DA59" s="13">
        <f>(SUMIF($AF$4:$AF$108,$BT59,$AZ$4:$AZ$108)+SUMIF($AH$4:$AH$108,$BT59,$BA$4:$BA$108))</f>
        <v/>
      </c>
      <c r="DB59" s="13">
        <f>(SUMIF($AF$4:$AF$108,$BT59,$BB$4:$BB$108)+SUMIF($AH$4:$AH$108,$BT59,$BC$4:$BC$108))</f>
        <v/>
      </c>
      <c r="DC59" s="13">
        <f>(SUMIF($AF$4:$AF$108,$BT59,$BD$4:$BD$108)+SUMIF($AH$4:$AH$108,$BT59,$BE$4:$BE$108))</f>
        <v/>
      </c>
      <c r="DD59" s="13">
        <f>IFERROR(DA59*3+DB59*1,0)</f>
        <v/>
      </c>
      <c r="DE59" s="13">
        <f>$CB59</f>
        <v/>
      </c>
      <c r="DF59" s="13">
        <f>IF(CZ59&gt;0,RANK(DD59,DD58:DD61)+CG56,)</f>
        <v/>
      </c>
      <c r="DG59" s="13">
        <f>IF(AND(CZ59&gt;0,COUNTIF(DF58:DF61,DF59)&gt;1),SUMIFS($AI$4:$AI$108,$AF$4:$AF$108,$BT59,$M$4:$M$108,2)+SUMIFS($AK$4:$AK$108,$AH$4:$AH108,$BT59,$M$4:$M$108,2)-SUMIFS($AK$4:$AK$108,$AF$4:$AF$108,$BT59,$M$4:$M$108,2)-SUMIFS($AI$4:$AI$108,$AH$4:$AH$108,$BT59,$M$4:$M$108,2),)</f>
        <v/>
      </c>
      <c r="DH59" s="13">
        <f>IF(AND(CZ59&gt;0,COUNTIF(DF58:DF61,DF59)&gt;1),DF59+RANK(DG59,DG58:DG61)-1,DF59)</f>
        <v/>
      </c>
      <c r="DI59" s="13">
        <f>IF(AND(CZ59&gt;0,COUNTIF(DH58:DH61,DH59)&gt;1),SUMIFS($AI$4:$AI$108,$AF$4:$AF$108,$BT59,$M$4:$M$108,2)+SUMIFS($AK$4:$AK$108,$AH$4:$AH$108,$BT59,$M$4:$M$108,2),)</f>
        <v/>
      </c>
      <c r="DJ59" s="13">
        <f>IF(AND(CZ59&gt;0,COUNTIF(DH58:DH61,DH59)&gt;1),DH59+RANK(DI59,DI58:DI61)-1,DH59)</f>
        <v/>
      </c>
      <c r="DK59" s="75">
        <f>IF(DJ59=0,"",DJ59)</f>
        <v/>
      </c>
      <c r="DL59" s="75">
        <f>IF(OR(DK59="",COUNTIF(DK58:DK61,DK59)=1),"",$BZ59)</f>
        <v/>
      </c>
      <c r="DM59" s="75">
        <f>IF(DK59="","",IF(COUNTIF(DK58:DK61,DK59)=1,DK59,DK59+RANK(DL59,DL58:DL61,0)-1))</f>
        <v/>
      </c>
      <c r="DN59" s="75">
        <f>IF(OR(DM59="",COUNTIF(DM58:DM61,DM59)=1),"",$BX59)</f>
        <v/>
      </c>
      <c r="DO59" s="75">
        <f>IF(DK59="","",IF(COUNTIF(DM58:DM61,DM59)=1,DM59,DM59+RANK(DN59,DN58:DN61,0)-1))</f>
        <v/>
      </c>
      <c r="DP59" s="75">
        <f>IF(OR(DO59="",COUNTIF(DO58:DO61,DO59)=1),"",$BU59)</f>
        <v/>
      </c>
      <c r="DQ59" s="75">
        <f>IF(DK59="","",IF(COUNTIF(DO58:DO61,DO59)=1,DO59,DO59+RANK(DP59,DP58:DP61,0)-1))</f>
        <v/>
      </c>
      <c r="DR59" s="13">
        <f>IF(CZ59&gt;0,CG56+RANK(DQ59,DQ58:DQ61,1),)</f>
        <v/>
      </c>
      <c r="DT59" s="13">
        <f>IF(CC59=3,BT59,)</f>
        <v/>
      </c>
      <c r="DU59" s="13">
        <f>(SUMIF($AF$4:$AF$108,BT59,$BF$4:$BF$108)+SUMIF($AH$4:$AH$108,BT59,$BG$4:$BG$108))</f>
        <v/>
      </c>
      <c r="DV59" s="13">
        <f>(SUMIF($AF$4:$AF$108,BT59,$BH$4:$BH$108)+SUMIF($AH$4:$AH$108,BT59,$BI$4:$BI$108))</f>
        <v/>
      </c>
      <c r="DW59" s="13">
        <f>(SUMIF($AF$4:$AF$108,BT59,$BJ$4:$BJ$108)+SUMIF($AH$4:$AH$108,BT59,$BK$4:$BK$108))</f>
        <v/>
      </c>
      <c r="DX59" s="13">
        <f>IFERROR(DU59*3+DV59*1,0)</f>
        <v/>
      </c>
      <c r="DY59" s="13">
        <f>CB59</f>
        <v/>
      </c>
      <c r="DZ59" s="13">
        <f>IF(DT59&gt;0,RANK(DX59,DX58:DX61)+CG56+DA56,)</f>
        <v/>
      </c>
      <c r="EA59" s="13">
        <f>IF(AND(DT59&gt;0,COUNTIF(DZ58:DZ61,DZ59)&gt;1),SUMIFS($AI$4:$AI$108,$AF$4:$AF$108,$BT59,$M$4:$M$108,3)+SUMIFS($AK$4:$AK$108,$AH$4:$AH$108,$BT59,$M$4:$M$108,3)-SUMIFS($AK$4:$AK$108,$AF$4:$AF$108,$BT59,$M$4:$M$108,3)-SUMIFS($AI$4:$AI$108,$AH$4:$AH$108,$BT59,$M$4:$M$108,3),)</f>
        <v/>
      </c>
      <c r="EB59" s="13">
        <f>IF(AND(DT59&gt;0,COUNTIF(DZ58:DZ61,DZ59)&gt;1),DZ59+RANK(EA59,EA58:EA61)-1,DZ59)</f>
        <v/>
      </c>
      <c r="EC59" s="13">
        <f>IF(AND(DT59&gt;0,COUNTIF(EB58:EB61,EB59)&gt;1),SUMIFS($AI$4:$AI$108,$AF$4:$AF$108,$BT59,$M$4:$M$108,3)+SUMIFS($AK$4:$AK$108,$AH$4:$AH$108,$BT59,$M$4:$M$108,3),)</f>
        <v/>
      </c>
      <c r="ED59" s="13">
        <f>IF(AND(DT59&gt;0,COUNTIF(EB58:EB61,EB59)&gt;1),EB59+RANK(EC59,EC58:EC61)-1,EB59)</f>
        <v/>
      </c>
      <c r="EE59" s="13">
        <f>IF(ED59=0,"",ED59)</f>
        <v/>
      </c>
      <c r="EF59" s="13">
        <f>IF(OR(EE59="",COUNTIF(EE58:EE61,EE59)=1),"",$BZ59)</f>
        <v/>
      </c>
      <c r="EG59" s="13">
        <f>IF(EE59="","",IF(COUNTIF(EE58:EE61,EE59)=1,EE59,EE59+RANK(EF59,EF58:EF61,0)-1))</f>
        <v/>
      </c>
      <c r="EH59" s="13">
        <f>IF(OR(EG59="",COUNTIF(EG58:EG61,EG59)=1),"",$BX59)</f>
        <v/>
      </c>
      <c r="EI59" s="13">
        <f>IF(EE59="","",IF(COUNTIF(EG58:EG61,EG59)=1,EG59,EG59+RANK(EH59,EH58:EH61,0)-1))</f>
        <v/>
      </c>
      <c r="EJ59" s="13">
        <f>IF(OR(EI59="",COUNTIF(EI58:EI61,EI59)=1),"",$BU59)</f>
        <v/>
      </c>
      <c r="EK59" s="13">
        <f>IF(EE59="","",IF(COUNTIF(EI58:EI61,EI59)=1,EI59,EI59+RANK(EJ59,EJ58:EJ61,0)-1))</f>
        <v/>
      </c>
      <c r="EL59" s="13">
        <f>IF(DT59&gt;0,CG56+DA56+RANK(EK59,EK58:EK61,1),)</f>
        <v/>
      </c>
      <c r="EN59" s="13">
        <f>IF(CC59=4,BT59,)</f>
        <v/>
      </c>
      <c r="EO59" s="13">
        <f>(SUMIF($AF$4:$AF$108,$BT59,$BL$4:$BL$108)+SUMIF($AH$4:$AH$108,$BT59,$BM$4:$BM$108))</f>
        <v/>
      </c>
      <c r="EP59" s="13">
        <f>(SUMIF($AF$4:$AF$108,$BT59,$BN$4:$BN$108)+SUMIF($AH$4:$AH$108,$BT59,$BO$4:$BO$108))</f>
        <v/>
      </c>
      <c r="EQ59" s="13">
        <f>(SUMIF($AF$4:$AF$108,$BT59,$BP$4:$BP$108)+SUMIF($AH$4:$AH$108,$BT59,$BQ$4:$BQ$108))</f>
        <v/>
      </c>
      <c r="ER59" s="13">
        <f>IFERROR(EO59*3+EP59*1,0)</f>
        <v/>
      </c>
      <c r="ES59" s="13">
        <f>$CB59</f>
        <v/>
      </c>
      <c r="ET59" s="13">
        <f>IF(EN59&gt;0,RANK(ER59,ER58:ER61)+CG56+DA56+DU56,)</f>
        <v/>
      </c>
      <c r="EU59" s="13">
        <f>IF(AND(EN59&gt;0,COUNTIF(ET58:ET61,ET59)&gt;1),SUMIFS($AI$4:$AI$108,$AF$4:$AF$108,$BT59,$M$4:$M$108,4)+SUMIFS($AK$4:$AK$108,$AH$4:$AH$108,$BT59,$M$4:$M$108,4)-SUMIFS($AK$4:$AK$108,$AF$4:$AF$108,$BT59,$M$4:$M$108,4)-SUMIFS($AI$4:$AI$108,$AH$4:$AH$108,$BT59,$M$4:$M$108,4),)</f>
        <v/>
      </c>
      <c r="EV59" s="13">
        <f>IF(AND(EN59&gt;0,COUNTIF(ET58:ET61,ET59)&gt;1),ET59+RANK(EU59,EU58:EU61)-1,ET59)</f>
        <v/>
      </c>
      <c r="EW59" s="13">
        <f>IF(AND(EN59&gt;0,COUNTIF(EV59:EV62,EV59)&gt;1),SUMIFS($AI$4:$AI$108,$AF$4:$AF$108,$BT59,$M$4:$M$108,4)+SUMIFS($AK$4:$AK$108,$AH$4:$AH$108,$BT59,$M$4:$M$108,4),)</f>
        <v/>
      </c>
      <c r="EX59" s="13">
        <f>IF(AND(EN59&gt;0,COUNTIF(EV58:EV61,EV59)&gt;1),EV59+RANK(EW59,EW58:EW61)-1,EV59)</f>
        <v/>
      </c>
      <c r="EY59" s="13">
        <f>IF(EX59=0,"",EX59)</f>
        <v/>
      </c>
      <c r="EZ59" s="13">
        <f>IF(OR(EY59="",COUNTIF(EY58:EY61,EY59)=1),"",$BZ59)</f>
        <v/>
      </c>
      <c r="FA59" s="13">
        <f>IF(EY59="","",IF(COUNTIF(EY58:EY61,EY59)=1,EY59,EY59+RANK(EZ59,EZ58:EZ61,0)-1))</f>
        <v/>
      </c>
      <c r="FB59" s="13">
        <f>IF(OR(FA59="",COUNTIF(FA58:FA61,FA59)=1),"",$BX59)</f>
        <v/>
      </c>
      <c r="FC59" s="13">
        <f>IF(EY59="","",IF(COUNTIF(FA58:FA61,FA59)=1,FA59,FA59+RANK(FB59,FB58:FB61,0)-1))</f>
        <v/>
      </c>
      <c r="FD59" s="13">
        <f>IF(OR(FC59="",COUNTIF(FC58:FC61,FC59)=1),"",$BU59)</f>
        <v/>
      </c>
      <c r="FE59" s="13">
        <f>IF(EY59="","",IF(COUNTIF(FC58:FC61,FC59)=1,FC59,FC59+RANK(FD59,FD58:FD61,0)-1))</f>
        <v/>
      </c>
      <c r="FF59" s="13">
        <f>IF(EN59&gt;0,CG56+DA56+DU56+RANK(FE59,FE58:FE61,1),)</f>
        <v/>
      </c>
      <c r="FH59" s="13">
        <f>IFERROR(VLOOKUP(FJ59,CF57:CX61,19,FALSE),IFERROR(VLOOKUP(FJ59,CZ57:DR61,19,FALSE),IFERROR(VLOOKUP(FJ59,DT57:EL61,19,FALSE),VLOOKUP(FJ59,EN57:FF61,19,FALSE))))</f>
        <v/>
      </c>
      <c r="FI59" s="13">
        <f>RANK(FH59,FH58:FH61,1)+COUNTIF(FH58:FH59,FH59)-1</f>
        <v/>
      </c>
      <c r="FJ59" s="12">
        <f>BT59</f>
        <v/>
      </c>
      <c r="FZ59" s="79" t="n">
        <v>57</v>
      </c>
      <c r="GA59" s="3">
        <f>GB59&amp;GC59&amp;GD59&amp;GE59&amp;GF59&amp;GG59&amp;GH59&amp;GI59</f>
        <v/>
      </c>
      <c r="GB59" s="3" t="inlineStr">
        <is>
          <t>I</t>
        </is>
      </c>
      <c r="GC59" s="3" t="inlineStr">
        <is>
          <t>G</t>
        </is>
      </c>
      <c r="GD59" s="3" t="inlineStr">
        <is>
          <t>B</t>
        </is>
      </c>
      <c r="GE59" s="3" t="inlineStr">
        <is>
          <t>D</t>
        </is>
      </c>
      <c r="GF59" s="3" t="inlineStr">
        <is>
          <t>J</t>
        </is>
      </c>
      <c r="GG59" s="3" t="inlineStr">
        <is>
          <t>F</t>
        </is>
      </c>
      <c r="GH59" s="3" t="inlineStr">
        <is>
          <t>L</t>
        </is>
      </c>
      <c r="GI59" s="3" t="inlineStr">
        <is>
          <t>K</t>
        </is>
      </c>
      <c r="GJ59" s="9">
        <f>VLOOKUP(GB59,$FM$3:$FN$15,2,FALSE)</f>
        <v/>
      </c>
      <c r="GK59" s="9">
        <f>VLOOKUP(GC59,$FM$3:$FN$15,2,FALSE)</f>
        <v/>
      </c>
      <c r="GL59" s="9">
        <f>VLOOKUP(GD59,$FM$3:$FN$15,2,FALSE)</f>
        <v/>
      </c>
      <c r="GM59" s="9">
        <f>VLOOKUP(GE59,$FM$3:$FN$15,2,FALSE)</f>
        <v/>
      </c>
      <c r="GN59" s="9">
        <f>VLOOKUP(GF59,$FM$3:$FN$15,2,FALSE)</f>
        <v/>
      </c>
      <c r="GO59" s="9">
        <f>VLOOKUP(GG59,$FM$3:$FN$15,2,FALSE)</f>
        <v/>
      </c>
      <c r="GP59" s="9">
        <f>VLOOKUP(GH59,$FM$3:$FN$15,2,FALSE)</f>
        <v/>
      </c>
      <c r="GQ59" s="9">
        <f>VLOOKUP(GI59,$FM$3:$FN$15,2,FALSE)</f>
        <v/>
      </c>
      <c r="GR59" s="9">
        <f>IFERROR(IF(AND(VLOOKUP(GB59,$FX$4:$FX$15,1,FALSE)=GB59,VLOOKUP(GC59,$FX$4:$FX$15,1,FALSE)=GC59,VLOOKUP(GD59,$FX$4:$FX$15,1,FALSE)=GD59,VLOOKUP(GE59,$FX$4:$FX$15,1,FALSE)=GE59,VLOOKUP(GF59,$FX$4:$FX$15,1,FALSE)=GF59,VLOOKUP(GG59,$FX$4:$FX$15,1,FALSE)=GG59,VLOOKUP(GH59,$FX$4:$FX$15,1,FALSE)=GH59,VLOOKUP(GI59,$FX$4:$FX$15,1,FALSE)=GI59),FZ59,""),"")</f>
        <v/>
      </c>
      <c r="GX59" s="79" t="n"/>
    </row>
    <row r="60" ht="14.25" customHeight="1">
      <c r="B60" s="58" t="n">
        <v>39</v>
      </c>
      <c r="C60" s="59" t="n">
        <v>46194</v>
      </c>
      <c r="D60" s="60" t="inlineStr">
        <is>
          <t>Belgien</t>
        </is>
      </c>
      <c r="E60" s="61" t="inlineStr">
        <is>
          <t>-</t>
        </is>
      </c>
      <c r="F60" s="62" t="inlineStr">
        <is>
          <t>Iran</t>
        </is>
      </c>
      <c r="G60" s="63" t="n">
        <v>2</v>
      </c>
      <c r="H60" s="64" t="inlineStr">
        <is>
          <t>-</t>
        </is>
      </c>
      <c r="I60" s="63" t="n">
        <v>0</v>
      </c>
      <c r="J60" s="65">
        <f>IF(OR(ISBLANK(G60),ISBLANK(I60)),"",IF(G60&gt;I60,1,IF(G60&lt;I60,2,"X")))</f>
        <v/>
      </c>
      <c r="K60" s="66">
        <f>IF(OR(G60="",I60="",'[1]Resultat &amp; tabell'!G60="",'[1]Resultat &amp; tabell'!I60=""),0,IF(G60='[1]Resultat &amp; tabell'!G60,2,0)+IF(I60='[1]Resultat &amp; tabell'!I60,2,0)+IF(J60='[1]Resultat &amp; tabell'!J60,2,0))</f>
        <v/>
      </c>
      <c r="L60" s="67" t="n"/>
      <c r="M60" s="29">
        <f>IF(VLOOKUP(D60,$BT$57:$CC$61,10,FALSE)=VLOOKUP(F60,$BT$57:$CC$61,10,FALSE),VLOOKUP(D60,$BT$57:$CC$61,10,FALSE),"-")</f>
        <v/>
      </c>
      <c r="N60" s="30" t="n">
        <v>3</v>
      </c>
      <c r="O60" s="83">
        <f>VLOOKUP(N60,FI58:FJ61,2,FALSE)</f>
        <v/>
      </c>
      <c r="P60" s="84">
        <f>VLOOKUP($O60,$BT$58:$CA$61,2,FALSE)</f>
        <v/>
      </c>
      <c r="Q60" s="84">
        <f>VLOOKUP($O60,$BT$58:$CA$61,3,FALSE)</f>
        <v/>
      </c>
      <c r="R60" s="84">
        <f>VLOOKUP($O60,$BT$58:$CA$61,4,FALSE)</f>
        <v/>
      </c>
      <c r="S60" s="84">
        <f>VLOOKUP($O60,$BT$58:$CA$61,5,FALSE)</f>
        <v/>
      </c>
      <c r="T60" s="84">
        <f>VLOOKUP($O60,$BT$58:$CA$61,6,FALSE)</f>
        <v/>
      </c>
      <c r="U60" s="84">
        <f>VLOOKUP($O60,$BT$58:$CA$61,7,FALSE)</f>
        <v/>
      </c>
      <c r="V60" s="85">
        <f>VLOOKUP($O60,$BT$58:$CA$61,8,FALSE)</f>
        <v/>
      </c>
      <c r="X60" s="1" t="n"/>
      <c r="AE60" s="72">
        <f>C60</f>
        <v/>
      </c>
      <c r="AF60" s="72">
        <f>D60</f>
        <v/>
      </c>
      <c r="AG60" s="72">
        <f>E60</f>
        <v/>
      </c>
      <c r="AH60" s="72">
        <f>F60</f>
        <v/>
      </c>
      <c r="AI60" s="63">
        <f>IF(G60="","",G60)</f>
        <v/>
      </c>
      <c r="AJ60" s="58">
        <f>H60</f>
        <v/>
      </c>
      <c r="AK60" s="63">
        <f>IF(I60="","",I60)</f>
        <v/>
      </c>
      <c r="AL60" s="65">
        <f>J60</f>
        <v/>
      </c>
      <c r="AM60" s="73" t="n"/>
      <c r="AN60" s="13">
        <f>IF(AI60&gt;AK60,1,0)</f>
        <v/>
      </c>
      <c r="AO60" s="13">
        <f>IF(AK60&gt;AI60,1,0)</f>
        <v/>
      </c>
      <c r="AP60" s="13">
        <f>IF(AND(AI60=AK60,AI60&lt;&gt;""),1,0)</f>
        <v/>
      </c>
      <c r="AQ60" s="13">
        <f>IF(AND(AI60=AK60,AI60&lt;&gt;""),1,0)</f>
        <v/>
      </c>
      <c r="AR60" s="13">
        <f>IF(AI60&lt;AK60,1,0)</f>
        <v/>
      </c>
      <c r="AS60" s="13">
        <f>IF(AK60&lt;AI60,1,)</f>
        <v/>
      </c>
      <c r="AT60" s="13">
        <f>IF(ISERROR(VLOOKUP(AF60,CF:CF,1,FALSE)),0,1)*IF(ISERROR(VLOOKUP(AH60,CF:CF,1,FALSE)),0,1)*AN60</f>
        <v/>
      </c>
      <c r="AU60" s="13">
        <f>IF(ISERROR(VLOOKUP(AF60,CF:CF,1,FALSE)),0,1)*IF(ISERROR(VLOOKUP(AH60,CF:CF,1,FALSE)),0,1)*AO60</f>
        <v/>
      </c>
      <c r="AV60" s="13">
        <f>IF(ISERROR(VLOOKUP(AF60,CF:CF,1,FALSE)),0,1)*IF(ISERROR(VLOOKUP(AH60,CF:CF,1,FALSE)),0,1)*AP60</f>
        <v/>
      </c>
      <c r="AW60" s="13">
        <f>IF(ISERROR(VLOOKUP(AF60,CF:CF,1,FALSE)),0,1)*IF(ISERROR(VLOOKUP(AH60,CF:CF,1,FALSE)),0,1)*AQ60</f>
        <v/>
      </c>
      <c r="AX60" s="13">
        <f>IF(ISERROR(VLOOKUP(AF60,CF:CF,1,FALSE)),0,1)*IF(ISERROR(VLOOKUP(AH60,CF:CF,1,FALSE)),0,1)*AR60</f>
        <v/>
      </c>
      <c r="AY60" s="13">
        <f>IF(ISERROR(VLOOKUP(AF60,CF:CF,1,FALSE)),0,1)*IF(ISERROR(VLOOKUP(AH60,CF:CF,1,FALSE)),0,1)*AS60</f>
        <v/>
      </c>
      <c r="AZ60" s="13">
        <f>IF(ISERROR(VLOOKUP(AF60,CZ:CZ,1,FALSE)),0,1)*IF(ISERROR(VLOOKUP(AH60,CZ:CZ,1,FALSE)),0,1)*AN60</f>
        <v/>
      </c>
      <c r="BA60" s="13">
        <f>IF(ISERROR(VLOOKUP(AF60,CZ:CZ,1,FALSE)),0,1)*IF(ISERROR(VLOOKUP(AH60,CZ:CZ,1,FALSE)),0,1)*AO60</f>
        <v/>
      </c>
      <c r="BB60" s="13">
        <f>IF(ISERROR(VLOOKUP(AF60,CZ:CZ,1,FALSE)),0,1)*IF(ISERROR(VLOOKUP(AH60,CZ:CZ,1,FALSE)),0,1)*AP60</f>
        <v/>
      </c>
      <c r="BC60" s="13">
        <f>IF(ISERROR(VLOOKUP(AF60,CZ:CZ,1,FALSE)),0,1)*IF(ISERROR(VLOOKUP(AH60,CZ:CZ,1,FALSE)),0,1)*AQ60</f>
        <v/>
      </c>
      <c r="BD60" s="13">
        <f>IF(ISERROR(VLOOKUP(AF60,CZ:CZ,1,FALSE)),0,1)*IF(ISERROR(VLOOKUP(AH60,CZ:CZ,1,FALSE)),0,1)*AR60</f>
        <v/>
      </c>
      <c r="BE60" s="13">
        <f>IF(ISERROR(VLOOKUP(AF60,CZ:CZ,1,FALSE)),0,1)*IF(ISERROR(VLOOKUP(AH60,CZ:CZ,1,FALSE)),0,1)*AS60</f>
        <v/>
      </c>
      <c r="BF60" s="13">
        <f>IF(ISERROR(VLOOKUP(AF60,DT:DT,1,FALSE)),0,1)*IF(ISERROR(VLOOKUP(AH60,DT:DT,1,FALSE)),0,1)*AN60</f>
        <v/>
      </c>
      <c r="BG60" s="13">
        <f>IF(ISERROR(VLOOKUP(AF60,DT:DT,1,FALSE)),0,1)*IF(ISERROR(VLOOKUP(AH60,DT:DT,1,FALSE)),0,1)*AO60</f>
        <v/>
      </c>
      <c r="BH60" s="13">
        <f>IF(ISERROR(VLOOKUP(AF60,DT:DT,1,FALSE)),0,1)*IF(ISERROR(VLOOKUP(AH60,DT:DT,1,FALSE)),0,1)*AP60</f>
        <v/>
      </c>
      <c r="BI60" s="13">
        <f>IF(ISERROR(VLOOKUP(AF60,DT:DT,1,FALSE)),0,1)*IF(ISERROR(VLOOKUP(AH60,DT:DT,1,FALSE)),0,1)*AQ60</f>
        <v/>
      </c>
      <c r="BJ60" s="13">
        <f>IF(ISERROR(VLOOKUP(AF60,DT:DT,1,FALSE)),0,1)*IF(ISERROR(VLOOKUP(AH60,DT:DT,1,FALSE)),0,1)*AR60</f>
        <v/>
      </c>
      <c r="BK60" s="13">
        <f>IF(ISERROR(VLOOKUP(AF60,DT:DT,1,FALSE)),0,1)*IF(ISERROR(VLOOKUP(AH60,DT:DT,1,FALSE)),0,1)*AS60</f>
        <v/>
      </c>
      <c r="BL60" s="13">
        <f>IF(ISERROR(VLOOKUP(AF60,EN:EN,1,FALSE)),0,1)*IF(ISERROR(VLOOKUP(AH60,EN:EN,1,FALSE)),0,1)*AN60</f>
        <v/>
      </c>
      <c r="BM60" s="13">
        <f>IF(ISERROR(VLOOKUP(AF60,EN:EN,1,FALSE)),0,1)*IF(ISERROR(VLOOKUP(AH60,EN:EN,1,FALSE)),0,1)*AO60</f>
        <v/>
      </c>
      <c r="BN60" s="13">
        <f>IF(ISERROR(VLOOKUP(AF60,EN:EN,1,FALSE)),0,1)*IF(ISERROR(VLOOKUP(AH60,EN:EN,1,FALSE)),0,1)*AP60</f>
        <v/>
      </c>
      <c r="BO60" s="13">
        <f>IF(ISERROR(VLOOKUP(AF60,EN:EN,1,FALSE)),0,1)*IF(ISERROR(VLOOKUP(AH60,EN:EN,1,FALSE)),0,1)*AQ60</f>
        <v/>
      </c>
      <c r="BP60" s="13">
        <f>IF(ISERROR(VLOOKUP(AF60,EN:EN,1,FALSE)),0,1)*IF(ISERROR(VLOOKUP(AH60,EN:EN,1,FALSE)),0,1)*AR60</f>
        <v/>
      </c>
      <c r="BQ60" s="13">
        <f>IF(ISERROR(VLOOKUP(AF60,EN:EN,1,FALSE)),0,1)*IF(ISERROR(VLOOKUP(AH60,EN:EN,1,FALSE)),0,1)*AS60</f>
        <v/>
      </c>
      <c r="BR60" s="137" t="n"/>
      <c r="BS60" s="138" t="n"/>
      <c r="BT60" s="12" t="inlineStr">
        <is>
          <t>Iran</t>
        </is>
      </c>
      <c r="BU60" s="13">
        <f>(SUMIF(AF$4:AF$108,BT60,AN$4:AN$108)+SUMIF(AH$4:AH$108,BT60,AO$4:AO$108))</f>
        <v/>
      </c>
      <c r="BV60" s="13">
        <f>(SUMIF(AF$4:AF$108,BT60,AP$4:AP$108)+SUMIF(AH$4:AH$108,BT60,AQ$4:AQ$108))</f>
        <v/>
      </c>
      <c r="BW60" s="13">
        <f>(SUMIF(AF$4:AF$108,BT60,AR$4:AR$108)+SUMIF(AH$4:AH$108,BT60,AS$4:AS$108))</f>
        <v/>
      </c>
      <c r="BX60" s="13">
        <f>SUMIF($AF$4:$AF$108,BT60,$AI$4:$AI$108)+SUMIF($AH$4:$AH$108,BT60,$AK$4:$AK$108)</f>
        <v/>
      </c>
      <c r="BY60" s="13">
        <f>SUMIF($AF$4:$AF$108,BT60,$AK$4:$AK$108)+SUMIF($AH$4:$AH$108,BT60,$AI$4:$AI$108)</f>
        <v/>
      </c>
      <c r="BZ60" s="13">
        <f>BX60-BY60</f>
        <v/>
      </c>
      <c r="CA60" s="13">
        <f>IFERROR(BU60*3+BV60*1,0)</f>
        <v/>
      </c>
      <c r="CB60" s="13" t="inlineStr">
        <is>
          <t>G</t>
        </is>
      </c>
      <c r="CC60" s="74">
        <f>RANK(CA60,CA58:CA61)</f>
        <v/>
      </c>
      <c r="CD60" s="13">
        <f>SUMPRODUCT((CA58:CA61=CA60)*(BZ58:BZ61&gt;BZ60))</f>
        <v/>
      </c>
      <c r="CF60" s="12">
        <f>IF(CC60=1,BT60,)</f>
        <v/>
      </c>
      <c r="CG60" s="13">
        <f>(SUMIF($AF$4:$AF$108,$BT60,$AT$4:$AT$108)+SUMIF($AH$4:$AH$108,$BT60,$AU$4:$AU$108))</f>
        <v/>
      </c>
      <c r="CH60" s="13">
        <f>(SUMIF($AF$4:$AF$108,$BT60,$AV$4:$AV$108)+SUMIF($AH$4:$AH$108,$BT60,$AW$4:$AW$108))</f>
        <v/>
      </c>
      <c r="CI60" s="13">
        <f>(SUMIF($AF$4:$AF$108,$BT60,$AX$4:$AX$108)+SUMIF($AH$4:$AH$108,$BT60,$AY$4:$AY$108))</f>
        <v/>
      </c>
      <c r="CJ60" s="13">
        <f>IFERROR(CG60*3+CH60*1,0)</f>
        <v/>
      </c>
      <c r="CK60" s="13">
        <f>CB60</f>
        <v/>
      </c>
      <c r="CL60" s="13">
        <f>IF(CF60&gt;0,RANK(CJ60,CJ58:CJ61),)</f>
        <v/>
      </c>
      <c r="CM60" s="13">
        <f>IF(AND(CF60&gt;0,COUNTIF(CL58:CL61,CL60)&gt;1),SUMIFS($AI$4:$AI$108,$AF$4:$AF$108,$BT60,$M$4:$M$108,1)+SUMIFS($AK$4:$AK$108,$AH$4:$AH$108,$BT60,$M$4:$M$108,1)-SUMIFS($AK$4:$AK$108,$AF$4:$AF$108,$BT60,$M$4:$M$108,1)-SUMIFS($AI$4:$AI$108,$AH$4:$AH$108,$BT60,$M$4:$M$108,1),)</f>
        <v/>
      </c>
      <c r="CN60" s="13">
        <f>IF(AND(CF60&gt;0,COUNTIF(CL58:CL61,CL60)&gt;1),CL60+RANK(CM60,CM58:CM61)-1,CL60)</f>
        <v/>
      </c>
      <c r="CO60" s="13">
        <f>IF(AND(CF60&gt;0,COUNTIF(CN58:CN61,CN60)&gt;1),SUMIFS($AI$4:$AI$108,$AF$4:$AF$108,$BT60,$M$4:$M$108,1)+SUMIFS($AK$4:$AK$108,$AH$4:$AH$108,$BT60,$M$4:$M$108,1),)</f>
        <v/>
      </c>
      <c r="CP60" s="13">
        <f>IF(AND(CF60&gt;0,COUNTIF(CN58:CN61,CN60)&gt;1),CN60+RANK(CO60,CO58:CO61)-1,CN60)</f>
        <v/>
      </c>
      <c r="CQ60" s="13">
        <f>IF(CP60=0,"",CP60)</f>
        <v/>
      </c>
      <c r="CR60" s="13">
        <f>IF(OR(CQ60="",COUNTIF(CQ58:CQ61,CQ60)=1),"",$BZ60)</f>
        <v/>
      </c>
      <c r="CS60" s="13">
        <f>IF(CQ60="","",IF(COUNTIF(CQ58:CQ61,CQ60)=1,CQ60,CQ60+RANK(CR60,CR58:CR61,0)-1))</f>
        <v/>
      </c>
      <c r="CT60" s="13">
        <f>IF(OR(CS60="",COUNTIF(CS58:CS61,CS60)=1),"",$BX60)</f>
        <v/>
      </c>
      <c r="CU60" s="13">
        <f>IF(CQ60="","",IF(COUNTIF(CS58:CS61,CS60)=1,CS60,CS60+RANK(CT60,CT58:CT61,0)-1))</f>
        <v/>
      </c>
      <c r="CV60" s="13">
        <f>IF(OR(CU60="",COUNTIF(CU58:CU61,CU60)=1),"",$BU60)</f>
        <v/>
      </c>
      <c r="CW60" s="13">
        <f>IF(CQ60="","",IF(COUNTIF(CU58:CU61,CU60)=1,CU60,CU60+RANK(CV60,CV58:CV61,0)-1))</f>
        <v/>
      </c>
      <c r="CX60" s="13">
        <f>IF(CF60&gt;0,BM56+RANK(CW60,CW58:CW61,1),)</f>
        <v/>
      </c>
      <c r="CZ60" s="12">
        <f>IF(CC60=2,BT60,)</f>
        <v/>
      </c>
      <c r="DA60" s="13">
        <f>(SUMIF($AF$4:$AF$108,$BT60,$AZ$4:$AZ$108)+SUMIF($AH$4:$AH$108,$BT60,$BA$4:$BA$108))</f>
        <v/>
      </c>
      <c r="DB60" s="13">
        <f>(SUMIF($AF$4:$AF$108,$BT60,$BB$4:$BB$108)+SUMIF($AH$4:$AH$108,$BT60,$BC$4:$BC$108))</f>
        <v/>
      </c>
      <c r="DC60" s="13">
        <f>(SUMIF($AF$4:$AF$108,$BT60,$BD$4:$BD$108)+SUMIF($AH$4:$AH$108,$BT60,$BE$4:$BE$108))</f>
        <v/>
      </c>
      <c r="DD60" s="13">
        <f>IFERROR(DA60*3+DB60*1,0)</f>
        <v/>
      </c>
      <c r="DE60" s="13">
        <f>$CB60</f>
        <v/>
      </c>
      <c r="DF60" s="13">
        <f>IF(CZ60&gt;0,RANK(DD60,DD58:DD61)+CG56,)</f>
        <v/>
      </c>
      <c r="DG60" s="13">
        <f>IF(AND(CZ60&gt;0,COUNTIF(DF58:DF61,DF60)&gt;1),SUMIFS($AI$4:$AI$108,$AF$4:$AF$108,$BT60,$M$4:$M$108,2)+SUMIFS($AK$4:$AK$108,$AH$4:$AH108,$BT60,$M$4:$M$108,2)-SUMIFS($AK$4:$AK$108,$AF$4:$AF$108,$BT60,$M$4:$M$108,2)-SUMIFS($AI$4:$AI$108,$AH$4:$AH$108,$BT60,$M$4:$M$108,2),)</f>
        <v/>
      </c>
      <c r="DH60" s="13">
        <f>IF(AND(CZ60&gt;0,COUNTIF(DF58:DF61,DF60)&gt;1),DF60+RANK(DG60,DG58:DG61)-1,DF60)</f>
        <v/>
      </c>
      <c r="DI60" s="13">
        <f>IF(AND(CZ60&gt;0,COUNTIF(DH58:DH61,DH60)&gt;1),SUMIFS($AI$4:$AI$108,$AF$4:$AF$108,$BT60,$M$4:$M$108,2)+SUMIFS($AK$4:$AK$108,$AH$4:$AH$108,$BT60,$M$4:$M$108,2),)</f>
        <v/>
      </c>
      <c r="DJ60" s="13">
        <f>IF(AND(CZ60&gt;0,COUNTIF(DH58:DH61,DH60)&gt;1),DH60+RANK(DI60,DI58:DI61)-1,DH60)</f>
        <v/>
      </c>
      <c r="DK60" s="75">
        <f>IF(DJ60=0,"",DJ60)</f>
        <v/>
      </c>
      <c r="DL60" s="75">
        <f>IF(OR(DK60="",COUNTIF(DK58:DK61,DK60)=1),"",$BZ60)</f>
        <v/>
      </c>
      <c r="DM60" s="75">
        <f>IF(DK60="","",IF(COUNTIF(DK58:DK61,DK60)=1,DK60,DK60+RANK(DL60,DL58:DL61,0)-1))</f>
        <v/>
      </c>
      <c r="DN60" s="75">
        <f>IF(OR(DM60="",COUNTIF(DM58:DM61,DM60)=1),"",$BX60)</f>
        <v/>
      </c>
      <c r="DO60" s="75">
        <f>IF(DK60="","",IF(COUNTIF(DM58:DM61,DM60)=1,DM60,DM60+RANK(DN60,DN58:DN61,0)-1))</f>
        <v/>
      </c>
      <c r="DP60" s="75">
        <f>IF(OR(DO60="",COUNTIF(DO58:DO61,DO60)=1),"",$BU60)</f>
        <v/>
      </c>
      <c r="DQ60" s="75">
        <f>IF(DK60="","",IF(COUNTIF(DO58:DO61,DO60)=1,DO60,DO60+RANK(DP60,DP58:DP61,0)-1))</f>
        <v/>
      </c>
      <c r="DR60" s="13">
        <f>IF(CZ60&gt;0,CG56+RANK(DQ60,DQ58:DQ61,1),)</f>
        <v/>
      </c>
      <c r="DT60" s="13">
        <f>IF(CC60=3,BT60,)</f>
        <v/>
      </c>
      <c r="DU60" s="13">
        <f>(SUMIF($AF$4:$AF$108,BT60,$BF$4:$BF$108)+SUMIF($AH$4:$AH$108,BT60,$BG$4:$BG$108))</f>
        <v/>
      </c>
      <c r="DV60" s="13">
        <f>(SUMIF($AF$4:$AF$108,BT60,$BH$4:$BH$108)+SUMIF($AH$4:$AH$108,BT60,$BI$4:$BI$108))</f>
        <v/>
      </c>
      <c r="DW60" s="13">
        <f>(SUMIF($AF$4:$AF$108,BT60,$BJ$4:$BJ$108)+SUMIF($AH$4:$AH$108,BT60,$BK$4:$BK$108))</f>
        <v/>
      </c>
      <c r="DX60" s="13">
        <f>IFERROR(DU60*3+DV60*1,0)</f>
        <v/>
      </c>
      <c r="DY60" s="13">
        <f>CB60</f>
        <v/>
      </c>
      <c r="DZ60" s="13">
        <f>IF(DT60&gt;0,RANK(DX60,DX58:DX61)+CG56+DA56,)</f>
        <v/>
      </c>
      <c r="EA60" s="13">
        <f>IF(AND(DT60&gt;0,COUNTIF(DZ58:DZ61,DZ60)&gt;1),SUMIFS($AI$4:$AI$108,$AF$4:$AF$108,$BT60,$M$4:$M$108,3)+SUMIFS($AK$4:$AK$108,$AH$4:$AH$108,$BT60,$M$4:$M$108,3)-SUMIFS($AK$4:$AK$108,$AF$4:$AF$108,$BT60,$M$4:$M$108,3)-SUMIFS($AI$4:$AI$108,$AH$4:$AH$108,$BT60,$M$4:$M$108,3),)</f>
        <v/>
      </c>
      <c r="EB60" s="13">
        <f>IF(AND(DT60&gt;0,COUNTIF(DZ58:DZ61,DZ60)&gt;1),DZ60+RANK(EA60,EA58:EA61)-1,DZ60)</f>
        <v/>
      </c>
      <c r="EC60" s="13">
        <f>IF(AND(DT60&gt;0,COUNTIF(EB58:EB61,EB60)&gt;1),SUMIFS($AI$4:$AI$108,$AF$4:$AF$108,$BT60,$M$4:$M$108,3)+SUMIFS($AK$4:$AK$108,$AH$4:$AH$108,$BT60,$M$4:$M$108,3),)</f>
        <v/>
      </c>
      <c r="ED60" s="13">
        <f>IF(AND(DT60&gt;0,COUNTIF(EB58:EB61,EB60)&gt;1),EB60+RANK(EC60,EC58:EC61)-1,EB60)</f>
        <v/>
      </c>
      <c r="EE60" s="13">
        <f>IF(ED60=0,"",ED60)</f>
        <v/>
      </c>
      <c r="EF60" s="13">
        <f>IF(OR(EE60="",COUNTIF(EE58:EE61,EE60)=1),"",$BZ60)</f>
        <v/>
      </c>
      <c r="EG60" s="13">
        <f>IF(EE60="","",IF(COUNTIF(EE58:EE61,EE60)=1,EE60,EE60+RANK(EF60,EF58:EF61,0)-1))</f>
        <v/>
      </c>
      <c r="EH60" s="13">
        <f>IF(OR(EG60="",COUNTIF(EG58:EG61,EG60)=1),"",$BX60)</f>
        <v/>
      </c>
      <c r="EI60" s="13">
        <f>IF(EE60="","",IF(COUNTIF(EG58:EG61,EG60)=1,EG60,EG60+RANK(EH60,EH58:EH61,0)-1))</f>
        <v/>
      </c>
      <c r="EJ60" s="13">
        <f>IF(OR(EI60="",COUNTIF(EI58:EI61,EI60)=1),"",$BU60)</f>
        <v/>
      </c>
      <c r="EK60" s="13">
        <f>IF(EE60="","",IF(COUNTIF(EI58:EI61,EI60)=1,EI60,EI60+RANK(EJ60,EJ58:EJ61,0)-1))</f>
        <v/>
      </c>
      <c r="EL60" s="13">
        <f>IF(DT60&gt;0,CG56+DA56+RANK(EK60,EK58:EK61,1),)</f>
        <v/>
      </c>
      <c r="EN60" s="13">
        <f>IF(CC60=4,BT60,)</f>
        <v/>
      </c>
      <c r="EO60" s="13">
        <f>(SUMIF($AF$4:$AF$108,$BT60,$BL$4:$BL$108)+SUMIF($AH$4:$AH$108,$BT60,$BM$4:$BM$108))</f>
        <v/>
      </c>
      <c r="EP60" s="13">
        <f>(SUMIF($AF$4:$AF$108,$BT60,$BN$4:$BN$108)+SUMIF($AH$4:$AH$108,$BT60,$BO$4:$BO$108))</f>
        <v/>
      </c>
      <c r="EQ60" s="13">
        <f>(SUMIF($AF$4:$AF$108,$BT60,$BP$4:$BP$108)+SUMIF($AH$4:$AH$108,$BT60,$BQ$4:$BQ$108))</f>
        <v/>
      </c>
      <c r="ER60" s="13">
        <f>IFERROR(EO60*3+EP60*1,0)</f>
        <v/>
      </c>
      <c r="ES60" s="13">
        <f>$CB60</f>
        <v/>
      </c>
      <c r="ET60" s="13">
        <f>IF(EN60&gt;0,RANK(ER60,ER58:ER61)+CG56+DA56+DU56,)</f>
        <v/>
      </c>
      <c r="EU60" s="13">
        <f>IF(AND(EN60&gt;0,COUNTIF(ET58:ET61,ET60)&gt;1),SUMIFS($AI$4:$AI$108,$AF$4:$AF$108,$BT60,$M$4:$M$108,4)+SUMIFS($AK$4:$AK$108,$AH$4:$AH$108,$BT60,$M$4:$M$108,4)-SUMIFS($AK$4:$AK$108,$AF$4:$AF$108,$BT60,$M$4:$M$108,4)-SUMIFS($AI$4:$AI$108,$AH$4:$AH$108,$BT60,$M$4:$M$108,4),)</f>
        <v/>
      </c>
      <c r="EV60" s="13">
        <f>IF(AND(EN60&gt;0,COUNTIF(ET58:ET61,ET60)&gt;1),ET60+RANK(EU60,EU58:EU61)-1,ET60)</f>
        <v/>
      </c>
      <c r="EW60" s="13">
        <f>IF(AND(EN60&gt;0,COUNTIF(EV60:EV63,EV60)&gt;1),SUMIFS($AI$4:$AI$108,$AF$4:$AF$108,$BT60,$M$4:$M$108,4)+SUMIFS($AK$4:$AK$108,$AH$4:$AH$108,$BT60,$M$4:$M$108,4),)</f>
        <v/>
      </c>
      <c r="EX60" s="13">
        <f>IF(AND(EN60&gt;0,COUNTIF(EV58:EV61,EV60)&gt;1),EV60+RANK(EW60,EW58:EW61)-1,EV60)</f>
        <v/>
      </c>
      <c r="EY60" s="13">
        <f>IF(EX60=0,"",EX60)</f>
        <v/>
      </c>
      <c r="EZ60" s="13">
        <f>IF(OR(EY60="",COUNTIF(EY58:EY61,EY60)=1),"",$BZ60)</f>
        <v/>
      </c>
      <c r="FA60" s="13">
        <f>IF(EY60="","",IF(COUNTIF(EY58:EY61,EY60)=1,EY60,EY60+RANK(EZ60,EZ58:EZ61,0)-1))</f>
        <v/>
      </c>
      <c r="FB60" s="13">
        <f>IF(OR(FA60="",COUNTIF(FA58:FA61,FA60)=1),"",$BX60)</f>
        <v/>
      </c>
      <c r="FC60" s="13">
        <f>IF(EY60="","",IF(COUNTIF(FA58:FA61,FA60)=1,FA60,FA60+RANK(FB60,FB58:FB61,0)-1))</f>
        <v/>
      </c>
      <c r="FD60" s="13">
        <f>IF(OR(FC60="",COUNTIF(FC58:FC61,FC60)=1),"",$BU60)</f>
        <v/>
      </c>
      <c r="FE60" s="13">
        <f>IF(EY60="","",IF(COUNTIF(FC58:FC61,FC60)=1,FC60,FC60+RANK(FD60,FD58:FD61,0)-1))</f>
        <v/>
      </c>
      <c r="FF60" s="13">
        <f>IF(EN60&gt;0,CG56+DA56+DU56+RANK(FE60,FE58:FE61,1),)</f>
        <v/>
      </c>
      <c r="FH60" s="13">
        <f>IFERROR(VLOOKUP(FJ60,CF57:CX61,19,FALSE),IFERROR(VLOOKUP(FJ60,CZ57:DR61,19,FALSE),IFERROR(VLOOKUP(FJ60,DT57:EL61,19,FALSE),VLOOKUP(FJ60,EN57:FF61,19,FALSE))))</f>
        <v/>
      </c>
      <c r="FI60" s="13">
        <f>RANK(FH60,FH58:FH61,1)+COUNTIF(FH58:FH60,FH60)-1</f>
        <v/>
      </c>
      <c r="FJ60" s="12">
        <f>BT60</f>
        <v/>
      </c>
      <c r="FZ60" s="79" t="n">
        <v>58</v>
      </c>
      <c r="GA60" s="3">
        <f>GB60&amp;GC60&amp;GD60&amp;GE60&amp;GF60&amp;GG60&amp;GH60&amp;GI60</f>
        <v/>
      </c>
      <c r="GB60" s="3" t="inlineStr">
        <is>
          <t>H</t>
        </is>
      </c>
      <c r="GC60" s="3" t="inlineStr">
        <is>
          <t>G</t>
        </is>
      </c>
      <c r="GD60" s="3" t="inlineStr">
        <is>
          <t>B</t>
        </is>
      </c>
      <c r="GE60" s="3" t="inlineStr">
        <is>
          <t>D</t>
        </is>
      </c>
      <c r="GF60" s="3" t="inlineStr">
        <is>
          <t>J</t>
        </is>
      </c>
      <c r="GG60" s="3" t="inlineStr">
        <is>
          <t>F</t>
        </is>
      </c>
      <c r="GH60" s="3" t="inlineStr">
        <is>
          <t>L</t>
        </is>
      </c>
      <c r="GI60" s="3" t="inlineStr">
        <is>
          <t>K</t>
        </is>
      </c>
      <c r="GJ60" s="9">
        <f>VLOOKUP(GB60,$FM$3:$FN$15,2,FALSE)</f>
        <v/>
      </c>
      <c r="GK60" s="9">
        <f>VLOOKUP(GC60,$FM$3:$FN$15,2,FALSE)</f>
        <v/>
      </c>
      <c r="GL60" s="9">
        <f>VLOOKUP(GD60,$FM$3:$FN$15,2,FALSE)</f>
        <v/>
      </c>
      <c r="GM60" s="9">
        <f>VLOOKUP(GE60,$FM$3:$FN$15,2,FALSE)</f>
        <v/>
      </c>
      <c r="GN60" s="9">
        <f>VLOOKUP(GF60,$FM$3:$FN$15,2,FALSE)</f>
        <v/>
      </c>
      <c r="GO60" s="9">
        <f>VLOOKUP(GG60,$FM$3:$FN$15,2,FALSE)</f>
        <v/>
      </c>
      <c r="GP60" s="9">
        <f>VLOOKUP(GH60,$FM$3:$FN$15,2,FALSE)</f>
        <v/>
      </c>
      <c r="GQ60" s="9">
        <f>VLOOKUP(GI60,$FM$3:$FN$15,2,FALSE)</f>
        <v/>
      </c>
      <c r="GR60" s="9">
        <f>IFERROR(IF(AND(VLOOKUP(GB60,$FX$4:$FX$15,1,FALSE)=GB60,VLOOKUP(GC60,$FX$4:$FX$15,1,FALSE)=GC60,VLOOKUP(GD60,$FX$4:$FX$15,1,FALSE)=GD60,VLOOKUP(GE60,$FX$4:$FX$15,1,FALSE)=GE60,VLOOKUP(GF60,$FX$4:$FX$15,1,FALSE)=GF60,VLOOKUP(GG60,$FX$4:$FX$15,1,FALSE)=GG60,VLOOKUP(GH60,$FX$4:$FX$15,1,FALSE)=GH60,VLOOKUP(GI60,$FX$4:$FX$15,1,FALSE)=GI60),FZ60,""),"")</f>
        <v/>
      </c>
      <c r="GX60" s="79" t="n"/>
    </row>
    <row r="61" ht="14.25" customHeight="1">
      <c r="B61" s="58" t="n">
        <v>40</v>
      </c>
      <c r="C61" s="59" t="n">
        <v>46195</v>
      </c>
      <c r="D61" s="60" t="inlineStr">
        <is>
          <t>Nya Zeeland</t>
        </is>
      </c>
      <c r="E61" s="61" t="inlineStr">
        <is>
          <t>-</t>
        </is>
      </c>
      <c r="F61" s="62" t="inlineStr">
        <is>
          <t>Egypten</t>
        </is>
      </c>
      <c r="G61" s="63" t="n">
        <v>0</v>
      </c>
      <c r="H61" s="64" t="inlineStr">
        <is>
          <t>-</t>
        </is>
      </c>
      <c r="I61" s="63" t="n">
        <v>2</v>
      </c>
      <c r="J61" s="65">
        <f>IF(OR(ISBLANK(G61),ISBLANK(I61)),"",IF(G61&gt;I61,1,IF(G61&lt;I61,2,"X")))</f>
        <v/>
      </c>
      <c r="K61" s="66">
        <f>IF(OR(G61="",I61="",'[1]Resultat &amp; tabell'!G61="",'[1]Resultat &amp; tabell'!I61=""),0,IF(G61='[1]Resultat &amp; tabell'!G61,2,0)+IF(I61='[1]Resultat &amp; tabell'!I61,2,0)+IF(J61='[1]Resultat &amp; tabell'!J61,2,0))</f>
        <v/>
      </c>
      <c r="L61" s="67" t="n"/>
      <c r="M61" s="29">
        <f>IF(VLOOKUP(D61,$BT$57:$CC$61,10,FALSE)=VLOOKUP(F61,$BT$57:$CC$61,10,FALSE),VLOOKUP(D61,$BT$57:$CC$61,10,FALSE),"-")</f>
        <v/>
      </c>
      <c r="N61" s="30" t="n">
        <v>4</v>
      </c>
      <c r="O61" s="86">
        <f>VLOOKUP(N61,FI58:FJ61,2,FALSE)</f>
        <v/>
      </c>
      <c r="P61" s="87">
        <f>VLOOKUP($O61,$BT$58:$CA$61,2,FALSE)</f>
        <v/>
      </c>
      <c r="Q61" s="87">
        <f>VLOOKUP($O61,$BT$58:$CA$61,3,FALSE)</f>
        <v/>
      </c>
      <c r="R61" s="87">
        <f>VLOOKUP($O61,$BT$58:$CA$61,4,FALSE)</f>
        <v/>
      </c>
      <c r="S61" s="87">
        <f>VLOOKUP($O61,$BT$58:$CA$61,5,FALSE)</f>
        <v/>
      </c>
      <c r="T61" s="87">
        <f>VLOOKUP($O61,$BT$58:$CA$61,6,FALSE)</f>
        <v/>
      </c>
      <c r="U61" s="87">
        <f>VLOOKUP($O61,$BT$58:$CA$61,7,FALSE)</f>
        <v/>
      </c>
      <c r="V61" s="82">
        <f>VLOOKUP($O61,$BT$58:$CA$61,8,FALSE)</f>
        <v/>
      </c>
      <c r="X61" s="1" t="n"/>
      <c r="AE61" s="72">
        <f>C61</f>
        <v/>
      </c>
      <c r="AF61" s="72">
        <f>D61</f>
        <v/>
      </c>
      <c r="AG61" s="72">
        <f>E61</f>
        <v/>
      </c>
      <c r="AH61" s="72">
        <f>F61</f>
        <v/>
      </c>
      <c r="AI61" s="63">
        <f>IF(G61="","",G61)</f>
        <v/>
      </c>
      <c r="AJ61" s="58">
        <f>H61</f>
        <v/>
      </c>
      <c r="AK61" s="63">
        <f>IF(I61="","",I61)</f>
        <v/>
      </c>
      <c r="AL61" s="65">
        <f>J61</f>
        <v/>
      </c>
      <c r="AM61" s="73" t="n"/>
      <c r="AN61" s="13">
        <f>IF(AI61&gt;AK61,1,0)</f>
        <v/>
      </c>
      <c r="AO61" s="13">
        <f>IF(AK61&gt;AI61,1,0)</f>
        <v/>
      </c>
      <c r="AP61" s="13">
        <f>IF(AND(AI61=AK61,AI61&lt;&gt;""),1,0)</f>
        <v/>
      </c>
      <c r="AQ61" s="13">
        <f>IF(AND(AI61=AK61,AI61&lt;&gt;""),1,0)</f>
        <v/>
      </c>
      <c r="AR61" s="13">
        <f>IF(AI61&lt;AK61,1,0)</f>
        <v/>
      </c>
      <c r="AS61" s="13">
        <f>IF(AK61&lt;AI61,1,)</f>
        <v/>
      </c>
      <c r="AT61" s="13">
        <f>IF(ISERROR(VLOOKUP(AF61,CF:CF,1,FALSE)),0,1)*IF(ISERROR(VLOOKUP(AH61,CF:CF,1,FALSE)),0,1)*AN61</f>
        <v/>
      </c>
      <c r="AU61" s="13">
        <f>IF(ISERROR(VLOOKUP(AF61,CF:CF,1,FALSE)),0,1)*IF(ISERROR(VLOOKUP(AH61,CF:CF,1,FALSE)),0,1)*AO61</f>
        <v/>
      </c>
      <c r="AV61" s="13">
        <f>IF(ISERROR(VLOOKUP(AF61,CF:CF,1,FALSE)),0,1)*IF(ISERROR(VLOOKUP(AH61,CF:CF,1,FALSE)),0,1)*AP61</f>
        <v/>
      </c>
      <c r="AW61" s="13">
        <f>IF(ISERROR(VLOOKUP(AF61,CF:CF,1,FALSE)),0,1)*IF(ISERROR(VLOOKUP(AH61,CF:CF,1,FALSE)),0,1)*AQ61</f>
        <v/>
      </c>
      <c r="AX61" s="13">
        <f>IF(ISERROR(VLOOKUP(AF61,CF:CF,1,FALSE)),0,1)*IF(ISERROR(VLOOKUP(AH61,CF:CF,1,FALSE)),0,1)*AR61</f>
        <v/>
      </c>
      <c r="AY61" s="13">
        <f>IF(ISERROR(VLOOKUP(AF61,CF:CF,1,FALSE)),0,1)*IF(ISERROR(VLOOKUP(AH61,CF:CF,1,FALSE)),0,1)*AS61</f>
        <v/>
      </c>
      <c r="AZ61" s="13">
        <f>IF(ISERROR(VLOOKUP(AF61,CZ:CZ,1,FALSE)),0,1)*IF(ISERROR(VLOOKUP(AH61,CZ:CZ,1,FALSE)),0,1)*AN61</f>
        <v/>
      </c>
      <c r="BA61" s="13">
        <f>IF(ISERROR(VLOOKUP(AF61,CZ:CZ,1,FALSE)),0,1)*IF(ISERROR(VLOOKUP(AH61,CZ:CZ,1,FALSE)),0,1)*AO61</f>
        <v/>
      </c>
      <c r="BB61" s="13">
        <f>IF(ISERROR(VLOOKUP(AF61,CZ:CZ,1,FALSE)),0,1)*IF(ISERROR(VLOOKUP(AH61,CZ:CZ,1,FALSE)),0,1)*AP61</f>
        <v/>
      </c>
      <c r="BC61" s="13">
        <f>IF(ISERROR(VLOOKUP(AF61,CZ:CZ,1,FALSE)),0,1)*IF(ISERROR(VLOOKUP(AH61,CZ:CZ,1,FALSE)),0,1)*AQ61</f>
        <v/>
      </c>
      <c r="BD61" s="13">
        <f>IF(ISERROR(VLOOKUP(AF61,CZ:CZ,1,FALSE)),0,1)*IF(ISERROR(VLOOKUP(AH61,CZ:CZ,1,FALSE)),0,1)*AR61</f>
        <v/>
      </c>
      <c r="BE61" s="13">
        <f>IF(ISERROR(VLOOKUP(AF61,CZ:CZ,1,FALSE)),0,1)*IF(ISERROR(VLOOKUP(AH61,CZ:CZ,1,FALSE)),0,1)*AS61</f>
        <v/>
      </c>
      <c r="BF61" s="13">
        <f>IF(ISERROR(VLOOKUP(AF61,DT:DT,1,FALSE)),0,1)*IF(ISERROR(VLOOKUP(AH61,DT:DT,1,FALSE)),0,1)*AN61</f>
        <v/>
      </c>
      <c r="BG61" s="13">
        <f>IF(ISERROR(VLOOKUP(AF61,DT:DT,1,FALSE)),0,1)*IF(ISERROR(VLOOKUP(AH61,DT:DT,1,FALSE)),0,1)*AO61</f>
        <v/>
      </c>
      <c r="BH61" s="13">
        <f>IF(ISERROR(VLOOKUP(AF61,DT:DT,1,FALSE)),0,1)*IF(ISERROR(VLOOKUP(AH61,DT:DT,1,FALSE)),0,1)*AP61</f>
        <v/>
      </c>
      <c r="BI61" s="13">
        <f>IF(ISERROR(VLOOKUP(AF61,DT:DT,1,FALSE)),0,1)*IF(ISERROR(VLOOKUP(AH61,DT:DT,1,FALSE)),0,1)*AQ61</f>
        <v/>
      </c>
      <c r="BJ61" s="13">
        <f>IF(ISERROR(VLOOKUP(AF61,DT:DT,1,FALSE)),0,1)*IF(ISERROR(VLOOKUP(AH61,DT:DT,1,FALSE)),0,1)*AR61</f>
        <v/>
      </c>
      <c r="BK61" s="13">
        <f>IF(ISERROR(VLOOKUP(AF61,DT:DT,1,FALSE)),0,1)*IF(ISERROR(VLOOKUP(AH61,DT:DT,1,FALSE)),0,1)*AS61</f>
        <v/>
      </c>
      <c r="BL61" s="13">
        <f>IF(ISERROR(VLOOKUP(AF61,EN:EN,1,FALSE)),0,1)*IF(ISERROR(VLOOKUP(AH61,EN:EN,1,FALSE)),0,1)*AN61</f>
        <v/>
      </c>
      <c r="BM61" s="13">
        <f>IF(ISERROR(VLOOKUP(AF61,EN:EN,1,FALSE)),0,1)*IF(ISERROR(VLOOKUP(AH61,EN:EN,1,FALSE)),0,1)*AO61</f>
        <v/>
      </c>
      <c r="BN61" s="13">
        <f>IF(ISERROR(VLOOKUP(AF61,EN:EN,1,FALSE)),0,1)*IF(ISERROR(VLOOKUP(AH61,EN:EN,1,FALSE)),0,1)*AP61</f>
        <v/>
      </c>
      <c r="BO61" s="13">
        <f>IF(ISERROR(VLOOKUP(AF61,EN:EN,1,FALSE)),0,1)*IF(ISERROR(VLOOKUP(AH61,EN:EN,1,FALSE)),0,1)*AQ61</f>
        <v/>
      </c>
      <c r="BP61" s="13">
        <f>IF(ISERROR(VLOOKUP(AF61,EN:EN,1,FALSE)),0,1)*IF(ISERROR(VLOOKUP(AH61,EN:EN,1,FALSE)),0,1)*AR61</f>
        <v/>
      </c>
      <c r="BQ61" s="13">
        <f>IF(ISERROR(VLOOKUP(AF61,EN:EN,1,FALSE)),0,1)*IF(ISERROR(VLOOKUP(AH61,EN:EN,1,FALSE)),0,1)*AS61</f>
        <v/>
      </c>
      <c r="BR61" s="137" t="n"/>
      <c r="BS61" s="138" t="n"/>
      <c r="BT61" s="88" t="inlineStr">
        <is>
          <t>Nya Zeeland</t>
        </is>
      </c>
      <c r="BU61" s="13">
        <f>(SUMIF(AF$4:AF$108,BT61,AN$4:AN$108)+SUMIF(AH$4:AH$108,BT61,AO$4:AO$108))</f>
        <v/>
      </c>
      <c r="BV61" s="13">
        <f>(SUMIF(AF$4:AF$108,BT61,AP$4:AP$108)+SUMIF(AH$4:AH$108,BT61,AQ$4:AQ$108))</f>
        <v/>
      </c>
      <c r="BW61" s="13">
        <f>(SUMIF(AF$4:AF$108,BT61,AR$4:AR$108)+SUMIF(AH$4:AH$108,BT61,AS$4:AS$108))</f>
        <v/>
      </c>
      <c r="BX61" s="13">
        <f>SUMIF($AF$4:$AF$108,BT61,$AI$4:$AI$108)+SUMIF($AH$4:$AH$108,BT61,$AK$4:$AK$108)</f>
        <v/>
      </c>
      <c r="BY61" s="13">
        <f>SUMIF($AF$4:$AF$108,BT61,$AK$4:$AK$108)+SUMIF($AH$4:$AH$108,BT61,$AI$4:$AI$108)</f>
        <v/>
      </c>
      <c r="BZ61" s="13">
        <f>BX61-BY61</f>
        <v/>
      </c>
      <c r="CA61" s="13">
        <f>IFERROR(BU61*3+BV61*1,0)</f>
        <v/>
      </c>
      <c r="CB61" s="89" t="inlineStr">
        <is>
          <t>G</t>
        </is>
      </c>
      <c r="CC61" s="74">
        <f>RANK(CA61,CA58:CA61)</f>
        <v/>
      </c>
      <c r="CD61" s="13">
        <f>SUMPRODUCT((CA58:CA61=CA61)*(BZ58:BZ61&gt;BZ61))</f>
        <v/>
      </c>
      <c r="CF61" s="88">
        <f>IF(CC61=1,BT61,)</f>
        <v/>
      </c>
      <c r="CG61" s="13">
        <f>(SUMIF($AF$4:$AF$108,$BT61,$AT$4:$AT$108)+SUMIF($AH$4:$AH$108,$BT61,$AU$4:$AU$108))</f>
        <v/>
      </c>
      <c r="CH61" s="13">
        <f>(SUMIF($AF$4:$AF$108,$BT61,$AV$4:$AV$108)+SUMIF($AH$4:$AH$108,$BT61,$AW$4:$AW$108))</f>
        <v/>
      </c>
      <c r="CI61" s="13">
        <f>(SUMIF($AF$4:$AF$108,$BT61,$AX$4:$AX$108)+SUMIF($AH$4:$AH$108,$BT61,$AY$4:$AY$108))</f>
        <v/>
      </c>
      <c r="CJ61" s="13">
        <f>IFERROR(CG61*3+CH61*1,0)</f>
        <v/>
      </c>
      <c r="CK61" s="13">
        <f>CB61</f>
        <v/>
      </c>
      <c r="CL61" s="13">
        <f>IF(CF61&gt;0,RANK(CJ61,CJ58:CJ61),)</f>
        <v/>
      </c>
      <c r="CM61" s="13">
        <f>IF(AND(CF61&gt;0,COUNTIF(CL58:CL61,CL61)&gt;1),SUMIFS($AI$4:$AI$108,$AF$4:$AF$108,$BT61,$M$4:$M$108,1)+SUMIFS($AK$4:$AK$108,$AH$4:$AH$108,$BT61,$M$4:$M$108,1)-SUMIFS($AK$4:$AK$108,$AF$4:$AF$108,$BT61,$M$4:$M$108,1)-SUMIFS($AI$4:$AI$108,$AH$4:$AH$108,$BT61,$M$4:$M$108,1),)</f>
        <v/>
      </c>
      <c r="CN61" s="13">
        <f>IF(AND(CF61&gt;0,COUNTIF(CL58:CL61,CL61)&gt;1),CL61+RANK(CM61,CM58:CM61)-1,CL61)</f>
        <v/>
      </c>
      <c r="CO61" s="13">
        <f>IF(AND(CF61&gt;0,COUNTIF(CN58:CN61,CN61)&gt;1),SUMIFS($AI$4:$AI$108,$AF$4:$AF$108,$BT61,$M$4:$M$108,1)+SUMIFS($AK$4:$AK$108,$AH$4:$AH$108,$BT61,$M$4:$M$108,1),)</f>
        <v/>
      </c>
      <c r="CP61" s="13">
        <f>IF(AND(CF61&gt;0,COUNTIF(CN58:CN61,CN61)&gt;1),CN61+RANK(CO61,CO58:CO61)-1,CN61)</f>
        <v/>
      </c>
      <c r="CQ61" s="13">
        <f>IF(CP61=0,"",CP61)</f>
        <v/>
      </c>
      <c r="CR61" s="13">
        <f>IF(OR(CQ61="",COUNTIF(CQ58:CQ61,CQ61)=1),"",$BZ61)</f>
        <v/>
      </c>
      <c r="CS61" s="13">
        <f>IF(CQ61="","",IF(COUNTIF(CQ58:CQ61,CQ61)=1,CQ61,CQ61+RANK(CR61,CR58:CR61,0)-1))</f>
        <v/>
      </c>
      <c r="CT61" s="13">
        <f>IF(OR(CS61="",COUNTIF(CS58:CS61,CS61)=1),"",$BX61)</f>
        <v/>
      </c>
      <c r="CU61" s="13">
        <f>IF(CQ61="","",IF(COUNTIF(CS58:CS61,CS61)=1,CS61,CS61+RANK(CT61,CT58:CT61,0)-1))</f>
        <v/>
      </c>
      <c r="CV61" s="13">
        <f>IF(OR(CU61="",COUNTIF(CU58:CU61,CU61)=1),"",$BU61)</f>
        <v/>
      </c>
      <c r="CW61" s="13">
        <f>IF(CQ61="","",IF(COUNTIF(CU58:CU61,CU61)=1,CU61,CU61+RANK(CV61,CV58:CV61,0)-1))</f>
        <v/>
      </c>
      <c r="CX61" s="13">
        <f>IF(CF61&gt;0,BM56+RANK(CW61,CW58:CW61,1),)</f>
        <v/>
      </c>
      <c r="CZ61" s="88">
        <f>IF(CC61=2,BT61,)</f>
        <v/>
      </c>
      <c r="DA61" s="13">
        <f>(SUMIF($AF$4:$AF$108,$BT61,$AZ$4:$AZ$108)+SUMIF($AH$4:$AH$108,$BT61,$BA$4:$BA$108))</f>
        <v/>
      </c>
      <c r="DB61" s="13">
        <f>(SUMIF($AF$4:$AF$108,$BT61,$BB$4:$BB$108)+SUMIF($AH$4:$AH$108,$BT61,$BC$4:$BC$108))</f>
        <v/>
      </c>
      <c r="DC61" s="13">
        <f>(SUMIF($AF$4:$AF$108,$BT61,$BD$4:$BD$108)+SUMIF($AH$4:$AH$108,$BT61,$BE$4:$BE$108))</f>
        <v/>
      </c>
      <c r="DD61" s="13">
        <f>IFERROR(DA61*3+DB61*1,0)</f>
        <v/>
      </c>
      <c r="DE61" s="13">
        <f>$CB61</f>
        <v/>
      </c>
      <c r="DF61" s="13">
        <f>IF(CZ61&gt;0,RANK(DD61,DD58:DD61)+CG56,)</f>
        <v/>
      </c>
      <c r="DG61" s="13">
        <f>IF(AND(CZ61&gt;0,COUNTIF(DF58:DF61,DF61)&gt;1),SUMIFS($AI$4:$AI$108,$AF$4:$AF$108,$BT61,$M$4:$M$108,2)+SUMIFS($AK$4:$AK$108,$AH$4:$AH108,$BT61,$M$4:$M$108,2)-SUMIFS($AK$4:$AK$108,$AF$4:$AF$108,$BT61,$M$4:$M$108,2)-SUMIFS($AI$4:$AI$108,$AH$4:$AH$108,$BT61,$M$4:$M$108,2),)</f>
        <v/>
      </c>
      <c r="DH61" s="13">
        <f>IF(AND(CZ61&gt;0,COUNTIF(DF58:DF61,DF61)&gt;1),DF61+RANK(DG61,DG58:DG61)-1,DF61)</f>
        <v/>
      </c>
      <c r="DI61" s="13">
        <f>IF(AND(CZ61&gt;0,COUNTIF(DH58:DH61,DH61)&gt;1),SUMIFS($AI$4:$AI$108,$AF$4:$AF$108,$BT61,$M$4:$M$108,2)+SUMIFS($AK$4:$AK$108,$AH$4:$AH$108,$BT61,$M$4:$M$108,2),)</f>
        <v/>
      </c>
      <c r="DJ61" s="13">
        <f>IF(AND(CZ61&gt;0,COUNTIF(DH58:DH61,DH61)&gt;1),DH61+RANK(DI61,DI58:DI61)-1,DH61)</f>
        <v/>
      </c>
      <c r="DK61" s="75">
        <f>IF(DJ61=0,"",DJ61)</f>
        <v/>
      </c>
      <c r="DL61" s="75">
        <f>IF(OR(DK61="",COUNTIF(DK58:DK61,DK61)=1),"",$BZ61)</f>
        <v/>
      </c>
      <c r="DM61" s="75">
        <f>IF(DK61="","",IF(COUNTIF(DK58:DK61,DK61)=1,DK61,DK61+RANK(DL61,DL58:DL61,0)-1))</f>
        <v/>
      </c>
      <c r="DN61" s="75">
        <f>IF(OR(DM61="",COUNTIF(DM58:DM61,DM61)=1),"",$BX61)</f>
        <v/>
      </c>
      <c r="DO61" s="75">
        <f>IF(DK61="","",IF(COUNTIF(DM58:DM61,DM61)=1,DM61,DM61+RANK(DN61,DN58:DN61,0)-1))</f>
        <v/>
      </c>
      <c r="DP61" s="75">
        <f>IF(OR(DO61="",COUNTIF(DO58:DO61,DO61)=1),"",$BU61)</f>
        <v/>
      </c>
      <c r="DQ61" s="75">
        <f>IF(DK61="","",IF(COUNTIF(DO58:DO61,DO61)=1,DO61,DO61+RANK(DP61,DP58:DP61,0)-1))</f>
        <v/>
      </c>
      <c r="DR61" s="13">
        <f>IF(CZ61&gt;0,CG56+RANK(DQ61,DQ58:DQ61,1),)</f>
        <v/>
      </c>
      <c r="DT61" s="89">
        <f>IF(CC61=3,BT61,)</f>
        <v/>
      </c>
      <c r="DU61" s="13">
        <f>(SUMIF($AF$4:$AF$108,BT61,$BF$4:$BF$108)+SUMIF($AH$4:$AH$108,BT61,$BG$4:$BG$108))</f>
        <v/>
      </c>
      <c r="DV61" s="13">
        <f>(SUMIF($AF$4:$AF$108,BT61,$BH$4:$BH$108)+SUMIF($AH$4:$AH$108,BT61,$BI$4:$BI$108))</f>
        <v/>
      </c>
      <c r="DW61" s="13">
        <f>(SUMIF($AF$4:$AF$108,BT61,$BJ$4:$BJ$108)+SUMIF($AH$4:$AH$108,BT61,$BK$4:$BK$108))</f>
        <v/>
      </c>
      <c r="DX61" s="13">
        <f>IFERROR(DU61*3+DV61*1,0)</f>
        <v/>
      </c>
      <c r="DY61" s="13">
        <f>CB61</f>
        <v/>
      </c>
      <c r="DZ61" s="13">
        <f>IF(DT61&gt;0,RANK(DX61,DX58:DX61)+CG56+DA56,)</f>
        <v/>
      </c>
      <c r="EA61" s="13">
        <f>IF(AND(DT61&gt;0,COUNTIF(DZ58:DZ61,DZ61)&gt;1),SUMIFS($AI$4:$AI$108,$AF$4:$AF$108,$BT61,$M$4:$M$108,3)+SUMIFS($AK$4:$AK$108,$AH$4:$AH$108,$BT61,$M$4:$M$108,3)-SUMIFS($AK$4:$AK$108,$AF$4:$AF$108,$BT61,$M$4:$M$108,3)-SUMIFS($AI$4:$AI$108,$AH$4:$AH$108,$BT61,$M$4:$M$108,3),)</f>
        <v/>
      </c>
      <c r="EB61" s="13">
        <f>IF(AND(DT61&gt;0,COUNTIF(DZ58:DZ61,DZ61)&gt;1),DZ61+RANK(EA61,EA58:EA61)-1,DZ61)</f>
        <v/>
      </c>
      <c r="EC61" s="13">
        <f>IF(AND(DT61&gt;0,COUNTIF(EB58:EB61,EB61)&gt;1),SUMIFS($AI$4:$AI$108,$AF$4:$AF$108,$BT61,$M$4:$M$108,3)+SUMIFS($AK$4:$AK$108,$AH$4:$AH$108,$BT61,$M$4:$M$108,3),)</f>
        <v/>
      </c>
      <c r="ED61" s="13">
        <f>IF(AND(DT61&gt;0,COUNTIF(EB58:EB61,EB61)&gt;1),EB61+RANK(EC61,EC58:EC61)-1,EB61)</f>
        <v/>
      </c>
      <c r="EE61" s="13">
        <f>IF(ED61=0,"",ED61)</f>
        <v/>
      </c>
      <c r="EF61" s="13">
        <f>IF(OR(EE61="",COUNTIF(EE58:EE61,EE61)=1),"",$BZ61)</f>
        <v/>
      </c>
      <c r="EG61" s="13">
        <f>IF(EE61="","",IF(COUNTIF(EE58:EE61,EE61)=1,EE61,EE61+RANK(EF61,EF58:EF61,0)-1))</f>
        <v/>
      </c>
      <c r="EH61" s="13">
        <f>IF(OR(EG61="",COUNTIF(EG58:EG61,EG61)=1),"",$BX61)</f>
        <v/>
      </c>
      <c r="EI61" s="13">
        <f>IF(EE61="","",IF(COUNTIF(EG58:EG61,EG61)=1,EG61,EG61+RANK(EH61,EH58:EH61,0)-1))</f>
        <v/>
      </c>
      <c r="EJ61" s="13">
        <f>IF(OR(EI61="",COUNTIF(EI58:EI61,EI61)=1),"",$BU61)</f>
        <v/>
      </c>
      <c r="EK61" s="13">
        <f>IF(EE61="","",IF(COUNTIF(EI58:EI61,EI61)=1,EI61,EI61+RANK(EJ61,EJ58:EJ61,0)-1))</f>
        <v/>
      </c>
      <c r="EL61" s="13">
        <f>IF(DT61&gt;0,CG56+DA56+RANK(EK61,EK58:EK61,1),)</f>
        <v/>
      </c>
      <c r="EN61" s="13">
        <f>IF(CC61=4,BT61,)</f>
        <v/>
      </c>
      <c r="EO61" s="13">
        <f>(SUMIF($AF$4:$AF$108,$BT61,$BL$4:$BL$108)+SUMIF($AH$4:$AH$108,$BT61,$BM$4:$BM$108))</f>
        <v/>
      </c>
      <c r="EP61" s="13">
        <f>(SUMIF($AF$4:$AF$108,$BT61,$BN$4:$BN$108)+SUMIF($AH$4:$AH$108,$BT61,$BO$4:$BO$108))</f>
        <v/>
      </c>
      <c r="EQ61" s="13">
        <f>(SUMIF($AF$4:$AF$108,$BT61,$BP$4:$BP$108)+SUMIF($AH$4:$AH$108,$BT61,$BQ$4:$BQ$108))</f>
        <v/>
      </c>
      <c r="ER61" s="13">
        <f>IFERROR(EO61*3+EP61*1,0)</f>
        <v/>
      </c>
      <c r="ES61" s="13">
        <f>$CB61</f>
        <v/>
      </c>
      <c r="ET61" s="13">
        <f>IF(EN61&gt;0,RANK(ER61,ER58:ER61)+CG56+DA56+DU56,)</f>
        <v/>
      </c>
      <c r="EU61" s="13">
        <f>IF(AND(EN61&gt;0,COUNTIF(ET58:ET61,ET61)&gt;1),SUMIFS($AI$4:$AI$108,$AF$4:$AF$108,$BT61,$M$4:$M$108,4)+SUMIFS($AK$4:$AK$108,$AH$4:$AH$108,$BT61,$M$4:$M$108,4)-SUMIFS($AK$4:$AK$108,$AF$4:$AF$108,$BT61,$M$4:$M$108,4)-SUMIFS($AI$4:$AI$108,$AH$4:$AH$108,$BT61,$M$4:$M$108,4),)</f>
        <v/>
      </c>
      <c r="EV61" s="13">
        <f>IF(AND(EN61&gt;0,COUNTIF(ET58:ET61,ET61)&gt;1),ET61+RANK(EU61,EU58:EU61)-1,ET61)</f>
        <v/>
      </c>
      <c r="EW61" s="13">
        <f>IF(AND(EN61&gt;0,COUNTIF(EV61:EV64,EV61)&gt;1),SUMIFS($AI$4:$AI$108,$AF$4:$AF$108,$BT61,$M$4:$M$108,4)+SUMIFS($AK$4:$AK$108,$AH$4:$AH$108,$BT61,$M$4:$M$108,4),)</f>
        <v/>
      </c>
      <c r="EX61" s="13">
        <f>IF(AND(EN61&gt;0,COUNTIF(EV58:EV61,EV61)&gt;1),EV61+RANK(EW61,EW58:EW61)-1,EV61)</f>
        <v/>
      </c>
      <c r="EY61" s="13">
        <f>IF(EX61=0,"",EX61)</f>
        <v/>
      </c>
      <c r="EZ61" s="13">
        <f>IF(OR(EY61="",COUNTIF(EY58:EY61,EY61)=1),"",$BZ61)</f>
        <v/>
      </c>
      <c r="FA61" s="13">
        <f>IF(EY61="","",IF(COUNTIF(EY58:EY61,EY61)=1,EY61,EY61+RANK(EZ61,EZ58:EZ61,0)-1))</f>
        <v/>
      </c>
      <c r="FB61" s="13">
        <f>IF(OR(FA61="",COUNTIF(FA58:FA61,FA61)=1),"",$BX61)</f>
        <v/>
      </c>
      <c r="FC61" s="13">
        <f>IF(EY61="","",IF(COUNTIF(FA58:FA61,FA61)=1,FA61,FA61+RANK(FB61,FB58:FB61,0)-1))</f>
        <v/>
      </c>
      <c r="FD61" s="13">
        <f>IF(OR(FC61="",COUNTIF(FC58:FC61,FC61)=1),"",$BU61)</f>
        <v/>
      </c>
      <c r="FE61" s="13">
        <f>IF(EY61="","",IF(COUNTIF(FC58:FC61,FC61)=1,FC61,FC61+RANK(FD61,FD58:FD61,0)-1))</f>
        <v/>
      </c>
      <c r="FF61" s="13">
        <f>IF(EN61&gt;0,CG56+DA56+DU56+RANK(FE61,FE58:FE61,1),)</f>
        <v/>
      </c>
      <c r="FH61" s="13">
        <f>IFERROR(VLOOKUP(FJ61,CF57:CX61,19,FALSE),IFERROR(VLOOKUP(FJ61,CZ57:DR61,19,FALSE),IFERROR(VLOOKUP(FJ61,DT57:EL61,19,FALSE),VLOOKUP(FJ61,EN57:FF61,19,FALSE))))</f>
        <v/>
      </c>
      <c r="FI61" s="13">
        <f>RANK(FH61,FH58:FH61,1)+COUNTIF(FH58:FH61,FH61)-1</f>
        <v/>
      </c>
      <c r="FJ61" s="12">
        <f>BT61</f>
        <v/>
      </c>
      <c r="FZ61" s="79" t="n">
        <v>59</v>
      </c>
      <c r="GA61" s="3">
        <f>GB61&amp;GC61&amp;GD61&amp;GE61&amp;GF61&amp;GG61&amp;GH61&amp;GI61</f>
        <v/>
      </c>
      <c r="GB61" s="3" t="inlineStr">
        <is>
          <t>H</t>
        </is>
      </c>
      <c r="GC61" s="3" t="inlineStr">
        <is>
          <t>G</t>
        </is>
      </c>
      <c r="GD61" s="3" t="inlineStr">
        <is>
          <t>B</t>
        </is>
      </c>
      <c r="GE61" s="3" t="inlineStr">
        <is>
          <t>D</t>
        </is>
      </c>
      <c r="GF61" s="3" t="inlineStr">
        <is>
          <t>I</t>
        </is>
      </c>
      <c r="GG61" s="3" t="inlineStr">
        <is>
          <t>F</t>
        </is>
      </c>
      <c r="GH61" s="3" t="inlineStr">
        <is>
          <t>L</t>
        </is>
      </c>
      <c r="GI61" s="3" t="inlineStr">
        <is>
          <t>K</t>
        </is>
      </c>
      <c r="GJ61" s="9">
        <f>VLOOKUP(GB61,$FM$3:$FN$15,2,FALSE)</f>
        <v/>
      </c>
      <c r="GK61" s="9">
        <f>VLOOKUP(GC61,$FM$3:$FN$15,2,FALSE)</f>
        <v/>
      </c>
      <c r="GL61" s="9">
        <f>VLOOKUP(GD61,$FM$3:$FN$15,2,FALSE)</f>
        <v/>
      </c>
      <c r="GM61" s="9">
        <f>VLOOKUP(GE61,$FM$3:$FN$15,2,FALSE)</f>
        <v/>
      </c>
      <c r="GN61" s="9">
        <f>VLOOKUP(GF61,$FM$3:$FN$15,2,FALSE)</f>
        <v/>
      </c>
      <c r="GO61" s="9">
        <f>VLOOKUP(GG61,$FM$3:$FN$15,2,FALSE)</f>
        <v/>
      </c>
      <c r="GP61" s="9">
        <f>VLOOKUP(GH61,$FM$3:$FN$15,2,FALSE)</f>
        <v/>
      </c>
      <c r="GQ61" s="9">
        <f>VLOOKUP(GI61,$FM$3:$FN$15,2,FALSE)</f>
        <v/>
      </c>
      <c r="GR61" s="9">
        <f>IFERROR(IF(AND(VLOOKUP(GB61,$FX$4:$FX$15,1,FALSE)=GB61,VLOOKUP(GC61,$FX$4:$FX$15,1,FALSE)=GC61,VLOOKUP(GD61,$FX$4:$FX$15,1,FALSE)=GD61,VLOOKUP(GE61,$FX$4:$FX$15,1,FALSE)=GE61,VLOOKUP(GF61,$FX$4:$FX$15,1,FALSE)=GF61,VLOOKUP(GG61,$FX$4:$FX$15,1,FALSE)=GG61,VLOOKUP(GH61,$FX$4:$FX$15,1,FALSE)=GH61,VLOOKUP(GI61,$FX$4:$FX$15,1,FALSE)=GI61),FZ61,""),"")</f>
        <v/>
      </c>
      <c r="GX61" s="79" t="n"/>
    </row>
    <row r="62" ht="14.25" customHeight="1">
      <c r="B62" s="58" t="n">
        <v>63</v>
      </c>
      <c r="C62" s="59" t="n">
        <v>46200</v>
      </c>
      <c r="D62" s="60" t="inlineStr">
        <is>
          <t>Egypten</t>
        </is>
      </c>
      <c r="E62" s="61" t="inlineStr">
        <is>
          <t>-</t>
        </is>
      </c>
      <c r="F62" s="62" t="inlineStr">
        <is>
          <t>Iran</t>
        </is>
      </c>
      <c r="G62" s="63" t="n">
        <v>1</v>
      </c>
      <c r="H62" s="64" t="inlineStr">
        <is>
          <t>-</t>
        </is>
      </c>
      <c r="I62" s="63" t="n">
        <v>0</v>
      </c>
      <c r="J62" s="65">
        <f>IF(OR(ISBLANK(G62),ISBLANK(I62)),"",IF(G62&gt;I62,1,IF(G62&lt;I62,2,"X")))</f>
        <v/>
      </c>
      <c r="K62" s="66">
        <f>IF(OR(G62="",I62="",'[1]Resultat &amp; tabell'!G62="",'[1]Resultat &amp; tabell'!I62=""),0,IF(G62='[1]Resultat &amp; tabell'!G62,2,0)+IF(I62='[1]Resultat &amp; tabell'!I62,2,0)+IF(J62='[1]Resultat &amp; tabell'!J62,2,0))</f>
        <v/>
      </c>
      <c r="L62" s="67" t="n"/>
      <c r="M62" s="29">
        <f>IF(VLOOKUP(D62,$BT$57:$CC$61,10,FALSE)=VLOOKUP(F62,$BT$57:$CC$61,10,FALSE),VLOOKUP(D62,$BT$57:$CC$61,10,FALSE),"-")</f>
        <v/>
      </c>
      <c r="O62" s="92">
        <f>IF(COUNTBLANK(G58:G63)+COUNTBLANK(I58:I63)=0,"Resultat OK","Fyll i resultat")</f>
        <v/>
      </c>
      <c r="P62" s="92" t="n"/>
      <c r="Q62" s="92" t="n"/>
      <c r="R62" s="92" t="n"/>
      <c r="S62" s="92" t="n"/>
      <c r="T62" s="92" t="n"/>
      <c r="U62" s="92" t="n"/>
      <c r="V62" s="3" t="n"/>
      <c r="X62" s="1" t="n"/>
      <c r="AE62" s="72">
        <f>C62</f>
        <v/>
      </c>
      <c r="AF62" s="72">
        <f>D62</f>
        <v/>
      </c>
      <c r="AG62" s="72">
        <f>E62</f>
        <v/>
      </c>
      <c r="AH62" s="72">
        <f>F62</f>
        <v/>
      </c>
      <c r="AI62" s="63">
        <f>IF(G62="","",G62)</f>
        <v/>
      </c>
      <c r="AJ62" s="58">
        <f>H62</f>
        <v/>
      </c>
      <c r="AK62" s="63">
        <f>IF(I62="","",I62)</f>
        <v/>
      </c>
      <c r="AL62" s="65">
        <f>J62</f>
        <v/>
      </c>
      <c r="AM62" s="73" t="n"/>
      <c r="AN62" s="13">
        <f>IF(AI62&gt;AK62,1,0)</f>
        <v/>
      </c>
      <c r="AO62" s="13">
        <f>IF(AK62&gt;AI62,1,0)</f>
        <v/>
      </c>
      <c r="AP62" s="13">
        <f>IF(AND(AI62=AK62,AI62&lt;&gt;""),1,0)</f>
        <v/>
      </c>
      <c r="AQ62" s="13">
        <f>IF(AND(AI62=AK62,AI62&lt;&gt;""),1,0)</f>
        <v/>
      </c>
      <c r="AR62" s="13">
        <f>IF(AI62&lt;AK62,1,0)</f>
        <v/>
      </c>
      <c r="AS62" s="13">
        <f>IF(AK62&lt;AI62,1,)</f>
        <v/>
      </c>
      <c r="AT62" s="13">
        <f>IF(ISERROR(VLOOKUP(AF62,CF:CF,1,FALSE)),0,1)*IF(ISERROR(VLOOKUP(AH62,CF:CF,1,FALSE)),0,1)*AN62</f>
        <v/>
      </c>
      <c r="AU62" s="13">
        <f>IF(ISERROR(VLOOKUP(AF62,CF:CF,1,FALSE)),0,1)*IF(ISERROR(VLOOKUP(AH62,CF:CF,1,FALSE)),0,1)*AO62</f>
        <v/>
      </c>
      <c r="AV62" s="13">
        <f>IF(ISERROR(VLOOKUP(AF62,CF:CF,1,FALSE)),0,1)*IF(ISERROR(VLOOKUP(AH62,CF:CF,1,FALSE)),0,1)*AP62</f>
        <v/>
      </c>
      <c r="AW62" s="13">
        <f>IF(ISERROR(VLOOKUP(AF62,CF:CF,1,FALSE)),0,1)*IF(ISERROR(VLOOKUP(AH62,CF:CF,1,FALSE)),0,1)*AQ62</f>
        <v/>
      </c>
      <c r="AX62" s="13">
        <f>IF(ISERROR(VLOOKUP(AF62,CF:CF,1,FALSE)),0,1)*IF(ISERROR(VLOOKUP(AH62,CF:CF,1,FALSE)),0,1)*AR62</f>
        <v/>
      </c>
      <c r="AY62" s="13">
        <f>IF(ISERROR(VLOOKUP(AF62,CF:CF,1,FALSE)),0,1)*IF(ISERROR(VLOOKUP(AH62,CF:CF,1,FALSE)),0,1)*AS62</f>
        <v/>
      </c>
      <c r="AZ62" s="13">
        <f>IF(ISERROR(VLOOKUP(AF62,CZ:CZ,1,FALSE)),0,1)*IF(ISERROR(VLOOKUP(AH62,CZ:CZ,1,FALSE)),0,1)*AN62</f>
        <v/>
      </c>
      <c r="BA62" s="13">
        <f>IF(ISERROR(VLOOKUP(AF62,CZ:CZ,1,FALSE)),0,1)*IF(ISERROR(VLOOKUP(AH62,CZ:CZ,1,FALSE)),0,1)*AO62</f>
        <v/>
      </c>
      <c r="BB62" s="13">
        <f>IF(ISERROR(VLOOKUP(AF62,CZ:CZ,1,FALSE)),0,1)*IF(ISERROR(VLOOKUP(AH62,CZ:CZ,1,FALSE)),0,1)*AP62</f>
        <v/>
      </c>
      <c r="BC62" s="13">
        <f>IF(ISERROR(VLOOKUP(AF62,CZ:CZ,1,FALSE)),0,1)*IF(ISERROR(VLOOKUP(AH62,CZ:CZ,1,FALSE)),0,1)*AQ62</f>
        <v/>
      </c>
      <c r="BD62" s="13">
        <f>IF(ISERROR(VLOOKUP(AF62,CZ:CZ,1,FALSE)),0,1)*IF(ISERROR(VLOOKUP(AH62,CZ:CZ,1,FALSE)),0,1)*AR62</f>
        <v/>
      </c>
      <c r="BE62" s="13">
        <f>IF(ISERROR(VLOOKUP(AF62,CZ:CZ,1,FALSE)),0,1)*IF(ISERROR(VLOOKUP(AH62,CZ:CZ,1,FALSE)),0,1)*AS62</f>
        <v/>
      </c>
      <c r="BF62" s="13">
        <f>IF(ISERROR(VLOOKUP(AF62,DT:DT,1,FALSE)),0,1)*IF(ISERROR(VLOOKUP(AH62,DT:DT,1,FALSE)),0,1)*AN62</f>
        <v/>
      </c>
      <c r="BG62" s="13">
        <f>IF(ISERROR(VLOOKUP(AF62,DT:DT,1,FALSE)),0,1)*IF(ISERROR(VLOOKUP(AH62,DT:DT,1,FALSE)),0,1)*AO62</f>
        <v/>
      </c>
      <c r="BH62" s="13">
        <f>IF(ISERROR(VLOOKUP(AF62,DT:DT,1,FALSE)),0,1)*IF(ISERROR(VLOOKUP(AH62,DT:DT,1,FALSE)),0,1)*AP62</f>
        <v/>
      </c>
      <c r="BI62" s="13">
        <f>IF(ISERROR(VLOOKUP(AF62,DT:DT,1,FALSE)),0,1)*IF(ISERROR(VLOOKUP(AH62,DT:DT,1,FALSE)),0,1)*AQ62</f>
        <v/>
      </c>
      <c r="BJ62" s="13">
        <f>IF(ISERROR(VLOOKUP(AF62,DT:DT,1,FALSE)),0,1)*IF(ISERROR(VLOOKUP(AH62,DT:DT,1,FALSE)),0,1)*AR62</f>
        <v/>
      </c>
      <c r="BK62" s="13">
        <f>IF(ISERROR(VLOOKUP(AF62,DT:DT,1,FALSE)),0,1)*IF(ISERROR(VLOOKUP(AH62,DT:DT,1,FALSE)),0,1)*AS62</f>
        <v/>
      </c>
      <c r="BL62" s="13">
        <f>IF(ISERROR(VLOOKUP(AF62,EN:EN,1,FALSE)),0,1)*IF(ISERROR(VLOOKUP(AH62,EN:EN,1,FALSE)),0,1)*AN62</f>
        <v/>
      </c>
      <c r="BM62" s="13">
        <f>IF(ISERROR(VLOOKUP(AF62,EN:EN,1,FALSE)),0,1)*IF(ISERROR(VLOOKUP(AH62,EN:EN,1,FALSE)),0,1)*AO62</f>
        <v/>
      </c>
      <c r="BN62" s="13">
        <f>IF(ISERROR(VLOOKUP(AF62,EN:EN,1,FALSE)),0,1)*IF(ISERROR(VLOOKUP(AH62,EN:EN,1,FALSE)),0,1)*AP62</f>
        <v/>
      </c>
      <c r="BO62" s="13">
        <f>IF(ISERROR(VLOOKUP(AF62,EN:EN,1,FALSE)),0,1)*IF(ISERROR(VLOOKUP(AH62,EN:EN,1,FALSE)),0,1)*AQ62</f>
        <v/>
      </c>
      <c r="BP62" s="13">
        <f>IF(ISERROR(VLOOKUP(AF62,EN:EN,1,FALSE)),0,1)*IF(ISERROR(VLOOKUP(AH62,EN:EN,1,FALSE)),0,1)*AR62</f>
        <v/>
      </c>
      <c r="BQ62" s="13">
        <f>IF(ISERROR(VLOOKUP(AF62,EN:EN,1,FALSE)),0,1)*IF(ISERROR(VLOOKUP(AH62,EN:EN,1,FALSE)),0,1)*AS62</f>
        <v/>
      </c>
      <c r="BR62" s="137" t="n"/>
      <c r="BS62" s="138" t="n"/>
      <c r="BT62" s="137" t="n"/>
      <c r="BU62" s="139" t="n"/>
      <c r="BV62" s="105" t="n"/>
      <c r="BW62" s="139" t="n"/>
      <c r="BX62" s="105" t="n"/>
      <c r="FZ62" s="79" t="n">
        <v>60</v>
      </c>
      <c r="GA62" s="3">
        <f>GB62&amp;GC62&amp;GD62&amp;GE62&amp;GF62&amp;GG62&amp;GH62&amp;GI62</f>
        <v/>
      </c>
      <c r="GB62" s="3" t="inlineStr">
        <is>
          <t>H</t>
        </is>
      </c>
      <c r="GC62" s="3" t="inlineStr">
        <is>
          <t>G</t>
        </is>
      </c>
      <c r="GD62" s="3" t="inlineStr">
        <is>
          <t>B</t>
        </is>
      </c>
      <c r="GE62" s="3" t="inlineStr">
        <is>
          <t>D</t>
        </is>
      </c>
      <c r="GF62" s="3" t="inlineStr">
        <is>
          <t>J</t>
        </is>
      </c>
      <c r="GG62" s="3" t="inlineStr">
        <is>
          <t>F</t>
        </is>
      </c>
      <c r="GH62" s="3" t="inlineStr">
        <is>
          <t>L</t>
        </is>
      </c>
      <c r="GI62" s="3" t="inlineStr">
        <is>
          <t>I</t>
        </is>
      </c>
      <c r="GJ62" s="9">
        <f>VLOOKUP(GB62,$FM$3:$FN$15,2,FALSE)</f>
        <v/>
      </c>
      <c r="GK62" s="9">
        <f>VLOOKUP(GC62,$FM$3:$FN$15,2,FALSE)</f>
        <v/>
      </c>
      <c r="GL62" s="9">
        <f>VLOOKUP(GD62,$FM$3:$FN$15,2,FALSE)</f>
        <v/>
      </c>
      <c r="GM62" s="9">
        <f>VLOOKUP(GE62,$FM$3:$FN$15,2,FALSE)</f>
        <v/>
      </c>
      <c r="GN62" s="9">
        <f>VLOOKUP(GF62,$FM$3:$FN$15,2,FALSE)</f>
        <v/>
      </c>
      <c r="GO62" s="9">
        <f>VLOOKUP(GG62,$FM$3:$FN$15,2,FALSE)</f>
        <v/>
      </c>
      <c r="GP62" s="9">
        <f>VLOOKUP(GH62,$FM$3:$FN$15,2,FALSE)</f>
        <v/>
      </c>
      <c r="GQ62" s="9">
        <f>VLOOKUP(GI62,$FM$3:$FN$15,2,FALSE)</f>
        <v/>
      </c>
      <c r="GR62" s="9">
        <f>IFERROR(IF(AND(VLOOKUP(GB62,$FX$4:$FX$15,1,FALSE)=GB62,VLOOKUP(GC62,$FX$4:$FX$15,1,FALSE)=GC62,VLOOKUP(GD62,$FX$4:$FX$15,1,FALSE)=GD62,VLOOKUP(GE62,$FX$4:$FX$15,1,FALSE)=GE62,VLOOKUP(GF62,$FX$4:$FX$15,1,FALSE)=GF62,VLOOKUP(GG62,$FX$4:$FX$15,1,FALSE)=GG62,VLOOKUP(GH62,$FX$4:$FX$15,1,FALSE)=GH62,VLOOKUP(GI62,$FX$4:$FX$15,1,FALSE)=GI62),FZ62,""),"")</f>
        <v/>
      </c>
      <c r="GX62" s="79" t="n"/>
    </row>
    <row r="63" ht="14.25" customHeight="1">
      <c r="B63" s="58" t="n">
        <v>64</v>
      </c>
      <c r="C63" s="59" t="n">
        <v>46200</v>
      </c>
      <c r="D63" s="60" t="inlineStr">
        <is>
          <t>Nya Zeeland</t>
        </is>
      </c>
      <c r="E63" s="61" t="inlineStr">
        <is>
          <t>-</t>
        </is>
      </c>
      <c r="F63" s="62" t="inlineStr">
        <is>
          <t>Belgien</t>
        </is>
      </c>
      <c r="G63" s="63" t="n">
        <v>0</v>
      </c>
      <c r="H63" s="64" t="inlineStr">
        <is>
          <t>-</t>
        </is>
      </c>
      <c r="I63" s="63" t="n">
        <v>3</v>
      </c>
      <c r="J63" s="65">
        <f>IF(OR(ISBLANK(G63),ISBLANK(I63)),"",IF(G63&gt;I63,1,IF(G63&lt;I63,2,"X")))</f>
        <v/>
      </c>
      <c r="K63" s="66">
        <f>IF(OR(G63="",I63="",'[1]Resultat &amp; tabell'!G63="",'[1]Resultat &amp; tabell'!I63=""),0,IF(G63='[1]Resultat &amp; tabell'!G63,2,0)+IF(I63='[1]Resultat &amp; tabell'!I63,2,0)+IF(J63='[1]Resultat &amp; tabell'!J63,2,0))</f>
        <v/>
      </c>
      <c r="L63" s="67" t="n"/>
      <c r="M63" s="29">
        <f>IF(VLOOKUP(D63,$BT$57:$CC$61,10,FALSE)=VLOOKUP(F63,$BT$57:$CC$61,10,FALSE),VLOOKUP(D63,$BT$57:$CC$61,10,FALSE),"-")</f>
        <v/>
      </c>
      <c r="V63" s="3" t="n"/>
      <c r="X63" s="1" t="n"/>
      <c r="AE63" s="72">
        <f>C63</f>
        <v/>
      </c>
      <c r="AF63" s="72">
        <f>D63</f>
        <v/>
      </c>
      <c r="AG63" s="72">
        <f>E63</f>
        <v/>
      </c>
      <c r="AH63" s="72">
        <f>F63</f>
        <v/>
      </c>
      <c r="AI63" s="63">
        <f>IF(G63="","",G63)</f>
        <v/>
      </c>
      <c r="AJ63" s="58">
        <f>H63</f>
        <v/>
      </c>
      <c r="AK63" s="63">
        <f>IF(I63="","",I63)</f>
        <v/>
      </c>
      <c r="AL63" s="65">
        <f>J63</f>
        <v/>
      </c>
      <c r="AM63" s="73" t="n"/>
      <c r="AN63" s="13">
        <f>IF(AI63&gt;AK63,1,0)</f>
        <v/>
      </c>
      <c r="AO63" s="13">
        <f>IF(AK63&gt;AI63,1,0)</f>
        <v/>
      </c>
      <c r="AP63" s="13">
        <f>IF(AND(AI63=AK63,AI63&lt;&gt;""),1,0)</f>
        <v/>
      </c>
      <c r="AQ63" s="13">
        <f>IF(AND(AI63=AK63,AI63&lt;&gt;""),1,0)</f>
        <v/>
      </c>
      <c r="AR63" s="13">
        <f>IF(AI63&lt;AK63,1,0)</f>
        <v/>
      </c>
      <c r="AS63" s="13">
        <f>IF(AK63&lt;AI63,1,)</f>
        <v/>
      </c>
      <c r="AT63" s="13">
        <f>IF(ISERROR(VLOOKUP(AF63,CF:CF,1,FALSE)),0,1)*IF(ISERROR(VLOOKUP(AH63,CF:CF,1,FALSE)),0,1)*AN63</f>
        <v/>
      </c>
      <c r="AU63" s="13">
        <f>IF(ISERROR(VLOOKUP(AF63,CF:CF,1,FALSE)),0,1)*IF(ISERROR(VLOOKUP(AH63,CF:CF,1,FALSE)),0,1)*AO63</f>
        <v/>
      </c>
      <c r="AV63" s="13">
        <f>IF(ISERROR(VLOOKUP(AF63,CF:CF,1,FALSE)),0,1)*IF(ISERROR(VLOOKUP(AH63,CF:CF,1,FALSE)),0,1)*AP63</f>
        <v/>
      </c>
      <c r="AW63" s="13">
        <f>IF(ISERROR(VLOOKUP(AF63,CF:CF,1,FALSE)),0,1)*IF(ISERROR(VLOOKUP(AH63,CF:CF,1,FALSE)),0,1)*AQ63</f>
        <v/>
      </c>
      <c r="AX63" s="13">
        <f>IF(ISERROR(VLOOKUP(AF63,CF:CF,1,FALSE)),0,1)*IF(ISERROR(VLOOKUP(AH63,CF:CF,1,FALSE)),0,1)*AR63</f>
        <v/>
      </c>
      <c r="AY63" s="13">
        <f>IF(ISERROR(VLOOKUP(AF63,CF:CF,1,FALSE)),0,1)*IF(ISERROR(VLOOKUP(AH63,CF:CF,1,FALSE)),0,1)*AS63</f>
        <v/>
      </c>
      <c r="AZ63" s="13">
        <f>IF(ISERROR(VLOOKUP(AF63,CZ:CZ,1,FALSE)),0,1)*IF(ISERROR(VLOOKUP(AH63,CZ:CZ,1,FALSE)),0,1)*AN63</f>
        <v/>
      </c>
      <c r="BA63" s="13">
        <f>IF(ISERROR(VLOOKUP(AF63,CZ:CZ,1,FALSE)),0,1)*IF(ISERROR(VLOOKUP(AH63,CZ:CZ,1,FALSE)),0,1)*AO63</f>
        <v/>
      </c>
      <c r="BB63" s="13">
        <f>IF(ISERROR(VLOOKUP(AF63,CZ:CZ,1,FALSE)),0,1)*IF(ISERROR(VLOOKUP(AH63,CZ:CZ,1,FALSE)),0,1)*AP63</f>
        <v/>
      </c>
      <c r="BC63" s="13">
        <f>IF(ISERROR(VLOOKUP(AF63,CZ:CZ,1,FALSE)),0,1)*IF(ISERROR(VLOOKUP(AH63,CZ:CZ,1,FALSE)),0,1)*AQ63</f>
        <v/>
      </c>
      <c r="BD63" s="13">
        <f>IF(ISERROR(VLOOKUP(AF63,CZ:CZ,1,FALSE)),0,1)*IF(ISERROR(VLOOKUP(AH63,CZ:CZ,1,FALSE)),0,1)*AR63</f>
        <v/>
      </c>
      <c r="BE63" s="13">
        <f>IF(ISERROR(VLOOKUP(AF63,CZ:CZ,1,FALSE)),0,1)*IF(ISERROR(VLOOKUP(AH63,CZ:CZ,1,FALSE)),0,1)*AS63</f>
        <v/>
      </c>
      <c r="BF63" s="13">
        <f>IF(ISERROR(VLOOKUP(AF63,DT:DT,1,FALSE)),0,1)*IF(ISERROR(VLOOKUP(AH63,DT:DT,1,FALSE)),0,1)*AN63</f>
        <v/>
      </c>
      <c r="BG63" s="13">
        <f>IF(ISERROR(VLOOKUP(AF63,DT:DT,1,FALSE)),0,1)*IF(ISERROR(VLOOKUP(AH63,DT:DT,1,FALSE)),0,1)*AO63</f>
        <v/>
      </c>
      <c r="BH63" s="13">
        <f>IF(ISERROR(VLOOKUP(AF63,DT:DT,1,FALSE)),0,1)*IF(ISERROR(VLOOKUP(AH63,DT:DT,1,FALSE)),0,1)*AP63</f>
        <v/>
      </c>
      <c r="BI63" s="13">
        <f>IF(ISERROR(VLOOKUP(AF63,DT:DT,1,FALSE)),0,1)*IF(ISERROR(VLOOKUP(AH63,DT:DT,1,FALSE)),0,1)*AQ63</f>
        <v/>
      </c>
      <c r="BJ63" s="13">
        <f>IF(ISERROR(VLOOKUP(AF63,DT:DT,1,FALSE)),0,1)*IF(ISERROR(VLOOKUP(AH63,DT:DT,1,FALSE)),0,1)*AR63</f>
        <v/>
      </c>
      <c r="BK63" s="13">
        <f>IF(ISERROR(VLOOKUP(AF63,DT:DT,1,FALSE)),0,1)*IF(ISERROR(VLOOKUP(AH63,DT:DT,1,FALSE)),0,1)*AS63</f>
        <v/>
      </c>
      <c r="BL63" s="13">
        <f>IF(ISERROR(VLOOKUP(AF63,EN:EN,1,FALSE)),0,1)*IF(ISERROR(VLOOKUP(AH63,EN:EN,1,FALSE)),0,1)*AN63</f>
        <v/>
      </c>
      <c r="BM63" s="13">
        <f>IF(ISERROR(VLOOKUP(AF63,EN:EN,1,FALSE)),0,1)*IF(ISERROR(VLOOKUP(AH63,EN:EN,1,FALSE)),0,1)*AO63</f>
        <v/>
      </c>
      <c r="BN63" s="13">
        <f>IF(ISERROR(VLOOKUP(AF63,EN:EN,1,FALSE)),0,1)*IF(ISERROR(VLOOKUP(AH63,EN:EN,1,FALSE)),0,1)*AP63</f>
        <v/>
      </c>
      <c r="BO63" s="13">
        <f>IF(ISERROR(VLOOKUP(AF63,EN:EN,1,FALSE)),0,1)*IF(ISERROR(VLOOKUP(AH63,EN:EN,1,FALSE)),0,1)*AQ63</f>
        <v/>
      </c>
      <c r="BP63" s="13">
        <f>IF(ISERROR(VLOOKUP(AF63,EN:EN,1,FALSE)),0,1)*IF(ISERROR(VLOOKUP(AH63,EN:EN,1,FALSE)),0,1)*AR63</f>
        <v/>
      </c>
      <c r="BQ63" s="13">
        <f>IF(ISERROR(VLOOKUP(AF63,EN:EN,1,FALSE)),0,1)*IF(ISERROR(VLOOKUP(AH63,EN:EN,1,FALSE)),0,1)*AS63</f>
        <v/>
      </c>
      <c r="BR63" s="137" t="n"/>
      <c r="BS63" s="138" t="n"/>
      <c r="BT63" s="137" t="n"/>
      <c r="BU63" s="139" t="n"/>
      <c r="BV63" s="105" t="n"/>
      <c r="BW63" s="139" t="n"/>
      <c r="BX63" s="105" t="n"/>
      <c r="FZ63" s="79" t="n">
        <v>61</v>
      </c>
      <c r="GA63" s="3">
        <f>GB63&amp;GC63&amp;GD63&amp;GE63&amp;GF63&amp;GG63&amp;GH63&amp;GI63</f>
        <v/>
      </c>
      <c r="GB63" s="3" t="inlineStr">
        <is>
          <t>H</t>
        </is>
      </c>
      <c r="GC63" s="3" t="inlineStr">
        <is>
          <t>G</t>
        </is>
      </c>
      <c r="GD63" s="3" t="inlineStr">
        <is>
          <t>B</t>
        </is>
      </c>
      <c r="GE63" s="3" t="inlineStr">
        <is>
          <t>D</t>
        </is>
      </c>
      <c r="GF63" s="3" t="inlineStr">
        <is>
          <t>J</t>
        </is>
      </c>
      <c r="GG63" s="3" t="inlineStr">
        <is>
          <t>F</t>
        </is>
      </c>
      <c r="GH63" s="3" t="inlineStr">
        <is>
          <t>I</t>
        </is>
      </c>
      <c r="GI63" s="3" t="inlineStr">
        <is>
          <t>K</t>
        </is>
      </c>
      <c r="GJ63" s="9">
        <f>VLOOKUP(GB63,$FM$3:$FN$15,2,FALSE)</f>
        <v/>
      </c>
      <c r="GK63" s="9">
        <f>VLOOKUP(GC63,$FM$3:$FN$15,2,FALSE)</f>
        <v/>
      </c>
      <c r="GL63" s="9">
        <f>VLOOKUP(GD63,$FM$3:$FN$15,2,FALSE)</f>
        <v/>
      </c>
      <c r="GM63" s="9">
        <f>VLOOKUP(GE63,$FM$3:$FN$15,2,FALSE)</f>
        <v/>
      </c>
      <c r="GN63" s="9">
        <f>VLOOKUP(GF63,$FM$3:$FN$15,2,FALSE)</f>
        <v/>
      </c>
      <c r="GO63" s="9">
        <f>VLOOKUP(GG63,$FM$3:$FN$15,2,FALSE)</f>
        <v/>
      </c>
      <c r="GP63" s="9">
        <f>VLOOKUP(GH63,$FM$3:$FN$15,2,FALSE)</f>
        <v/>
      </c>
      <c r="GQ63" s="9">
        <f>VLOOKUP(GI63,$FM$3:$FN$15,2,FALSE)</f>
        <v/>
      </c>
      <c r="GR63" s="9">
        <f>IFERROR(IF(AND(VLOOKUP(GB63,$FX$4:$FX$15,1,FALSE)=GB63,VLOOKUP(GC63,$FX$4:$FX$15,1,FALSE)=GC63,VLOOKUP(GD63,$FX$4:$FX$15,1,FALSE)=GD63,VLOOKUP(GE63,$FX$4:$FX$15,1,FALSE)=GE63,VLOOKUP(GF63,$FX$4:$FX$15,1,FALSE)=GF63,VLOOKUP(GG63,$FX$4:$FX$15,1,FALSE)=GG63,VLOOKUP(GH63,$FX$4:$FX$15,1,FALSE)=GH63,VLOOKUP(GI63,$FX$4:$FX$15,1,FALSE)=GI63),FZ63,""),"")</f>
        <v/>
      </c>
      <c r="GX63" s="79" t="n"/>
    </row>
    <row r="64" ht="14.25" customHeight="1">
      <c r="C64" s="94" t="n"/>
      <c r="F64" s="98" t="n"/>
      <c r="J64" s="23" t="n"/>
      <c r="K64" s="16" t="n"/>
      <c r="L64" s="49" t="n"/>
      <c r="V64" s="3" t="n"/>
      <c r="X64" s="1" t="n"/>
      <c r="AE64" s="94" t="n"/>
      <c r="AF64" s="95" t="n"/>
      <c r="AG64" s="3" t="n"/>
      <c r="AH64" s="98" t="n"/>
      <c r="AL64" s="23" t="n"/>
      <c r="AM64" s="16" t="n"/>
      <c r="BP64" s="140" t="n"/>
      <c r="BQ64" s="141" t="n"/>
      <c r="BR64" s="137" t="n"/>
      <c r="BS64" s="138" t="n"/>
      <c r="BT64" s="137" t="n"/>
      <c r="BU64" s="139" t="n"/>
      <c r="BV64" s="105" t="n"/>
      <c r="BW64" s="139" t="n"/>
      <c r="BX64" s="105" t="n"/>
      <c r="FZ64" s="79" t="n">
        <v>62</v>
      </c>
      <c r="GA64" s="3">
        <f>GB64&amp;GC64&amp;GD64&amp;GE64&amp;GF64&amp;GG64&amp;GH64&amp;GI64</f>
        <v/>
      </c>
      <c r="GB64" s="3" t="inlineStr">
        <is>
          <t>E</t>
        </is>
      </c>
      <c r="GC64" s="3" t="inlineStr">
        <is>
          <t>J</t>
        </is>
      </c>
      <c r="GD64" s="3" t="inlineStr">
        <is>
          <t>B</t>
        </is>
      </c>
      <c r="GE64" s="3" t="inlineStr">
        <is>
          <t>D</t>
        </is>
      </c>
      <c r="GF64" s="3" t="inlineStr">
        <is>
          <t>I</t>
        </is>
      </c>
      <c r="GG64" s="3" t="inlineStr">
        <is>
          <t>H</t>
        </is>
      </c>
      <c r="GH64" s="3" t="inlineStr">
        <is>
          <t>L</t>
        </is>
      </c>
      <c r="GI64" s="3" t="inlineStr">
        <is>
          <t>K</t>
        </is>
      </c>
      <c r="GJ64" s="9">
        <f>VLOOKUP(GB64,$FM$3:$FN$15,2,FALSE)</f>
        <v/>
      </c>
      <c r="GK64" s="9">
        <f>VLOOKUP(GC64,$FM$3:$FN$15,2,FALSE)</f>
        <v/>
      </c>
      <c r="GL64" s="9">
        <f>VLOOKUP(GD64,$FM$3:$FN$15,2,FALSE)</f>
        <v/>
      </c>
      <c r="GM64" s="9">
        <f>VLOOKUP(GE64,$FM$3:$FN$15,2,FALSE)</f>
        <v/>
      </c>
      <c r="GN64" s="9">
        <f>VLOOKUP(GF64,$FM$3:$FN$15,2,FALSE)</f>
        <v/>
      </c>
      <c r="GO64" s="9">
        <f>VLOOKUP(GG64,$FM$3:$FN$15,2,FALSE)</f>
        <v/>
      </c>
      <c r="GP64" s="9">
        <f>VLOOKUP(GH64,$FM$3:$FN$15,2,FALSE)</f>
        <v/>
      </c>
      <c r="GQ64" s="9">
        <f>VLOOKUP(GI64,$FM$3:$FN$15,2,FALSE)</f>
        <v/>
      </c>
      <c r="GR64" s="9">
        <f>IFERROR(IF(AND(VLOOKUP(GB64,$FX$4:$FX$15,1,FALSE)=GB64,VLOOKUP(GC64,$FX$4:$FX$15,1,FALSE)=GC64,VLOOKUP(GD64,$FX$4:$FX$15,1,FALSE)=GD64,VLOOKUP(GE64,$FX$4:$FX$15,1,FALSE)=GE64,VLOOKUP(GF64,$FX$4:$FX$15,1,FALSE)=GF64,VLOOKUP(GG64,$FX$4:$FX$15,1,FALSE)=GG64,VLOOKUP(GH64,$FX$4:$FX$15,1,FALSE)=GH64,VLOOKUP(GI64,$FX$4:$FX$15,1,FALSE)=GI64),FZ64,""),"")</f>
        <v/>
      </c>
      <c r="GX64" s="79" t="n"/>
    </row>
    <row r="65" ht="14.25" customFormat="1" customHeight="1" s="104">
      <c r="B65" s="19" t="inlineStr">
        <is>
          <t>Grupp H</t>
        </is>
      </c>
      <c r="C65" s="97" t="n"/>
      <c r="D65" s="126" t="n"/>
      <c r="E65" s="33" t="n"/>
      <c r="F65" s="126" t="n"/>
      <c r="G65" s="25" t="n"/>
      <c r="H65" s="25" t="n"/>
      <c r="I65" s="25" t="n"/>
      <c r="J65" s="23" t="n"/>
      <c r="K65" s="16" t="n"/>
      <c r="L65" s="49" t="n"/>
      <c r="M65" s="103" t="n"/>
      <c r="N65" s="103" t="n"/>
      <c r="O65" s="19" t="inlineStr">
        <is>
          <t>Grupp H</t>
        </is>
      </c>
      <c r="V65" s="33" t="n"/>
      <c r="X65" s="19" t="n"/>
      <c r="Y65" s="33" t="n"/>
      <c r="Z65" s="33" t="n"/>
      <c r="AA65" s="33" t="n"/>
      <c r="AB65" s="132" t="n"/>
      <c r="AC65" s="133" t="n"/>
      <c r="AE65" s="19" t="inlineStr">
        <is>
          <t>Grupp H</t>
        </is>
      </c>
      <c r="AF65" s="126" t="n"/>
      <c r="AG65" s="33" t="n"/>
      <c r="AH65" s="126" t="n"/>
      <c r="AI65" s="33" t="n"/>
      <c r="AJ65" s="33" t="n"/>
      <c r="AK65" s="33" t="n"/>
      <c r="AL65" s="23" t="n"/>
      <c r="AM65" s="16" t="n"/>
      <c r="AN65" s="23" t="n"/>
      <c r="AO65" s="13" t="n"/>
      <c r="AP65" s="13" t="n"/>
      <c r="AQ65" s="13" t="n"/>
      <c r="AR65" s="13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13" t="n"/>
      <c r="BO65" s="13" t="n"/>
      <c r="BP65" s="140" t="n"/>
      <c r="BQ65" s="141" t="n"/>
      <c r="BR65" s="137" t="n"/>
      <c r="BS65" s="138" t="n"/>
      <c r="BT65" s="39" t="inlineStr">
        <is>
          <t>Rank 0</t>
        </is>
      </c>
      <c r="BU65" s="34" t="n"/>
      <c r="BV65" s="34" t="n"/>
      <c r="BW65" s="34" t="n"/>
      <c r="BX65" s="34" t="n"/>
      <c r="BY65" s="34" t="n"/>
      <c r="BZ65" s="34" t="n"/>
      <c r="CA65" s="34" t="n"/>
      <c r="CB65" s="39" t="n"/>
      <c r="CC65" s="34" t="n"/>
      <c r="CD65" s="34" t="n"/>
      <c r="CE65" s="12" t="n"/>
      <c r="CF65" s="40" t="inlineStr">
        <is>
          <t>Rank 1</t>
        </is>
      </c>
      <c r="CG65" s="35">
        <f>COUNTIF(CC67:CC70,1)</f>
        <v/>
      </c>
      <c r="CH65" s="35" t="n"/>
      <c r="CI65" s="35" t="n"/>
      <c r="CJ65" s="35" t="n"/>
      <c r="CK65" s="35" t="n"/>
      <c r="CL65" s="35" t="n"/>
      <c r="CM65" s="35" t="n"/>
      <c r="CN65" s="35" t="n"/>
      <c r="CO65" s="35" t="n"/>
      <c r="CP65" s="35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2" t="n"/>
      <c r="CZ65" s="41" t="inlineStr">
        <is>
          <t>Rank 2</t>
        </is>
      </c>
      <c r="DA65" s="36">
        <f>COUNTIF(CC67:CC70,2)</f>
        <v/>
      </c>
      <c r="DB65" s="36" t="n"/>
      <c r="DC65" s="36" t="n"/>
      <c r="DD65" s="36" t="n"/>
      <c r="DE65" s="36" t="n"/>
      <c r="DF65" s="36" t="n"/>
      <c r="DG65" s="36" t="n"/>
      <c r="DH65" s="36" t="n"/>
      <c r="DI65" s="36" t="n"/>
      <c r="DJ65" s="41" t="n"/>
      <c r="DK65" s="12" t="n"/>
      <c r="DL65" s="12" t="n"/>
      <c r="DM65" s="12" t="n"/>
      <c r="DN65" s="12" t="n"/>
      <c r="DO65" s="12" t="n"/>
      <c r="DP65" s="12" t="n"/>
      <c r="DQ65" s="12" t="n"/>
      <c r="DR65" s="12" t="n"/>
      <c r="DS65" s="12" t="n"/>
      <c r="DT65" s="37" t="inlineStr">
        <is>
          <t>Rank 3</t>
        </is>
      </c>
      <c r="DU65" s="37">
        <f>COUNTIF(CC67:CC70,3)</f>
        <v/>
      </c>
      <c r="DV65" s="37" t="n"/>
      <c r="DW65" s="37" t="n"/>
      <c r="DX65" s="37" t="n"/>
      <c r="DY65" s="37" t="n"/>
      <c r="DZ65" s="37" t="n"/>
      <c r="EA65" s="37" t="n"/>
      <c r="EB65" s="37" t="n"/>
      <c r="EC65" s="37" t="n"/>
      <c r="ED65" s="37" t="n"/>
      <c r="EE65" s="13" t="n"/>
      <c r="EF65" s="13" t="n"/>
      <c r="EG65" s="13" t="n"/>
      <c r="EH65" s="13" t="n"/>
      <c r="EI65" s="13" t="n"/>
      <c r="EJ65" s="13" t="n"/>
      <c r="EK65" s="13" t="n"/>
      <c r="EL65" s="13" t="n"/>
      <c r="EM65" s="12" t="n"/>
      <c r="EN65" s="38" t="inlineStr">
        <is>
          <t>Rank 4</t>
        </is>
      </c>
      <c r="EO65" s="38">
        <f>COUNTIF(CC67:CC70,4)</f>
        <v/>
      </c>
      <c r="EP65" s="38" t="n"/>
      <c r="EQ65" s="38" t="n"/>
      <c r="ER65" s="38" t="n"/>
      <c r="ES65" s="38" t="n"/>
      <c r="ET65" s="38" t="n"/>
      <c r="EU65" s="38" t="n"/>
      <c r="EV65" s="38" t="n"/>
      <c r="EW65" s="38" t="n"/>
      <c r="EX65" s="38" t="n"/>
      <c r="EY65" s="13" t="n"/>
      <c r="EZ65" s="13" t="n"/>
      <c r="FA65" s="13" t="n"/>
      <c r="FB65" s="13" t="n"/>
      <c r="FC65" s="13" t="n"/>
      <c r="FD65" s="13" t="n"/>
      <c r="FE65" s="13" t="n"/>
      <c r="FF65" s="13" t="n"/>
      <c r="FG65" s="12" t="n"/>
      <c r="FH65" s="13" t="n"/>
      <c r="FI65" s="13" t="n"/>
      <c r="FJ65" s="12" t="n"/>
      <c r="FZ65" s="79" t="n">
        <v>63</v>
      </c>
      <c r="GA65" s="3">
        <f>GB65&amp;GC65&amp;GD65&amp;GE65&amp;GF65&amp;GG65&amp;GH65&amp;GI65</f>
        <v/>
      </c>
      <c r="GB65" s="3" t="inlineStr">
        <is>
          <t>E</t>
        </is>
      </c>
      <c r="GC65" s="3" t="inlineStr">
        <is>
          <t>J</t>
        </is>
      </c>
      <c r="GD65" s="3" t="inlineStr">
        <is>
          <t>B</t>
        </is>
      </c>
      <c r="GE65" s="3" t="inlineStr">
        <is>
          <t>D</t>
        </is>
      </c>
      <c r="GF65" s="3" t="inlineStr">
        <is>
          <t>I</t>
        </is>
      </c>
      <c r="GG65" s="3" t="inlineStr">
        <is>
          <t>G</t>
        </is>
      </c>
      <c r="GH65" s="3" t="inlineStr">
        <is>
          <t>L</t>
        </is>
      </c>
      <c r="GI65" s="3" t="inlineStr">
        <is>
          <t>K</t>
        </is>
      </c>
      <c r="GJ65" s="9">
        <f>VLOOKUP(GB65,$FM$3:$FN$15,2,FALSE)</f>
        <v/>
      </c>
      <c r="GK65" s="9">
        <f>VLOOKUP(GC65,$FM$3:$FN$15,2,FALSE)</f>
        <v/>
      </c>
      <c r="GL65" s="9">
        <f>VLOOKUP(GD65,$FM$3:$FN$15,2,FALSE)</f>
        <v/>
      </c>
      <c r="GM65" s="9">
        <f>VLOOKUP(GE65,$FM$3:$FN$15,2,FALSE)</f>
        <v/>
      </c>
      <c r="GN65" s="9">
        <f>VLOOKUP(GF65,$FM$3:$FN$15,2,FALSE)</f>
        <v/>
      </c>
      <c r="GO65" s="9">
        <f>VLOOKUP(GG65,$FM$3:$FN$15,2,FALSE)</f>
        <v/>
      </c>
      <c r="GP65" s="9">
        <f>VLOOKUP(GH65,$FM$3:$FN$15,2,FALSE)</f>
        <v/>
      </c>
      <c r="GQ65" s="9">
        <f>VLOOKUP(GI65,$FM$3:$FN$15,2,FALSE)</f>
        <v/>
      </c>
      <c r="GR65" s="9">
        <f>IFERROR(IF(AND(VLOOKUP(GB65,$FX$4:$FX$15,1,FALSE)=GB65,VLOOKUP(GC65,$FX$4:$FX$15,1,FALSE)=GC65,VLOOKUP(GD65,$FX$4:$FX$15,1,FALSE)=GD65,VLOOKUP(GE65,$FX$4:$FX$15,1,FALSE)=GE65,VLOOKUP(GF65,$FX$4:$FX$15,1,FALSE)=GF65,VLOOKUP(GG65,$FX$4:$FX$15,1,FALSE)=GG65,VLOOKUP(GH65,$FX$4:$FX$15,1,FALSE)=GH65,VLOOKUP(GI65,$FX$4:$FX$15,1,FALSE)=GI65),FZ65,""),"")</f>
        <v/>
      </c>
      <c r="GX65" s="23" t="n"/>
    </row>
    <row r="66" ht="14.25" customFormat="1" customHeight="1" s="104">
      <c r="B66" s="117" t="inlineStr">
        <is>
          <t>Match</t>
        </is>
      </c>
      <c r="C66" s="107" t="inlineStr">
        <is>
          <t>Datum</t>
        </is>
      </c>
      <c r="D66" s="210" t="inlineStr">
        <is>
          <t>Match</t>
        </is>
      </c>
      <c r="E66" s="211" t="n"/>
      <c r="F66" s="212" t="n"/>
      <c r="G66" s="184" t="inlineStr">
        <is>
          <t>Resultat</t>
        </is>
      </c>
      <c r="H66" s="217" t="n"/>
      <c r="I66" s="217" t="n"/>
      <c r="J66" s="47" t="inlineStr">
        <is>
          <t>1X2</t>
        </is>
      </c>
      <c r="K66" s="48" t="inlineStr">
        <is>
          <t>Poäng</t>
        </is>
      </c>
      <c r="L66" s="49" t="n"/>
      <c r="M66" s="103" t="n"/>
      <c r="N66" s="103" t="n"/>
      <c r="O66" s="51" t="inlineStr">
        <is>
          <t>Lag</t>
        </is>
      </c>
      <c r="P66" s="186" t="inlineStr">
        <is>
          <t>V</t>
        </is>
      </c>
      <c r="Q66" s="186" t="inlineStr">
        <is>
          <t>O</t>
        </is>
      </c>
      <c r="R66" s="186" t="inlineStr">
        <is>
          <t>F</t>
        </is>
      </c>
      <c r="S66" s="186" t="inlineStr">
        <is>
          <t>GM</t>
        </is>
      </c>
      <c r="T66" s="186" t="inlineStr">
        <is>
          <t>IM</t>
        </is>
      </c>
      <c r="U66" s="186" t="inlineStr">
        <is>
          <t>+/-</t>
        </is>
      </c>
      <c r="V66" s="187" t="inlineStr">
        <is>
          <t>P</t>
        </is>
      </c>
      <c r="X66" s="1" t="n"/>
      <c r="Y66" s="33" t="n"/>
      <c r="Z66" s="33" t="n"/>
      <c r="AA66" s="33" t="n"/>
      <c r="AB66" s="132" t="n"/>
      <c r="AC66" s="133" t="n"/>
      <c r="AE66" s="107" t="inlineStr">
        <is>
          <t>Datum</t>
        </is>
      </c>
      <c r="AF66" s="210" t="inlineStr">
        <is>
          <t>Match</t>
        </is>
      </c>
      <c r="AG66" s="211" t="n"/>
      <c r="AH66" s="212" t="n"/>
      <c r="AI66" s="182" t="inlineStr">
        <is>
          <t>Resultat</t>
        </is>
      </c>
      <c r="AJ66" s="211" t="n"/>
      <c r="AK66" s="211" t="n"/>
      <c r="AL66" s="47" t="inlineStr">
        <is>
          <t>Tecken</t>
        </is>
      </c>
      <c r="AM66" s="16" t="n"/>
      <c r="AN66" s="34" t="inlineStr">
        <is>
          <t>V1</t>
        </is>
      </c>
      <c r="AO66" s="34" t="inlineStr">
        <is>
          <t>V2</t>
        </is>
      </c>
      <c r="AP66" s="34" t="inlineStr">
        <is>
          <t>O1</t>
        </is>
      </c>
      <c r="AQ66" s="34" t="inlineStr">
        <is>
          <t>O2</t>
        </is>
      </c>
      <c r="AR66" s="34" t="inlineStr">
        <is>
          <t>F1</t>
        </is>
      </c>
      <c r="AS66" s="34" t="inlineStr">
        <is>
          <t>F2</t>
        </is>
      </c>
      <c r="AT66" s="35" t="inlineStr">
        <is>
          <t>V1</t>
        </is>
      </c>
      <c r="AU66" s="35" t="inlineStr">
        <is>
          <t>V2</t>
        </is>
      </c>
      <c r="AV66" s="35" t="inlineStr">
        <is>
          <t>O1</t>
        </is>
      </c>
      <c r="AW66" s="35" t="inlineStr">
        <is>
          <t>O2</t>
        </is>
      </c>
      <c r="AX66" s="35" t="inlineStr">
        <is>
          <t>F1</t>
        </is>
      </c>
      <c r="AY66" s="35" t="inlineStr">
        <is>
          <t>F2</t>
        </is>
      </c>
      <c r="AZ66" s="36" t="inlineStr">
        <is>
          <t>V1</t>
        </is>
      </c>
      <c r="BA66" s="36" t="inlineStr">
        <is>
          <t>V2</t>
        </is>
      </c>
      <c r="BB66" s="36" t="inlineStr">
        <is>
          <t>O1</t>
        </is>
      </c>
      <c r="BC66" s="36" t="inlineStr">
        <is>
          <t>O2</t>
        </is>
      </c>
      <c r="BD66" s="36" t="inlineStr">
        <is>
          <t>F1</t>
        </is>
      </c>
      <c r="BE66" s="36" t="inlineStr">
        <is>
          <t>F2</t>
        </is>
      </c>
      <c r="BF66" s="37" t="inlineStr">
        <is>
          <t>V1</t>
        </is>
      </c>
      <c r="BG66" s="37" t="inlineStr">
        <is>
          <t>V2</t>
        </is>
      </c>
      <c r="BH66" s="37" t="inlineStr">
        <is>
          <t>O1</t>
        </is>
      </c>
      <c r="BI66" s="37" t="inlineStr">
        <is>
          <t>O2</t>
        </is>
      </c>
      <c r="BJ66" s="37" t="inlineStr">
        <is>
          <t>F1</t>
        </is>
      </c>
      <c r="BK66" s="37" t="inlineStr">
        <is>
          <t>F2</t>
        </is>
      </c>
      <c r="BL66" s="38" t="inlineStr">
        <is>
          <t>V1</t>
        </is>
      </c>
      <c r="BM66" s="38" t="inlineStr">
        <is>
          <t>V2</t>
        </is>
      </c>
      <c r="BN66" s="38" t="inlineStr">
        <is>
          <t>O1</t>
        </is>
      </c>
      <c r="BO66" s="38" t="inlineStr">
        <is>
          <t>O2</t>
        </is>
      </c>
      <c r="BP66" s="38" t="inlineStr">
        <is>
          <t>F1</t>
        </is>
      </c>
      <c r="BQ66" s="38" t="inlineStr">
        <is>
          <t>F2</t>
        </is>
      </c>
      <c r="BR66" s="137" t="n"/>
      <c r="BS66" s="138" t="n"/>
      <c r="BT66" s="39" t="inlineStr">
        <is>
          <t>Lag</t>
        </is>
      </c>
      <c r="BU66" s="34" t="inlineStr">
        <is>
          <t>V</t>
        </is>
      </c>
      <c r="BV66" s="34" t="inlineStr">
        <is>
          <t>O</t>
        </is>
      </c>
      <c r="BW66" s="34" t="inlineStr">
        <is>
          <t>F</t>
        </is>
      </c>
      <c r="BX66" s="34" t="inlineStr">
        <is>
          <t>GM</t>
        </is>
      </c>
      <c r="BY66" s="34" t="inlineStr">
        <is>
          <t>IM</t>
        </is>
      </c>
      <c r="BZ66" s="34" t="inlineStr">
        <is>
          <t>+/-</t>
        </is>
      </c>
      <c r="CA66" s="34" t="inlineStr">
        <is>
          <t>P</t>
        </is>
      </c>
      <c r="CB66" s="39" t="inlineStr">
        <is>
          <t>Grupp</t>
        </is>
      </c>
      <c r="CC66" s="34" t="inlineStr">
        <is>
          <t>Rank P</t>
        </is>
      </c>
      <c r="CD66" s="34" t="inlineStr">
        <is>
          <t>Rank +/-</t>
        </is>
      </c>
      <c r="CE66" s="12" t="n"/>
      <c r="CF66" s="40" t="inlineStr">
        <is>
          <t>Lag</t>
        </is>
      </c>
      <c r="CG66" s="35" t="inlineStr">
        <is>
          <t>V</t>
        </is>
      </c>
      <c r="CH66" s="35" t="inlineStr">
        <is>
          <t>O</t>
        </is>
      </c>
      <c r="CI66" s="35" t="inlineStr">
        <is>
          <t>F</t>
        </is>
      </c>
      <c r="CJ66" s="35" t="inlineStr">
        <is>
          <t>P</t>
        </is>
      </c>
      <c r="CK66" s="35" t="inlineStr">
        <is>
          <t>Grupp</t>
        </is>
      </c>
      <c r="CL66" s="35" t="inlineStr">
        <is>
          <t>Rank P</t>
        </is>
      </c>
      <c r="CM66" s="56" t="inlineStr">
        <is>
          <t>+/-</t>
        </is>
      </c>
      <c r="CN66" s="56" t="inlineStr">
        <is>
          <t>+/- rank</t>
        </is>
      </c>
      <c r="CO66" s="56" t="inlineStr">
        <is>
          <t>GM</t>
        </is>
      </c>
      <c r="CP66" s="56" t="inlineStr">
        <is>
          <t>GM rank</t>
        </is>
      </c>
      <c r="CQ66" s="35" t="inlineStr">
        <is>
          <t>Rank internal</t>
        </is>
      </c>
      <c r="CR66" s="56" t="inlineStr">
        <is>
          <t>+/- all</t>
        </is>
      </c>
      <c r="CS66" s="56" t="inlineStr">
        <is>
          <t>+/- rank all</t>
        </is>
      </c>
      <c r="CT66" s="56" t="inlineStr">
        <is>
          <t>GM all</t>
        </is>
      </c>
      <c r="CU66" s="56" t="inlineStr">
        <is>
          <t>GM rank all</t>
        </is>
      </c>
      <c r="CV66" s="56" t="inlineStr">
        <is>
          <t>V all</t>
        </is>
      </c>
      <c r="CW66" s="56" t="inlineStr">
        <is>
          <t>V rank all</t>
        </is>
      </c>
      <c r="CX66" s="35" t="inlineStr">
        <is>
          <t>Rank all</t>
        </is>
      </c>
      <c r="CY66" s="12" t="n"/>
      <c r="CZ66" s="41" t="inlineStr">
        <is>
          <t>Lag</t>
        </is>
      </c>
      <c r="DA66" s="36" t="inlineStr">
        <is>
          <t>V</t>
        </is>
      </c>
      <c r="DB66" s="36" t="inlineStr">
        <is>
          <t>O</t>
        </is>
      </c>
      <c r="DC66" s="36" t="inlineStr">
        <is>
          <t>F</t>
        </is>
      </c>
      <c r="DD66" s="36" t="inlineStr">
        <is>
          <t>P</t>
        </is>
      </c>
      <c r="DE66" s="36" t="inlineStr">
        <is>
          <t>Grupp</t>
        </is>
      </c>
      <c r="DF66" s="36" t="inlineStr">
        <is>
          <t>Rank P</t>
        </is>
      </c>
      <c r="DG66" s="36" t="inlineStr">
        <is>
          <t>+/-</t>
        </is>
      </c>
      <c r="DH66" s="36" t="inlineStr">
        <is>
          <t>+/- rank</t>
        </is>
      </c>
      <c r="DI66" s="36" t="inlineStr">
        <is>
          <t>GM</t>
        </is>
      </c>
      <c r="DJ66" s="41" t="inlineStr">
        <is>
          <t>GM rank</t>
        </is>
      </c>
      <c r="DK66" s="41" t="inlineStr">
        <is>
          <t>Rank internal</t>
        </is>
      </c>
      <c r="DL66" s="41" t="inlineStr">
        <is>
          <t>+/- all</t>
        </is>
      </c>
      <c r="DM66" s="41" t="inlineStr">
        <is>
          <t>+/- rank all</t>
        </is>
      </c>
      <c r="DN66" s="41" t="inlineStr">
        <is>
          <t>GM all</t>
        </is>
      </c>
      <c r="DO66" s="41" t="inlineStr">
        <is>
          <t>GM rank all</t>
        </is>
      </c>
      <c r="DP66" s="41" t="inlineStr">
        <is>
          <t>V all</t>
        </is>
      </c>
      <c r="DQ66" s="41" t="inlineStr">
        <is>
          <t>V rank all</t>
        </is>
      </c>
      <c r="DR66" s="41" t="inlineStr">
        <is>
          <t>Rank all</t>
        </is>
      </c>
      <c r="DS66" s="12" t="n"/>
      <c r="DT66" s="37" t="inlineStr">
        <is>
          <t>Lag</t>
        </is>
      </c>
      <c r="DU66" s="37" t="inlineStr">
        <is>
          <t>V</t>
        </is>
      </c>
      <c r="DV66" s="37" t="inlineStr">
        <is>
          <t>O</t>
        </is>
      </c>
      <c r="DW66" s="37" t="inlineStr">
        <is>
          <t>F</t>
        </is>
      </c>
      <c r="DX66" s="37" t="inlineStr">
        <is>
          <t>P</t>
        </is>
      </c>
      <c r="DY66" s="37" t="inlineStr">
        <is>
          <t>Grupp</t>
        </is>
      </c>
      <c r="DZ66" s="37" t="inlineStr">
        <is>
          <t>Rank P</t>
        </is>
      </c>
      <c r="EA66" s="37" t="inlineStr">
        <is>
          <t>+/-</t>
        </is>
      </c>
      <c r="EB66" s="37" t="inlineStr">
        <is>
          <t>+/- rank</t>
        </is>
      </c>
      <c r="EC66" s="37" t="inlineStr">
        <is>
          <t>GM</t>
        </is>
      </c>
      <c r="ED66" s="37" t="inlineStr">
        <is>
          <t>GM rank</t>
        </is>
      </c>
      <c r="EE66" s="37" t="inlineStr">
        <is>
          <t>Rank internal</t>
        </is>
      </c>
      <c r="EF66" s="37" t="inlineStr">
        <is>
          <t>+/- all</t>
        </is>
      </c>
      <c r="EG66" s="37" t="inlineStr">
        <is>
          <t>+/- rank all</t>
        </is>
      </c>
      <c r="EH66" s="37" t="inlineStr">
        <is>
          <t>GM all</t>
        </is>
      </c>
      <c r="EI66" s="37" t="inlineStr">
        <is>
          <t>GM rank all</t>
        </is>
      </c>
      <c r="EJ66" s="37" t="inlineStr">
        <is>
          <t>V all</t>
        </is>
      </c>
      <c r="EK66" s="37" t="inlineStr">
        <is>
          <t>V rank all</t>
        </is>
      </c>
      <c r="EL66" s="37" t="inlineStr">
        <is>
          <t>Rank all</t>
        </is>
      </c>
      <c r="EM66" s="12" t="n"/>
      <c r="EN66" s="38" t="inlineStr">
        <is>
          <t>Lag</t>
        </is>
      </c>
      <c r="EO66" s="38" t="inlineStr">
        <is>
          <t>V</t>
        </is>
      </c>
      <c r="EP66" s="38" t="inlineStr">
        <is>
          <t>O</t>
        </is>
      </c>
      <c r="EQ66" s="38" t="inlineStr">
        <is>
          <t>F</t>
        </is>
      </c>
      <c r="ER66" s="38" t="inlineStr">
        <is>
          <t>P</t>
        </is>
      </c>
      <c r="ES66" s="38" t="inlineStr">
        <is>
          <t>Grupp</t>
        </is>
      </c>
      <c r="ET66" s="38" t="inlineStr">
        <is>
          <t>Rank P</t>
        </is>
      </c>
      <c r="EU66" s="38" t="inlineStr">
        <is>
          <t>+/-</t>
        </is>
      </c>
      <c r="EV66" s="38" t="inlineStr">
        <is>
          <t>+/- rank</t>
        </is>
      </c>
      <c r="EW66" s="38" t="inlineStr">
        <is>
          <t>GM</t>
        </is>
      </c>
      <c r="EX66" s="38" t="inlineStr">
        <is>
          <t>GM rank</t>
        </is>
      </c>
      <c r="EY66" s="38" t="inlineStr">
        <is>
          <t>Rank internal</t>
        </is>
      </c>
      <c r="EZ66" s="38" t="inlineStr">
        <is>
          <t>+/- all</t>
        </is>
      </c>
      <c r="FA66" s="38" t="inlineStr">
        <is>
          <t>+/- rank all</t>
        </is>
      </c>
      <c r="FB66" s="38" t="inlineStr">
        <is>
          <t>GM all</t>
        </is>
      </c>
      <c r="FC66" s="38" t="inlineStr">
        <is>
          <t>GM rank all</t>
        </is>
      </c>
      <c r="FD66" s="38" t="inlineStr">
        <is>
          <t>V all</t>
        </is>
      </c>
      <c r="FE66" s="38" t="inlineStr">
        <is>
          <t>V rank all</t>
        </is>
      </c>
      <c r="FF66" s="38" t="inlineStr">
        <is>
          <t>Rank all</t>
        </is>
      </c>
      <c r="FG66" s="12" t="n"/>
      <c r="FH66" s="38" t="inlineStr">
        <is>
          <t>Rank</t>
        </is>
      </c>
      <c r="FI66" s="38" t="inlineStr">
        <is>
          <t>Rank Ties</t>
        </is>
      </c>
      <c r="FJ66" s="12" t="n"/>
      <c r="FZ66" s="79" t="n">
        <v>64</v>
      </c>
      <c r="GA66" s="3">
        <f>GB66&amp;GC66&amp;GD66&amp;GE66&amp;GF66&amp;GG66&amp;GH66&amp;GI66</f>
        <v/>
      </c>
      <c r="GB66" s="3" t="inlineStr">
        <is>
          <t>E</t>
        </is>
      </c>
      <c r="GC66" s="3" t="inlineStr">
        <is>
          <t>J</t>
        </is>
      </c>
      <c r="GD66" s="3" t="inlineStr">
        <is>
          <t>B</t>
        </is>
      </c>
      <c r="GE66" s="3" t="inlineStr">
        <is>
          <t>D</t>
        </is>
      </c>
      <c r="GF66" s="3" t="inlineStr">
        <is>
          <t>H</t>
        </is>
      </c>
      <c r="GG66" s="3" t="inlineStr">
        <is>
          <t>G</t>
        </is>
      </c>
      <c r="GH66" s="3" t="inlineStr">
        <is>
          <t>L</t>
        </is>
      </c>
      <c r="GI66" s="3" t="inlineStr">
        <is>
          <t>K</t>
        </is>
      </c>
      <c r="GJ66" s="9">
        <f>VLOOKUP(GB66,$FM$3:$FN$15,2,FALSE)</f>
        <v/>
      </c>
      <c r="GK66" s="9">
        <f>VLOOKUP(GC66,$FM$3:$FN$15,2,FALSE)</f>
        <v/>
      </c>
      <c r="GL66" s="9">
        <f>VLOOKUP(GD66,$FM$3:$FN$15,2,FALSE)</f>
        <v/>
      </c>
      <c r="GM66" s="9">
        <f>VLOOKUP(GE66,$FM$3:$FN$15,2,FALSE)</f>
        <v/>
      </c>
      <c r="GN66" s="9">
        <f>VLOOKUP(GF66,$FM$3:$FN$15,2,FALSE)</f>
        <v/>
      </c>
      <c r="GO66" s="9">
        <f>VLOOKUP(GG66,$FM$3:$FN$15,2,FALSE)</f>
        <v/>
      </c>
      <c r="GP66" s="9">
        <f>VLOOKUP(GH66,$FM$3:$FN$15,2,FALSE)</f>
        <v/>
      </c>
      <c r="GQ66" s="9">
        <f>VLOOKUP(GI66,$FM$3:$FN$15,2,FALSE)</f>
        <v/>
      </c>
      <c r="GR66" s="9">
        <f>IFERROR(IF(AND(VLOOKUP(GB66,$FX$4:$FX$15,1,FALSE)=GB66,VLOOKUP(GC66,$FX$4:$FX$15,1,FALSE)=GC66,VLOOKUP(GD66,$FX$4:$FX$15,1,FALSE)=GD66,VLOOKUP(GE66,$FX$4:$FX$15,1,FALSE)=GE66,VLOOKUP(GF66,$FX$4:$FX$15,1,FALSE)=GF66,VLOOKUP(GG66,$FX$4:$FX$15,1,FALSE)=GG66,VLOOKUP(GH66,$FX$4:$FX$15,1,FALSE)=GH66,VLOOKUP(GI66,$FX$4:$FX$15,1,FALSE)=GI66),FZ66,""),"")</f>
        <v/>
      </c>
      <c r="GX66" s="23" t="n"/>
    </row>
    <row r="67" ht="14.25" customHeight="1">
      <c r="B67" s="58" t="n">
        <v>14</v>
      </c>
      <c r="C67" s="59" t="n">
        <v>46188</v>
      </c>
      <c r="D67" s="60" t="inlineStr">
        <is>
          <t>Spanien</t>
        </is>
      </c>
      <c r="E67" s="61" t="inlineStr">
        <is>
          <t>-</t>
        </is>
      </c>
      <c r="F67" s="62" t="inlineStr">
        <is>
          <t>Kap Verde</t>
        </is>
      </c>
      <c r="G67" s="63" t="n">
        <v>3</v>
      </c>
      <c r="H67" s="64" t="inlineStr">
        <is>
          <t>-</t>
        </is>
      </c>
      <c r="I67" s="63" t="n">
        <v>0</v>
      </c>
      <c r="J67" s="65">
        <f>IF(OR(ISBLANK(G67),ISBLANK(I67)),"",IF(G67&gt;I67,1,IF(G67&lt;I67,2,"X")))</f>
        <v/>
      </c>
      <c r="K67" s="66">
        <f>IF(OR(G67="",I67="",'[1]Resultat &amp; tabell'!G67="",'[1]Resultat &amp; tabell'!I67=""),0,IF(G67='[1]Resultat &amp; tabell'!G67,2,0)+IF(I67='[1]Resultat &amp; tabell'!I67,2,0)+IF(J67='[1]Resultat &amp; tabell'!J67,2,0))</f>
        <v/>
      </c>
      <c r="L67" s="67" t="n"/>
      <c r="M67" s="29">
        <f>IF(VLOOKUP(D67,$BT$66:$CC$70,10,FALSE)=VLOOKUP(F67,$BT$66:$CC$70,10,FALSE),VLOOKUP(D67,$BT$66:$CC$70,10,FALSE),"-")</f>
        <v/>
      </c>
      <c r="N67" s="30" t="n">
        <v>1</v>
      </c>
      <c r="O67" s="68">
        <f>VLOOKUP(N67,FI67:FJ70,2,FALSE)</f>
        <v/>
      </c>
      <c r="P67" s="69">
        <f>VLOOKUP($O67,$BT$67:$CA$70,2,FALSE)</f>
        <v/>
      </c>
      <c r="Q67" s="69">
        <f>VLOOKUP($O67,$BT$67:$CA$70,3,FALSE)</f>
        <v/>
      </c>
      <c r="R67" s="69">
        <f>VLOOKUP($O67,$BT$67:$CA$70,4,FALSE)</f>
        <v/>
      </c>
      <c r="S67" s="69">
        <f>VLOOKUP($O67,$BT$67:$CA$70,5,FALSE)</f>
        <v/>
      </c>
      <c r="T67" s="69">
        <f>VLOOKUP($O67,$BT$67:$CA$70,6,FALSE)</f>
        <v/>
      </c>
      <c r="U67" s="69">
        <f>VLOOKUP($O67,$BT$67:$CA$70,7,FALSE)</f>
        <v/>
      </c>
      <c r="V67" s="70">
        <f>VLOOKUP($O67,$BT$67:$CA$70,8,FALSE)</f>
        <v/>
      </c>
      <c r="X67" s="1" t="n"/>
      <c r="AE67" s="72">
        <f>C67</f>
        <v/>
      </c>
      <c r="AF67" s="72">
        <f>D67</f>
        <v/>
      </c>
      <c r="AG67" s="72">
        <f>E67</f>
        <v/>
      </c>
      <c r="AH67" s="72">
        <f>F67</f>
        <v/>
      </c>
      <c r="AI67" s="63">
        <f>IF(G67="","",G67)</f>
        <v/>
      </c>
      <c r="AJ67" s="58">
        <f>H67</f>
        <v/>
      </c>
      <c r="AK67" s="63">
        <f>IF(I67="","",I67)</f>
        <v/>
      </c>
      <c r="AL67" s="65">
        <f>J67</f>
        <v/>
      </c>
      <c r="AM67" s="73" t="n"/>
      <c r="AN67" s="13">
        <f>IF(AI67&gt;AK67,1,0)</f>
        <v/>
      </c>
      <c r="AO67" s="13">
        <f>IF(AK67&gt;AI67,1,0)</f>
        <v/>
      </c>
      <c r="AP67" s="13">
        <f>IF(AND(AI67=AK67,AI67&lt;&gt;""),1,0)</f>
        <v/>
      </c>
      <c r="AQ67" s="13">
        <f>IF(AND(AI67=AK67,AI67&lt;&gt;""),1,0)</f>
        <v/>
      </c>
      <c r="AR67" s="13">
        <f>IF(AI67&lt;AK67,1,0)</f>
        <v/>
      </c>
      <c r="AS67" s="13">
        <f>IF(AK67&lt;AI67,1,)</f>
        <v/>
      </c>
      <c r="AT67" s="13">
        <f>IF(ISERROR(VLOOKUP(AF67,CF:CF,1,FALSE)),0,1)*IF(ISERROR(VLOOKUP(AH67,CF:CF,1,FALSE)),0,1)*AN67</f>
        <v/>
      </c>
      <c r="AU67" s="13">
        <f>IF(ISERROR(VLOOKUP(AF67,CF:CF,1,FALSE)),0,1)*IF(ISERROR(VLOOKUP(AH67,CF:CF,1,FALSE)),0,1)*AO67</f>
        <v/>
      </c>
      <c r="AV67" s="13">
        <f>IF(ISERROR(VLOOKUP(AF67,CF:CF,1,FALSE)),0,1)*IF(ISERROR(VLOOKUP(AH67,CF:CF,1,FALSE)),0,1)*AP67</f>
        <v/>
      </c>
      <c r="AW67" s="13">
        <f>IF(ISERROR(VLOOKUP(AF67,CF:CF,1,FALSE)),0,1)*IF(ISERROR(VLOOKUP(AH67,CF:CF,1,FALSE)),0,1)*AQ67</f>
        <v/>
      </c>
      <c r="AX67" s="13">
        <f>IF(ISERROR(VLOOKUP(AF67,CF:CF,1,FALSE)),0,1)*IF(ISERROR(VLOOKUP(AH67,CF:CF,1,FALSE)),0,1)*AR67</f>
        <v/>
      </c>
      <c r="AY67" s="13">
        <f>IF(ISERROR(VLOOKUP(AF67,CF:CF,1,FALSE)),0,1)*IF(ISERROR(VLOOKUP(AH67,CF:CF,1,FALSE)),0,1)*AS67</f>
        <v/>
      </c>
      <c r="AZ67" s="13">
        <f>IF(ISERROR(VLOOKUP(AF67,CZ:CZ,1,FALSE)),0,1)*IF(ISERROR(VLOOKUP(AH67,CZ:CZ,1,FALSE)),0,1)*AN67</f>
        <v/>
      </c>
      <c r="BA67" s="13">
        <f>IF(ISERROR(VLOOKUP(AF67,CZ:CZ,1,FALSE)),0,1)*IF(ISERROR(VLOOKUP(AH67,CZ:CZ,1,FALSE)),0,1)*AO67</f>
        <v/>
      </c>
      <c r="BB67" s="13">
        <f>IF(ISERROR(VLOOKUP(AF67,CZ:CZ,1,FALSE)),0,1)*IF(ISERROR(VLOOKUP(AH67,CZ:CZ,1,FALSE)),0,1)*AP67</f>
        <v/>
      </c>
      <c r="BC67" s="13">
        <f>IF(ISERROR(VLOOKUP(AF67,CZ:CZ,1,FALSE)),0,1)*IF(ISERROR(VLOOKUP(AH67,CZ:CZ,1,FALSE)),0,1)*AQ67</f>
        <v/>
      </c>
      <c r="BD67" s="13">
        <f>IF(ISERROR(VLOOKUP(AF67,CZ:CZ,1,FALSE)),0,1)*IF(ISERROR(VLOOKUP(AH67,CZ:CZ,1,FALSE)),0,1)*AR67</f>
        <v/>
      </c>
      <c r="BE67" s="13">
        <f>IF(ISERROR(VLOOKUP(AF67,CZ:CZ,1,FALSE)),0,1)*IF(ISERROR(VLOOKUP(AH67,CZ:CZ,1,FALSE)),0,1)*AS67</f>
        <v/>
      </c>
      <c r="BF67" s="13">
        <f>IF(ISERROR(VLOOKUP(AF67,DT:DT,1,FALSE)),0,1)*IF(ISERROR(VLOOKUP(AH67,DT:DT,1,FALSE)),0,1)*AN67</f>
        <v/>
      </c>
      <c r="BG67" s="13">
        <f>IF(ISERROR(VLOOKUP(AF67,DT:DT,1,FALSE)),0,1)*IF(ISERROR(VLOOKUP(AH67,DT:DT,1,FALSE)),0,1)*AO67</f>
        <v/>
      </c>
      <c r="BH67" s="13">
        <f>IF(ISERROR(VLOOKUP(AF67,DT:DT,1,FALSE)),0,1)*IF(ISERROR(VLOOKUP(AH67,DT:DT,1,FALSE)),0,1)*AP67</f>
        <v/>
      </c>
      <c r="BI67" s="13">
        <f>IF(ISERROR(VLOOKUP(AF67,DT:DT,1,FALSE)),0,1)*IF(ISERROR(VLOOKUP(AH67,DT:DT,1,FALSE)),0,1)*AQ67</f>
        <v/>
      </c>
      <c r="BJ67" s="13">
        <f>IF(ISERROR(VLOOKUP(AF67,DT:DT,1,FALSE)),0,1)*IF(ISERROR(VLOOKUP(AH67,DT:DT,1,FALSE)),0,1)*AR67</f>
        <v/>
      </c>
      <c r="BK67" s="13">
        <f>IF(ISERROR(VLOOKUP(AF67,DT:DT,1,FALSE)),0,1)*IF(ISERROR(VLOOKUP(AH67,DT:DT,1,FALSE)),0,1)*AS67</f>
        <v/>
      </c>
      <c r="BL67" s="13">
        <f>IF(ISERROR(VLOOKUP(AF67,EN:EN,1,FALSE)),0,1)*IF(ISERROR(VLOOKUP(AH67,EN:EN,1,FALSE)),0,1)*AN67</f>
        <v/>
      </c>
      <c r="BM67" s="13">
        <f>IF(ISERROR(VLOOKUP(AF67,EN:EN,1,FALSE)),0,1)*IF(ISERROR(VLOOKUP(AH67,EN:EN,1,FALSE)),0,1)*AO67</f>
        <v/>
      </c>
      <c r="BN67" s="13">
        <f>IF(ISERROR(VLOOKUP(AF67,EN:EN,1,FALSE)),0,1)*IF(ISERROR(VLOOKUP(AH67,EN:EN,1,FALSE)),0,1)*AP67</f>
        <v/>
      </c>
      <c r="BO67" s="13">
        <f>IF(ISERROR(VLOOKUP(AF67,EN:EN,1,FALSE)),0,1)*IF(ISERROR(VLOOKUP(AH67,EN:EN,1,FALSE)),0,1)*AQ67</f>
        <v/>
      </c>
      <c r="BP67" s="13">
        <f>IF(ISERROR(VLOOKUP(AF67,EN:EN,1,FALSE)),0,1)*IF(ISERROR(VLOOKUP(AH67,EN:EN,1,FALSE)),0,1)*AR67</f>
        <v/>
      </c>
      <c r="BQ67" s="13">
        <f>IF(ISERROR(VLOOKUP(AF67,EN:EN,1,FALSE)),0,1)*IF(ISERROR(VLOOKUP(AH67,EN:EN,1,FALSE)),0,1)*AS67</f>
        <v/>
      </c>
      <c r="BR67" s="137" t="n"/>
      <c r="BS67" s="138" t="n"/>
      <c r="BT67" s="12" t="inlineStr">
        <is>
          <t>Spanien</t>
        </is>
      </c>
      <c r="BU67" s="13">
        <f>(SUMIF(AF$4:AF$108,BT67,AN$4:AN$108)+SUMIF(AH$4:AH$108,BT67,AO$4:AO$108))</f>
        <v/>
      </c>
      <c r="BV67" s="13">
        <f>(SUMIF(AF$4:AF$108,BT67,AP$4:AP$108)+SUMIF(AH$4:AH$108,BT67,AQ$4:AQ$108))</f>
        <v/>
      </c>
      <c r="BW67" s="13">
        <f>(SUMIF(AF$4:AF$108,BT67,AR$4:AR$108)+SUMIF(AH$4:AH$108,BT67,AS$4:AS$108))</f>
        <v/>
      </c>
      <c r="BX67" s="13">
        <f>SUMIF($AF$4:$AF$108,BT67,$AI$4:$AI$108)+SUMIF($AH$4:$AH$108,BT67,$AK$4:$AK$108)</f>
        <v/>
      </c>
      <c r="BY67" s="13">
        <f>SUMIF($AF$4:$AF$108,BT67,$AK$4:$AK$108)+SUMIF($AH$4:$AH$108,BT67,$AI$4:$AI$108)</f>
        <v/>
      </c>
      <c r="BZ67" s="13">
        <f>BX67-BY67</f>
        <v/>
      </c>
      <c r="CA67" s="13">
        <f>IFERROR(BU67*3+BV67*1,0)</f>
        <v/>
      </c>
      <c r="CB67" s="13" t="inlineStr">
        <is>
          <t>H</t>
        </is>
      </c>
      <c r="CC67" s="74">
        <f>RANK(CA67,CA67:CA70)</f>
        <v/>
      </c>
      <c r="CD67" s="13">
        <f>SUMPRODUCT((CA67:CA70=CA67)*(BZ67:BZ70&gt;BZ67))</f>
        <v/>
      </c>
      <c r="CF67" s="12">
        <f>IF(CC67=1,BT67,)</f>
        <v/>
      </c>
      <c r="CG67" s="13">
        <f>(SUMIF($AF$4:$AF$108,$BT67,$AT$4:$AT$108)+SUMIF($AH$4:$AH$108,$BT67,$AU$4:$AU$108))</f>
        <v/>
      </c>
      <c r="CH67" s="13">
        <f>(SUMIF($AF$4:$AF$108,$BT67,$AV$4:$AV$108)+SUMIF($AH$4:$AH$108,$BT67,$AW$4:$AW$108))</f>
        <v/>
      </c>
      <c r="CI67" s="13">
        <f>(SUMIF($AF$4:$AF$108,$BT67,$AX$4:$AX$108)+SUMIF($AH$4:$AH$108,$BT67,$AY$4:$AY$108))</f>
        <v/>
      </c>
      <c r="CJ67" s="13">
        <f>IFERROR(CG67*3+CH67*1,0)</f>
        <v/>
      </c>
      <c r="CK67" s="13">
        <f>CB67</f>
        <v/>
      </c>
      <c r="CL67" s="13">
        <f>IF(CF67&gt;0,RANK(CJ67,CJ67:CJ70),)</f>
        <v/>
      </c>
      <c r="CM67" s="13">
        <f>IF(AND(CF67&gt;0,COUNTIF(CL67:CL70,CL67)&gt;1),SUMIFS($AI$4:$AI$108,$AF$4:$AF$108,$BT67,$M$4:$M$108,1)+SUMIFS($AK$4:$AK$108,$AH$4:$AH$108,$BT67,$M$4:$M$108,1)-SUMIFS($AK$4:$AK$108,$AF$4:$AF$108,$BT67,$M$4:$M$108,1)-SUMIFS($AI$4:$AI$108,$AH$4:$AH$108,$BT67,$M$4:$M$108,1),)</f>
        <v/>
      </c>
      <c r="CN67" s="13">
        <f>IF(AND(CF67&gt;0,COUNTIF(CL67:CL70,CL67)&gt;1),CL67+RANK(CM67,CM67:CM70)-1,CL67)</f>
        <v/>
      </c>
      <c r="CO67" s="13">
        <f>IF(AND(CF67&gt;0,COUNTIF(CN67:CN70,CN67)&gt;1),SUMIFS($AI$4:$AI$108,$AF$4:$AF$108,$BT67,$M$4:$M$108,1)+SUMIFS($AK$4:$AK$108,$AH$4:$AH$108,$BT67,$M$4:$M$108,1),)</f>
        <v/>
      </c>
      <c r="CP67" s="13">
        <f>IF(AND(CF67&gt;0,COUNTIF(CN67:CN70,CN67)&gt;1),CN67+RANK(CO67,CO67:CO70)-1,CN67)</f>
        <v/>
      </c>
      <c r="CQ67" s="13">
        <f>IF(CP67=0,"",CP67)</f>
        <v/>
      </c>
      <c r="CR67" s="13">
        <f>IF(OR(CQ67="",COUNTIF(CQ67:CQ70,CQ67)=1),"",$BZ67)</f>
        <v/>
      </c>
      <c r="CS67" s="13">
        <f>IF(CQ67="","",IF(COUNTIF(CQ67:CQ70,CQ67)=1,CQ67,CQ67+RANK(CR67,CR67:CR70,0)-1))</f>
        <v/>
      </c>
      <c r="CT67" s="13">
        <f>IF(OR(CS67="",COUNTIF(CS67:CS70,CS67)=1),"",$BX67)</f>
        <v/>
      </c>
      <c r="CU67" s="13">
        <f>IF(CQ67="","",IF(COUNTIF(CS67:CS70,CS67)=1,CS67,CS67+RANK(CT67,CT67:CT70,0)-1))</f>
        <v/>
      </c>
      <c r="CV67" s="13">
        <f>IF(OR(CU67="",COUNTIF(CU67:CU70,CU67)=1),"",$BU67)</f>
        <v/>
      </c>
      <c r="CW67" s="13">
        <f>IF(CQ67="","",IF(COUNTIF(CU67:CU70,CU67)=1,CU67,CU67+RANK(CV67,CV67:CV70,0)-1))</f>
        <v/>
      </c>
      <c r="CX67" s="13">
        <f>IF(CF67&gt;0,BM65+RANK(CW67,CW67:CW70,1),)</f>
        <v/>
      </c>
      <c r="CZ67" s="12">
        <f>IF(CC67=2,BT67,)</f>
        <v/>
      </c>
      <c r="DA67" s="13">
        <f>(SUMIF($AF$4:$AF$108,$BT67,$AZ$4:$AZ$108)+SUMIF($AH$4:$AH$108,$BT67,$BA$4:$BA$108))</f>
        <v/>
      </c>
      <c r="DB67" s="13">
        <f>(SUMIF($AF$4:$AF$108,$BT67,$BB$4:$BB$108)+SUMIF($AH$4:$AH$108,$BT67,$BC$4:$BC$108))</f>
        <v/>
      </c>
      <c r="DC67" s="13">
        <f>(SUMIF($AF$4:$AF$108,$BT67,$BD$4:$BD$108)+SUMIF($AH$4:$AH$108,$BT67,$BE$4:$BE$108))</f>
        <v/>
      </c>
      <c r="DD67" s="13">
        <f>IFERROR(DA67*3+DB67*1,0)</f>
        <v/>
      </c>
      <c r="DE67" s="13">
        <f>$CB67</f>
        <v/>
      </c>
      <c r="DF67" s="13">
        <f>IF(CZ67&gt;0,RANK(DD67,DD67:DD70)+CG65,)</f>
        <v/>
      </c>
      <c r="DG67" s="13">
        <f>IF(AND(CZ67&gt;0,COUNTIF(DF67:DF70,DF67)&gt;1),SUMIFS($AI$4:$AI$108,$AF$4:$AF$108,$BT67,$M$4:$M$108,2)+SUMIFS($AK$4:$AK$108,$AH$4:$AH108,$BT67,$M$4:$M$108,2)-SUMIFS($AK$4:$AK$108,$AF$4:$AF$108,$BT67,$M$4:$M$108,2)-SUMIFS($AI$4:$AI$108,$AH$4:$AH$108,$BT67,$M$4:$M$108,2),)</f>
        <v/>
      </c>
      <c r="DH67" s="13">
        <f>IF(AND(CZ67&gt;0,COUNTIF(DF67:DF70,DF67)&gt;1),DF67+RANK(DG67,DG67:DG70)-1,DF67)</f>
        <v/>
      </c>
      <c r="DI67" s="13">
        <f>IF(AND(CZ67&gt;0,COUNTIF(DH67:DH70,DH67)&gt;1),SUMIFS($AI$4:$AI$108,$AF$4:$AF$108,$BT67,$M$4:$M$108,2)+SUMIFS($AK$4:$AK$108,$AH$4:$AH$108,$BT67,$M$4:$M$108,2),)</f>
        <v/>
      </c>
      <c r="DJ67" s="13">
        <f>IF(AND(CZ67&gt;0,COUNTIF(DH67:DH70,DH67)&gt;1),DH67+RANK(DI67,DI67:DI70)-1,DH67)</f>
        <v/>
      </c>
      <c r="DK67" s="75">
        <f>IF(DJ67=0,"",DJ67)</f>
        <v/>
      </c>
      <c r="DL67" s="75">
        <f>IF(OR(DK67="",COUNTIF(DK67:DK70,DK67)=1),"",$BZ67)</f>
        <v/>
      </c>
      <c r="DM67" s="75">
        <f>IF(DK67="","",IF(COUNTIF(DK67:DK70,DK67)=1,DK67,DK67+RANK(DL67,DL67:DL70,0)-1))</f>
        <v/>
      </c>
      <c r="DN67" s="75">
        <f>IF(OR(DM67="",COUNTIF(DM67:DM70,DM67)=1),"",$BX67)</f>
        <v/>
      </c>
      <c r="DO67" s="75">
        <f>IF(DK67="","",IF(COUNTIF(DM67:DM70,DM67)=1,DM67,DM67+RANK(DN67,DN67:DN70,0)-1))</f>
        <v/>
      </c>
      <c r="DP67" s="75">
        <f>IF(OR(DO67="",COUNTIF(DO67:DO70,DO67)=1),"",$BU67)</f>
        <v/>
      </c>
      <c r="DQ67" s="75">
        <f>IF(DK67="","",IF(COUNTIF(DO67:DO70,DO67)=1,DO67,DO67+RANK(DP67,DP67:DP70,0)-1))</f>
        <v/>
      </c>
      <c r="DR67" s="13">
        <f>IF(CZ67&gt;0,CG65+RANK(DQ67,DQ67:DQ70,1),)</f>
        <v/>
      </c>
      <c r="DT67" s="13">
        <f>IF(CC67=3,BT67,)</f>
        <v/>
      </c>
      <c r="DU67" s="13">
        <f>(SUMIF($AF$4:$AF$108,BT67,$BF$4:$BF$108)+SUMIF($AH$4:$AH$108,BT67,$BG$4:$BG$108))</f>
        <v/>
      </c>
      <c r="DV67" s="13">
        <f>(SUMIF($AF$4:$AF$108,BT67,$BH$4:$BH$108)+SUMIF($AH$4:$AH$108,BT67,$BI$4:$BI$108))</f>
        <v/>
      </c>
      <c r="DW67" s="13">
        <f>(SUMIF($AF$4:$AF$108,BT67,$BJ$4:$BJ$108)+SUMIF($AH$4:$AH$108,BT67,$BK$4:$BK$108))</f>
        <v/>
      </c>
      <c r="DX67" s="13">
        <f>IFERROR(DU67*3+DV67*1,0)</f>
        <v/>
      </c>
      <c r="DY67" s="13">
        <f>CB67</f>
        <v/>
      </c>
      <c r="DZ67" s="13">
        <f>IF(DT67&gt;0,RANK(DX67,DX67:DX70)+CG65+DA65,)</f>
        <v/>
      </c>
      <c r="EA67" s="13">
        <f>IF(AND(DT67&gt;0,COUNTIF(DZ67:DZ70,DZ67)&gt;1),SUMIFS($AI$4:$AI$108,$AF$4:$AF$108,$BT67,$M$4:$M$108,3)+SUMIFS($AK$4:$AK$108,$AH$4:$AH$108,$BT67,$M$4:$M$108,3)-SUMIFS($AK$4:$AK$108,$AF$4:$AF$108,$BT67,$M$4:$M$108,3)-SUMIFS($AI$4:$AI$108,$AH$4:$AH$108,$BT67,$M$4:$M$108,3),)</f>
        <v/>
      </c>
      <c r="EB67" s="13">
        <f>IF(AND(DT67&gt;0,COUNTIF(DZ67:DZ70,DZ67)&gt;1),DZ67+RANK(EA67,EA67:EA70)-1,DZ67)</f>
        <v/>
      </c>
      <c r="EC67" s="13">
        <f>IF(AND(DT67&gt;0,COUNTIF(EB67:EB70,EB67)&gt;1),SUMIFS($AI$4:$AI$108,$AF$4:$AF$108,$BT67,$M$4:$M$108,3)+SUMIFS($AK$4:$AK$108,$AH$4:$AH$108,$BT67,$M$4:$M$108,3),)</f>
        <v/>
      </c>
      <c r="ED67" s="13">
        <f>IF(AND(DT67&gt;0,COUNTIF(EB67:EB70,EB67)&gt;1),EB67+RANK(EC67,EC67:EC70)-1,EB67)</f>
        <v/>
      </c>
      <c r="EE67" s="13">
        <f>IF(ED67=0,"",ED67)</f>
        <v/>
      </c>
      <c r="EF67" s="13">
        <f>IF(OR(EE67="",COUNTIF(EE67:EE70,EE67)=1),"",$BZ67)</f>
        <v/>
      </c>
      <c r="EG67" s="13">
        <f>IF(EE67="","",IF(COUNTIF(EE67:EE70,EE67)=1,EE67,EE67+RANK(EF67,EF67:EF70,0)-1))</f>
        <v/>
      </c>
      <c r="EH67" s="13">
        <f>IF(OR(EG67="",COUNTIF(EG67:EG70,EG67)=1),"",$BX67)</f>
        <v/>
      </c>
      <c r="EI67" s="13">
        <f>IF(EE67="","",IF(COUNTIF(EG67:EG70,EG67)=1,EG67,EG67+RANK(EH67,EH67:EH70,0)-1))</f>
        <v/>
      </c>
      <c r="EJ67" s="13">
        <f>IF(OR(EI67="",COUNTIF(EI67:EI70,EI67)=1),"",$BU67)</f>
        <v/>
      </c>
      <c r="EK67" s="13">
        <f>IF(EE67="","",IF(COUNTIF(EI67:EI70,EI67)=1,EI67,EI67+RANK(EJ67,EJ67:EJ70,0)-1))</f>
        <v/>
      </c>
      <c r="EL67" s="13">
        <f>IF(DT67&gt;0,CG65+DA65+RANK(EK67,EK67:EK70,1),)</f>
        <v/>
      </c>
      <c r="EN67" s="13">
        <f>IF(CC67=4,BT67,)</f>
        <v/>
      </c>
      <c r="EO67" s="13">
        <f>(SUMIF($AF$4:$AF$108,$BT67,$BL$4:$BL$108)+SUMIF($AH$4:$AH$108,$BT67,$BM$4:$BM$108))</f>
        <v/>
      </c>
      <c r="EP67" s="13">
        <f>(SUMIF($AF$4:$AF$108,$BT67,$BN$4:$BN$108)+SUMIF($AH$4:$AH$108,$BT67,$BO$4:$BO$108))</f>
        <v/>
      </c>
      <c r="EQ67" s="13">
        <f>(SUMIF($AF$4:$AF$108,$BT67,$BP$4:$BP$108)+SUMIF($AH$4:$AH$108,$BT67,$BQ$4:$BQ$108))</f>
        <v/>
      </c>
      <c r="ER67" s="13">
        <f>IFERROR(EO67*3+EP67*1,0)</f>
        <v/>
      </c>
      <c r="ES67" s="13">
        <f>$CB67</f>
        <v/>
      </c>
      <c r="ET67" s="13">
        <f>IF(EN67&gt;0,RANK(ER67,ER67:ER70)+CG65+DA65+DU65,)</f>
        <v/>
      </c>
      <c r="EU67" s="13">
        <f>IF(AND(EN67&gt;0,COUNTIF(ET67:ET70,ET67)&gt;1),SUMIFS($AI$4:$AI$108,$AF$4:$AF$108,$BT67,$M$4:$M$108,4)+SUMIFS($AK$4:$AK$108,$AH$4:$AH$108,$BT67,$M$4:$M$108,4)-SUMIFS($AK$4:$AK$108,$AF$4:$AF$108,$BT67,$M$4:$M$108,4)-SUMIFS($AI$4:$AI$108,$AH$4:$AH$108,$BT67,$M$4:$M$108,4),)</f>
        <v/>
      </c>
      <c r="EV67" s="13">
        <f>IF(AND(EN67&gt;0,COUNTIF(ET67:ET70,ET67)&gt;1),ET67+RANK(EU67,EU67:EU70)-1,ET67)</f>
        <v/>
      </c>
      <c r="EW67" s="13">
        <f>IF(AND(EN67&gt;0,COUNTIF(EV67:EV70,EV67)&gt;1),SUMIFS($AI$4:$AI$108,$AF$4:$AF$108,$BT67,$M$4:$M$108,4)+SUMIFS($AK$4:$AK$108,$AH$4:$AH$108,$BT67,$M$4:$M$108,4),)</f>
        <v/>
      </c>
      <c r="EX67" s="13">
        <f>IF(AND(EN67&gt;0,COUNTIF(EV67:EV70,EV67)&gt;1),EV67+RANK(EW67,EW67:EW70)-1,EV67)</f>
        <v/>
      </c>
      <c r="EY67" s="13">
        <f>IF(EX67=0,"",EX67)</f>
        <v/>
      </c>
      <c r="EZ67" s="13">
        <f>IF(OR(EY67="",COUNTIF(EY67:EY70,EY67)=1),"",$BZ67)</f>
        <v/>
      </c>
      <c r="FA67" s="13">
        <f>IF(EY67="","",IF(COUNTIF(EY67:EY70,EY67)=1,EY67,EY67+RANK(EZ67,EZ67:EZ70,0)-1))</f>
        <v/>
      </c>
      <c r="FB67" s="13">
        <f>IF(OR(FA67="",COUNTIF(FA67:FA70,FA67)=1),"",$BX67)</f>
        <v/>
      </c>
      <c r="FC67" s="13">
        <f>IF(EY67="","",IF(COUNTIF(FA67:FA70,FA67)=1,FA67,FA67+RANK(FB67,FB67:FB70,0)-1))</f>
        <v/>
      </c>
      <c r="FD67" s="13">
        <f>IF(OR(FC67="",COUNTIF(FC67:FC70,FC67)=1),"",$BU67)</f>
        <v/>
      </c>
      <c r="FE67" s="13">
        <f>IF(EY67="","",IF(COUNTIF(FC67:FC70,FC67)=1,FC67,FC67+RANK(FD67,FD67:FD70,0)-1))</f>
        <v/>
      </c>
      <c r="FF67" s="13">
        <f>IF(EN67&gt;0,CG65+DA65+DU65+RANK(FE67,FE67:FE70,1),)</f>
        <v/>
      </c>
      <c r="FH67" s="13">
        <f>IFERROR(VLOOKUP(FJ67,CF66:CX70,19,FALSE),IFERROR(VLOOKUP(FJ67,CZ66:DR70,19,FALSE),IFERROR(VLOOKUP(FJ67,DT66:EL70,19,FALSE),VLOOKUP(FJ67,EN66:FF70,19,FALSE))))</f>
        <v/>
      </c>
      <c r="FI67" s="13">
        <f>RANK(FH67,FH67:FH70,1)+COUNTIF(FH67:FH67,FH67)-1</f>
        <v/>
      </c>
      <c r="FJ67" s="12">
        <f>BT67</f>
        <v/>
      </c>
      <c r="FZ67" s="79" t="n">
        <v>65</v>
      </c>
      <c r="GA67" s="3">
        <f>GB67&amp;GC67&amp;GD67&amp;GE67&amp;GF67&amp;GG67&amp;GH67&amp;GI67</f>
        <v/>
      </c>
      <c r="GB67" s="3" t="inlineStr">
        <is>
          <t>E</t>
        </is>
      </c>
      <c r="GC67" s="3" t="inlineStr">
        <is>
          <t>G</t>
        </is>
      </c>
      <c r="GD67" s="3" t="inlineStr">
        <is>
          <t>B</t>
        </is>
      </c>
      <c r="GE67" s="3" t="inlineStr">
        <is>
          <t>D</t>
        </is>
      </c>
      <c r="GF67" s="3" t="inlineStr">
        <is>
          <t>I</t>
        </is>
      </c>
      <c r="GG67" s="3" t="inlineStr">
        <is>
          <t>H</t>
        </is>
      </c>
      <c r="GH67" s="3" t="inlineStr">
        <is>
          <t>L</t>
        </is>
      </c>
      <c r="GI67" s="3" t="inlineStr">
        <is>
          <t>K</t>
        </is>
      </c>
      <c r="GJ67" s="9">
        <f>VLOOKUP(GB67,$FM$3:$FN$15,2,FALSE)</f>
        <v/>
      </c>
      <c r="GK67" s="9">
        <f>VLOOKUP(GC67,$FM$3:$FN$15,2,FALSE)</f>
        <v/>
      </c>
      <c r="GL67" s="9">
        <f>VLOOKUP(GD67,$FM$3:$FN$15,2,FALSE)</f>
        <v/>
      </c>
      <c r="GM67" s="9">
        <f>VLOOKUP(GE67,$FM$3:$FN$15,2,FALSE)</f>
        <v/>
      </c>
      <c r="GN67" s="9">
        <f>VLOOKUP(GF67,$FM$3:$FN$15,2,FALSE)</f>
        <v/>
      </c>
      <c r="GO67" s="9">
        <f>VLOOKUP(GG67,$FM$3:$FN$15,2,FALSE)</f>
        <v/>
      </c>
      <c r="GP67" s="9">
        <f>VLOOKUP(GH67,$FM$3:$FN$15,2,FALSE)</f>
        <v/>
      </c>
      <c r="GQ67" s="9">
        <f>VLOOKUP(GI67,$FM$3:$FN$15,2,FALSE)</f>
        <v/>
      </c>
      <c r="GR67" s="9">
        <f>IFERROR(IF(AND(VLOOKUP(GB67,$FX$4:$FX$15,1,FALSE)=GB67,VLOOKUP(GC67,$FX$4:$FX$15,1,FALSE)=GC67,VLOOKUP(GD67,$FX$4:$FX$15,1,FALSE)=GD67,VLOOKUP(GE67,$FX$4:$FX$15,1,FALSE)=GE67,VLOOKUP(GF67,$FX$4:$FX$15,1,FALSE)=GF67,VLOOKUP(GG67,$FX$4:$FX$15,1,FALSE)=GG67,VLOOKUP(GH67,$FX$4:$FX$15,1,FALSE)=GH67,VLOOKUP(GI67,$FX$4:$FX$15,1,FALSE)=GI67),FZ67,""),"")</f>
        <v/>
      </c>
      <c r="GX67" s="79" t="n"/>
    </row>
    <row r="68" ht="14.25" customHeight="1">
      <c r="B68" s="58" t="n">
        <v>13</v>
      </c>
      <c r="C68" s="59" t="n">
        <v>46189</v>
      </c>
      <c r="D68" s="60" t="inlineStr">
        <is>
          <t>Saudiarabien</t>
        </is>
      </c>
      <c r="E68" s="61" t="inlineStr">
        <is>
          <t>-</t>
        </is>
      </c>
      <c r="F68" s="62" t="inlineStr">
        <is>
          <t>Uruguay</t>
        </is>
      </c>
      <c r="G68" s="63" t="n">
        <v>0</v>
      </c>
      <c r="H68" s="64" t="inlineStr">
        <is>
          <t>-</t>
        </is>
      </c>
      <c r="I68" s="63" t="n">
        <v>2</v>
      </c>
      <c r="J68" s="65">
        <f>IF(OR(ISBLANK(G68),ISBLANK(I68)),"",IF(G68&gt;I68,1,IF(G68&lt;I68,2,"X")))</f>
        <v/>
      </c>
      <c r="K68" s="66">
        <f>IF(OR(G68="",I68="",'[1]Resultat &amp; tabell'!G68="",'[1]Resultat &amp; tabell'!I68=""),0,IF(G68='[1]Resultat &amp; tabell'!G68,2,0)+IF(I68='[1]Resultat &amp; tabell'!I68,2,0)+IF(J68='[1]Resultat &amp; tabell'!J68,2,0))</f>
        <v/>
      </c>
      <c r="L68" s="67" t="n"/>
      <c r="M68" s="29">
        <f>IF(VLOOKUP(D68,$BT$66:$CC$70,10,FALSE)=VLOOKUP(F68,$BT$66:$CC$70,10,FALSE),VLOOKUP(D68,$BT$66:$CC$70,10,FALSE),"-")</f>
        <v/>
      </c>
      <c r="N68" s="30" t="n">
        <v>2</v>
      </c>
      <c r="O68" s="80">
        <f>VLOOKUP(N68,FI67:FJ70,2,FALSE)</f>
        <v/>
      </c>
      <c r="P68" s="81">
        <f>VLOOKUP($O68,$BT$67:$CA$70,2,FALSE)</f>
        <v/>
      </c>
      <c r="Q68" s="81">
        <f>VLOOKUP($O68,$BT$67:$CA$70,3,FALSE)</f>
        <v/>
      </c>
      <c r="R68" s="81">
        <f>VLOOKUP($O68,$BT$67:$CA$70,4,FALSE)</f>
        <v/>
      </c>
      <c r="S68" s="81">
        <f>VLOOKUP($O68,$BT$67:$CA$70,5,FALSE)</f>
        <v/>
      </c>
      <c r="T68" s="81">
        <f>VLOOKUP($O68,$BT$67:$CA$70,6,FALSE)</f>
        <v/>
      </c>
      <c r="U68" s="81">
        <f>VLOOKUP($O68,$BT$67:$CA$70,7,FALSE)</f>
        <v/>
      </c>
      <c r="V68" s="82">
        <f>VLOOKUP($O68,$BT$67:$CA$70,8,FALSE)</f>
        <v/>
      </c>
      <c r="X68" s="1" t="n"/>
      <c r="AE68" s="72">
        <f>C68</f>
        <v/>
      </c>
      <c r="AF68" s="72">
        <f>D68</f>
        <v/>
      </c>
      <c r="AG68" s="72">
        <f>E68</f>
        <v/>
      </c>
      <c r="AH68" s="72">
        <f>F68</f>
        <v/>
      </c>
      <c r="AI68" s="63">
        <f>IF(G68="","",G68)</f>
        <v/>
      </c>
      <c r="AJ68" s="58">
        <f>H68</f>
        <v/>
      </c>
      <c r="AK68" s="63">
        <f>IF(I68="","",I68)</f>
        <v/>
      </c>
      <c r="AL68" s="65">
        <f>J68</f>
        <v/>
      </c>
      <c r="AM68" s="73" t="n"/>
      <c r="AN68" s="13">
        <f>IF(AI68&gt;AK68,1,0)</f>
        <v/>
      </c>
      <c r="AO68" s="13">
        <f>IF(AK68&gt;AI68,1,0)</f>
        <v/>
      </c>
      <c r="AP68" s="13">
        <f>IF(AND(AI68=AK68,AI68&lt;&gt;""),1,0)</f>
        <v/>
      </c>
      <c r="AQ68" s="13">
        <f>IF(AND(AI68=AK68,AI68&lt;&gt;""),1,0)</f>
        <v/>
      </c>
      <c r="AR68" s="13">
        <f>IF(AI68&lt;AK68,1,0)</f>
        <v/>
      </c>
      <c r="AS68" s="13">
        <f>IF(AK68&lt;AI68,1,)</f>
        <v/>
      </c>
      <c r="AT68" s="13">
        <f>IF(ISERROR(VLOOKUP(AF68,CF:CF,1,FALSE)),0,1)*IF(ISERROR(VLOOKUP(AH68,CF:CF,1,FALSE)),0,1)*AN68</f>
        <v/>
      </c>
      <c r="AU68" s="13">
        <f>IF(ISERROR(VLOOKUP(AF68,CF:CF,1,FALSE)),0,1)*IF(ISERROR(VLOOKUP(AH68,CF:CF,1,FALSE)),0,1)*AO68</f>
        <v/>
      </c>
      <c r="AV68" s="13">
        <f>IF(ISERROR(VLOOKUP(AF68,CF:CF,1,FALSE)),0,1)*IF(ISERROR(VLOOKUP(AH68,CF:CF,1,FALSE)),0,1)*AP68</f>
        <v/>
      </c>
      <c r="AW68" s="13">
        <f>IF(ISERROR(VLOOKUP(AF68,CF:CF,1,FALSE)),0,1)*IF(ISERROR(VLOOKUP(AH68,CF:CF,1,FALSE)),0,1)*AQ68</f>
        <v/>
      </c>
      <c r="AX68" s="13">
        <f>IF(ISERROR(VLOOKUP(AF68,CF:CF,1,FALSE)),0,1)*IF(ISERROR(VLOOKUP(AH68,CF:CF,1,FALSE)),0,1)*AR68</f>
        <v/>
      </c>
      <c r="AY68" s="13">
        <f>IF(ISERROR(VLOOKUP(AF68,CF:CF,1,FALSE)),0,1)*IF(ISERROR(VLOOKUP(AH68,CF:CF,1,FALSE)),0,1)*AS68</f>
        <v/>
      </c>
      <c r="AZ68" s="13">
        <f>IF(ISERROR(VLOOKUP(AF68,CZ:CZ,1,FALSE)),0,1)*IF(ISERROR(VLOOKUP(AH68,CZ:CZ,1,FALSE)),0,1)*AN68</f>
        <v/>
      </c>
      <c r="BA68" s="13">
        <f>IF(ISERROR(VLOOKUP(AF68,CZ:CZ,1,FALSE)),0,1)*IF(ISERROR(VLOOKUP(AH68,CZ:CZ,1,FALSE)),0,1)*AO68</f>
        <v/>
      </c>
      <c r="BB68" s="13">
        <f>IF(ISERROR(VLOOKUP(AF68,CZ:CZ,1,FALSE)),0,1)*IF(ISERROR(VLOOKUP(AH68,CZ:CZ,1,FALSE)),0,1)*AP68</f>
        <v/>
      </c>
      <c r="BC68" s="13">
        <f>IF(ISERROR(VLOOKUP(AF68,CZ:CZ,1,FALSE)),0,1)*IF(ISERROR(VLOOKUP(AH68,CZ:CZ,1,FALSE)),0,1)*AQ68</f>
        <v/>
      </c>
      <c r="BD68" s="13">
        <f>IF(ISERROR(VLOOKUP(AF68,CZ:CZ,1,FALSE)),0,1)*IF(ISERROR(VLOOKUP(AH68,CZ:CZ,1,FALSE)),0,1)*AR68</f>
        <v/>
      </c>
      <c r="BE68" s="13">
        <f>IF(ISERROR(VLOOKUP(AF68,CZ:CZ,1,FALSE)),0,1)*IF(ISERROR(VLOOKUP(AH68,CZ:CZ,1,FALSE)),0,1)*AS68</f>
        <v/>
      </c>
      <c r="BF68" s="13">
        <f>IF(ISERROR(VLOOKUP(AF68,DT:DT,1,FALSE)),0,1)*IF(ISERROR(VLOOKUP(AH68,DT:DT,1,FALSE)),0,1)*AN68</f>
        <v/>
      </c>
      <c r="BG68" s="13">
        <f>IF(ISERROR(VLOOKUP(AF68,DT:DT,1,FALSE)),0,1)*IF(ISERROR(VLOOKUP(AH68,DT:DT,1,FALSE)),0,1)*AO68</f>
        <v/>
      </c>
      <c r="BH68" s="13">
        <f>IF(ISERROR(VLOOKUP(AF68,DT:DT,1,FALSE)),0,1)*IF(ISERROR(VLOOKUP(AH68,DT:DT,1,FALSE)),0,1)*AP68</f>
        <v/>
      </c>
      <c r="BI68" s="13">
        <f>IF(ISERROR(VLOOKUP(AF68,DT:DT,1,FALSE)),0,1)*IF(ISERROR(VLOOKUP(AH68,DT:DT,1,FALSE)),0,1)*AQ68</f>
        <v/>
      </c>
      <c r="BJ68" s="13">
        <f>IF(ISERROR(VLOOKUP(AF68,DT:DT,1,FALSE)),0,1)*IF(ISERROR(VLOOKUP(AH68,DT:DT,1,FALSE)),0,1)*AR68</f>
        <v/>
      </c>
      <c r="BK68" s="13">
        <f>IF(ISERROR(VLOOKUP(AF68,DT:DT,1,FALSE)),0,1)*IF(ISERROR(VLOOKUP(AH68,DT:DT,1,FALSE)),0,1)*AS68</f>
        <v/>
      </c>
      <c r="BL68" s="13">
        <f>IF(ISERROR(VLOOKUP(AF68,EN:EN,1,FALSE)),0,1)*IF(ISERROR(VLOOKUP(AH68,EN:EN,1,FALSE)),0,1)*AN68</f>
        <v/>
      </c>
      <c r="BM68" s="13">
        <f>IF(ISERROR(VLOOKUP(AF68,EN:EN,1,FALSE)),0,1)*IF(ISERROR(VLOOKUP(AH68,EN:EN,1,FALSE)),0,1)*AO68</f>
        <v/>
      </c>
      <c r="BN68" s="13">
        <f>IF(ISERROR(VLOOKUP(AF68,EN:EN,1,FALSE)),0,1)*IF(ISERROR(VLOOKUP(AH68,EN:EN,1,FALSE)),0,1)*AP68</f>
        <v/>
      </c>
      <c r="BO68" s="13">
        <f>IF(ISERROR(VLOOKUP(AF68,EN:EN,1,FALSE)),0,1)*IF(ISERROR(VLOOKUP(AH68,EN:EN,1,FALSE)),0,1)*AQ68</f>
        <v/>
      </c>
      <c r="BP68" s="13">
        <f>IF(ISERROR(VLOOKUP(AF68,EN:EN,1,FALSE)),0,1)*IF(ISERROR(VLOOKUP(AH68,EN:EN,1,FALSE)),0,1)*AR68</f>
        <v/>
      </c>
      <c r="BQ68" s="13">
        <f>IF(ISERROR(VLOOKUP(AF68,EN:EN,1,FALSE)),0,1)*IF(ISERROR(VLOOKUP(AH68,EN:EN,1,FALSE)),0,1)*AS68</f>
        <v/>
      </c>
      <c r="BT68" s="12" t="inlineStr">
        <is>
          <t>Kap Verde</t>
        </is>
      </c>
      <c r="BU68" s="13">
        <f>(SUMIF(AF$4:AF$108,BT68,AN$4:AN$108)+SUMIF(AH$4:AH$108,BT68,AO$4:AO$108))</f>
        <v/>
      </c>
      <c r="BV68" s="13">
        <f>(SUMIF(AF$4:AF$108,BT68,AP$4:AP$108)+SUMIF(AH$4:AH$108,BT68,AQ$4:AQ$108))</f>
        <v/>
      </c>
      <c r="BW68" s="13">
        <f>(SUMIF(AF$4:AF$108,BT68,AR$4:AR$108)+SUMIF(AH$4:AH$108,BT68,AS$4:AS$108))</f>
        <v/>
      </c>
      <c r="BX68" s="13">
        <f>SUMIF($AF$4:$AF$108,BT68,$AI$4:$AI$108)+SUMIF($AH$4:$AH$108,BT68,$AK$4:$AK$108)</f>
        <v/>
      </c>
      <c r="BY68" s="13">
        <f>SUMIF($AF$4:$AF$108,BT68,$AK$4:$AK$108)+SUMIF($AH$4:$AH$108,BT68,$AI$4:$AI$108)</f>
        <v/>
      </c>
      <c r="BZ68" s="13">
        <f>BX68-BY68</f>
        <v/>
      </c>
      <c r="CA68" s="13">
        <f>IFERROR(BU68*3+BV68*1,0)</f>
        <v/>
      </c>
      <c r="CB68" s="13" t="inlineStr">
        <is>
          <t>H</t>
        </is>
      </c>
      <c r="CC68" s="74">
        <f>RANK(CA68,CA67:CA70)</f>
        <v/>
      </c>
      <c r="CD68" s="13">
        <f>SUMPRODUCT((CA67:CA70=CA68)*(BZ67:BZ70&gt;BZ68))</f>
        <v/>
      </c>
      <c r="CF68" s="12">
        <f>IF(CC68=1,BT68,)</f>
        <v/>
      </c>
      <c r="CG68" s="13">
        <f>(SUMIF($AF$4:$AF$108,$BT68,$AT$4:$AT$108)+SUMIF($AH$4:$AH$108,$BT68,$AU$4:$AU$108))</f>
        <v/>
      </c>
      <c r="CH68" s="13">
        <f>(SUMIF($AF$4:$AF$108,$BT68,$AV$4:$AV$108)+SUMIF($AH$4:$AH$108,$BT68,$AW$4:$AW$108))</f>
        <v/>
      </c>
      <c r="CI68" s="13">
        <f>(SUMIF($AF$4:$AF$108,$BT68,$AX$4:$AX$108)+SUMIF($AH$4:$AH$108,$BT68,$AY$4:$AY$108))</f>
        <v/>
      </c>
      <c r="CJ68" s="13">
        <f>IFERROR(CG68*3+CH68*1,0)</f>
        <v/>
      </c>
      <c r="CK68" s="13">
        <f>CB68</f>
        <v/>
      </c>
      <c r="CL68" s="13">
        <f>IF(CF68&gt;0,RANK(CJ68,CJ67:CJ70),)</f>
        <v/>
      </c>
      <c r="CM68" s="13">
        <f>IF(AND(CF68&gt;0,COUNTIF(CL67:CL70,CL68)&gt;1),SUMIFS($AI$4:$AI$108,$AF$4:$AF$108,$BT68,$M$4:$M$108,1)+SUMIFS($AK$4:$AK$108,$AH$4:$AH$108,$BT68,$M$4:$M$108,1)-SUMIFS($AK$4:$AK$108,$AF$4:$AF$108,$BT68,$M$4:$M$108,1)-SUMIFS($AI$4:$AI$108,$AH$4:$AH$108,$BT68,$M$4:$M$108,1),)</f>
        <v/>
      </c>
      <c r="CN68" s="13">
        <f>IF(AND(CF68&gt;0,COUNTIF(CL67:CL70,CL68)&gt;1),CL68+RANK(CM68,CM67:CM70)-1,CL68)</f>
        <v/>
      </c>
      <c r="CO68" s="13">
        <f>IF(AND(CF68&gt;0,COUNTIF(CN67:CN70,CN68)&gt;1),SUMIFS($AI$4:$AI$108,$AF$4:$AF$108,$BT68,$M$4:$M$108,1)+SUMIFS($AK$4:$AK$108,$AH$4:$AH$108,$BT68,$M$4:$M$108,1),)</f>
        <v/>
      </c>
      <c r="CP68" s="13">
        <f>IF(AND(CF68&gt;0,COUNTIF(CN67:CN70,CN68)&gt;1),CN68+RANK(CO68,CO67:CO70)-1,CN68)</f>
        <v/>
      </c>
      <c r="CQ68" s="13">
        <f>IF(CP68=0,"",CP68)</f>
        <v/>
      </c>
      <c r="CR68" s="13">
        <f>IF(OR(CQ68="",COUNTIF(CQ67:CQ70,CQ68)=1),"",$BZ68)</f>
        <v/>
      </c>
      <c r="CS68" s="13">
        <f>IF(CQ68="","",IF(COUNTIF(CQ67:CQ70,CQ68)=1,CQ68,CQ68+RANK(CR68,CR67:CR70,0)-1))</f>
        <v/>
      </c>
      <c r="CT68" s="13">
        <f>IF(OR(CS68="",COUNTIF(CS67:CS70,CS68)=1),"",$BX68)</f>
        <v/>
      </c>
      <c r="CU68" s="13">
        <f>IF(CQ68="","",IF(COUNTIF(CS67:CS70,CS68)=1,CS68,CS68+RANK(CT68,CT67:CT70,0)-1))</f>
        <v/>
      </c>
      <c r="CV68" s="13">
        <f>IF(OR(CU68="",COUNTIF(CU67:CU70,CU68)=1),"",$BU68)</f>
        <v/>
      </c>
      <c r="CW68" s="13">
        <f>IF(CQ68="","",IF(COUNTIF(CU67:CU70,CU68)=1,CU68,CU68+RANK(CV68,CV67:CV70,0)-1))</f>
        <v/>
      </c>
      <c r="CX68" s="13">
        <f>IF(CF68&gt;0,BM65+RANK(CW68,CW67:CW70,1),)</f>
        <v/>
      </c>
      <c r="CZ68" s="12">
        <f>IF(CC68=2,BT68,)</f>
        <v/>
      </c>
      <c r="DA68" s="13">
        <f>(SUMIF($AF$4:$AF$108,$BT68,$AZ$4:$AZ$108)+SUMIF($AH$4:$AH$108,$BT68,$BA$4:$BA$108))</f>
        <v/>
      </c>
      <c r="DB68" s="13">
        <f>(SUMIF($AF$4:$AF$108,$BT68,$BB$4:$BB$108)+SUMIF($AH$4:$AH$108,$BT68,$BC$4:$BC$108))</f>
        <v/>
      </c>
      <c r="DC68" s="13">
        <f>(SUMIF($AF$4:$AF$108,$BT68,$BD$4:$BD$108)+SUMIF($AH$4:$AH$108,$BT68,$BE$4:$BE$108))</f>
        <v/>
      </c>
      <c r="DD68" s="13">
        <f>IFERROR(DA68*3+DB68*1,0)</f>
        <v/>
      </c>
      <c r="DE68" s="13">
        <f>$CB68</f>
        <v/>
      </c>
      <c r="DF68" s="13">
        <f>IF(CZ68&gt;0,RANK(DD68,DD67:DD70)+CG65,)</f>
        <v/>
      </c>
      <c r="DG68" s="13">
        <f>IF(AND(CZ68&gt;0,COUNTIF(DF67:DF70,DF68)&gt;1),SUMIFS($AI$4:$AI$108,$AF$4:$AF$108,$BT68,$M$4:$M$108,2)+SUMIFS($AK$4:$AK$108,$AH$4:$AH108,$BT68,$M$4:$M$108,2)-SUMIFS($AK$4:$AK$108,$AF$4:$AF$108,$BT68,$M$4:$M$108,2)-SUMIFS($AI$4:$AI$108,$AH$4:$AH$108,$BT68,$M$4:$M$108,2),)</f>
        <v/>
      </c>
      <c r="DH68" s="13">
        <f>IF(AND(CZ68&gt;0,COUNTIF(DF67:DF70,DF68)&gt;1),DF68+RANK(DG68,DG67:DG70)-1,DF68)</f>
        <v/>
      </c>
      <c r="DI68" s="13">
        <f>IF(AND(CZ68&gt;0,COUNTIF(DH67:DH70,DH68)&gt;1),SUMIFS($AI$4:$AI$108,$AF$4:$AF$108,$BT68,$M$4:$M$108,2)+SUMIFS($AK$4:$AK$108,$AH$4:$AH$108,$BT68,$M$4:$M$108,2),)</f>
        <v/>
      </c>
      <c r="DJ68" s="13">
        <f>IF(AND(CZ68&gt;0,COUNTIF(DH67:DH70,DH68)&gt;1),DH68+RANK(DI68,DI67:DI70)-1,DH68)</f>
        <v/>
      </c>
      <c r="DK68" s="75">
        <f>IF(DJ68=0,"",DJ68)</f>
        <v/>
      </c>
      <c r="DL68" s="75">
        <f>IF(OR(DK68="",COUNTIF(DK67:DK70,DK68)=1),"",$BZ68)</f>
        <v/>
      </c>
      <c r="DM68" s="75">
        <f>IF(DK68="","",IF(COUNTIF(DK67:DK70,DK68)=1,DK68,DK68+RANK(DL68,DL67:DL70,0)-1))</f>
        <v/>
      </c>
      <c r="DN68" s="75">
        <f>IF(OR(DM68="",COUNTIF(DM67:DM70,DM68)=1),"",$BX68)</f>
        <v/>
      </c>
      <c r="DO68" s="75">
        <f>IF(DK68="","",IF(COUNTIF(DM67:DM70,DM68)=1,DM68,DM68+RANK(DN68,DN67:DN70,0)-1))</f>
        <v/>
      </c>
      <c r="DP68" s="75">
        <f>IF(OR(DO68="",COUNTIF(DO67:DO70,DO68)=1),"",$BU68)</f>
        <v/>
      </c>
      <c r="DQ68" s="75">
        <f>IF(DK68="","",IF(COUNTIF(DO67:DO70,DO68)=1,DO68,DO68+RANK(DP68,DP67:DP70,0)-1))</f>
        <v/>
      </c>
      <c r="DR68" s="13">
        <f>IF(CZ68&gt;0,CG65+RANK(DQ68,DQ67:DQ70,1),)</f>
        <v/>
      </c>
      <c r="DT68" s="13">
        <f>IF(CC68=3,BT68,)</f>
        <v/>
      </c>
      <c r="DU68" s="13">
        <f>(SUMIF($AF$4:$AF$108,BT68,$BF$4:$BF$108)+SUMIF($AH$4:$AH$108,BT68,$BG$4:$BG$108))</f>
        <v/>
      </c>
      <c r="DV68" s="13">
        <f>(SUMIF($AF$4:$AF$108,BT68,$BH$4:$BH$108)+SUMIF($AH$4:$AH$108,BT68,$BI$4:$BI$108))</f>
        <v/>
      </c>
      <c r="DW68" s="13">
        <f>(SUMIF($AF$4:$AF$108,BT68,$BJ$4:$BJ$108)+SUMIF($AH$4:$AH$108,BT68,$BK$4:$BK$108))</f>
        <v/>
      </c>
      <c r="DX68" s="13">
        <f>IFERROR(DU68*3+DV68*1,0)</f>
        <v/>
      </c>
      <c r="DY68" s="13">
        <f>CB68</f>
        <v/>
      </c>
      <c r="DZ68" s="13">
        <f>IF(DT68&gt;0,RANK(DX68,DX67:DX70)+CG65+DA65,)</f>
        <v/>
      </c>
      <c r="EA68" s="13">
        <f>IF(AND(DT68&gt;0,COUNTIF(DZ67:DZ70,DZ68)&gt;1),SUMIFS($AI$4:$AI$108,$AF$4:$AF$108,$BT68,$M$4:$M$108,3)+SUMIFS($AK$4:$AK$108,$AH$4:$AH$108,$BT68,$M$4:$M$108,3)-SUMIFS($AK$4:$AK$108,$AF$4:$AF$108,$BT68,$M$4:$M$108,3)-SUMIFS($AI$4:$AI$108,$AH$4:$AH$108,$BT68,$M$4:$M$108,3),)</f>
        <v/>
      </c>
      <c r="EB68" s="13">
        <f>IF(AND(DT68&gt;0,COUNTIF(DZ67:DZ70,DZ68)&gt;1),DZ68+RANK(EA68,EA67:EA70)-1,DZ68)</f>
        <v/>
      </c>
      <c r="EC68" s="13">
        <f>IF(AND(DT68&gt;0,COUNTIF(EB67:EB70,EB68)&gt;1),SUMIFS($AI$4:$AI$108,$AF$4:$AF$108,$BT68,$M$4:$M$108,3)+SUMIFS($AK$4:$AK$108,$AH$4:$AH$108,$BT68,$M$4:$M$108,3),)</f>
        <v/>
      </c>
      <c r="ED68" s="13">
        <f>IF(AND(DT68&gt;0,COUNTIF(EB67:EB70,EB68)&gt;1),EB68+RANK(EC68,EC67:EC70)-1,EB68)</f>
        <v/>
      </c>
      <c r="EE68" s="13">
        <f>IF(ED68=0,"",ED68)</f>
        <v/>
      </c>
      <c r="EF68" s="13">
        <f>IF(OR(EE68="",COUNTIF(EE67:EE70,EE68)=1),"",$BZ68)</f>
        <v/>
      </c>
      <c r="EG68" s="13">
        <f>IF(EE68="","",IF(COUNTIF(EE67:EE70,EE68)=1,EE68,EE68+RANK(EF68,EF67:EF70,0)-1))</f>
        <v/>
      </c>
      <c r="EH68" s="13">
        <f>IF(OR(EG68="",COUNTIF(EG67:EG70,EG68)=1),"",$BX68)</f>
        <v/>
      </c>
      <c r="EI68" s="13">
        <f>IF(EE68="","",IF(COUNTIF(EG67:EG70,EG68)=1,EG68,EG68+RANK(EH68,EH67:EH70,0)-1))</f>
        <v/>
      </c>
      <c r="EJ68" s="13">
        <f>IF(OR(EI68="",COUNTIF(EI67:EI70,EI68)=1),"",$BU68)</f>
        <v/>
      </c>
      <c r="EK68" s="13">
        <f>IF(EE68="","",IF(COUNTIF(EI67:EI70,EI68)=1,EI68,EI68+RANK(EJ68,EJ67:EJ70,0)-1))</f>
        <v/>
      </c>
      <c r="EL68" s="13">
        <f>IF(DT68&gt;0,CG65+DA65+RANK(EK68,EK67:EK70,1),)</f>
        <v/>
      </c>
      <c r="EN68" s="13">
        <f>IF(CC68=4,BT68,)</f>
        <v/>
      </c>
      <c r="EO68" s="13">
        <f>(SUMIF($AF$4:$AF$108,$BT68,$BL$4:$BL$108)+SUMIF($AH$4:$AH$108,$BT68,$BM$4:$BM$108))</f>
        <v/>
      </c>
      <c r="EP68" s="13">
        <f>(SUMIF($AF$4:$AF$108,$BT68,$BN$4:$BN$108)+SUMIF($AH$4:$AH$108,$BT68,$BO$4:$BO$108))</f>
        <v/>
      </c>
      <c r="EQ68" s="13">
        <f>(SUMIF($AF$4:$AF$108,$BT68,$BP$4:$BP$108)+SUMIF($AH$4:$AH$108,$BT68,$BQ$4:$BQ$108))</f>
        <v/>
      </c>
      <c r="ER68" s="13">
        <f>IFERROR(EO68*3+EP68*1,0)</f>
        <v/>
      </c>
      <c r="ES68" s="13">
        <f>$CB68</f>
        <v/>
      </c>
      <c r="ET68" s="13">
        <f>IF(EN68&gt;0,RANK(ER68,ER67:ER70)+CG65+DA65+DU65,)</f>
        <v/>
      </c>
      <c r="EU68" s="13">
        <f>IF(AND(EN68&gt;0,COUNTIF(ET67:ET70,ET68)&gt;1),SUMIFS($AI$4:$AI$108,$AF$4:$AF$108,$BT68,$M$4:$M$108,4)+SUMIFS($AK$4:$AK$108,$AH$4:$AH$108,$BT68,$M$4:$M$108,4)-SUMIFS($AK$4:$AK$108,$AF$4:$AF$108,$BT68,$M$4:$M$108,4)-SUMIFS($AI$4:$AI$108,$AH$4:$AH$108,$BT68,$M$4:$M$108,4),)</f>
        <v/>
      </c>
      <c r="EV68" s="13">
        <f>IF(AND(EN68&gt;0,COUNTIF(ET67:ET70,ET68)&gt;1),ET68+RANK(EU68,EU67:EU70)-1,ET68)</f>
        <v/>
      </c>
      <c r="EW68" s="13">
        <f>IF(AND(EN68&gt;0,COUNTIF(EV68:EV71,EV68)&gt;1),SUMIFS($AI$4:$AI$108,$AF$4:$AF$108,$BT68,$M$4:$M$108,4)+SUMIFS($AK$4:$AK$108,$AH$4:$AH$108,$BT68,$M$4:$M$108,4),)</f>
        <v/>
      </c>
      <c r="EX68" s="13">
        <f>IF(AND(EN68&gt;0,COUNTIF(EV67:EV70,EV68)&gt;1),EV68+RANK(EW68,EW67:EW70)-1,EV68)</f>
        <v/>
      </c>
      <c r="EY68" s="13">
        <f>IF(EX68=0,"",EX68)</f>
        <v/>
      </c>
      <c r="EZ68" s="13">
        <f>IF(OR(EY68="",COUNTIF(EY67:EY70,EY68)=1),"",$BZ68)</f>
        <v/>
      </c>
      <c r="FA68" s="13">
        <f>IF(EY68="","",IF(COUNTIF(EY67:EY70,EY68)=1,EY68,EY68+RANK(EZ68,EZ67:EZ70,0)-1))</f>
        <v/>
      </c>
      <c r="FB68" s="13">
        <f>IF(OR(FA68="",COUNTIF(FA67:FA70,FA68)=1),"",$BX68)</f>
        <v/>
      </c>
      <c r="FC68" s="13">
        <f>IF(EY68="","",IF(COUNTIF(FA67:FA70,FA68)=1,FA68,FA68+RANK(FB68,FB67:FB70,0)-1))</f>
        <v/>
      </c>
      <c r="FD68" s="13">
        <f>IF(OR(FC68="",COUNTIF(FC67:FC70,FC68)=1),"",$BU68)</f>
        <v/>
      </c>
      <c r="FE68" s="13">
        <f>IF(EY68="","",IF(COUNTIF(FC67:FC70,FC68)=1,FC68,FC68+RANK(FD68,FD67:FD70,0)-1))</f>
        <v/>
      </c>
      <c r="FF68" s="13">
        <f>IF(EN68&gt;0,CG65+DA65+DU65+RANK(FE68,FE67:FE70,1),)</f>
        <v/>
      </c>
      <c r="FH68" s="13">
        <f>IFERROR(VLOOKUP(FJ68,CF66:CX70,19,FALSE),IFERROR(VLOOKUP(FJ68,CZ66:DR70,19,FALSE),IFERROR(VLOOKUP(FJ68,DT66:EL70,19,FALSE),VLOOKUP(FJ68,EN66:FF70,19,FALSE))))</f>
        <v/>
      </c>
      <c r="FI68" s="13">
        <f>RANK(FH68,FH67:FH70,1)+COUNTIF(FH67:FH68,FH68)-1</f>
        <v/>
      </c>
      <c r="FJ68" s="12">
        <f>BT68</f>
        <v/>
      </c>
      <c r="FZ68" s="79" t="n">
        <v>66</v>
      </c>
      <c r="GA68" s="3">
        <f>GB68&amp;GC68&amp;GD68&amp;GE68&amp;GF68&amp;GG68&amp;GH68&amp;GI68</f>
        <v/>
      </c>
      <c r="GB68" s="3" t="inlineStr">
        <is>
          <t>E</t>
        </is>
      </c>
      <c r="GC68" s="3" t="inlineStr">
        <is>
          <t>J</t>
        </is>
      </c>
      <c r="GD68" s="3" t="inlineStr">
        <is>
          <t>B</t>
        </is>
      </c>
      <c r="GE68" s="3" t="inlineStr">
        <is>
          <t>D</t>
        </is>
      </c>
      <c r="GF68" s="3" t="inlineStr">
        <is>
          <t>H</t>
        </is>
      </c>
      <c r="GG68" s="3" t="inlineStr">
        <is>
          <t>G</t>
        </is>
      </c>
      <c r="GH68" s="3" t="inlineStr">
        <is>
          <t>L</t>
        </is>
      </c>
      <c r="GI68" s="3" t="inlineStr">
        <is>
          <t>I</t>
        </is>
      </c>
      <c r="GJ68" s="9">
        <f>VLOOKUP(GB68,$FM$3:$FN$15,2,FALSE)</f>
        <v/>
      </c>
      <c r="GK68" s="9">
        <f>VLOOKUP(GC68,$FM$3:$FN$15,2,FALSE)</f>
        <v/>
      </c>
      <c r="GL68" s="9">
        <f>VLOOKUP(GD68,$FM$3:$FN$15,2,FALSE)</f>
        <v/>
      </c>
      <c r="GM68" s="9">
        <f>VLOOKUP(GE68,$FM$3:$FN$15,2,FALSE)</f>
        <v/>
      </c>
      <c r="GN68" s="9">
        <f>VLOOKUP(GF68,$FM$3:$FN$15,2,FALSE)</f>
        <v/>
      </c>
      <c r="GO68" s="9">
        <f>VLOOKUP(GG68,$FM$3:$FN$15,2,FALSE)</f>
        <v/>
      </c>
      <c r="GP68" s="9">
        <f>VLOOKUP(GH68,$FM$3:$FN$15,2,FALSE)</f>
        <v/>
      </c>
      <c r="GQ68" s="9">
        <f>VLOOKUP(GI68,$FM$3:$FN$15,2,FALSE)</f>
        <v/>
      </c>
      <c r="GR68" s="9">
        <f>IFERROR(IF(AND(VLOOKUP(GB68,$FX$4:$FX$15,1,FALSE)=GB68,VLOOKUP(GC68,$FX$4:$FX$15,1,FALSE)=GC68,VLOOKUP(GD68,$FX$4:$FX$15,1,FALSE)=GD68,VLOOKUP(GE68,$FX$4:$FX$15,1,FALSE)=GE68,VLOOKUP(GF68,$FX$4:$FX$15,1,FALSE)=GF68,VLOOKUP(GG68,$FX$4:$FX$15,1,FALSE)=GG68,VLOOKUP(GH68,$FX$4:$FX$15,1,FALSE)=GH68,VLOOKUP(GI68,$FX$4:$FX$15,1,FALSE)=GI68),FZ68,""),"")</f>
        <v/>
      </c>
      <c r="GX68" s="79" t="n"/>
    </row>
    <row r="69" ht="14.25" customHeight="1">
      <c r="B69" s="58" t="n">
        <v>38</v>
      </c>
      <c r="C69" s="59" t="n">
        <v>46194</v>
      </c>
      <c r="D69" s="60" t="inlineStr">
        <is>
          <t>Spanien</t>
        </is>
      </c>
      <c r="E69" s="61" t="inlineStr">
        <is>
          <t>-</t>
        </is>
      </c>
      <c r="F69" s="62" t="inlineStr">
        <is>
          <t>Saudiarabien</t>
        </is>
      </c>
      <c r="G69" s="63" t="n">
        <v>2</v>
      </c>
      <c r="H69" s="64" t="inlineStr">
        <is>
          <t>-</t>
        </is>
      </c>
      <c r="I69" s="63" t="n">
        <v>0</v>
      </c>
      <c r="J69" s="65">
        <f>IF(OR(ISBLANK(G69),ISBLANK(I69)),"",IF(G69&gt;I69,1,IF(G69&lt;I69,2,"X")))</f>
        <v/>
      </c>
      <c r="K69" s="66">
        <f>IF(OR(G69="",I69="",'[1]Resultat &amp; tabell'!G69="",'[1]Resultat &amp; tabell'!I69=""),0,IF(G69='[1]Resultat &amp; tabell'!G69,2,0)+IF(I69='[1]Resultat &amp; tabell'!I69,2,0)+IF(J69='[1]Resultat &amp; tabell'!J69,2,0))</f>
        <v/>
      </c>
      <c r="L69" s="67" t="n"/>
      <c r="M69" s="29">
        <f>IF(VLOOKUP(D69,$BT$66:$CC$70,10,FALSE)=VLOOKUP(F69,$BT$66:$CC$70,10,FALSE),VLOOKUP(D69,$BT$66:$CC$70,10,FALSE),"-")</f>
        <v/>
      </c>
      <c r="N69" s="30" t="n">
        <v>3</v>
      </c>
      <c r="O69" s="83">
        <f>VLOOKUP(N69,FI67:FJ70,2,FALSE)</f>
        <v/>
      </c>
      <c r="P69" s="84">
        <f>VLOOKUP($O69,$BT$67:$CA$70,2,FALSE)</f>
        <v/>
      </c>
      <c r="Q69" s="84">
        <f>VLOOKUP($O69,$BT$67:$CA$70,3,FALSE)</f>
        <v/>
      </c>
      <c r="R69" s="84">
        <f>VLOOKUP($O69,$BT$67:$CA$70,4,FALSE)</f>
        <v/>
      </c>
      <c r="S69" s="84">
        <f>VLOOKUP($O69,$BT$67:$CA$70,5,FALSE)</f>
        <v/>
      </c>
      <c r="T69" s="84">
        <f>VLOOKUP($O69,$BT$67:$CA$70,6,FALSE)</f>
        <v/>
      </c>
      <c r="U69" s="84">
        <f>VLOOKUP($O69,$BT$67:$CA$70,7,FALSE)</f>
        <v/>
      </c>
      <c r="V69" s="85">
        <f>VLOOKUP($O69,$BT$67:$CA$70,8,FALSE)</f>
        <v/>
      </c>
      <c r="X69" s="1" t="n"/>
      <c r="AE69" s="72">
        <f>C69</f>
        <v/>
      </c>
      <c r="AF69" s="72">
        <f>D69</f>
        <v/>
      </c>
      <c r="AG69" s="72">
        <f>E69</f>
        <v/>
      </c>
      <c r="AH69" s="72">
        <f>F69</f>
        <v/>
      </c>
      <c r="AI69" s="63">
        <f>IF(G69="","",G69)</f>
        <v/>
      </c>
      <c r="AJ69" s="58">
        <f>H69</f>
        <v/>
      </c>
      <c r="AK69" s="63">
        <f>IF(I69="","",I69)</f>
        <v/>
      </c>
      <c r="AL69" s="65">
        <f>J69</f>
        <v/>
      </c>
      <c r="AM69" s="73" t="n"/>
      <c r="AN69" s="13">
        <f>IF(AI69&gt;AK69,1,0)</f>
        <v/>
      </c>
      <c r="AO69" s="13">
        <f>IF(AK69&gt;AI69,1,0)</f>
        <v/>
      </c>
      <c r="AP69" s="13">
        <f>IF(AND(AI69=AK69,AI69&lt;&gt;""),1,0)</f>
        <v/>
      </c>
      <c r="AQ69" s="13">
        <f>IF(AND(AI69=AK69,AI69&lt;&gt;""),1,0)</f>
        <v/>
      </c>
      <c r="AR69" s="13">
        <f>IF(AI69&lt;AK69,1,0)</f>
        <v/>
      </c>
      <c r="AS69" s="13">
        <f>IF(AK69&lt;AI69,1,)</f>
        <v/>
      </c>
      <c r="AT69" s="13">
        <f>IF(ISERROR(VLOOKUP(AF69,CF:CF,1,FALSE)),0,1)*IF(ISERROR(VLOOKUP(AH69,CF:CF,1,FALSE)),0,1)*AN69</f>
        <v/>
      </c>
      <c r="AU69" s="13">
        <f>IF(ISERROR(VLOOKUP(AF69,CF:CF,1,FALSE)),0,1)*IF(ISERROR(VLOOKUP(AH69,CF:CF,1,FALSE)),0,1)*AO69</f>
        <v/>
      </c>
      <c r="AV69" s="13">
        <f>IF(ISERROR(VLOOKUP(AF69,CF:CF,1,FALSE)),0,1)*IF(ISERROR(VLOOKUP(AH69,CF:CF,1,FALSE)),0,1)*AP69</f>
        <v/>
      </c>
      <c r="AW69" s="13">
        <f>IF(ISERROR(VLOOKUP(AF69,CF:CF,1,FALSE)),0,1)*IF(ISERROR(VLOOKUP(AH69,CF:CF,1,FALSE)),0,1)*AQ69</f>
        <v/>
      </c>
      <c r="AX69" s="13">
        <f>IF(ISERROR(VLOOKUP(AF69,CF:CF,1,FALSE)),0,1)*IF(ISERROR(VLOOKUP(AH69,CF:CF,1,FALSE)),0,1)*AR69</f>
        <v/>
      </c>
      <c r="AY69" s="13">
        <f>IF(ISERROR(VLOOKUP(AF69,CF:CF,1,FALSE)),0,1)*IF(ISERROR(VLOOKUP(AH69,CF:CF,1,FALSE)),0,1)*AS69</f>
        <v/>
      </c>
      <c r="AZ69" s="13">
        <f>IF(ISERROR(VLOOKUP(AF69,CZ:CZ,1,FALSE)),0,1)*IF(ISERROR(VLOOKUP(AH69,CZ:CZ,1,FALSE)),0,1)*AN69</f>
        <v/>
      </c>
      <c r="BA69" s="13">
        <f>IF(ISERROR(VLOOKUP(AF69,CZ:CZ,1,FALSE)),0,1)*IF(ISERROR(VLOOKUP(AH69,CZ:CZ,1,FALSE)),0,1)*AO69</f>
        <v/>
      </c>
      <c r="BB69" s="13">
        <f>IF(ISERROR(VLOOKUP(AF69,CZ:CZ,1,FALSE)),0,1)*IF(ISERROR(VLOOKUP(AH69,CZ:CZ,1,FALSE)),0,1)*AP69</f>
        <v/>
      </c>
      <c r="BC69" s="13">
        <f>IF(ISERROR(VLOOKUP(AF69,CZ:CZ,1,FALSE)),0,1)*IF(ISERROR(VLOOKUP(AH69,CZ:CZ,1,FALSE)),0,1)*AQ69</f>
        <v/>
      </c>
      <c r="BD69" s="13">
        <f>IF(ISERROR(VLOOKUP(AF69,CZ:CZ,1,FALSE)),0,1)*IF(ISERROR(VLOOKUP(AH69,CZ:CZ,1,FALSE)),0,1)*AR69</f>
        <v/>
      </c>
      <c r="BE69" s="13">
        <f>IF(ISERROR(VLOOKUP(AF69,CZ:CZ,1,FALSE)),0,1)*IF(ISERROR(VLOOKUP(AH69,CZ:CZ,1,FALSE)),0,1)*AS69</f>
        <v/>
      </c>
      <c r="BF69" s="13">
        <f>IF(ISERROR(VLOOKUP(AF69,DT:DT,1,FALSE)),0,1)*IF(ISERROR(VLOOKUP(AH69,DT:DT,1,FALSE)),0,1)*AN69</f>
        <v/>
      </c>
      <c r="BG69" s="13">
        <f>IF(ISERROR(VLOOKUP(AF69,DT:DT,1,FALSE)),0,1)*IF(ISERROR(VLOOKUP(AH69,DT:DT,1,FALSE)),0,1)*AO69</f>
        <v/>
      </c>
      <c r="BH69" s="13">
        <f>IF(ISERROR(VLOOKUP(AF69,DT:DT,1,FALSE)),0,1)*IF(ISERROR(VLOOKUP(AH69,DT:DT,1,FALSE)),0,1)*AP69</f>
        <v/>
      </c>
      <c r="BI69" s="13">
        <f>IF(ISERROR(VLOOKUP(AF69,DT:DT,1,FALSE)),0,1)*IF(ISERROR(VLOOKUP(AH69,DT:DT,1,FALSE)),0,1)*AQ69</f>
        <v/>
      </c>
      <c r="BJ69" s="13">
        <f>IF(ISERROR(VLOOKUP(AF69,DT:DT,1,FALSE)),0,1)*IF(ISERROR(VLOOKUP(AH69,DT:DT,1,FALSE)),0,1)*AR69</f>
        <v/>
      </c>
      <c r="BK69" s="13">
        <f>IF(ISERROR(VLOOKUP(AF69,DT:DT,1,FALSE)),0,1)*IF(ISERROR(VLOOKUP(AH69,DT:DT,1,FALSE)),0,1)*AS69</f>
        <v/>
      </c>
      <c r="BL69" s="13">
        <f>IF(ISERROR(VLOOKUP(AF69,EN:EN,1,FALSE)),0,1)*IF(ISERROR(VLOOKUP(AH69,EN:EN,1,FALSE)),0,1)*AN69</f>
        <v/>
      </c>
      <c r="BM69" s="13">
        <f>IF(ISERROR(VLOOKUP(AF69,EN:EN,1,FALSE)),0,1)*IF(ISERROR(VLOOKUP(AH69,EN:EN,1,FALSE)),0,1)*AO69</f>
        <v/>
      </c>
      <c r="BN69" s="13">
        <f>IF(ISERROR(VLOOKUP(AF69,EN:EN,1,FALSE)),0,1)*IF(ISERROR(VLOOKUP(AH69,EN:EN,1,FALSE)),0,1)*AP69</f>
        <v/>
      </c>
      <c r="BO69" s="13">
        <f>IF(ISERROR(VLOOKUP(AF69,EN:EN,1,FALSE)),0,1)*IF(ISERROR(VLOOKUP(AH69,EN:EN,1,FALSE)),0,1)*AQ69</f>
        <v/>
      </c>
      <c r="BP69" s="13">
        <f>IF(ISERROR(VLOOKUP(AF69,EN:EN,1,FALSE)),0,1)*IF(ISERROR(VLOOKUP(AH69,EN:EN,1,FALSE)),0,1)*AR69</f>
        <v/>
      </c>
      <c r="BQ69" s="13">
        <f>IF(ISERROR(VLOOKUP(AF69,EN:EN,1,FALSE)),0,1)*IF(ISERROR(VLOOKUP(AH69,EN:EN,1,FALSE)),0,1)*AS69</f>
        <v/>
      </c>
      <c r="BT69" s="12" t="inlineStr">
        <is>
          <t>Saudiarabien</t>
        </is>
      </c>
      <c r="BU69" s="13">
        <f>(SUMIF(AF$4:AF$108,BT69,AN$4:AN$108)+SUMIF(AH$4:AH$108,BT69,AO$4:AO$108))</f>
        <v/>
      </c>
      <c r="BV69" s="13">
        <f>(SUMIF(AF$4:AF$108,BT69,AP$4:AP$108)+SUMIF(AH$4:AH$108,BT69,AQ$4:AQ$108))</f>
        <v/>
      </c>
      <c r="BW69" s="13">
        <f>(SUMIF(AF$4:AF$108,BT69,AR$4:AR$108)+SUMIF(AH$4:AH$108,BT69,AS$4:AS$108))</f>
        <v/>
      </c>
      <c r="BX69" s="13">
        <f>SUMIF($AF$4:$AF$108,BT69,$AI$4:$AI$108)+SUMIF($AH$4:$AH$108,BT69,$AK$4:$AK$108)</f>
        <v/>
      </c>
      <c r="BY69" s="13">
        <f>SUMIF($AF$4:$AF$108,BT69,$AK$4:$AK$108)+SUMIF($AH$4:$AH$108,BT69,$AI$4:$AI$108)</f>
        <v/>
      </c>
      <c r="BZ69" s="13">
        <f>BX69-BY69</f>
        <v/>
      </c>
      <c r="CA69" s="13">
        <f>IFERROR(BU69*3+BV69*1,0)</f>
        <v/>
      </c>
      <c r="CB69" s="13" t="inlineStr">
        <is>
          <t>H</t>
        </is>
      </c>
      <c r="CC69" s="74">
        <f>RANK(CA69,CA67:CA70)</f>
        <v/>
      </c>
      <c r="CD69" s="13">
        <f>SUMPRODUCT((CA67:CA70=CA69)*(BZ67:BZ70&gt;BZ69))</f>
        <v/>
      </c>
      <c r="CF69" s="12">
        <f>IF(CC69=1,BT69,)</f>
        <v/>
      </c>
      <c r="CG69" s="13">
        <f>(SUMIF($AF$4:$AF$108,$BT69,$AT$4:$AT$108)+SUMIF($AH$4:$AH$108,$BT69,$AU$4:$AU$108))</f>
        <v/>
      </c>
      <c r="CH69" s="13">
        <f>(SUMIF($AF$4:$AF$108,$BT69,$AV$4:$AV$108)+SUMIF($AH$4:$AH$108,$BT69,$AW$4:$AW$108))</f>
        <v/>
      </c>
      <c r="CI69" s="13">
        <f>(SUMIF($AF$4:$AF$108,$BT69,$AX$4:$AX$108)+SUMIF($AH$4:$AH$108,$BT69,$AY$4:$AY$108))</f>
        <v/>
      </c>
      <c r="CJ69" s="13">
        <f>IFERROR(CG69*3+CH69*1,0)</f>
        <v/>
      </c>
      <c r="CK69" s="13">
        <f>CB69</f>
        <v/>
      </c>
      <c r="CL69" s="13">
        <f>IF(CF69&gt;0,RANK(CJ69,CJ67:CJ70),)</f>
        <v/>
      </c>
      <c r="CM69" s="13">
        <f>IF(AND(CF69&gt;0,COUNTIF(CL67:CL70,CL69)&gt;1),SUMIFS($AI$4:$AI$108,$AF$4:$AF$108,$BT69,$M$4:$M$108,1)+SUMIFS($AK$4:$AK$108,$AH$4:$AH$108,$BT69,$M$4:$M$108,1)-SUMIFS($AK$4:$AK$108,$AF$4:$AF$108,$BT69,$M$4:$M$108,1)-SUMIFS($AI$4:$AI$108,$AH$4:$AH$108,$BT69,$M$4:$M$108,1),)</f>
        <v/>
      </c>
      <c r="CN69" s="13">
        <f>IF(AND(CF69&gt;0,COUNTIF(CL67:CL70,CL69)&gt;1),CL69+RANK(CM69,CM67:CM70)-1,CL69)</f>
        <v/>
      </c>
      <c r="CO69" s="13">
        <f>IF(AND(CF69&gt;0,COUNTIF(CN67:CN70,CN69)&gt;1),SUMIFS($AI$4:$AI$108,$AF$4:$AF$108,$BT69,$M$4:$M$108,1)+SUMIFS($AK$4:$AK$108,$AH$4:$AH$108,$BT69,$M$4:$M$108,1),)</f>
        <v/>
      </c>
      <c r="CP69" s="13">
        <f>IF(AND(CF69&gt;0,COUNTIF(CN67:CN70,CN69)&gt;1),CN69+RANK(CO69,CO67:CO70)-1,CN69)</f>
        <v/>
      </c>
      <c r="CQ69" s="13">
        <f>IF(CP69=0,"",CP69)</f>
        <v/>
      </c>
      <c r="CR69" s="13">
        <f>IF(OR(CQ69="",COUNTIF(CQ67:CQ70,CQ69)=1),"",$BZ69)</f>
        <v/>
      </c>
      <c r="CS69" s="13">
        <f>IF(CQ69="","",IF(COUNTIF(CQ67:CQ70,CQ69)=1,CQ69,CQ69+RANK(CR69,CR67:CR70,0)-1))</f>
        <v/>
      </c>
      <c r="CT69" s="13">
        <f>IF(OR(CS69="",COUNTIF(CS67:CS70,CS69)=1),"",$BX69)</f>
        <v/>
      </c>
      <c r="CU69" s="13">
        <f>IF(CQ69="","",IF(COUNTIF(CS67:CS70,CS69)=1,CS69,CS69+RANK(CT69,CT67:CT70,0)-1))</f>
        <v/>
      </c>
      <c r="CV69" s="13">
        <f>IF(OR(CU69="",COUNTIF(CU67:CU70,CU69)=1),"",$BU69)</f>
        <v/>
      </c>
      <c r="CW69" s="13">
        <f>IF(CQ69="","",IF(COUNTIF(CU67:CU70,CU69)=1,CU69,CU69+RANK(CV69,CV67:CV70,0)-1))</f>
        <v/>
      </c>
      <c r="CX69" s="13">
        <f>IF(CF69&gt;0,BM65+RANK(CW69,CW67:CW70,1),)</f>
        <v/>
      </c>
      <c r="CZ69" s="12">
        <f>IF(CC69=2,BT69,)</f>
        <v/>
      </c>
      <c r="DA69" s="13">
        <f>(SUMIF($AF$4:$AF$108,$BT69,$AZ$4:$AZ$108)+SUMIF($AH$4:$AH$108,$BT69,$BA$4:$BA$108))</f>
        <v/>
      </c>
      <c r="DB69" s="13">
        <f>(SUMIF($AF$4:$AF$108,$BT69,$BB$4:$BB$108)+SUMIF($AH$4:$AH$108,$BT69,$BC$4:$BC$108))</f>
        <v/>
      </c>
      <c r="DC69" s="13">
        <f>(SUMIF($AF$4:$AF$108,$BT69,$BD$4:$BD$108)+SUMIF($AH$4:$AH$108,$BT69,$BE$4:$BE$108))</f>
        <v/>
      </c>
      <c r="DD69" s="13">
        <f>IFERROR(DA69*3+DB69*1,0)</f>
        <v/>
      </c>
      <c r="DE69" s="13">
        <f>$CB69</f>
        <v/>
      </c>
      <c r="DF69" s="13">
        <f>IF(CZ69&gt;0,RANK(DD69,DD67:DD70)+CG65,)</f>
        <v/>
      </c>
      <c r="DG69" s="13">
        <f>IF(AND(CZ69&gt;0,COUNTIF(DF67:DF70,DF69)&gt;1),SUMIFS($AI$4:$AI$108,$AF$4:$AF$108,$BT69,$M$4:$M$108,2)+SUMIFS($AK$4:$AK$108,$AH$4:$AH108,$BT69,$M$4:$M$108,2)-SUMIFS($AK$4:$AK$108,$AF$4:$AF$108,$BT69,$M$4:$M$108,2)-SUMIFS($AI$4:$AI$108,$AH$4:$AH$108,$BT69,$M$4:$M$108,2),)</f>
        <v/>
      </c>
      <c r="DH69" s="13">
        <f>IF(AND(CZ69&gt;0,COUNTIF(DF67:DF70,DF69)&gt;1),DF69+RANK(DG69,DG67:DG70)-1,DF69)</f>
        <v/>
      </c>
      <c r="DI69" s="13">
        <f>IF(AND(CZ69&gt;0,COUNTIF(DH67:DH70,DH69)&gt;1),SUMIFS($AI$4:$AI$108,$AF$4:$AF$108,$BT69,$M$4:$M$108,2)+SUMIFS($AK$4:$AK$108,$AH$4:$AH$108,$BT69,$M$4:$M$108,2),)</f>
        <v/>
      </c>
      <c r="DJ69" s="13">
        <f>IF(AND(CZ69&gt;0,COUNTIF(DH67:DH70,DH69)&gt;1),DH69+RANK(DI69,DI67:DI70)-1,DH69)</f>
        <v/>
      </c>
      <c r="DK69" s="75">
        <f>IF(DJ69=0,"",DJ69)</f>
        <v/>
      </c>
      <c r="DL69" s="75">
        <f>IF(OR(DK69="",COUNTIF(DK67:DK70,DK69)=1),"",$BZ69)</f>
        <v/>
      </c>
      <c r="DM69" s="75">
        <f>IF(DK69="","",IF(COUNTIF(DK67:DK70,DK69)=1,DK69,DK69+RANK(DL69,DL67:DL70,0)-1))</f>
        <v/>
      </c>
      <c r="DN69" s="75">
        <f>IF(OR(DM69="",COUNTIF(DM67:DM70,DM69)=1),"",$BX69)</f>
        <v/>
      </c>
      <c r="DO69" s="75">
        <f>IF(DK69="","",IF(COUNTIF(DM67:DM70,DM69)=1,DM69,DM69+RANK(DN69,DN67:DN70,0)-1))</f>
        <v/>
      </c>
      <c r="DP69" s="75">
        <f>IF(OR(DO69="",COUNTIF(DO67:DO70,DO69)=1),"",$BU69)</f>
        <v/>
      </c>
      <c r="DQ69" s="75">
        <f>IF(DK69="","",IF(COUNTIF(DO67:DO70,DO69)=1,DO69,DO69+RANK(DP69,DP67:DP70,0)-1))</f>
        <v/>
      </c>
      <c r="DR69" s="13">
        <f>IF(CZ69&gt;0,CG65+RANK(DQ69,DQ67:DQ70,1),)</f>
        <v/>
      </c>
      <c r="DT69" s="13">
        <f>IF(CC69=3,BT69,)</f>
        <v/>
      </c>
      <c r="DU69" s="13">
        <f>(SUMIF($AF$4:$AF$108,BT69,$BF$4:$BF$108)+SUMIF($AH$4:$AH$108,BT69,$BG$4:$BG$108))</f>
        <v/>
      </c>
      <c r="DV69" s="13">
        <f>(SUMIF($AF$4:$AF$108,BT69,$BH$4:$BH$108)+SUMIF($AH$4:$AH$108,BT69,$BI$4:$BI$108))</f>
        <v/>
      </c>
      <c r="DW69" s="13">
        <f>(SUMIF($AF$4:$AF$108,BT69,$BJ$4:$BJ$108)+SUMIF($AH$4:$AH$108,BT69,$BK$4:$BK$108))</f>
        <v/>
      </c>
      <c r="DX69" s="13">
        <f>IFERROR(DU69*3+DV69*1,0)</f>
        <v/>
      </c>
      <c r="DY69" s="13">
        <f>CB69</f>
        <v/>
      </c>
      <c r="DZ69" s="13">
        <f>IF(DT69&gt;0,RANK(DX69,DX67:DX70)+CG65+DA65,)</f>
        <v/>
      </c>
      <c r="EA69" s="13">
        <f>IF(AND(DT69&gt;0,COUNTIF(DZ67:DZ70,DZ69)&gt;1),SUMIFS($AI$4:$AI$108,$AF$4:$AF$108,$BT69,$M$4:$M$108,3)+SUMIFS($AK$4:$AK$108,$AH$4:$AH$108,$BT69,$M$4:$M$108,3)-SUMIFS($AK$4:$AK$108,$AF$4:$AF$108,$BT69,$M$4:$M$108,3)-SUMIFS($AI$4:$AI$108,$AH$4:$AH$108,$BT69,$M$4:$M$108,3),)</f>
        <v/>
      </c>
      <c r="EB69" s="13">
        <f>IF(AND(DT69&gt;0,COUNTIF(DZ67:DZ70,DZ69)&gt;1),DZ69+RANK(EA69,EA67:EA70)-1,DZ69)</f>
        <v/>
      </c>
      <c r="EC69" s="13">
        <f>IF(AND(DT69&gt;0,COUNTIF(EB67:EB70,EB69)&gt;1),SUMIFS($AI$4:$AI$108,$AF$4:$AF$108,$BT69,$M$4:$M$108,3)+SUMIFS($AK$4:$AK$108,$AH$4:$AH$108,$BT69,$M$4:$M$108,3),)</f>
        <v/>
      </c>
      <c r="ED69" s="13">
        <f>IF(AND(DT69&gt;0,COUNTIF(EB67:EB70,EB69)&gt;1),EB69+RANK(EC69,EC67:EC70)-1,EB69)</f>
        <v/>
      </c>
      <c r="EE69" s="13">
        <f>IF(ED69=0,"",ED69)</f>
        <v/>
      </c>
      <c r="EF69" s="13">
        <f>IF(OR(EE69="",COUNTIF(EE67:EE70,EE69)=1),"",$BZ69)</f>
        <v/>
      </c>
      <c r="EG69" s="13">
        <f>IF(EE69="","",IF(COUNTIF(EE67:EE70,EE69)=1,EE69,EE69+RANK(EF69,EF67:EF70,0)-1))</f>
        <v/>
      </c>
      <c r="EH69" s="13">
        <f>IF(OR(EG69="",COUNTIF(EG67:EG70,EG69)=1),"",$BX69)</f>
        <v/>
      </c>
      <c r="EI69" s="13">
        <f>IF(EE69="","",IF(COUNTIF(EG67:EG70,EG69)=1,EG69,EG69+RANK(EH69,EH67:EH70,0)-1))</f>
        <v/>
      </c>
      <c r="EJ69" s="13">
        <f>IF(OR(EI69="",COUNTIF(EI67:EI70,EI69)=1),"",$BU69)</f>
        <v/>
      </c>
      <c r="EK69" s="13">
        <f>IF(EE69="","",IF(COUNTIF(EI67:EI70,EI69)=1,EI69,EI69+RANK(EJ69,EJ67:EJ70,0)-1))</f>
        <v/>
      </c>
      <c r="EL69" s="13">
        <f>IF(DT69&gt;0,CG65+DA65+RANK(EK69,EK67:EK70,1),)</f>
        <v/>
      </c>
      <c r="EN69" s="13">
        <f>IF(CC69=4,BT69,)</f>
        <v/>
      </c>
      <c r="EO69" s="13">
        <f>(SUMIF($AF$4:$AF$108,$BT69,$BL$4:$BL$108)+SUMIF($AH$4:$AH$108,$BT69,$BM$4:$BM$108))</f>
        <v/>
      </c>
      <c r="EP69" s="13">
        <f>(SUMIF($AF$4:$AF$108,$BT69,$BN$4:$BN$108)+SUMIF($AH$4:$AH$108,$BT69,$BO$4:$BO$108))</f>
        <v/>
      </c>
      <c r="EQ69" s="13">
        <f>(SUMIF($AF$4:$AF$108,$BT69,$BP$4:$BP$108)+SUMIF($AH$4:$AH$108,$BT69,$BQ$4:$BQ$108))</f>
        <v/>
      </c>
      <c r="ER69" s="13">
        <f>IFERROR(EO69*3+EP69*1,0)</f>
        <v/>
      </c>
      <c r="ES69" s="13">
        <f>$CB69</f>
        <v/>
      </c>
      <c r="ET69" s="13">
        <f>IF(EN69&gt;0,RANK(ER69,ER67:ER70)+CG65+DA65+DU65,)</f>
        <v/>
      </c>
      <c r="EU69" s="13">
        <f>IF(AND(EN69&gt;0,COUNTIF(ET67:ET70,ET69)&gt;1),SUMIFS($AI$4:$AI$108,$AF$4:$AF$108,$BT69,$M$4:$M$108,4)+SUMIFS($AK$4:$AK$108,$AH$4:$AH$108,$BT69,$M$4:$M$108,4)-SUMIFS($AK$4:$AK$108,$AF$4:$AF$108,$BT69,$M$4:$M$108,4)-SUMIFS($AI$4:$AI$108,$AH$4:$AH$108,$BT69,$M$4:$M$108,4),)</f>
        <v/>
      </c>
      <c r="EV69" s="13">
        <f>IF(AND(EN69&gt;0,COUNTIF(ET67:ET70,ET69)&gt;1),ET69+RANK(EU69,EU67:EU70)-1,ET69)</f>
        <v/>
      </c>
      <c r="EW69" s="13">
        <f>IF(AND(EN69&gt;0,COUNTIF(EV69:EV72,EV69)&gt;1),SUMIFS($AI$4:$AI$108,$AF$4:$AF$108,$BT69,$M$4:$M$108,4)+SUMIFS($AK$4:$AK$108,$AH$4:$AH$108,$BT69,$M$4:$M$108,4),)</f>
        <v/>
      </c>
      <c r="EX69" s="13">
        <f>IF(AND(EN69&gt;0,COUNTIF(EV67:EV70,EV69)&gt;1),EV69+RANK(EW69,EW67:EW70)-1,EV69)</f>
        <v/>
      </c>
      <c r="EY69" s="13">
        <f>IF(EX69=0,"",EX69)</f>
        <v/>
      </c>
      <c r="EZ69" s="13">
        <f>IF(OR(EY69="",COUNTIF(EY67:EY70,EY69)=1),"",$BZ69)</f>
        <v/>
      </c>
      <c r="FA69" s="13">
        <f>IF(EY69="","",IF(COUNTIF(EY67:EY70,EY69)=1,EY69,EY69+RANK(EZ69,EZ67:EZ70,0)-1))</f>
        <v/>
      </c>
      <c r="FB69" s="13">
        <f>IF(OR(FA69="",COUNTIF(FA67:FA70,FA69)=1),"",$BX69)</f>
        <v/>
      </c>
      <c r="FC69" s="13">
        <f>IF(EY69="","",IF(COUNTIF(FA67:FA70,FA69)=1,FA69,FA69+RANK(FB69,FB67:FB70,0)-1))</f>
        <v/>
      </c>
      <c r="FD69" s="13">
        <f>IF(OR(FC69="",COUNTIF(FC67:FC70,FC69)=1),"",$BU69)</f>
        <v/>
      </c>
      <c r="FE69" s="13">
        <f>IF(EY69="","",IF(COUNTIF(FC67:FC70,FC69)=1,FC69,FC69+RANK(FD69,FD67:FD70,0)-1))</f>
        <v/>
      </c>
      <c r="FF69" s="13">
        <f>IF(EN69&gt;0,CG65+DA65+DU65+RANK(FE69,FE67:FE70,1),)</f>
        <v/>
      </c>
      <c r="FH69" s="13">
        <f>IFERROR(VLOOKUP(FJ69,CF66:CX70,19,FALSE),IFERROR(VLOOKUP(FJ69,CZ66:DR70,19,FALSE),IFERROR(VLOOKUP(FJ69,DT66:EL70,19,FALSE),VLOOKUP(FJ69,EN66:FF70,19,FALSE))))</f>
        <v/>
      </c>
      <c r="FI69" s="13">
        <f>RANK(FH69,FH67:FH70,1)+COUNTIF(FH67:FH69,FH69)-1</f>
        <v/>
      </c>
      <c r="FJ69" s="12">
        <f>BT69</f>
        <v/>
      </c>
      <c r="FZ69" s="79" t="n">
        <v>67</v>
      </c>
      <c r="GA69" s="3">
        <f>GB69&amp;GC69&amp;GD69&amp;GE69&amp;GF69&amp;GG69&amp;GH69&amp;GI69</f>
        <v/>
      </c>
      <c r="GB69" s="3" t="inlineStr">
        <is>
          <t>E</t>
        </is>
      </c>
      <c r="GC69" s="3" t="inlineStr">
        <is>
          <t>J</t>
        </is>
      </c>
      <c r="GD69" s="3" t="inlineStr">
        <is>
          <t>B</t>
        </is>
      </c>
      <c r="GE69" s="3" t="inlineStr">
        <is>
          <t>D</t>
        </is>
      </c>
      <c r="GF69" s="3" t="inlineStr">
        <is>
          <t>H</t>
        </is>
      </c>
      <c r="GG69" s="3" t="inlineStr">
        <is>
          <t>G</t>
        </is>
      </c>
      <c r="GH69" s="3" t="inlineStr">
        <is>
          <t>I</t>
        </is>
      </c>
      <c r="GI69" s="3" t="inlineStr">
        <is>
          <t>K</t>
        </is>
      </c>
      <c r="GJ69" s="9">
        <f>VLOOKUP(GB69,$FM$3:$FN$15,2,FALSE)</f>
        <v/>
      </c>
      <c r="GK69" s="9">
        <f>VLOOKUP(GC69,$FM$3:$FN$15,2,FALSE)</f>
        <v/>
      </c>
      <c r="GL69" s="9">
        <f>VLOOKUP(GD69,$FM$3:$FN$15,2,FALSE)</f>
        <v/>
      </c>
      <c r="GM69" s="9">
        <f>VLOOKUP(GE69,$FM$3:$FN$15,2,FALSE)</f>
        <v/>
      </c>
      <c r="GN69" s="9">
        <f>VLOOKUP(GF69,$FM$3:$FN$15,2,FALSE)</f>
        <v/>
      </c>
      <c r="GO69" s="9">
        <f>VLOOKUP(GG69,$FM$3:$FN$15,2,FALSE)</f>
        <v/>
      </c>
      <c r="GP69" s="9">
        <f>VLOOKUP(GH69,$FM$3:$FN$15,2,FALSE)</f>
        <v/>
      </c>
      <c r="GQ69" s="9">
        <f>VLOOKUP(GI69,$FM$3:$FN$15,2,FALSE)</f>
        <v/>
      </c>
      <c r="GR69" s="9">
        <f>IFERROR(IF(AND(VLOOKUP(GB69,$FX$4:$FX$15,1,FALSE)=GB69,VLOOKUP(GC69,$FX$4:$FX$15,1,FALSE)=GC69,VLOOKUP(GD69,$FX$4:$FX$15,1,FALSE)=GD69,VLOOKUP(GE69,$FX$4:$FX$15,1,FALSE)=GE69,VLOOKUP(GF69,$FX$4:$FX$15,1,FALSE)=GF69,VLOOKUP(GG69,$FX$4:$FX$15,1,FALSE)=GG69,VLOOKUP(GH69,$FX$4:$FX$15,1,FALSE)=GH69,VLOOKUP(GI69,$FX$4:$FX$15,1,FALSE)=GI69),FZ69,""),"")</f>
        <v/>
      </c>
      <c r="GX69" s="79" t="n"/>
    </row>
    <row r="70" ht="14.25" customHeight="1">
      <c r="B70" s="58" t="n">
        <v>37</v>
      </c>
      <c r="C70" s="59" t="n">
        <v>46195</v>
      </c>
      <c r="D70" s="60" t="inlineStr">
        <is>
          <t>Uruguay</t>
        </is>
      </c>
      <c r="E70" s="61" t="inlineStr">
        <is>
          <t>-</t>
        </is>
      </c>
      <c r="F70" s="62" t="inlineStr">
        <is>
          <t>Kap Verde</t>
        </is>
      </c>
      <c r="G70" s="63" t="n">
        <v>2</v>
      </c>
      <c r="H70" s="64" t="inlineStr">
        <is>
          <t>-</t>
        </is>
      </c>
      <c r="I70" s="63" t="n">
        <v>1</v>
      </c>
      <c r="J70" s="65">
        <f>IF(OR(ISBLANK(G70),ISBLANK(I70)),"",IF(G70&gt;I70,1,IF(G70&lt;I70,2,"X")))</f>
        <v/>
      </c>
      <c r="K70" s="66">
        <f>IF(OR(G70="",I70="",'[1]Resultat &amp; tabell'!G70="",'[1]Resultat &amp; tabell'!I70=""),0,IF(G70='[1]Resultat &amp; tabell'!G70,2,0)+IF(I70='[1]Resultat &amp; tabell'!I70,2,0)+IF(J70='[1]Resultat &amp; tabell'!J70,2,0))</f>
        <v/>
      </c>
      <c r="L70" s="67" t="n"/>
      <c r="M70" s="29">
        <f>IF(VLOOKUP(D70,$BT$66:$CC$70,10,FALSE)=VLOOKUP(F70,$BT$66:$CC$70,10,FALSE),VLOOKUP(D70,$BT$66:$CC$70,10,FALSE),"-")</f>
        <v/>
      </c>
      <c r="N70" s="30" t="n">
        <v>4</v>
      </c>
      <c r="O70" s="86">
        <f>VLOOKUP(N70,FI67:FJ70,2,FALSE)</f>
        <v/>
      </c>
      <c r="P70" s="87">
        <f>VLOOKUP($O70,$BT$67:$CA$70,2,FALSE)</f>
        <v/>
      </c>
      <c r="Q70" s="87">
        <f>VLOOKUP($O70,$BT$67:$CA$70,3,FALSE)</f>
        <v/>
      </c>
      <c r="R70" s="87">
        <f>VLOOKUP($O70,$BT$67:$CA$70,4,FALSE)</f>
        <v/>
      </c>
      <c r="S70" s="87">
        <f>VLOOKUP($O70,$BT$67:$CA$70,5,FALSE)</f>
        <v/>
      </c>
      <c r="T70" s="87">
        <f>VLOOKUP($O70,$BT$67:$CA$70,6,FALSE)</f>
        <v/>
      </c>
      <c r="U70" s="87">
        <f>VLOOKUP($O70,$BT$67:$CA$70,7,FALSE)</f>
        <v/>
      </c>
      <c r="V70" s="82">
        <f>VLOOKUP($O70,$BT$67:$CA$70,8,FALSE)</f>
        <v/>
      </c>
      <c r="X70" s="1" t="n"/>
      <c r="AE70" s="72">
        <f>C70</f>
        <v/>
      </c>
      <c r="AF70" s="72">
        <f>D70</f>
        <v/>
      </c>
      <c r="AG70" s="72">
        <f>E70</f>
        <v/>
      </c>
      <c r="AH70" s="72">
        <f>F70</f>
        <v/>
      </c>
      <c r="AI70" s="63">
        <f>IF(G70="","",G70)</f>
        <v/>
      </c>
      <c r="AJ70" s="58">
        <f>H70</f>
        <v/>
      </c>
      <c r="AK70" s="63">
        <f>IF(I70="","",I70)</f>
        <v/>
      </c>
      <c r="AL70" s="65">
        <f>J70</f>
        <v/>
      </c>
      <c r="AM70" s="73" t="n"/>
      <c r="AN70" s="13">
        <f>IF(AI70&gt;AK70,1,0)</f>
        <v/>
      </c>
      <c r="AO70" s="13">
        <f>IF(AK70&gt;AI70,1,0)</f>
        <v/>
      </c>
      <c r="AP70" s="13">
        <f>IF(AND(AI70=AK70,AI70&lt;&gt;""),1,0)</f>
        <v/>
      </c>
      <c r="AQ70" s="13">
        <f>IF(AND(AI70=AK70,AI70&lt;&gt;""),1,0)</f>
        <v/>
      </c>
      <c r="AR70" s="13">
        <f>IF(AI70&lt;AK70,1,0)</f>
        <v/>
      </c>
      <c r="AS70" s="13">
        <f>IF(AK70&lt;AI70,1,)</f>
        <v/>
      </c>
      <c r="AT70" s="13">
        <f>IF(ISERROR(VLOOKUP(AF70,CF:CF,1,FALSE)),0,1)*IF(ISERROR(VLOOKUP(AH70,CF:CF,1,FALSE)),0,1)*AN70</f>
        <v/>
      </c>
      <c r="AU70" s="13">
        <f>IF(ISERROR(VLOOKUP(AF70,CF:CF,1,FALSE)),0,1)*IF(ISERROR(VLOOKUP(AH70,CF:CF,1,FALSE)),0,1)*AO70</f>
        <v/>
      </c>
      <c r="AV70" s="13">
        <f>IF(ISERROR(VLOOKUP(AF70,CF:CF,1,FALSE)),0,1)*IF(ISERROR(VLOOKUP(AH70,CF:CF,1,FALSE)),0,1)*AP70</f>
        <v/>
      </c>
      <c r="AW70" s="13">
        <f>IF(ISERROR(VLOOKUP(AF70,CF:CF,1,FALSE)),0,1)*IF(ISERROR(VLOOKUP(AH70,CF:CF,1,FALSE)),0,1)*AQ70</f>
        <v/>
      </c>
      <c r="AX70" s="13">
        <f>IF(ISERROR(VLOOKUP(AF70,CF:CF,1,FALSE)),0,1)*IF(ISERROR(VLOOKUP(AH70,CF:CF,1,FALSE)),0,1)*AR70</f>
        <v/>
      </c>
      <c r="AY70" s="13">
        <f>IF(ISERROR(VLOOKUP(AF70,CF:CF,1,FALSE)),0,1)*IF(ISERROR(VLOOKUP(AH70,CF:CF,1,FALSE)),0,1)*AS70</f>
        <v/>
      </c>
      <c r="AZ70" s="13">
        <f>IF(ISERROR(VLOOKUP(AF70,CZ:CZ,1,FALSE)),0,1)*IF(ISERROR(VLOOKUP(AH70,CZ:CZ,1,FALSE)),0,1)*AN70</f>
        <v/>
      </c>
      <c r="BA70" s="13">
        <f>IF(ISERROR(VLOOKUP(AF70,CZ:CZ,1,FALSE)),0,1)*IF(ISERROR(VLOOKUP(AH70,CZ:CZ,1,FALSE)),0,1)*AO70</f>
        <v/>
      </c>
      <c r="BB70" s="13">
        <f>IF(ISERROR(VLOOKUP(AF70,CZ:CZ,1,FALSE)),0,1)*IF(ISERROR(VLOOKUP(AH70,CZ:CZ,1,FALSE)),0,1)*AP70</f>
        <v/>
      </c>
      <c r="BC70" s="13">
        <f>IF(ISERROR(VLOOKUP(AF70,CZ:CZ,1,FALSE)),0,1)*IF(ISERROR(VLOOKUP(AH70,CZ:CZ,1,FALSE)),0,1)*AQ70</f>
        <v/>
      </c>
      <c r="BD70" s="13">
        <f>IF(ISERROR(VLOOKUP(AF70,CZ:CZ,1,FALSE)),0,1)*IF(ISERROR(VLOOKUP(AH70,CZ:CZ,1,FALSE)),0,1)*AR70</f>
        <v/>
      </c>
      <c r="BE70" s="13">
        <f>IF(ISERROR(VLOOKUP(AF70,CZ:CZ,1,FALSE)),0,1)*IF(ISERROR(VLOOKUP(AH70,CZ:CZ,1,FALSE)),0,1)*AS70</f>
        <v/>
      </c>
      <c r="BF70" s="13">
        <f>IF(ISERROR(VLOOKUP(AF70,DT:DT,1,FALSE)),0,1)*IF(ISERROR(VLOOKUP(AH70,DT:DT,1,FALSE)),0,1)*AN70</f>
        <v/>
      </c>
      <c r="BG70" s="13">
        <f>IF(ISERROR(VLOOKUP(AF70,DT:DT,1,FALSE)),0,1)*IF(ISERROR(VLOOKUP(AH70,DT:DT,1,FALSE)),0,1)*AO70</f>
        <v/>
      </c>
      <c r="BH70" s="13">
        <f>IF(ISERROR(VLOOKUP(AF70,DT:DT,1,FALSE)),0,1)*IF(ISERROR(VLOOKUP(AH70,DT:DT,1,FALSE)),0,1)*AP70</f>
        <v/>
      </c>
      <c r="BI70" s="13">
        <f>IF(ISERROR(VLOOKUP(AF70,DT:DT,1,FALSE)),0,1)*IF(ISERROR(VLOOKUP(AH70,DT:DT,1,FALSE)),0,1)*AQ70</f>
        <v/>
      </c>
      <c r="BJ70" s="13">
        <f>IF(ISERROR(VLOOKUP(AF70,DT:DT,1,FALSE)),0,1)*IF(ISERROR(VLOOKUP(AH70,DT:DT,1,FALSE)),0,1)*AR70</f>
        <v/>
      </c>
      <c r="BK70" s="13">
        <f>IF(ISERROR(VLOOKUP(AF70,DT:DT,1,FALSE)),0,1)*IF(ISERROR(VLOOKUP(AH70,DT:DT,1,FALSE)),0,1)*AS70</f>
        <v/>
      </c>
      <c r="BL70" s="13">
        <f>IF(ISERROR(VLOOKUP(AF70,EN:EN,1,FALSE)),0,1)*IF(ISERROR(VLOOKUP(AH70,EN:EN,1,FALSE)),0,1)*AN70</f>
        <v/>
      </c>
      <c r="BM70" s="13">
        <f>IF(ISERROR(VLOOKUP(AF70,EN:EN,1,FALSE)),0,1)*IF(ISERROR(VLOOKUP(AH70,EN:EN,1,FALSE)),0,1)*AO70</f>
        <v/>
      </c>
      <c r="BN70" s="13">
        <f>IF(ISERROR(VLOOKUP(AF70,EN:EN,1,FALSE)),0,1)*IF(ISERROR(VLOOKUP(AH70,EN:EN,1,FALSE)),0,1)*AP70</f>
        <v/>
      </c>
      <c r="BO70" s="13">
        <f>IF(ISERROR(VLOOKUP(AF70,EN:EN,1,FALSE)),0,1)*IF(ISERROR(VLOOKUP(AH70,EN:EN,1,FALSE)),0,1)*AQ70</f>
        <v/>
      </c>
      <c r="BP70" s="13">
        <f>IF(ISERROR(VLOOKUP(AF70,EN:EN,1,FALSE)),0,1)*IF(ISERROR(VLOOKUP(AH70,EN:EN,1,FALSE)),0,1)*AR70</f>
        <v/>
      </c>
      <c r="BQ70" s="13">
        <f>IF(ISERROR(VLOOKUP(AF70,EN:EN,1,FALSE)),0,1)*IF(ISERROR(VLOOKUP(AH70,EN:EN,1,FALSE)),0,1)*AS70</f>
        <v/>
      </c>
      <c r="BT70" s="88" t="inlineStr">
        <is>
          <t>Uruguay</t>
        </is>
      </c>
      <c r="BU70" s="13">
        <f>(SUMIF(AF$4:AF$108,BT70,AN$4:AN$108)+SUMIF(AH$4:AH$108,BT70,AO$4:AO$108))</f>
        <v/>
      </c>
      <c r="BV70" s="13">
        <f>(SUMIF(AF$4:AF$108,BT70,AP$4:AP$108)+SUMIF(AH$4:AH$108,BT70,AQ$4:AQ$108))</f>
        <v/>
      </c>
      <c r="BW70" s="13">
        <f>(SUMIF(AF$4:AF$108,BT70,AR$4:AR$108)+SUMIF(AH$4:AH$108,BT70,AS$4:AS$108))</f>
        <v/>
      </c>
      <c r="BX70" s="13">
        <f>SUMIF($AF$4:$AF$108,BT70,$AI$4:$AI$108)+SUMIF($AH$4:$AH$108,BT70,$AK$4:$AK$108)</f>
        <v/>
      </c>
      <c r="BY70" s="13">
        <f>SUMIF($AF$4:$AF$108,BT70,$AK$4:$AK$108)+SUMIF($AH$4:$AH$108,BT70,$AI$4:$AI$108)</f>
        <v/>
      </c>
      <c r="BZ70" s="13">
        <f>BX70-BY70</f>
        <v/>
      </c>
      <c r="CA70" s="13">
        <f>IFERROR(BU70*3+BV70*1,0)</f>
        <v/>
      </c>
      <c r="CB70" s="89" t="inlineStr">
        <is>
          <t>H</t>
        </is>
      </c>
      <c r="CC70" s="74">
        <f>RANK(CA70,CA67:CA70)</f>
        <v/>
      </c>
      <c r="CD70" s="13">
        <f>SUMPRODUCT((CA67:CA70=CA70)*(BZ67:BZ70&gt;BZ70))</f>
        <v/>
      </c>
      <c r="CF70" s="88">
        <f>IF(CC70=1,BT70,)</f>
        <v/>
      </c>
      <c r="CG70" s="13">
        <f>(SUMIF($AF$4:$AF$108,$BT70,$AT$4:$AT$108)+SUMIF($AH$4:$AH$108,$BT70,$AU$4:$AU$108))</f>
        <v/>
      </c>
      <c r="CH70" s="13">
        <f>(SUMIF($AF$4:$AF$108,$BT70,$AV$4:$AV$108)+SUMIF($AH$4:$AH$108,$BT70,$AW$4:$AW$108))</f>
        <v/>
      </c>
      <c r="CI70" s="13">
        <f>(SUMIF($AF$4:$AF$108,$BT70,$AX$4:$AX$108)+SUMIF($AH$4:$AH$108,$BT70,$AY$4:$AY$108))</f>
        <v/>
      </c>
      <c r="CJ70" s="13">
        <f>IFERROR(CG70*3+CH70*1,0)</f>
        <v/>
      </c>
      <c r="CK70" s="13">
        <f>CB70</f>
        <v/>
      </c>
      <c r="CL70" s="13">
        <f>IF(CF70&gt;0,RANK(CJ70,CJ67:CJ70),)</f>
        <v/>
      </c>
      <c r="CM70" s="13">
        <f>IF(AND(CF70&gt;0,COUNTIF(CL67:CL70,CL70)&gt;1),SUMIFS($AI$4:$AI$108,$AF$4:$AF$108,$BT70,$M$4:$M$108,1)+SUMIFS($AK$4:$AK$108,$AH$4:$AH$108,$BT70,$M$4:$M$108,1)-SUMIFS($AK$4:$AK$108,$AF$4:$AF$108,$BT70,$M$4:$M$108,1)-SUMIFS($AI$4:$AI$108,$AH$4:$AH$108,$BT70,$M$4:$M$108,1),)</f>
        <v/>
      </c>
      <c r="CN70" s="13">
        <f>IF(AND(CF70&gt;0,COUNTIF(CL67:CL70,CL70)&gt;1),CL70+RANK(CM70,CM67:CM70)-1,CL70)</f>
        <v/>
      </c>
      <c r="CO70" s="13">
        <f>IF(AND(CF70&gt;0,COUNTIF(CN67:CN70,CN70)&gt;1),SUMIFS($AI$4:$AI$108,$AF$4:$AF$108,$BT70,$M$4:$M$108,1)+SUMIFS($AK$4:$AK$108,$AH$4:$AH$108,$BT70,$M$4:$M$108,1),)</f>
        <v/>
      </c>
      <c r="CP70" s="13">
        <f>IF(AND(CF70&gt;0,COUNTIF(CN67:CN70,CN70)&gt;1),CN70+RANK(CO70,CO67:CO70)-1,CN70)</f>
        <v/>
      </c>
      <c r="CQ70" s="13">
        <f>IF(CP70=0,"",CP70)</f>
        <v/>
      </c>
      <c r="CR70" s="13">
        <f>IF(OR(CQ70="",COUNTIF(CQ67:CQ70,CQ70)=1),"",$BZ70)</f>
        <v/>
      </c>
      <c r="CS70" s="13">
        <f>IF(CQ70="","",IF(COUNTIF(CQ67:CQ70,CQ70)=1,CQ70,CQ70+RANK(CR70,CR67:CR70,0)-1))</f>
        <v/>
      </c>
      <c r="CT70" s="13">
        <f>IF(OR(CS70="",COUNTIF(CS67:CS70,CS70)=1),"",$BX70)</f>
        <v/>
      </c>
      <c r="CU70" s="13">
        <f>IF(CQ70="","",IF(COUNTIF(CS67:CS70,CS70)=1,CS70,CS70+RANK(CT70,CT67:CT70,0)-1))</f>
        <v/>
      </c>
      <c r="CV70" s="13">
        <f>IF(OR(CU70="",COUNTIF(CU67:CU70,CU70)=1),"",$BU70)</f>
        <v/>
      </c>
      <c r="CW70" s="13">
        <f>IF(CQ70="","",IF(COUNTIF(CU67:CU70,CU70)=1,CU70,CU70+RANK(CV70,CV67:CV70,0)-1))</f>
        <v/>
      </c>
      <c r="CX70" s="13">
        <f>IF(CF70&gt;0,BM65+RANK(CW70,CW67:CW70,1),)</f>
        <v/>
      </c>
      <c r="CZ70" s="88">
        <f>IF(CC70=2,BT70,)</f>
        <v/>
      </c>
      <c r="DA70" s="13">
        <f>(SUMIF($AF$4:$AF$108,$BT70,$AZ$4:$AZ$108)+SUMIF($AH$4:$AH$108,$BT70,$BA$4:$BA$108))</f>
        <v/>
      </c>
      <c r="DB70" s="13">
        <f>(SUMIF($AF$4:$AF$108,$BT70,$BB$4:$BB$108)+SUMIF($AH$4:$AH$108,$BT70,$BC$4:$BC$108))</f>
        <v/>
      </c>
      <c r="DC70" s="13">
        <f>(SUMIF($AF$4:$AF$108,$BT70,$BD$4:$BD$108)+SUMIF($AH$4:$AH$108,$BT70,$BE$4:$BE$108))</f>
        <v/>
      </c>
      <c r="DD70" s="13">
        <f>IFERROR(DA70*3+DB70*1,0)</f>
        <v/>
      </c>
      <c r="DE70" s="13">
        <f>$CB70</f>
        <v/>
      </c>
      <c r="DF70" s="13">
        <f>IF(CZ70&gt;0,RANK(DD70,DD67:DD70)+CG65,)</f>
        <v/>
      </c>
      <c r="DG70" s="13">
        <f>IF(AND(CZ70&gt;0,COUNTIF(DF67:DF70,DF70)&gt;1),SUMIFS($AI$4:$AI$108,$AF$4:$AF$108,$BT70,$M$4:$M$108,2)+SUMIFS($AK$4:$AK$108,$AH$4:$AH108,$BT70,$M$4:$M$108,2)-SUMIFS($AK$4:$AK$108,$AF$4:$AF$108,$BT70,$M$4:$M$108,2)-SUMIFS($AI$4:$AI$108,$AH$4:$AH$108,$BT70,$M$4:$M$108,2),)</f>
        <v/>
      </c>
      <c r="DH70" s="13">
        <f>IF(AND(CZ70&gt;0,COUNTIF(DF67:DF70,DF70)&gt;1),DF70+RANK(DG70,DG67:DG70)-1,DF70)</f>
        <v/>
      </c>
      <c r="DI70" s="13">
        <f>IF(AND(CZ70&gt;0,COUNTIF(DH67:DH70,DH70)&gt;1),SUMIFS($AI$4:$AI$108,$AF$4:$AF$108,$BT70,$M$4:$M$108,2)+SUMIFS($AK$4:$AK$108,$AH$4:$AH$108,$BT70,$M$4:$M$108,2),)</f>
        <v/>
      </c>
      <c r="DJ70" s="13">
        <f>IF(AND(CZ70&gt;0,COUNTIF(DH67:DH70,DH70)&gt;1),DH70+RANK(DI70,DI67:DI70)-1,DH70)</f>
        <v/>
      </c>
      <c r="DK70" s="75">
        <f>IF(DJ70=0,"",DJ70)</f>
        <v/>
      </c>
      <c r="DL70" s="75">
        <f>IF(OR(DK70="",COUNTIF(DK67:DK70,DK70)=1),"",$BZ70)</f>
        <v/>
      </c>
      <c r="DM70" s="75">
        <f>IF(DK70="","",IF(COUNTIF(DK67:DK70,DK70)=1,DK70,DK70+RANK(DL70,DL67:DL70,0)-1))</f>
        <v/>
      </c>
      <c r="DN70" s="75">
        <f>IF(OR(DM70="",COUNTIF(DM67:DM70,DM70)=1),"",$BX70)</f>
        <v/>
      </c>
      <c r="DO70" s="75">
        <f>IF(DK70="","",IF(COUNTIF(DM67:DM70,DM70)=1,DM70,DM70+RANK(DN70,DN67:DN70,0)-1))</f>
        <v/>
      </c>
      <c r="DP70" s="75">
        <f>IF(OR(DO70="",COUNTIF(DO67:DO70,DO70)=1),"",$BU70)</f>
        <v/>
      </c>
      <c r="DQ70" s="75">
        <f>IF(DK70="","",IF(COUNTIF(DO67:DO70,DO70)=1,DO70,DO70+RANK(DP70,DP67:DP70,0)-1))</f>
        <v/>
      </c>
      <c r="DR70" s="13">
        <f>IF(CZ70&gt;0,CG65+RANK(DQ70,DQ67:DQ70,1),)</f>
        <v/>
      </c>
      <c r="DT70" s="89">
        <f>IF(CC70=3,BT70,)</f>
        <v/>
      </c>
      <c r="DU70" s="13">
        <f>(SUMIF($AF$4:$AF$108,BT70,$BF$4:$BF$108)+SUMIF($AH$4:$AH$108,BT70,$BG$4:$BG$108))</f>
        <v/>
      </c>
      <c r="DV70" s="13">
        <f>(SUMIF($AF$4:$AF$108,BT70,$BH$4:$BH$108)+SUMIF($AH$4:$AH$108,BT70,$BI$4:$BI$108))</f>
        <v/>
      </c>
      <c r="DW70" s="13">
        <f>(SUMIF($AF$4:$AF$108,BT70,$BJ$4:$BJ$108)+SUMIF($AH$4:$AH$108,BT70,$BK$4:$BK$108))</f>
        <v/>
      </c>
      <c r="DX70" s="13">
        <f>IFERROR(DU70*3+DV70*1,0)</f>
        <v/>
      </c>
      <c r="DY70" s="13">
        <f>CB70</f>
        <v/>
      </c>
      <c r="DZ70" s="13">
        <f>IF(DT70&gt;0,RANK(DX70,DX67:DX70)+CG65+DA65,)</f>
        <v/>
      </c>
      <c r="EA70" s="13">
        <f>IF(AND(DT70&gt;0,COUNTIF(DZ67:DZ70,DZ70)&gt;1),SUMIFS($AI$4:$AI$108,$AF$4:$AF$108,$BT70,$M$4:$M$108,3)+SUMIFS($AK$4:$AK$108,$AH$4:$AH$108,$BT70,$M$4:$M$108,3)-SUMIFS($AK$4:$AK$108,$AF$4:$AF$108,$BT70,$M$4:$M$108,3)-SUMIFS($AI$4:$AI$108,$AH$4:$AH$108,$BT70,$M$4:$M$108,3),)</f>
        <v/>
      </c>
      <c r="EB70" s="13">
        <f>IF(AND(DT70&gt;0,COUNTIF(DZ67:DZ70,DZ70)&gt;1),DZ70+RANK(EA70,EA67:EA70)-1,DZ70)</f>
        <v/>
      </c>
      <c r="EC70" s="13">
        <f>IF(AND(DT70&gt;0,COUNTIF(EB67:EB70,EB70)&gt;1),SUMIFS($AI$4:$AI$108,$AF$4:$AF$108,$BT70,$M$4:$M$108,3)+SUMIFS($AK$4:$AK$108,$AH$4:$AH$108,$BT70,$M$4:$M$108,3),)</f>
        <v/>
      </c>
      <c r="ED70" s="13">
        <f>IF(AND(DT70&gt;0,COUNTIF(EB67:EB70,EB70)&gt;1),EB70+RANK(EC70,EC67:EC70)-1,EB70)</f>
        <v/>
      </c>
      <c r="EE70" s="13">
        <f>IF(ED70=0,"",ED70)</f>
        <v/>
      </c>
      <c r="EF70" s="13">
        <f>IF(OR(EE70="",COUNTIF(EE67:EE70,EE70)=1),"",$BZ70)</f>
        <v/>
      </c>
      <c r="EG70" s="13">
        <f>IF(EE70="","",IF(COUNTIF(EE67:EE70,EE70)=1,EE70,EE70+RANK(EF70,EF67:EF70,0)-1))</f>
        <v/>
      </c>
      <c r="EH70" s="13">
        <f>IF(OR(EG70="",COUNTIF(EG67:EG70,EG70)=1),"",$BX70)</f>
        <v/>
      </c>
      <c r="EI70" s="13">
        <f>IF(EE70="","",IF(COUNTIF(EG67:EG70,EG70)=1,EG70,EG70+RANK(EH70,EH67:EH70,0)-1))</f>
        <v/>
      </c>
      <c r="EJ70" s="13">
        <f>IF(OR(EI70="",COUNTIF(EI67:EI70,EI70)=1),"",$BU70)</f>
        <v/>
      </c>
      <c r="EK70" s="13">
        <f>IF(EE70="","",IF(COUNTIF(EI67:EI70,EI70)=1,EI70,EI70+RANK(EJ70,EJ67:EJ70,0)-1))</f>
        <v/>
      </c>
      <c r="EL70" s="13">
        <f>IF(DT70&gt;0,CG65+DA65+RANK(EK70,EK67:EK70,1),)</f>
        <v/>
      </c>
      <c r="EN70" s="13">
        <f>IF(CC70=4,BT70,)</f>
        <v/>
      </c>
      <c r="EO70" s="13">
        <f>(SUMIF($AF$4:$AF$108,$BT70,$BL$4:$BL$108)+SUMIF($AH$4:$AH$108,$BT70,$BM$4:$BM$108))</f>
        <v/>
      </c>
      <c r="EP70" s="13">
        <f>(SUMIF($AF$4:$AF$108,$BT70,$BN$4:$BN$108)+SUMIF($AH$4:$AH$108,$BT70,$BO$4:$BO$108))</f>
        <v/>
      </c>
      <c r="EQ70" s="13">
        <f>(SUMIF($AF$4:$AF$108,$BT70,$BP$4:$BP$108)+SUMIF($AH$4:$AH$108,$BT70,$BQ$4:$BQ$108))</f>
        <v/>
      </c>
      <c r="ER70" s="13">
        <f>IFERROR(EO70*3+EP70*1,0)</f>
        <v/>
      </c>
      <c r="ES70" s="13">
        <f>$CB70</f>
        <v/>
      </c>
      <c r="ET70" s="13">
        <f>IF(EN70&gt;0,RANK(ER70,ER67:ER70)+CG65+DA65+DU65,)</f>
        <v/>
      </c>
      <c r="EU70" s="13">
        <f>IF(AND(EN70&gt;0,COUNTIF(ET67:ET70,ET70)&gt;1),SUMIFS($AI$4:$AI$108,$AF$4:$AF$108,$BT70,$M$4:$M$108,4)+SUMIFS($AK$4:$AK$108,$AH$4:$AH$108,$BT70,$M$4:$M$108,4)-SUMIFS($AK$4:$AK$108,$AF$4:$AF$108,$BT70,$M$4:$M$108,4)-SUMIFS($AI$4:$AI$108,$AH$4:$AH$108,$BT70,$M$4:$M$108,4),)</f>
        <v/>
      </c>
      <c r="EV70" s="13">
        <f>IF(AND(EN70&gt;0,COUNTIF(ET67:ET70,ET70)&gt;1),ET70+RANK(EU70,EU67:EU70)-1,ET70)</f>
        <v/>
      </c>
      <c r="EW70" s="13">
        <f>IF(AND(EN70&gt;0,COUNTIF(EV70:EV73,EV70)&gt;1),SUMIFS($AI$4:$AI$108,$AF$4:$AF$108,$BT70,$M$4:$M$108,4)+SUMIFS($AK$4:$AK$108,$AH$4:$AH$108,$BT70,$M$4:$M$108,4),)</f>
        <v/>
      </c>
      <c r="EX70" s="13">
        <f>IF(AND(EN70&gt;0,COUNTIF(EV67:EV70,EV70)&gt;1),EV70+RANK(EW70,EW67:EW70)-1,EV70)</f>
        <v/>
      </c>
      <c r="EY70" s="13">
        <f>IF(EX70=0,"",EX70)</f>
        <v/>
      </c>
      <c r="EZ70" s="13">
        <f>IF(OR(EY70="",COUNTIF(EY67:EY70,EY70)=1),"",$BZ70)</f>
        <v/>
      </c>
      <c r="FA70" s="13">
        <f>IF(EY70="","",IF(COUNTIF(EY67:EY70,EY70)=1,EY70,EY70+RANK(EZ70,EZ67:EZ70,0)-1))</f>
        <v/>
      </c>
      <c r="FB70" s="13">
        <f>IF(OR(FA70="",COUNTIF(FA67:FA70,FA70)=1),"",$BX70)</f>
        <v/>
      </c>
      <c r="FC70" s="13">
        <f>IF(EY70="","",IF(COUNTIF(FA67:FA70,FA70)=1,FA70,FA70+RANK(FB70,FB67:FB70,0)-1))</f>
        <v/>
      </c>
      <c r="FD70" s="13">
        <f>IF(OR(FC70="",COUNTIF(FC67:FC70,FC70)=1),"",$BU70)</f>
        <v/>
      </c>
      <c r="FE70" s="13">
        <f>IF(EY70="","",IF(COUNTIF(FC67:FC70,FC70)=1,FC70,FC70+RANK(FD70,FD67:FD70,0)-1))</f>
        <v/>
      </c>
      <c r="FF70" s="13">
        <f>IF(EN70&gt;0,CG65+DA65+DU65+RANK(FE70,FE67:FE70,1),)</f>
        <v/>
      </c>
      <c r="FH70" s="13">
        <f>IFERROR(VLOOKUP(FJ70,CF66:CX70,19,FALSE),IFERROR(VLOOKUP(FJ70,CZ66:DR70,19,FALSE),IFERROR(VLOOKUP(FJ70,DT66:EL70,19,FALSE),VLOOKUP(FJ70,EN66:FF70,19,FALSE))))</f>
        <v/>
      </c>
      <c r="FI70" s="13">
        <f>RANK(FH70,FH67:FH70,1)+COUNTIF(FH67:FH70,FH70)-1</f>
        <v/>
      </c>
      <c r="FJ70" s="12">
        <f>BT70</f>
        <v/>
      </c>
      <c r="FZ70" s="79" t="n">
        <v>68</v>
      </c>
      <c r="GA70" s="3">
        <f>GB70&amp;GC70&amp;GD70&amp;GE70&amp;GF70&amp;GG70&amp;GH70&amp;GI70</f>
        <v/>
      </c>
      <c r="GB70" s="3" t="inlineStr">
        <is>
          <t>E</t>
        </is>
      </c>
      <c r="GC70" s="3" t="inlineStr">
        <is>
          <t>J</t>
        </is>
      </c>
      <c r="GD70" s="3" t="inlineStr">
        <is>
          <t>B</t>
        </is>
      </c>
      <c r="GE70" s="3" t="inlineStr">
        <is>
          <t>D</t>
        </is>
      </c>
      <c r="GF70" s="3" t="inlineStr">
        <is>
          <t>I</t>
        </is>
      </c>
      <c r="GG70" s="3" t="inlineStr">
        <is>
          <t>F</t>
        </is>
      </c>
      <c r="GH70" s="3" t="inlineStr">
        <is>
          <t>L</t>
        </is>
      </c>
      <c r="GI70" s="3" t="inlineStr">
        <is>
          <t>K</t>
        </is>
      </c>
      <c r="GJ70" s="9">
        <f>VLOOKUP(GB70,$FM$3:$FN$15,2,FALSE)</f>
        <v/>
      </c>
      <c r="GK70" s="9">
        <f>VLOOKUP(GC70,$FM$3:$FN$15,2,FALSE)</f>
        <v/>
      </c>
      <c r="GL70" s="9">
        <f>VLOOKUP(GD70,$FM$3:$FN$15,2,FALSE)</f>
        <v/>
      </c>
      <c r="GM70" s="9">
        <f>VLOOKUP(GE70,$FM$3:$FN$15,2,FALSE)</f>
        <v/>
      </c>
      <c r="GN70" s="9">
        <f>VLOOKUP(GF70,$FM$3:$FN$15,2,FALSE)</f>
        <v/>
      </c>
      <c r="GO70" s="9">
        <f>VLOOKUP(GG70,$FM$3:$FN$15,2,FALSE)</f>
        <v/>
      </c>
      <c r="GP70" s="9">
        <f>VLOOKUP(GH70,$FM$3:$FN$15,2,FALSE)</f>
        <v/>
      </c>
      <c r="GQ70" s="9">
        <f>VLOOKUP(GI70,$FM$3:$FN$15,2,FALSE)</f>
        <v/>
      </c>
      <c r="GR70" s="9">
        <f>IFERROR(IF(AND(VLOOKUP(GB70,$FX$4:$FX$15,1,FALSE)=GB70,VLOOKUP(GC70,$FX$4:$FX$15,1,FALSE)=GC70,VLOOKUP(GD70,$FX$4:$FX$15,1,FALSE)=GD70,VLOOKUP(GE70,$FX$4:$FX$15,1,FALSE)=GE70,VLOOKUP(GF70,$FX$4:$FX$15,1,FALSE)=GF70,VLOOKUP(GG70,$FX$4:$FX$15,1,FALSE)=GG70,VLOOKUP(GH70,$FX$4:$FX$15,1,FALSE)=GH70,VLOOKUP(GI70,$FX$4:$FX$15,1,FALSE)=GI70),FZ70,""),"")</f>
        <v/>
      </c>
      <c r="GX70" s="79" t="n"/>
    </row>
    <row r="71" ht="14.25" customHeight="1">
      <c r="B71" s="58" t="n">
        <v>65</v>
      </c>
      <c r="C71" s="59" t="n">
        <v>46200</v>
      </c>
      <c r="D71" s="60" t="inlineStr">
        <is>
          <t>Kap Verde</t>
        </is>
      </c>
      <c r="E71" s="61" t="inlineStr">
        <is>
          <t>-</t>
        </is>
      </c>
      <c r="F71" s="62" t="inlineStr">
        <is>
          <t>Saudiarabien</t>
        </is>
      </c>
      <c r="G71" s="63" t="n">
        <v>2</v>
      </c>
      <c r="H71" s="64" t="inlineStr">
        <is>
          <t>-</t>
        </is>
      </c>
      <c r="I71" s="63" t="n">
        <v>1</v>
      </c>
      <c r="J71" s="65">
        <f>IF(OR(ISBLANK(G71),ISBLANK(I71)),"",IF(G71&gt;I71,1,IF(G71&lt;I71,2,"X")))</f>
        <v/>
      </c>
      <c r="K71" s="66">
        <f>IF(OR(G71="",I71="",'[1]Resultat &amp; tabell'!G71="",'[1]Resultat &amp; tabell'!I71=""),0,IF(G71='[1]Resultat &amp; tabell'!G71,2,0)+IF(I71='[1]Resultat &amp; tabell'!I71,2,0)+IF(J71='[1]Resultat &amp; tabell'!J71,2,0))</f>
        <v/>
      </c>
      <c r="L71" s="67" t="n"/>
      <c r="M71" s="29">
        <f>IF(VLOOKUP(D71,$BT$66:$CC$70,10,FALSE)=VLOOKUP(F71,$BT$66:$CC$70,10,FALSE),VLOOKUP(D71,$BT$66:$CC$70,10,FALSE),"-")</f>
        <v/>
      </c>
      <c r="O71" s="134">
        <f>IF(COUNTBLANK(G67:G72)+COUNTBLANK(I67:I72)=0,"Resultat OK","Fyll i resultat")</f>
        <v/>
      </c>
      <c r="P71" s="92" t="n"/>
      <c r="Q71" s="92" t="n"/>
      <c r="R71" s="92" t="n"/>
      <c r="S71" s="92" t="n"/>
      <c r="T71" s="92" t="n"/>
      <c r="U71" s="92" t="n"/>
      <c r="X71" s="1" t="n"/>
      <c r="AE71" s="72">
        <f>C71</f>
        <v/>
      </c>
      <c r="AF71" s="72">
        <f>D71</f>
        <v/>
      </c>
      <c r="AG71" s="72">
        <f>E71</f>
        <v/>
      </c>
      <c r="AH71" s="72">
        <f>F71</f>
        <v/>
      </c>
      <c r="AI71" s="63">
        <f>IF(G71="","",G71)</f>
        <v/>
      </c>
      <c r="AJ71" s="58">
        <f>H71</f>
        <v/>
      </c>
      <c r="AK71" s="63">
        <f>IF(I71="","",I71)</f>
        <v/>
      </c>
      <c r="AL71" s="65">
        <f>J71</f>
        <v/>
      </c>
      <c r="AM71" s="73" t="n"/>
      <c r="AN71" s="13">
        <f>IF(AI71&gt;AK71,1,0)</f>
        <v/>
      </c>
      <c r="AO71" s="13">
        <f>IF(AK71&gt;AI71,1,0)</f>
        <v/>
      </c>
      <c r="AP71" s="13">
        <f>IF(AND(AI71=AK71,AI71&lt;&gt;""),1,0)</f>
        <v/>
      </c>
      <c r="AQ71" s="13">
        <f>IF(AND(AI71=AK71,AI71&lt;&gt;""),1,0)</f>
        <v/>
      </c>
      <c r="AR71" s="13">
        <f>IF(AI71&lt;AK71,1,0)</f>
        <v/>
      </c>
      <c r="AS71" s="13">
        <f>IF(AK71&lt;AI71,1,)</f>
        <v/>
      </c>
      <c r="AT71" s="13">
        <f>IF(ISERROR(VLOOKUP(AF71,CF:CF,1,FALSE)),0,1)*IF(ISERROR(VLOOKUP(AH71,CF:CF,1,FALSE)),0,1)*AN71</f>
        <v/>
      </c>
      <c r="AU71" s="13">
        <f>IF(ISERROR(VLOOKUP(AF71,CF:CF,1,FALSE)),0,1)*IF(ISERROR(VLOOKUP(AH71,CF:CF,1,FALSE)),0,1)*AO71</f>
        <v/>
      </c>
      <c r="AV71" s="13">
        <f>IF(ISERROR(VLOOKUP(AF71,CF:CF,1,FALSE)),0,1)*IF(ISERROR(VLOOKUP(AH71,CF:CF,1,FALSE)),0,1)*AP71</f>
        <v/>
      </c>
      <c r="AW71" s="13">
        <f>IF(ISERROR(VLOOKUP(AF71,CF:CF,1,FALSE)),0,1)*IF(ISERROR(VLOOKUP(AH71,CF:CF,1,FALSE)),0,1)*AQ71</f>
        <v/>
      </c>
      <c r="AX71" s="13">
        <f>IF(ISERROR(VLOOKUP(AF71,CF:CF,1,FALSE)),0,1)*IF(ISERROR(VLOOKUP(AH71,CF:CF,1,FALSE)),0,1)*AR71</f>
        <v/>
      </c>
      <c r="AY71" s="13">
        <f>IF(ISERROR(VLOOKUP(AF71,CF:CF,1,FALSE)),0,1)*IF(ISERROR(VLOOKUP(AH71,CF:CF,1,FALSE)),0,1)*AS71</f>
        <v/>
      </c>
      <c r="AZ71" s="13">
        <f>IF(ISERROR(VLOOKUP(AF71,CZ:CZ,1,FALSE)),0,1)*IF(ISERROR(VLOOKUP(AH71,CZ:CZ,1,FALSE)),0,1)*AN71</f>
        <v/>
      </c>
      <c r="BA71" s="13">
        <f>IF(ISERROR(VLOOKUP(AF71,CZ:CZ,1,FALSE)),0,1)*IF(ISERROR(VLOOKUP(AH71,CZ:CZ,1,FALSE)),0,1)*AO71</f>
        <v/>
      </c>
      <c r="BB71" s="13">
        <f>IF(ISERROR(VLOOKUP(AF71,CZ:CZ,1,FALSE)),0,1)*IF(ISERROR(VLOOKUP(AH71,CZ:CZ,1,FALSE)),0,1)*AP71</f>
        <v/>
      </c>
      <c r="BC71" s="13">
        <f>IF(ISERROR(VLOOKUP(AF71,CZ:CZ,1,FALSE)),0,1)*IF(ISERROR(VLOOKUP(AH71,CZ:CZ,1,FALSE)),0,1)*AQ71</f>
        <v/>
      </c>
      <c r="BD71" s="13">
        <f>IF(ISERROR(VLOOKUP(AF71,CZ:CZ,1,FALSE)),0,1)*IF(ISERROR(VLOOKUP(AH71,CZ:CZ,1,FALSE)),0,1)*AR71</f>
        <v/>
      </c>
      <c r="BE71" s="13">
        <f>IF(ISERROR(VLOOKUP(AF71,CZ:CZ,1,FALSE)),0,1)*IF(ISERROR(VLOOKUP(AH71,CZ:CZ,1,FALSE)),0,1)*AS71</f>
        <v/>
      </c>
      <c r="BF71" s="13">
        <f>IF(ISERROR(VLOOKUP(AF71,DT:DT,1,FALSE)),0,1)*IF(ISERROR(VLOOKUP(AH71,DT:DT,1,FALSE)),0,1)*AN71</f>
        <v/>
      </c>
      <c r="BG71" s="13">
        <f>IF(ISERROR(VLOOKUP(AF71,DT:DT,1,FALSE)),0,1)*IF(ISERROR(VLOOKUP(AH71,DT:DT,1,FALSE)),0,1)*AO71</f>
        <v/>
      </c>
      <c r="BH71" s="13">
        <f>IF(ISERROR(VLOOKUP(AF71,DT:DT,1,FALSE)),0,1)*IF(ISERROR(VLOOKUP(AH71,DT:DT,1,FALSE)),0,1)*AP71</f>
        <v/>
      </c>
      <c r="BI71" s="13">
        <f>IF(ISERROR(VLOOKUP(AF71,DT:DT,1,FALSE)),0,1)*IF(ISERROR(VLOOKUP(AH71,DT:DT,1,FALSE)),0,1)*AQ71</f>
        <v/>
      </c>
      <c r="BJ71" s="13">
        <f>IF(ISERROR(VLOOKUP(AF71,DT:DT,1,FALSE)),0,1)*IF(ISERROR(VLOOKUP(AH71,DT:DT,1,FALSE)),0,1)*AR71</f>
        <v/>
      </c>
      <c r="BK71" s="13">
        <f>IF(ISERROR(VLOOKUP(AF71,DT:DT,1,FALSE)),0,1)*IF(ISERROR(VLOOKUP(AH71,DT:DT,1,FALSE)),0,1)*AS71</f>
        <v/>
      </c>
      <c r="BL71" s="13">
        <f>IF(ISERROR(VLOOKUP(AF71,EN:EN,1,FALSE)),0,1)*IF(ISERROR(VLOOKUP(AH71,EN:EN,1,FALSE)),0,1)*AN71</f>
        <v/>
      </c>
      <c r="BM71" s="13">
        <f>IF(ISERROR(VLOOKUP(AF71,EN:EN,1,FALSE)),0,1)*IF(ISERROR(VLOOKUP(AH71,EN:EN,1,FALSE)),0,1)*AO71</f>
        <v/>
      </c>
      <c r="BN71" s="13">
        <f>IF(ISERROR(VLOOKUP(AF71,EN:EN,1,FALSE)),0,1)*IF(ISERROR(VLOOKUP(AH71,EN:EN,1,FALSE)),0,1)*AP71</f>
        <v/>
      </c>
      <c r="BO71" s="13">
        <f>IF(ISERROR(VLOOKUP(AF71,EN:EN,1,FALSE)),0,1)*IF(ISERROR(VLOOKUP(AH71,EN:EN,1,FALSE)),0,1)*AQ71</f>
        <v/>
      </c>
      <c r="BP71" s="13">
        <f>IF(ISERROR(VLOOKUP(AF71,EN:EN,1,FALSE)),0,1)*IF(ISERROR(VLOOKUP(AH71,EN:EN,1,FALSE)),0,1)*AR71</f>
        <v/>
      </c>
      <c r="BQ71" s="13">
        <f>IF(ISERROR(VLOOKUP(AF71,EN:EN,1,FALSE)),0,1)*IF(ISERROR(VLOOKUP(AH71,EN:EN,1,FALSE)),0,1)*AS71</f>
        <v/>
      </c>
      <c r="FZ71" s="79" t="n">
        <v>69</v>
      </c>
      <c r="GA71" s="3">
        <f>GB71&amp;GC71&amp;GD71&amp;GE71&amp;GF71&amp;GG71&amp;GH71&amp;GI71</f>
        <v/>
      </c>
      <c r="GB71" s="3" t="inlineStr">
        <is>
          <t>E</t>
        </is>
      </c>
      <c r="GC71" s="3" t="inlineStr">
        <is>
          <t>J</t>
        </is>
      </c>
      <c r="GD71" s="3" t="inlineStr">
        <is>
          <t>B</t>
        </is>
      </c>
      <c r="GE71" s="3" t="inlineStr">
        <is>
          <t>D</t>
        </is>
      </c>
      <c r="GF71" s="3" t="inlineStr">
        <is>
          <t>H</t>
        </is>
      </c>
      <c r="GG71" s="3" t="inlineStr">
        <is>
          <t>F</t>
        </is>
      </c>
      <c r="GH71" s="3" t="inlineStr">
        <is>
          <t>L</t>
        </is>
      </c>
      <c r="GI71" s="3" t="inlineStr">
        <is>
          <t>K</t>
        </is>
      </c>
      <c r="GJ71" s="9">
        <f>VLOOKUP(GB71,$FM$3:$FN$15,2,FALSE)</f>
        <v/>
      </c>
      <c r="GK71" s="9">
        <f>VLOOKUP(GC71,$FM$3:$FN$15,2,FALSE)</f>
        <v/>
      </c>
      <c r="GL71" s="9">
        <f>VLOOKUP(GD71,$FM$3:$FN$15,2,FALSE)</f>
        <v/>
      </c>
      <c r="GM71" s="9">
        <f>VLOOKUP(GE71,$FM$3:$FN$15,2,FALSE)</f>
        <v/>
      </c>
      <c r="GN71" s="9">
        <f>VLOOKUP(GF71,$FM$3:$FN$15,2,FALSE)</f>
        <v/>
      </c>
      <c r="GO71" s="9">
        <f>VLOOKUP(GG71,$FM$3:$FN$15,2,FALSE)</f>
        <v/>
      </c>
      <c r="GP71" s="9">
        <f>VLOOKUP(GH71,$FM$3:$FN$15,2,FALSE)</f>
        <v/>
      </c>
      <c r="GQ71" s="9">
        <f>VLOOKUP(GI71,$FM$3:$FN$15,2,FALSE)</f>
        <v/>
      </c>
      <c r="GR71" s="9">
        <f>IFERROR(IF(AND(VLOOKUP(GB71,$FX$4:$FX$15,1,FALSE)=GB71,VLOOKUP(GC71,$FX$4:$FX$15,1,FALSE)=GC71,VLOOKUP(GD71,$FX$4:$FX$15,1,FALSE)=GD71,VLOOKUP(GE71,$FX$4:$FX$15,1,FALSE)=GE71,VLOOKUP(GF71,$FX$4:$FX$15,1,FALSE)=GF71,VLOOKUP(GG71,$FX$4:$FX$15,1,FALSE)=GG71,VLOOKUP(GH71,$FX$4:$FX$15,1,FALSE)=GH71,VLOOKUP(GI71,$FX$4:$FX$15,1,FALSE)=GI71),FZ71,""),"")</f>
        <v/>
      </c>
    </row>
    <row r="72" ht="14.25" customHeight="1">
      <c r="B72" s="58" t="n">
        <v>66</v>
      </c>
      <c r="C72" s="59" t="n">
        <v>46200</v>
      </c>
      <c r="D72" s="60" t="inlineStr">
        <is>
          <t>Uruguay</t>
        </is>
      </c>
      <c r="E72" s="61" t="inlineStr">
        <is>
          <t>-</t>
        </is>
      </c>
      <c r="F72" s="62" t="inlineStr">
        <is>
          <t>Spanien</t>
        </is>
      </c>
      <c r="G72" s="63" t="n">
        <v>1</v>
      </c>
      <c r="H72" s="64" t="inlineStr">
        <is>
          <t>-</t>
        </is>
      </c>
      <c r="I72" s="63" t="n">
        <v>2</v>
      </c>
      <c r="J72" s="65">
        <f>IF(OR(ISBLANK(G72),ISBLANK(I72)),"",IF(G72&gt;I72,1,IF(G72&lt;I72,2,"X")))</f>
        <v/>
      </c>
      <c r="K72" s="66">
        <f>IF(OR(G72="",I72="",'[1]Resultat &amp; tabell'!G72="",'[1]Resultat &amp; tabell'!I72=""),0,IF(G72='[1]Resultat &amp; tabell'!G72,2,0)+IF(I72='[1]Resultat &amp; tabell'!I72,2,0)+IF(J72='[1]Resultat &amp; tabell'!J72,2,0))</f>
        <v/>
      </c>
      <c r="L72" s="67" t="n"/>
      <c r="M72" s="29">
        <f>IF(VLOOKUP(D72,$BT$66:$CC$70,10,FALSE)=VLOOKUP(F72,$BT$66:$CC$70,10,FALSE),VLOOKUP(D72,$BT$66:$CC$70,10,FALSE),"-")</f>
        <v/>
      </c>
      <c r="X72" s="1" t="n"/>
      <c r="AE72" s="72">
        <f>C72</f>
        <v/>
      </c>
      <c r="AF72" s="72">
        <f>D72</f>
        <v/>
      </c>
      <c r="AG72" s="72">
        <f>E72</f>
        <v/>
      </c>
      <c r="AH72" s="72">
        <f>F72</f>
        <v/>
      </c>
      <c r="AI72" s="63">
        <f>IF(G72="","",G72)</f>
        <v/>
      </c>
      <c r="AJ72" s="58">
        <f>H72</f>
        <v/>
      </c>
      <c r="AK72" s="63">
        <f>IF(I72="","",I72)</f>
        <v/>
      </c>
      <c r="AL72" s="65">
        <f>J72</f>
        <v/>
      </c>
      <c r="AM72" s="73" t="n"/>
      <c r="AN72" s="13">
        <f>IF(AI72&gt;AK72,1,0)</f>
        <v/>
      </c>
      <c r="AO72" s="13">
        <f>IF(AK72&gt;AI72,1,0)</f>
        <v/>
      </c>
      <c r="AP72" s="13">
        <f>IF(AND(AI72=AK72,AI72&lt;&gt;""),1,0)</f>
        <v/>
      </c>
      <c r="AQ72" s="13">
        <f>IF(AND(AI72=AK72,AI72&lt;&gt;""),1,0)</f>
        <v/>
      </c>
      <c r="AR72" s="13">
        <f>IF(AI72&lt;AK72,1,0)</f>
        <v/>
      </c>
      <c r="AS72" s="13">
        <f>IF(AK72&lt;AI72,1,)</f>
        <v/>
      </c>
      <c r="AT72" s="13">
        <f>IF(ISERROR(VLOOKUP(AF72,CF:CF,1,FALSE)),0,1)*IF(ISERROR(VLOOKUP(AH72,CF:CF,1,FALSE)),0,1)*AN72</f>
        <v/>
      </c>
      <c r="AU72" s="13">
        <f>IF(ISERROR(VLOOKUP(AF72,CF:CF,1,FALSE)),0,1)*IF(ISERROR(VLOOKUP(AH72,CF:CF,1,FALSE)),0,1)*AO72</f>
        <v/>
      </c>
      <c r="AV72" s="13">
        <f>IF(ISERROR(VLOOKUP(AF72,CF:CF,1,FALSE)),0,1)*IF(ISERROR(VLOOKUP(AH72,CF:CF,1,FALSE)),0,1)*AP72</f>
        <v/>
      </c>
      <c r="AW72" s="13">
        <f>IF(ISERROR(VLOOKUP(AF72,CF:CF,1,FALSE)),0,1)*IF(ISERROR(VLOOKUP(AH72,CF:CF,1,FALSE)),0,1)*AQ72</f>
        <v/>
      </c>
      <c r="AX72" s="13">
        <f>IF(ISERROR(VLOOKUP(AF72,CF:CF,1,FALSE)),0,1)*IF(ISERROR(VLOOKUP(AH72,CF:CF,1,FALSE)),0,1)*AR72</f>
        <v/>
      </c>
      <c r="AY72" s="13">
        <f>IF(ISERROR(VLOOKUP(AF72,CF:CF,1,FALSE)),0,1)*IF(ISERROR(VLOOKUP(AH72,CF:CF,1,FALSE)),0,1)*AS72</f>
        <v/>
      </c>
      <c r="AZ72" s="13">
        <f>IF(ISERROR(VLOOKUP(AF72,CZ:CZ,1,FALSE)),0,1)*IF(ISERROR(VLOOKUP(AH72,CZ:CZ,1,FALSE)),0,1)*AN72</f>
        <v/>
      </c>
      <c r="BA72" s="13">
        <f>IF(ISERROR(VLOOKUP(AF72,CZ:CZ,1,FALSE)),0,1)*IF(ISERROR(VLOOKUP(AH72,CZ:CZ,1,FALSE)),0,1)*AO72</f>
        <v/>
      </c>
      <c r="BB72" s="13">
        <f>IF(ISERROR(VLOOKUP(AF72,CZ:CZ,1,FALSE)),0,1)*IF(ISERROR(VLOOKUP(AH72,CZ:CZ,1,FALSE)),0,1)*AP72</f>
        <v/>
      </c>
      <c r="BC72" s="13">
        <f>IF(ISERROR(VLOOKUP(AF72,CZ:CZ,1,FALSE)),0,1)*IF(ISERROR(VLOOKUP(AH72,CZ:CZ,1,FALSE)),0,1)*AQ72</f>
        <v/>
      </c>
      <c r="BD72" s="13">
        <f>IF(ISERROR(VLOOKUP(AF72,CZ:CZ,1,FALSE)),0,1)*IF(ISERROR(VLOOKUP(AH72,CZ:CZ,1,FALSE)),0,1)*AR72</f>
        <v/>
      </c>
      <c r="BE72" s="13">
        <f>IF(ISERROR(VLOOKUP(AF72,CZ:CZ,1,FALSE)),0,1)*IF(ISERROR(VLOOKUP(AH72,CZ:CZ,1,FALSE)),0,1)*AS72</f>
        <v/>
      </c>
      <c r="BF72" s="13">
        <f>IF(ISERROR(VLOOKUP(AF72,DT:DT,1,FALSE)),0,1)*IF(ISERROR(VLOOKUP(AH72,DT:DT,1,FALSE)),0,1)*AN72</f>
        <v/>
      </c>
      <c r="BG72" s="13">
        <f>IF(ISERROR(VLOOKUP(AF72,DT:DT,1,FALSE)),0,1)*IF(ISERROR(VLOOKUP(AH72,DT:DT,1,FALSE)),0,1)*AO72</f>
        <v/>
      </c>
      <c r="BH72" s="13">
        <f>IF(ISERROR(VLOOKUP(AF72,DT:DT,1,FALSE)),0,1)*IF(ISERROR(VLOOKUP(AH72,DT:DT,1,FALSE)),0,1)*AP72</f>
        <v/>
      </c>
      <c r="BI72" s="13">
        <f>IF(ISERROR(VLOOKUP(AF72,DT:DT,1,FALSE)),0,1)*IF(ISERROR(VLOOKUP(AH72,DT:DT,1,FALSE)),0,1)*AQ72</f>
        <v/>
      </c>
      <c r="BJ72" s="13">
        <f>IF(ISERROR(VLOOKUP(AF72,DT:DT,1,FALSE)),0,1)*IF(ISERROR(VLOOKUP(AH72,DT:DT,1,FALSE)),0,1)*AR72</f>
        <v/>
      </c>
      <c r="BK72" s="13">
        <f>IF(ISERROR(VLOOKUP(AF72,DT:DT,1,FALSE)),0,1)*IF(ISERROR(VLOOKUP(AH72,DT:DT,1,FALSE)),0,1)*AS72</f>
        <v/>
      </c>
      <c r="BL72" s="13">
        <f>IF(ISERROR(VLOOKUP(AF72,EN:EN,1,FALSE)),0,1)*IF(ISERROR(VLOOKUP(AH72,EN:EN,1,FALSE)),0,1)*AN72</f>
        <v/>
      </c>
      <c r="BM72" s="13">
        <f>IF(ISERROR(VLOOKUP(AF72,EN:EN,1,FALSE)),0,1)*IF(ISERROR(VLOOKUP(AH72,EN:EN,1,FALSE)),0,1)*AO72</f>
        <v/>
      </c>
      <c r="BN72" s="13">
        <f>IF(ISERROR(VLOOKUP(AF72,EN:EN,1,FALSE)),0,1)*IF(ISERROR(VLOOKUP(AH72,EN:EN,1,FALSE)),0,1)*AP72</f>
        <v/>
      </c>
      <c r="BO72" s="13">
        <f>IF(ISERROR(VLOOKUP(AF72,EN:EN,1,FALSE)),0,1)*IF(ISERROR(VLOOKUP(AH72,EN:EN,1,FALSE)),0,1)*AQ72</f>
        <v/>
      </c>
      <c r="BP72" s="13">
        <f>IF(ISERROR(VLOOKUP(AF72,EN:EN,1,FALSE)),0,1)*IF(ISERROR(VLOOKUP(AH72,EN:EN,1,FALSE)),0,1)*AR72</f>
        <v/>
      </c>
      <c r="BQ72" s="13">
        <f>IF(ISERROR(VLOOKUP(AF72,EN:EN,1,FALSE)),0,1)*IF(ISERROR(VLOOKUP(AH72,EN:EN,1,FALSE)),0,1)*AS72</f>
        <v/>
      </c>
      <c r="FZ72" s="79" t="n">
        <v>70</v>
      </c>
      <c r="GA72" s="3">
        <f>GB72&amp;GC72&amp;GD72&amp;GE72&amp;GF72&amp;GG72&amp;GH72&amp;GI72</f>
        <v/>
      </c>
      <c r="GB72" s="3" t="inlineStr">
        <is>
          <t>E</t>
        </is>
      </c>
      <c r="GC72" s="3" t="inlineStr">
        <is>
          <t>I</t>
        </is>
      </c>
      <c r="GD72" s="3" t="inlineStr">
        <is>
          <t>B</t>
        </is>
      </c>
      <c r="GE72" s="3" t="inlineStr">
        <is>
          <t>D</t>
        </is>
      </c>
      <c r="GF72" s="3" t="inlineStr">
        <is>
          <t>H</t>
        </is>
      </c>
      <c r="GG72" s="3" t="inlineStr">
        <is>
          <t>F</t>
        </is>
      </c>
      <c r="GH72" s="3" t="inlineStr">
        <is>
          <t>L</t>
        </is>
      </c>
      <c r="GI72" s="3" t="inlineStr">
        <is>
          <t>K</t>
        </is>
      </c>
      <c r="GJ72" s="9">
        <f>VLOOKUP(GB72,$FM$3:$FN$15,2,FALSE)</f>
        <v/>
      </c>
      <c r="GK72" s="9">
        <f>VLOOKUP(GC72,$FM$3:$FN$15,2,FALSE)</f>
        <v/>
      </c>
      <c r="GL72" s="9">
        <f>VLOOKUP(GD72,$FM$3:$FN$15,2,FALSE)</f>
        <v/>
      </c>
      <c r="GM72" s="9">
        <f>VLOOKUP(GE72,$FM$3:$FN$15,2,FALSE)</f>
        <v/>
      </c>
      <c r="GN72" s="9">
        <f>VLOOKUP(GF72,$FM$3:$FN$15,2,FALSE)</f>
        <v/>
      </c>
      <c r="GO72" s="9">
        <f>VLOOKUP(GG72,$FM$3:$FN$15,2,FALSE)</f>
        <v/>
      </c>
      <c r="GP72" s="9">
        <f>VLOOKUP(GH72,$FM$3:$FN$15,2,FALSE)</f>
        <v/>
      </c>
      <c r="GQ72" s="9">
        <f>VLOOKUP(GI72,$FM$3:$FN$15,2,FALSE)</f>
        <v/>
      </c>
      <c r="GR72" s="9">
        <f>IFERROR(IF(AND(VLOOKUP(GB72,$FX$4:$FX$15,1,FALSE)=GB72,VLOOKUP(GC72,$FX$4:$FX$15,1,FALSE)=GC72,VLOOKUP(GD72,$FX$4:$FX$15,1,FALSE)=GD72,VLOOKUP(GE72,$FX$4:$FX$15,1,FALSE)=GE72,VLOOKUP(GF72,$FX$4:$FX$15,1,FALSE)=GF72,VLOOKUP(GG72,$FX$4:$FX$15,1,FALSE)=GG72,VLOOKUP(GH72,$FX$4:$FX$15,1,FALSE)=GH72,VLOOKUP(GI72,$FX$4:$FX$15,1,FALSE)=GI72),FZ72,""),"")</f>
        <v/>
      </c>
      <c r="GX72" s="142" t="n"/>
    </row>
    <row r="73" ht="14.25" customHeight="1">
      <c r="B73" s="3" t="n"/>
      <c r="C73" s="94" t="n"/>
      <c r="D73" s="143" t="n"/>
      <c r="F73" s="143" t="n"/>
      <c r="G73" s="139" t="n"/>
      <c r="H73" s="100" t="n"/>
      <c r="I73" s="139" t="n"/>
      <c r="J73" s="79" t="n"/>
      <c r="K73" s="73" t="n"/>
      <c r="L73" s="67" t="n"/>
      <c r="X73" s="1" t="n"/>
      <c r="AE73" s="94" t="n"/>
      <c r="AF73" s="143" t="n"/>
      <c r="AG73" s="3" t="n"/>
      <c r="AH73" s="143" t="n"/>
      <c r="AI73" s="139" t="n"/>
      <c r="AJ73" s="105" t="n"/>
      <c r="AK73" s="139" t="n"/>
      <c r="AL73" s="79" t="n"/>
      <c r="AM73" s="73" t="n"/>
      <c r="FZ73" s="79" t="n">
        <v>71</v>
      </c>
      <c r="GA73" s="3">
        <f>GB73&amp;GC73&amp;GD73&amp;GE73&amp;GF73&amp;GG73&amp;GH73&amp;GI73</f>
        <v/>
      </c>
      <c r="GB73" s="3" t="inlineStr">
        <is>
          <t>E</t>
        </is>
      </c>
      <c r="GC73" s="3" t="inlineStr">
        <is>
          <t>J</t>
        </is>
      </c>
      <c r="GD73" s="3" t="inlineStr">
        <is>
          <t>B</t>
        </is>
      </c>
      <c r="GE73" s="3" t="inlineStr">
        <is>
          <t>D</t>
        </is>
      </c>
      <c r="GF73" s="3" t="inlineStr">
        <is>
          <t>H</t>
        </is>
      </c>
      <c r="GG73" s="3" t="inlineStr">
        <is>
          <t>F</t>
        </is>
      </c>
      <c r="GH73" s="3" t="inlineStr">
        <is>
          <t>L</t>
        </is>
      </c>
      <c r="GI73" s="3" t="inlineStr">
        <is>
          <t>I</t>
        </is>
      </c>
      <c r="GJ73" s="9">
        <f>VLOOKUP(GB73,$FM$3:$FN$15,2,FALSE)</f>
        <v/>
      </c>
      <c r="GK73" s="9">
        <f>VLOOKUP(GC73,$FM$3:$FN$15,2,FALSE)</f>
        <v/>
      </c>
      <c r="GL73" s="9">
        <f>VLOOKUP(GD73,$FM$3:$FN$15,2,FALSE)</f>
        <v/>
      </c>
      <c r="GM73" s="9">
        <f>VLOOKUP(GE73,$FM$3:$FN$15,2,FALSE)</f>
        <v/>
      </c>
      <c r="GN73" s="9">
        <f>VLOOKUP(GF73,$FM$3:$FN$15,2,FALSE)</f>
        <v/>
      </c>
      <c r="GO73" s="9">
        <f>VLOOKUP(GG73,$FM$3:$FN$15,2,FALSE)</f>
        <v/>
      </c>
      <c r="GP73" s="9">
        <f>VLOOKUP(GH73,$FM$3:$FN$15,2,FALSE)</f>
        <v/>
      </c>
      <c r="GQ73" s="9">
        <f>VLOOKUP(GI73,$FM$3:$FN$15,2,FALSE)</f>
        <v/>
      </c>
      <c r="GR73" s="9">
        <f>IFERROR(IF(AND(VLOOKUP(GB73,$FX$4:$FX$15,1,FALSE)=GB73,VLOOKUP(GC73,$FX$4:$FX$15,1,FALSE)=GC73,VLOOKUP(GD73,$FX$4:$FX$15,1,FALSE)=GD73,VLOOKUP(GE73,$FX$4:$FX$15,1,FALSE)=GE73,VLOOKUP(GF73,$FX$4:$FX$15,1,FALSE)=GF73,VLOOKUP(GG73,$FX$4:$FX$15,1,FALSE)=GG73,VLOOKUP(GH73,$FX$4:$FX$15,1,FALSE)=GH73,VLOOKUP(GI73,$FX$4:$FX$15,1,FALSE)=GI73),FZ73,""),"")</f>
        <v/>
      </c>
      <c r="GX73" s="142" t="n"/>
    </row>
    <row r="74" ht="14.25" customHeight="1">
      <c r="B74" s="19" t="inlineStr">
        <is>
          <t>Grupp I</t>
        </is>
      </c>
      <c r="C74" s="97" t="n"/>
      <c r="D74" s="126" t="n"/>
      <c r="E74" s="33" t="n"/>
      <c r="F74" s="126" t="n"/>
      <c r="G74" s="25" t="n"/>
      <c r="H74" s="25" t="n"/>
      <c r="I74" s="25" t="n"/>
      <c r="J74" s="23" t="n"/>
      <c r="K74" s="16" t="n"/>
      <c r="L74" s="49" t="n"/>
      <c r="O74" s="19" t="inlineStr">
        <is>
          <t>Grupp I</t>
        </is>
      </c>
      <c r="X74" s="1" t="n"/>
      <c r="AE74" s="19" t="inlineStr">
        <is>
          <t>Grupp I</t>
        </is>
      </c>
      <c r="AF74" s="126" t="n"/>
      <c r="AG74" s="33" t="n"/>
      <c r="AH74" s="126" t="n"/>
      <c r="AI74" s="33" t="n"/>
      <c r="AJ74" s="33" t="n"/>
      <c r="AK74" s="33" t="n"/>
      <c r="AL74" s="23" t="n"/>
      <c r="AM74" s="16" t="n"/>
      <c r="AN74" s="23" t="n"/>
      <c r="BT74" s="39" t="inlineStr">
        <is>
          <t>Rank 0</t>
        </is>
      </c>
      <c r="BU74" s="34" t="n"/>
      <c r="BV74" s="34" t="n"/>
      <c r="BW74" s="34" t="n"/>
      <c r="BX74" s="34" t="n"/>
      <c r="BY74" s="34" t="n"/>
      <c r="BZ74" s="34" t="n"/>
      <c r="CA74" s="34" t="n"/>
      <c r="CB74" s="39" t="n"/>
      <c r="CC74" s="34" t="n"/>
      <c r="CD74" s="34" t="n"/>
      <c r="CF74" s="40" t="inlineStr">
        <is>
          <t>Rank 1</t>
        </is>
      </c>
      <c r="CG74" s="35">
        <f>COUNTIF(CC76:CC79,1)</f>
        <v/>
      </c>
      <c r="CH74" s="35" t="n"/>
      <c r="CI74" s="35" t="n"/>
      <c r="CJ74" s="35" t="n"/>
      <c r="CK74" s="35" t="n"/>
      <c r="CL74" s="35" t="n"/>
      <c r="CM74" s="35" t="n"/>
      <c r="CN74" s="35" t="n"/>
      <c r="CO74" s="35" t="n"/>
      <c r="CP74" s="35" t="n"/>
      <c r="CZ74" s="41" t="inlineStr">
        <is>
          <t>Rank 2</t>
        </is>
      </c>
      <c r="DA74" s="36">
        <f>COUNTIF(CC76:CC79,2)</f>
        <v/>
      </c>
      <c r="DB74" s="36" t="n"/>
      <c r="DC74" s="36" t="n"/>
      <c r="DD74" s="36" t="n"/>
      <c r="DE74" s="36" t="n"/>
      <c r="DF74" s="36" t="n"/>
      <c r="DG74" s="36" t="n"/>
      <c r="DH74" s="36" t="n"/>
      <c r="DI74" s="36" t="n"/>
      <c r="DJ74" s="41" t="n"/>
      <c r="DT74" s="37" t="inlineStr">
        <is>
          <t>Rank 3</t>
        </is>
      </c>
      <c r="DU74" s="37">
        <f>COUNTIF(CC76:CC79,3)</f>
        <v/>
      </c>
      <c r="DV74" s="37" t="n"/>
      <c r="DW74" s="37" t="n"/>
      <c r="DX74" s="37" t="n"/>
      <c r="DY74" s="37" t="n"/>
      <c r="DZ74" s="37" t="n"/>
      <c r="EA74" s="37" t="n"/>
      <c r="EB74" s="37" t="n"/>
      <c r="EC74" s="37" t="n"/>
      <c r="ED74" s="37" t="n"/>
      <c r="EN74" s="38" t="inlineStr">
        <is>
          <t>Rank 4</t>
        </is>
      </c>
      <c r="EO74" s="38">
        <f>COUNTIF(CC76:CC79,4)</f>
        <v/>
      </c>
      <c r="EP74" s="38" t="n"/>
      <c r="EQ74" s="38" t="n"/>
      <c r="ER74" s="38" t="n"/>
      <c r="ES74" s="38" t="n"/>
      <c r="ET74" s="38" t="n"/>
      <c r="EU74" s="38" t="n"/>
      <c r="EV74" s="38" t="n"/>
      <c r="EW74" s="38" t="n"/>
      <c r="EX74" s="38" t="n"/>
      <c r="FZ74" s="79" t="n">
        <v>72</v>
      </c>
      <c r="GA74" s="3">
        <f>GB74&amp;GC74&amp;GD74&amp;GE74&amp;GF74&amp;GG74&amp;GH74&amp;GI74</f>
        <v/>
      </c>
      <c r="GB74" s="3" t="inlineStr">
        <is>
          <t>E</t>
        </is>
      </c>
      <c r="GC74" s="3" t="inlineStr">
        <is>
          <t>J</t>
        </is>
      </c>
      <c r="GD74" s="3" t="inlineStr">
        <is>
          <t>B</t>
        </is>
      </c>
      <c r="GE74" s="3" t="inlineStr">
        <is>
          <t>D</t>
        </is>
      </c>
      <c r="GF74" s="3" t="inlineStr">
        <is>
          <t>H</t>
        </is>
      </c>
      <c r="GG74" s="3" t="inlineStr">
        <is>
          <t>F</t>
        </is>
      </c>
      <c r="GH74" s="3" t="inlineStr">
        <is>
          <t>I</t>
        </is>
      </c>
      <c r="GI74" s="3" t="inlineStr">
        <is>
          <t>K</t>
        </is>
      </c>
      <c r="GJ74" s="9">
        <f>VLOOKUP(GB74,$FM$3:$FN$15,2,FALSE)</f>
        <v/>
      </c>
      <c r="GK74" s="9">
        <f>VLOOKUP(GC74,$FM$3:$FN$15,2,FALSE)</f>
        <v/>
      </c>
      <c r="GL74" s="9">
        <f>VLOOKUP(GD74,$FM$3:$FN$15,2,FALSE)</f>
        <v/>
      </c>
      <c r="GM74" s="9">
        <f>VLOOKUP(GE74,$FM$3:$FN$15,2,FALSE)</f>
        <v/>
      </c>
      <c r="GN74" s="9">
        <f>VLOOKUP(GF74,$FM$3:$FN$15,2,FALSE)</f>
        <v/>
      </c>
      <c r="GO74" s="9">
        <f>VLOOKUP(GG74,$FM$3:$FN$15,2,FALSE)</f>
        <v/>
      </c>
      <c r="GP74" s="9">
        <f>VLOOKUP(GH74,$FM$3:$FN$15,2,FALSE)</f>
        <v/>
      </c>
      <c r="GQ74" s="9">
        <f>VLOOKUP(GI74,$FM$3:$FN$15,2,FALSE)</f>
        <v/>
      </c>
      <c r="GR74" s="9">
        <f>IFERROR(IF(AND(VLOOKUP(GB74,$FX$4:$FX$15,1,FALSE)=GB74,VLOOKUP(GC74,$FX$4:$FX$15,1,FALSE)=GC74,VLOOKUP(GD74,$FX$4:$FX$15,1,FALSE)=GD74,VLOOKUP(GE74,$FX$4:$FX$15,1,FALSE)=GE74,VLOOKUP(GF74,$FX$4:$FX$15,1,FALSE)=GF74,VLOOKUP(GG74,$FX$4:$FX$15,1,FALSE)=GG74,VLOOKUP(GH74,$FX$4:$FX$15,1,FALSE)=GH74,VLOOKUP(GI74,$FX$4:$FX$15,1,FALSE)=GI74),FZ74,""),"")</f>
        <v/>
      </c>
      <c r="GX74" s="142" t="n"/>
    </row>
    <row r="75" ht="14.25" customHeight="1">
      <c r="B75" s="117" t="inlineStr">
        <is>
          <t>Match</t>
        </is>
      </c>
      <c r="C75" s="107" t="inlineStr">
        <is>
          <t>Datum</t>
        </is>
      </c>
      <c r="D75" s="210" t="inlineStr">
        <is>
          <t>Match</t>
        </is>
      </c>
      <c r="E75" s="211" t="n"/>
      <c r="F75" s="212" t="n"/>
      <c r="G75" s="184" t="inlineStr">
        <is>
          <t>Resultat</t>
        </is>
      </c>
      <c r="H75" s="217" t="n"/>
      <c r="I75" s="217" t="n"/>
      <c r="J75" s="47" t="inlineStr">
        <is>
          <t>1X2</t>
        </is>
      </c>
      <c r="K75" s="48" t="inlineStr">
        <is>
          <t>Poäng</t>
        </is>
      </c>
      <c r="L75" s="49" t="n"/>
      <c r="O75" s="51" t="inlineStr">
        <is>
          <t>Lag</t>
        </is>
      </c>
      <c r="P75" s="186" t="inlineStr">
        <is>
          <t>V</t>
        </is>
      </c>
      <c r="Q75" s="186" t="inlineStr">
        <is>
          <t>O</t>
        </is>
      </c>
      <c r="R75" s="186" t="inlineStr">
        <is>
          <t>F</t>
        </is>
      </c>
      <c r="S75" s="186" t="inlineStr">
        <is>
          <t>GM</t>
        </is>
      </c>
      <c r="T75" s="186" t="inlineStr">
        <is>
          <t>IM</t>
        </is>
      </c>
      <c r="U75" s="186" t="inlineStr">
        <is>
          <t>+/-</t>
        </is>
      </c>
      <c r="V75" s="187" t="inlineStr">
        <is>
          <t>P</t>
        </is>
      </c>
      <c r="X75" s="1" t="n"/>
      <c r="AE75" s="107" t="inlineStr">
        <is>
          <t>Datum</t>
        </is>
      </c>
      <c r="AF75" s="210" t="inlineStr">
        <is>
          <t>Match</t>
        </is>
      </c>
      <c r="AG75" s="211" t="n"/>
      <c r="AH75" s="212" t="n"/>
      <c r="AI75" s="182" t="inlineStr">
        <is>
          <t>Resultat</t>
        </is>
      </c>
      <c r="AJ75" s="211" t="n"/>
      <c r="AK75" s="211" t="n"/>
      <c r="AL75" s="47" t="inlineStr">
        <is>
          <t>Tecken</t>
        </is>
      </c>
      <c r="AM75" s="16" t="n"/>
      <c r="AN75" s="34" t="inlineStr">
        <is>
          <t>V1</t>
        </is>
      </c>
      <c r="AO75" s="34" t="inlineStr">
        <is>
          <t>V2</t>
        </is>
      </c>
      <c r="AP75" s="34" t="inlineStr">
        <is>
          <t>O1</t>
        </is>
      </c>
      <c r="AQ75" s="34" t="inlineStr">
        <is>
          <t>O2</t>
        </is>
      </c>
      <c r="AR75" s="34" t="inlineStr">
        <is>
          <t>F1</t>
        </is>
      </c>
      <c r="AS75" s="34" t="inlineStr">
        <is>
          <t>F2</t>
        </is>
      </c>
      <c r="AT75" s="35" t="inlineStr">
        <is>
          <t>V1</t>
        </is>
      </c>
      <c r="AU75" s="35" t="inlineStr">
        <is>
          <t>V2</t>
        </is>
      </c>
      <c r="AV75" s="35" t="inlineStr">
        <is>
          <t>O1</t>
        </is>
      </c>
      <c r="AW75" s="35" t="inlineStr">
        <is>
          <t>O2</t>
        </is>
      </c>
      <c r="AX75" s="35" t="inlineStr">
        <is>
          <t>F1</t>
        </is>
      </c>
      <c r="AY75" s="35" t="inlineStr">
        <is>
          <t>F2</t>
        </is>
      </c>
      <c r="AZ75" s="36" t="inlineStr">
        <is>
          <t>V1</t>
        </is>
      </c>
      <c r="BA75" s="36" t="inlineStr">
        <is>
          <t>V2</t>
        </is>
      </c>
      <c r="BB75" s="36" t="inlineStr">
        <is>
          <t>O1</t>
        </is>
      </c>
      <c r="BC75" s="36" t="inlineStr">
        <is>
          <t>O2</t>
        </is>
      </c>
      <c r="BD75" s="36" t="inlineStr">
        <is>
          <t>F1</t>
        </is>
      </c>
      <c r="BE75" s="36" t="inlineStr">
        <is>
          <t>F2</t>
        </is>
      </c>
      <c r="BF75" s="37" t="inlineStr">
        <is>
          <t>V1</t>
        </is>
      </c>
      <c r="BG75" s="37" t="inlineStr">
        <is>
          <t>V2</t>
        </is>
      </c>
      <c r="BH75" s="37" t="inlineStr">
        <is>
          <t>O1</t>
        </is>
      </c>
      <c r="BI75" s="37" t="inlineStr">
        <is>
          <t>O2</t>
        </is>
      </c>
      <c r="BJ75" s="37" t="inlineStr">
        <is>
          <t>F1</t>
        </is>
      </c>
      <c r="BK75" s="37" t="inlineStr">
        <is>
          <t>F2</t>
        </is>
      </c>
      <c r="BL75" s="38" t="inlineStr">
        <is>
          <t>V1</t>
        </is>
      </c>
      <c r="BM75" s="38" t="inlineStr">
        <is>
          <t>V2</t>
        </is>
      </c>
      <c r="BN75" s="38" t="inlineStr">
        <is>
          <t>O1</t>
        </is>
      </c>
      <c r="BO75" s="38" t="inlineStr">
        <is>
          <t>O2</t>
        </is>
      </c>
      <c r="BP75" s="38" t="inlineStr">
        <is>
          <t>F1</t>
        </is>
      </c>
      <c r="BQ75" s="38" t="inlineStr">
        <is>
          <t>F2</t>
        </is>
      </c>
      <c r="BT75" s="39" t="inlineStr">
        <is>
          <t>Lag</t>
        </is>
      </c>
      <c r="BU75" s="34" t="inlineStr">
        <is>
          <t>V</t>
        </is>
      </c>
      <c r="BV75" s="34" t="inlineStr">
        <is>
          <t>O</t>
        </is>
      </c>
      <c r="BW75" s="34" t="inlineStr">
        <is>
          <t>F</t>
        </is>
      </c>
      <c r="BX75" s="34" t="inlineStr">
        <is>
          <t>GM</t>
        </is>
      </c>
      <c r="BY75" s="34" t="inlineStr">
        <is>
          <t>IM</t>
        </is>
      </c>
      <c r="BZ75" s="34" t="inlineStr">
        <is>
          <t>+/-</t>
        </is>
      </c>
      <c r="CA75" s="34" t="inlineStr">
        <is>
          <t>P</t>
        </is>
      </c>
      <c r="CB75" s="39" t="inlineStr">
        <is>
          <t>Grupp</t>
        </is>
      </c>
      <c r="CC75" s="34" t="inlineStr">
        <is>
          <t>Rank P</t>
        </is>
      </c>
      <c r="CD75" s="34" t="inlineStr">
        <is>
          <t>Rank +/-</t>
        </is>
      </c>
      <c r="CF75" s="40" t="inlineStr">
        <is>
          <t>Lag</t>
        </is>
      </c>
      <c r="CG75" s="35" t="inlineStr">
        <is>
          <t>V</t>
        </is>
      </c>
      <c r="CH75" s="35" t="inlineStr">
        <is>
          <t>O</t>
        </is>
      </c>
      <c r="CI75" s="35" t="inlineStr">
        <is>
          <t>F</t>
        </is>
      </c>
      <c r="CJ75" s="35" t="inlineStr">
        <is>
          <t>P</t>
        </is>
      </c>
      <c r="CK75" s="35" t="inlineStr">
        <is>
          <t>Grupp</t>
        </is>
      </c>
      <c r="CL75" s="35" t="inlineStr">
        <is>
          <t>Rank P</t>
        </is>
      </c>
      <c r="CM75" s="56" t="inlineStr">
        <is>
          <t>+/-</t>
        </is>
      </c>
      <c r="CN75" s="56" t="inlineStr">
        <is>
          <t>+/- rank</t>
        </is>
      </c>
      <c r="CO75" s="56" t="inlineStr">
        <is>
          <t>GM</t>
        </is>
      </c>
      <c r="CP75" s="56" t="inlineStr">
        <is>
          <t>GM rank</t>
        </is>
      </c>
      <c r="CQ75" s="35" t="inlineStr">
        <is>
          <t>Rank internal</t>
        </is>
      </c>
      <c r="CR75" s="56" t="inlineStr">
        <is>
          <t>+/- all</t>
        </is>
      </c>
      <c r="CS75" s="56" t="inlineStr">
        <is>
          <t>+/- rank all</t>
        </is>
      </c>
      <c r="CT75" s="56" t="inlineStr">
        <is>
          <t>GM all</t>
        </is>
      </c>
      <c r="CU75" s="56" t="inlineStr">
        <is>
          <t>GM rank all</t>
        </is>
      </c>
      <c r="CV75" s="56" t="inlineStr">
        <is>
          <t>V all</t>
        </is>
      </c>
      <c r="CW75" s="56" t="inlineStr">
        <is>
          <t>V rank all</t>
        </is>
      </c>
      <c r="CX75" s="35" t="inlineStr">
        <is>
          <t>Rank all</t>
        </is>
      </c>
      <c r="CZ75" s="41" t="inlineStr">
        <is>
          <t>Lag</t>
        </is>
      </c>
      <c r="DA75" s="36" t="inlineStr">
        <is>
          <t>V</t>
        </is>
      </c>
      <c r="DB75" s="36" t="inlineStr">
        <is>
          <t>O</t>
        </is>
      </c>
      <c r="DC75" s="36" t="inlineStr">
        <is>
          <t>F</t>
        </is>
      </c>
      <c r="DD75" s="36" t="inlineStr">
        <is>
          <t>P</t>
        </is>
      </c>
      <c r="DE75" s="36" t="inlineStr">
        <is>
          <t>Grupp</t>
        </is>
      </c>
      <c r="DF75" s="36" t="inlineStr">
        <is>
          <t>Rank P</t>
        </is>
      </c>
      <c r="DG75" s="36" t="inlineStr">
        <is>
          <t>+/-</t>
        </is>
      </c>
      <c r="DH75" s="36" t="inlineStr">
        <is>
          <t>+/- rank</t>
        </is>
      </c>
      <c r="DI75" s="36" t="inlineStr">
        <is>
          <t>GM</t>
        </is>
      </c>
      <c r="DJ75" s="41" t="inlineStr">
        <is>
          <t>GM rank</t>
        </is>
      </c>
      <c r="DK75" s="41" t="inlineStr">
        <is>
          <t>Rank internal</t>
        </is>
      </c>
      <c r="DL75" s="41" t="inlineStr">
        <is>
          <t>+/- all</t>
        </is>
      </c>
      <c r="DM75" s="41" t="inlineStr">
        <is>
          <t>+/- rank all</t>
        </is>
      </c>
      <c r="DN75" s="41" t="inlineStr">
        <is>
          <t>GM all</t>
        </is>
      </c>
      <c r="DO75" s="41" t="inlineStr">
        <is>
          <t>GM rank all</t>
        </is>
      </c>
      <c r="DP75" s="41" t="inlineStr">
        <is>
          <t>V all</t>
        </is>
      </c>
      <c r="DQ75" s="41" t="inlineStr">
        <is>
          <t>V rank all</t>
        </is>
      </c>
      <c r="DR75" s="41" t="inlineStr">
        <is>
          <t>Rank all</t>
        </is>
      </c>
      <c r="DT75" s="37" t="inlineStr">
        <is>
          <t>Lag</t>
        </is>
      </c>
      <c r="DU75" s="37" t="inlineStr">
        <is>
          <t>V</t>
        </is>
      </c>
      <c r="DV75" s="37" t="inlineStr">
        <is>
          <t>O</t>
        </is>
      </c>
      <c r="DW75" s="37" t="inlineStr">
        <is>
          <t>F</t>
        </is>
      </c>
      <c r="DX75" s="37" t="inlineStr">
        <is>
          <t>P</t>
        </is>
      </c>
      <c r="DY75" s="37" t="inlineStr">
        <is>
          <t>Grupp</t>
        </is>
      </c>
      <c r="DZ75" s="37" t="inlineStr">
        <is>
          <t>Rank P</t>
        </is>
      </c>
      <c r="EA75" s="37" t="inlineStr">
        <is>
          <t>+/-</t>
        </is>
      </c>
      <c r="EB75" s="37" t="inlineStr">
        <is>
          <t>+/- rank</t>
        </is>
      </c>
      <c r="EC75" s="37" t="inlineStr">
        <is>
          <t>GM</t>
        </is>
      </c>
      <c r="ED75" s="37" t="inlineStr">
        <is>
          <t>GM rank</t>
        </is>
      </c>
      <c r="EE75" s="37" t="inlineStr">
        <is>
          <t>Rank internal</t>
        </is>
      </c>
      <c r="EF75" s="37" t="inlineStr">
        <is>
          <t>+/- all</t>
        </is>
      </c>
      <c r="EG75" s="37" t="inlineStr">
        <is>
          <t>+/- rank all</t>
        </is>
      </c>
      <c r="EH75" s="37" t="inlineStr">
        <is>
          <t>GM all</t>
        </is>
      </c>
      <c r="EI75" s="37" t="inlineStr">
        <is>
          <t>GM rank all</t>
        </is>
      </c>
      <c r="EJ75" s="37" t="inlineStr">
        <is>
          <t>V all</t>
        </is>
      </c>
      <c r="EK75" s="37" t="inlineStr">
        <is>
          <t>V rank all</t>
        </is>
      </c>
      <c r="EL75" s="37" t="inlineStr">
        <is>
          <t>Rank all</t>
        </is>
      </c>
      <c r="EN75" s="38" t="inlineStr">
        <is>
          <t>Lag</t>
        </is>
      </c>
      <c r="EO75" s="38" t="inlineStr">
        <is>
          <t>V</t>
        </is>
      </c>
      <c r="EP75" s="38" t="inlineStr">
        <is>
          <t>O</t>
        </is>
      </c>
      <c r="EQ75" s="38" t="inlineStr">
        <is>
          <t>F</t>
        </is>
      </c>
      <c r="ER75" s="38" t="inlineStr">
        <is>
          <t>P</t>
        </is>
      </c>
      <c r="ES75" s="38" t="inlineStr">
        <is>
          <t>Grupp</t>
        </is>
      </c>
      <c r="ET75" s="38" t="inlineStr">
        <is>
          <t>Rank P</t>
        </is>
      </c>
      <c r="EU75" s="38" t="inlineStr">
        <is>
          <t>+/-</t>
        </is>
      </c>
      <c r="EV75" s="38" t="inlineStr">
        <is>
          <t>+/- rank</t>
        </is>
      </c>
      <c r="EW75" s="38" t="inlineStr">
        <is>
          <t>GM</t>
        </is>
      </c>
      <c r="EX75" s="38" t="inlineStr">
        <is>
          <t>GM rank</t>
        </is>
      </c>
      <c r="EY75" s="38" t="inlineStr">
        <is>
          <t>Rank internal</t>
        </is>
      </c>
      <c r="EZ75" s="38" t="inlineStr">
        <is>
          <t>+/- all</t>
        </is>
      </c>
      <c r="FA75" s="38" t="inlineStr">
        <is>
          <t>+/- rank all</t>
        </is>
      </c>
      <c r="FB75" s="38" t="inlineStr">
        <is>
          <t>GM all</t>
        </is>
      </c>
      <c r="FC75" s="38" t="inlineStr">
        <is>
          <t>GM rank all</t>
        </is>
      </c>
      <c r="FD75" s="38" t="inlineStr">
        <is>
          <t>V all</t>
        </is>
      </c>
      <c r="FE75" s="38" t="inlineStr">
        <is>
          <t>V rank all</t>
        </is>
      </c>
      <c r="FF75" s="38" t="inlineStr">
        <is>
          <t>Rank all</t>
        </is>
      </c>
      <c r="FH75" s="38" t="inlineStr">
        <is>
          <t>Rank</t>
        </is>
      </c>
      <c r="FI75" s="38" t="inlineStr">
        <is>
          <t>Rank Ties</t>
        </is>
      </c>
      <c r="FZ75" s="79" t="n">
        <v>73</v>
      </c>
      <c r="GA75" s="3">
        <f>GB75&amp;GC75&amp;GD75&amp;GE75&amp;GF75&amp;GG75&amp;GH75&amp;GI75</f>
        <v/>
      </c>
      <c r="GB75" s="3" t="inlineStr">
        <is>
          <t>E</t>
        </is>
      </c>
      <c r="GC75" s="3" t="inlineStr">
        <is>
          <t>G</t>
        </is>
      </c>
      <c r="GD75" s="3" t="inlineStr">
        <is>
          <t>B</t>
        </is>
      </c>
      <c r="GE75" s="3" t="inlineStr">
        <is>
          <t>D</t>
        </is>
      </c>
      <c r="GF75" s="3" t="inlineStr">
        <is>
          <t>J</t>
        </is>
      </c>
      <c r="GG75" s="3" t="inlineStr">
        <is>
          <t>F</t>
        </is>
      </c>
      <c r="GH75" s="3" t="inlineStr">
        <is>
          <t>L</t>
        </is>
      </c>
      <c r="GI75" s="3" t="inlineStr">
        <is>
          <t>K</t>
        </is>
      </c>
      <c r="GJ75" s="9">
        <f>VLOOKUP(GB75,$FM$3:$FN$15,2,FALSE)</f>
        <v/>
      </c>
      <c r="GK75" s="9">
        <f>VLOOKUP(GC75,$FM$3:$FN$15,2,FALSE)</f>
        <v/>
      </c>
      <c r="GL75" s="9">
        <f>VLOOKUP(GD75,$FM$3:$FN$15,2,FALSE)</f>
        <v/>
      </c>
      <c r="GM75" s="9">
        <f>VLOOKUP(GE75,$FM$3:$FN$15,2,FALSE)</f>
        <v/>
      </c>
      <c r="GN75" s="9">
        <f>VLOOKUP(GF75,$FM$3:$FN$15,2,FALSE)</f>
        <v/>
      </c>
      <c r="GO75" s="9">
        <f>VLOOKUP(GG75,$FM$3:$FN$15,2,FALSE)</f>
        <v/>
      </c>
      <c r="GP75" s="9">
        <f>VLOOKUP(GH75,$FM$3:$FN$15,2,FALSE)</f>
        <v/>
      </c>
      <c r="GQ75" s="9">
        <f>VLOOKUP(GI75,$FM$3:$FN$15,2,FALSE)</f>
        <v/>
      </c>
      <c r="GR75" s="9">
        <f>IFERROR(IF(AND(VLOOKUP(GB75,$FX$4:$FX$15,1,FALSE)=GB75,VLOOKUP(GC75,$FX$4:$FX$15,1,FALSE)=GC75,VLOOKUP(GD75,$FX$4:$FX$15,1,FALSE)=GD75,VLOOKUP(GE75,$FX$4:$FX$15,1,FALSE)=GE75,VLOOKUP(GF75,$FX$4:$FX$15,1,FALSE)=GF75,VLOOKUP(GG75,$FX$4:$FX$15,1,FALSE)=GG75,VLOOKUP(GH75,$FX$4:$FX$15,1,FALSE)=GH75,VLOOKUP(GI75,$FX$4:$FX$15,1,FALSE)=GI75),FZ75,""),"")</f>
        <v/>
      </c>
      <c r="GX75" s="142" t="n"/>
    </row>
    <row r="76" ht="14.25" customHeight="1">
      <c r="B76" s="58" t="n">
        <v>17</v>
      </c>
      <c r="C76" s="59" t="n">
        <v>46189</v>
      </c>
      <c r="D76" s="60" t="inlineStr">
        <is>
          <t>Frankrike</t>
        </is>
      </c>
      <c r="E76" s="61" t="inlineStr">
        <is>
          <t>-</t>
        </is>
      </c>
      <c r="F76" s="62" t="inlineStr">
        <is>
          <t>Senegal</t>
        </is>
      </c>
      <c r="G76" s="63" t="n">
        <v>2</v>
      </c>
      <c r="H76" s="64" t="inlineStr">
        <is>
          <t>-</t>
        </is>
      </c>
      <c r="I76" s="63" t="n">
        <v>1</v>
      </c>
      <c r="J76" s="65">
        <f>IF(OR(ISBLANK(G76),ISBLANK(I76)),"",IF(G76&gt;I76,1,IF(G76&lt;I76,2,"X")))</f>
        <v/>
      </c>
      <c r="K76" s="66">
        <f>IF(OR(G76="",I76="",'[1]Resultat &amp; tabell'!G76="",'[1]Resultat &amp; tabell'!I76=""),0,IF(G76='[1]Resultat &amp; tabell'!G76,2,0)+IF(I76='[1]Resultat &amp; tabell'!I76,2,0)+IF(J76='[1]Resultat &amp; tabell'!J76,2,0))</f>
        <v/>
      </c>
      <c r="L76" s="67" t="n"/>
      <c r="M76" s="29">
        <f>IF(VLOOKUP(D76,$BT$75:$CC$79,10,FALSE)=VLOOKUP(F76,$BT$75:$CC$79,10,FALSE),VLOOKUP(D76,$BT$75:$CC$79,10,FALSE),"-")</f>
        <v/>
      </c>
      <c r="N76" s="30" t="n">
        <v>1</v>
      </c>
      <c r="O76" s="68">
        <f>VLOOKUP(N76,FI76:FJ79,2,FALSE)</f>
        <v/>
      </c>
      <c r="P76" s="69">
        <f>VLOOKUP($O76,$BT$76:$CA$79,2,FALSE)</f>
        <v/>
      </c>
      <c r="Q76" s="69">
        <f>VLOOKUP($O76,$BT$76:$CA$79,3,FALSE)</f>
        <v/>
      </c>
      <c r="R76" s="69">
        <f>VLOOKUP($O76,$BT$76:$CA$79,4,FALSE)</f>
        <v/>
      </c>
      <c r="S76" s="69">
        <f>VLOOKUP($O76,$BT$76:$CA$79,5,FALSE)</f>
        <v/>
      </c>
      <c r="T76" s="69">
        <f>VLOOKUP($O76,$BT$76:$CA$79,6,FALSE)</f>
        <v/>
      </c>
      <c r="U76" s="69">
        <f>VLOOKUP($O76,$BT$76:$CA$79,7,FALSE)</f>
        <v/>
      </c>
      <c r="V76" s="70">
        <f>VLOOKUP($O76,$BT$76:$CA$79,8,FALSE)</f>
        <v/>
      </c>
      <c r="X76" s="1" t="n"/>
      <c r="AE76" s="72">
        <f>C76</f>
        <v/>
      </c>
      <c r="AF76" s="72">
        <f>D76</f>
        <v/>
      </c>
      <c r="AG76" s="72">
        <f>E76</f>
        <v/>
      </c>
      <c r="AH76" s="72">
        <f>F76</f>
        <v/>
      </c>
      <c r="AI76" s="63">
        <f>IF(G76="","",G76)</f>
        <v/>
      </c>
      <c r="AJ76" s="58">
        <f>H76</f>
        <v/>
      </c>
      <c r="AK76" s="63">
        <f>IF(I76="","",I76)</f>
        <v/>
      </c>
      <c r="AL76" s="65">
        <f>J76</f>
        <v/>
      </c>
      <c r="AM76" s="73" t="n"/>
      <c r="AN76" s="13">
        <f>IF(AI76&gt;AK76,1,0)</f>
        <v/>
      </c>
      <c r="AO76" s="13">
        <f>IF(AK76&gt;AI76,1,0)</f>
        <v/>
      </c>
      <c r="AP76" s="13">
        <f>IF(AND(AI76=AK76,AI76&lt;&gt;""),1,0)</f>
        <v/>
      </c>
      <c r="AQ76" s="13">
        <f>IF(AND(AI76=AK76,AI76&lt;&gt;""),1,0)</f>
        <v/>
      </c>
      <c r="AR76" s="13">
        <f>IF(AI76&lt;AK76,1,0)</f>
        <v/>
      </c>
      <c r="AS76" s="13">
        <f>IF(AK76&lt;AI76,1,)</f>
        <v/>
      </c>
      <c r="AT76" s="13">
        <f>IF(ISERROR(VLOOKUP(AF76,CF:CF,1,FALSE)),0,1)*IF(ISERROR(VLOOKUP(AH76,CF:CF,1,FALSE)),0,1)*AN76</f>
        <v/>
      </c>
      <c r="AU76" s="13">
        <f>IF(ISERROR(VLOOKUP(AF76,CF:CF,1,FALSE)),0,1)*IF(ISERROR(VLOOKUP(AH76,CF:CF,1,FALSE)),0,1)*AO76</f>
        <v/>
      </c>
      <c r="AV76" s="13">
        <f>IF(ISERROR(VLOOKUP(AF76,CF:CF,1,FALSE)),0,1)*IF(ISERROR(VLOOKUP(AH76,CF:CF,1,FALSE)),0,1)*AP76</f>
        <v/>
      </c>
      <c r="AW76" s="13">
        <f>IF(ISERROR(VLOOKUP(AF76,CF:CF,1,FALSE)),0,1)*IF(ISERROR(VLOOKUP(AH76,CF:CF,1,FALSE)),0,1)*AQ76</f>
        <v/>
      </c>
      <c r="AX76" s="13">
        <f>IF(ISERROR(VLOOKUP(AF76,CF:CF,1,FALSE)),0,1)*IF(ISERROR(VLOOKUP(AH76,CF:CF,1,FALSE)),0,1)*AR76</f>
        <v/>
      </c>
      <c r="AY76" s="13">
        <f>IF(ISERROR(VLOOKUP(AF76,CF:CF,1,FALSE)),0,1)*IF(ISERROR(VLOOKUP(AH76,CF:CF,1,FALSE)),0,1)*AS76</f>
        <v/>
      </c>
      <c r="AZ76" s="13">
        <f>IF(ISERROR(VLOOKUP(AF76,CZ:CZ,1,FALSE)),0,1)*IF(ISERROR(VLOOKUP(AH76,CZ:CZ,1,FALSE)),0,1)*AN76</f>
        <v/>
      </c>
      <c r="BA76" s="13">
        <f>IF(ISERROR(VLOOKUP(AF76,CZ:CZ,1,FALSE)),0,1)*IF(ISERROR(VLOOKUP(AH76,CZ:CZ,1,FALSE)),0,1)*AO76</f>
        <v/>
      </c>
      <c r="BB76" s="13">
        <f>IF(ISERROR(VLOOKUP(AF76,CZ:CZ,1,FALSE)),0,1)*IF(ISERROR(VLOOKUP(AH76,CZ:CZ,1,FALSE)),0,1)*AP76</f>
        <v/>
      </c>
      <c r="BC76" s="13">
        <f>IF(ISERROR(VLOOKUP(AF76,CZ:CZ,1,FALSE)),0,1)*IF(ISERROR(VLOOKUP(AH76,CZ:CZ,1,FALSE)),0,1)*AQ76</f>
        <v/>
      </c>
      <c r="BD76" s="13">
        <f>IF(ISERROR(VLOOKUP(AF76,CZ:CZ,1,FALSE)),0,1)*IF(ISERROR(VLOOKUP(AH76,CZ:CZ,1,FALSE)),0,1)*AR76</f>
        <v/>
      </c>
      <c r="BE76" s="13">
        <f>IF(ISERROR(VLOOKUP(AF76,CZ:CZ,1,FALSE)),0,1)*IF(ISERROR(VLOOKUP(AH76,CZ:CZ,1,FALSE)),0,1)*AS76</f>
        <v/>
      </c>
      <c r="BF76" s="13">
        <f>IF(ISERROR(VLOOKUP(AF76,DT:DT,1,FALSE)),0,1)*IF(ISERROR(VLOOKUP(AH76,DT:DT,1,FALSE)),0,1)*AN76</f>
        <v/>
      </c>
      <c r="BG76" s="13">
        <f>IF(ISERROR(VLOOKUP(AF76,DT:DT,1,FALSE)),0,1)*IF(ISERROR(VLOOKUP(AH76,DT:DT,1,FALSE)),0,1)*AO76</f>
        <v/>
      </c>
      <c r="BH76" s="13">
        <f>IF(ISERROR(VLOOKUP(AF76,DT:DT,1,FALSE)),0,1)*IF(ISERROR(VLOOKUP(AH76,DT:DT,1,FALSE)),0,1)*AP76</f>
        <v/>
      </c>
      <c r="BI76" s="13">
        <f>IF(ISERROR(VLOOKUP(AF76,DT:DT,1,FALSE)),0,1)*IF(ISERROR(VLOOKUP(AH76,DT:DT,1,FALSE)),0,1)*AQ76</f>
        <v/>
      </c>
      <c r="BJ76" s="13">
        <f>IF(ISERROR(VLOOKUP(AF76,DT:DT,1,FALSE)),0,1)*IF(ISERROR(VLOOKUP(AH76,DT:DT,1,FALSE)),0,1)*AR76</f>
        <v/>
      </c>
      <c r="BK76" s="13">
        <f>IF(ISERROR(VLOOKUP(AF76,DT:DT,1,FALSE)),0,1)*IF(ISERROR(VLOOKUP(AH76,DT:DT,1,FALSE)),0,1)*AS76</f>
        <v/>
      </c>
      <c r="BL76" s="13">
        <f>IF(ISERROR(VLOOKUP(AF76,EN:EN,1,FALSE)),0,1)*IF(ISERROR(VLOOKUP(AH76,EN:EN,1,FALSE)),0,1)*AN76</f>
        <v/>
      </c>
      <c r="BM76" s="13">
        <f>IF(ISERROR(VLOOKUP(AF76,EN:EN,1,FALSE)),0,1)*IF(ISERROR(VLOOKUP(AH76,EN:EN,1,FALSE)),0,1)*AO76</f>
        <v/>
      </c>
      <c r="BN76" s="13">
        <f>IF(ISERROR(VLOOKUP(AF76,EN:EN,1,FALSE)),0,1)*IF(ISERROR(VLOOKUP(AH76,EN:EN,1,FALSE)),0,1)*AP76</f>
        <v/>
      </c>
      <c r="BO76" s="13">
        <f>IF(ISERROR(VLOOKUP(AF76,EN:EN,1,FALSE)),0,1)*IF(ISERROR(VLOOKUP(AH76,EN:EN,1,FALSE)),0,1)*AQ76</f>
        <v/>
      </c>
      <c r="BP76" s="13">
        <f>IF(ISERROR(VLOOKUP(AF76,EN:EN,1,FALSE)),0,1)*IF(ISERROR(VLOOKUP(AH76,EN:EN,1,FALSE)),0,1)*AR76</f>
        <v/>
      </c>
      <c r="BQ76" s="13">
        <f>IF(ISERROR(VLOOKUP(AF76,EN:EN,1,FALSE)),0,1)*IF(ISERROR(VLOOKUP(AH76,EN:EN,1,FALSE)),0,1)*AS76</f>
        <v/>
      </c>
      <c r="BT76" s="12" t="inlineStr">
        <is>
          <t>Frankrike</t>
        </is>
      </c>
      <c r="BU76" s="13">
        <f>(SUMIF(AF$4:AF$108,BT76,AN$4:AN$108)+SUMIF(AH$4:AH$108,BT76,AO$4:AO$108))</f>
        <v/>
      </c>
      <c r="BV76" s="13">
        <f>(SUMIF(AF$4:AF$108,BT76,AP$4:AP$108)+SUMIF(AH$4:AH$108,BT76,AQ$4:AQ$108))</f>
        <v/>
      </c>
      <c r="BW76" s="13">
        <f>(SUMIF(AF$4:AF$108,BT76,AR$4:AR$108)+SUMIF(AH$4:AH$108,BT76,AS$4:AS$108))</f>
        <v/>
      </c>
      <c r="BX76" s="13">
        <f>SUMIF($AF$4:$AF$108,BT76,$AI$4:$AI$108)+SUMIF($AH$4:$AH$108,BT76,$AK$4:$AK$108)</f>
        <v/>
      </c>
      <c r="BY76" s="13">
        <f>SUMIF($AF$4:$AF$108,BT76,$AK$4:$AK$108)+SUMIF($AH$4:$AH$108,BT76,$AI$4:$AI$108)</f>
        <v/>
      </c>
      <c r="BZ76" s="13">
        <f>BX76-BY76</f>
        <v/>
      </c>
      <c r="CA76" s="13">
        <f>IFERROR(BU76*3+BV76*1,0)</f>
        <v/>
      </c>
      <c r="CB76" s="13" t="inlineStr">
        <is>
          <t>I</t>
        </is>
      </c>
      <c r="CC76" s="74">
        <f>RANK(CA76,CA76:CA79)</f>
        <v/>
      </c>
      <c r="CD76" s="13">
        <f>SUMPRODUCT((CA76:CA79=CA76)*(BZ76:BZ79&gt;BZ76))</f>
        <v/>
      </c>
      <c r="CF76" s="12">
        <f>IF(CC76=1,BT76,)</f>
        <v/>
      </c>
      <c r="CG76" s="13">
        <f>(SUMIF($AF$4:$AF$108,$BT76,$AT$4:$AT$108)+SUMIF($AH$4:$AH$108,$BT76,$AU$4:$AU$108))</f>
        <v/>
      </c>
      <c r="CH76" s="13">
        <f>(SUMIF($AF$4:$AF$108,$BT76,$AV$4:$AV$108)+SUMIF($AH$4:$AH$108,$BT76,$AW$4:$AW$108))</f>
        <v/>
      </c>
      <c r="CI76" s="13">
        <f>(SUMIF($AF$4:$AF$108,$BT76,$AX$4:$AX$108)+SUMIF($AH$4:$AH$108,$BT76,$AY$4:$AY$108))</f>
        <v/>
      </c>
      <c r="CJ76" s="13">
        <f>IFERROR(CG76*3+CH76*1,0)</f>
        <v/>
      </c>
      <c r="CK76" s="13">
        <f>CB76</f>
        <v/>
      </c>
      <c r="CL76" s="13">
        <f>IF(CF76&gt;0,RANK(CJ76,CJ76:CJ79),)</f>
        <v/>
      </c>
      <c r="CM76" s="13">
        <f>IF(AND(CF76&gt;0,COUNTIF(CL76:CL79,CL76)&gt;1),SUMIFS($AI$4:$AI$108,$AF$4:$AF$108,$BT76,$M$4:$M$108,1)+SUMIFS($AK$4:$AK$108,$AH$4:$AH$108,$BT76,$M$4:$M$108,1)-SUMIFS($AK$4:$AK$108,$AF$4:$AF$108,$BT76,$M$4:$M$108,1)-SUMIFS($AI$4:$AI$108,$AH$4:$AH$108,$BT76,$M$4:$M$108,1),)</f>
        <v/>
      </c>
      <c r="CN76" s="13">
        <f>IF(AND(CF76&gt;0,COUNTIF(CL76:CL79,CL76)&gt;1),CL76+RANK(CM76,CM76:CM79)-1,CL76)</f>
        <v/>
      </c>
      <c r="CO76" s="13">
        <f>IF(AND(CF76&gt;0,COUNTIF(CN76:CN79,CN76)&gt;1),SUMIFS($AI$4:$AI$108,$AF$4:$AF$108,$BT76,$M$4:$M$108,1)+SUMIFS($AK$4:$AK$108,$AH$4:$AH$108,$BT76,$M$4:$M$108,1),)</f>
        <v/>
      </c>
      <c r="CP76" s="13">
        <f>IF(AND(CF76&gt;0,COUNTIF(CN76:CN79,CN76)&gt;1),CN76+RANK(CO76,CO76:CO79)-1,CN76)</f>
        <v/>
      </c>
      <c r="CQ76" s="13">
        <f>IF(CP76=0,"",CP76)</f>
        <v/>
      </c>
      <c r="CR76" s="13">
        <f>IF(OR(CQ76="",COUNTIF(CQ76:CQ79,CQ76)=1),"",$BZ76)</f>
        <v/>
      </c>
      <c r="CS76" s="13">
        <f>IF(CQ76="","",IF(COUNTIF(CQ76:CQ79,CQ76)=1,CQ76,CQ76+RANK(CR76,CR76:CR79,0)-1))</f>
        <v/>
      </c>
      <c r="CT76" s="13">
        <f>IF(OR(CS76="",COUNTIF(CS76:CS79,CS76)=1),"",$BX76)</f>
        <v/>
      </c>
      <c r="CU76" s="13">
        <f>IF(CQ76="","",IF(COUNTIF(CS76:CS79,CS76)=1,CS76,CS76+RANK(CT76,CT76:CT79,0)-1))</f>
        <v/>
      </c>
      <c r="CV76" s="13">
        <f>IF(OR(CU76="",COUNTIF(CU76:CU79,CU76)=1),"",$BU76)</f>
        <v/>
      </c>
      <c r="CW76" s="13">
        <f>IF(CQ76="","",IF(COUNTIF(CU76:CU79,CU76)=1,CU76,CU76+RANK(CV76,CV76:CV79,0)-1))</f>
        <v/>
      </c>
      <c r="CX76" s="13">
        <f>IF(CF76&gt;0,BM74+RANK(CW76,CW76:CW79,1),)</f>
        <v/>
      </c>
      <c r="CZ76" s="12">
        <f>IF(CC76=2,BT76,)</f>
        <v/>
      </c>
      <c r="DA76" s="13">
        <f>(SUMIF($AF$4:$AF$108,$BT76,$AZ$4:$AZ$108)+SUMIF($AH$4:$AH$108,$BT76,$BA$4:$BA$108))</f>
        <v/>
      </c>
      <c r="DB76" s="13">
        <f>(SUMIF($AF$4:$AF$108,$BT76,$BB$4:$BB$108)+SUMIF($AH$4:$AH$108,$BT76,$BC$4:$BC$108))</f>
        <v/>
      </c>
      <c r="DC76" s="13">
        <f>(SUMIF($AF$4:$AF$108,$BT76,$BD$4:$BD$108)+SUMIF($AH$4:$AH$108,$BT76,$BE$4:$BE$108))</f>
        <v/>
      </c>
      <c r="DD76" s="13">
        <f>IFERROR(DA76*3+DB76*1,0)</f>
        <v/>
      </c>
      <c r="DE76" s="13">
        <f>$CB76</f>
        <v/>
      </c>
      <c r="DF76" s="13">
        <f>IF(CZ76&gt;0,RANK(DD76,DD76:DD79)+CG74,)</f>
        <v/>
      </c>
      <c r="DG76" s="13">
        <f>IF(AND(CZ76&gt;0,COUNTIF(DF76:DF79,DF76)&gt;1),SUMIFS($AI$4:$AI$108,$AF$4:$AF$108,$BT76,$M$4:$M$108,2)+SUMIFS($AK$4:$AK$108,$AH$4:$AH108,$BT76,$M$4:$M$108,2)-SUMIFS($AK$4:$AK$108,$AF$4:$AF$108,$BT76,$M$4:$M$108,2)-SUMIFS($AI$4:$AI$108,$AH$4:$AH$108,$BT76,$M$4:$M$108,2),)</f>
        <v/>
      </c>
      <c r="DH76" s="13">
        <f>IF(AND(CZ76&gt;0,COUNTIF(DF76:DF79,DF76)&gt;1),DF76+RANK(DG76,DG76:DG79)-1,DF76)</f>
        <v/>
      </c>
      <c r="DI76" s="13">
        <f>IF(AND(CZ76&gt;0,COUNTIF(DH76:DH79,DH76)&gt;1),SUMIFS($AI$4:$AI$108,$AF$4:$AF$108,$BT76,$M$4:$M$108,2)+SUMIFS($AK$4:$AK$108,$AH$4:$AH$108,$BT76,$M$4:$M$108,2),)</f>
        <v/>
      </c>
      <c r="DJ76" s="13">
        <f>IF(AND(CZ76&gt;0,COUNTIF(DH76:DH79,DH76)&gt;1),DH76+RANK(DI76,DI76:DI79)-1,DH76)</f>
        <v/>
      </c>
      <c r="DK76" s="75">
        <f>IF(DJ76=0,"",DJ76)</f>
        <v/>
      </c>
      <c r="DL76" s="75">
        <f>IF(OR(DK76="",COUNTIF(DK76:DK79,DK76)=1),"",$BZ76)</f>
        <v/>
      </c>
      <c r="DM76" s="75">
        <f>IF(DK76="","",IF(COUNTIF(DK76:DK79,DK76)=1,DK76,DK76+RANK(DL76,DL76:DL79,0)-1))</f>
        <v/>
      </c>
      <c r="DN76" s="75">
        <f>IF(OR(DM76="",COUNTIF(DM76:DM79,DM76)=1),"",$BX76)</f>
        <v/>
      </c>
      <c r="DO76" s="75">
        <f>IF(DK76="","",IF(COUNTIF(DM76:DM79,DM76)=1,DM76,DM76+RANK(DN76,DN76:DN79,0)-1))</f>
        <v/>
      </c>
      <c r="DP76" s="75">
        <f>IF(OR(DO76="",COUNTIF(DO76:DO79,DO76)=1),"",$BU76)</f>
        <v/>
      </c>
      <c r="DQ76" s="75">
        <f>IF(DK76="","",IF(COUNTIF(DO76:DO79,DO76)=1,DO76,DO76+RANK(DP76,DP76:DP79,0)-1))</f>
        <v/>
      </c>
      <c r="DR76" s="13">
        <f>IF(CZ76&gt;0,CG74+RANK(DQ76,DQ76:DQ79,1),)</f>
        <v/>
      </c>
      <c r="DT76" s="13">
        <f>IF(CC76=3,BT76,)</f>
        <v/>
      </c>
      <c r="DU76" s="13">
        <f>(SUMIF($AF$4:$AF$108,BT76,$BF$4:$BF$108)+SUMIF($AH$4:$AH$108,BT76,$BG$4:$BG$108))</f>
        <v/>
      </c>
      <c r="DV76" s="13">
        <f>(SUMIF($AF$4:$AF$108,BT76,$BH$4:$BH$108)+SUMIF($AH$4:$AH$108,BT76,$BI$4:$BI$108))</f>
        <v/>
      </c>
      <c r="DW76" s="13">
        <f>(SUMIF($AF$4:$AF$108,BT76,$BJ$4:$BJ$108)+SUMIF($AH$4:$AH$108,BT76,$BK$4:$BK$108))</f>
        <v/>
      </c>
      <c r="DX76" s="13">
        <f>IFERROR(DU76*3+DV76*1,0)</f>
        <v/>
      </c>
      <c r="DY76" s="13">
        <f>CB76</f>
        <v/>
      </c>
      <c r="DZ76" s="13">
        <f>IF(DT76&gt;0,RANK(DX76,DX76:DX79)+CG74+DA74,)</f>
        <v/>
      </c>
      <c r="EA76" s="13">
        <f>IF(AND(DT76&gt;0,COUNTIF(DZ76:DZ79,DZ76)&gt;1),SUMIFS($AI$4:$AI$108,$AF$4:$AF$108,$BT76,$M$4:$M$108,3)+SUMIFS($AK$4:$AK$108,$AH$4:$AH$108,$BT76,$M$4:$M$108,3)-SUMIFS($AK$4:$AK$108,$AF$4:$AF$108,$BT76,$M$4:$M$108,3)-SUMIFS($AI$4:$AI$108,$AH$4:$AH$108,$BT76,$M$4:$M$108,3),)</f>
        <v/>
      </c>
      <c r="EB76" s="13">
        <f>IF(AND(DT76&gt;0,COUNTIF(DZ76:DZ79,DZ76)&gt;1),DZ76+RANK(EA76,EA76:EA79)-1,DZ76)</f>
        <v/>
      </c>
      <c r="EC76" s="13">
        <f>IF(AND(DT76&gt;0,COUNTIF(EB76:EB79,EB76)&gt;1),SUMIFS($AI$4:$AI$108,$AF$4:$AF$108,$BT76,$M$4:$M$108,3)+SUMIFS($AK$4:$AK$108,$AH$4:$AH$108,$BT76,$M$4:$M$108,3),)</f>
        <v/>
      </c>
      <c r="ED76" s="13">
        <f>IF(AND(DT76&gt;0,COUNTIF(EB76:EB79,EB76)&gt;1),EB76+RANK(EC76,EC76:EC79)-1,EB76)</f>
        <v/>
      </c>
      <c r="EE76" s="13">
        <f>IF(ED76=0,"",ED76)</f>
        <v/>
      </c>
      <c r="EF76" s="13">
        <f>IF(OR(EE76="",COUNTIF(EE76:EE79,EE76)=1),"",$BZ76)</f>
        <v/>
      </c>
      <c r="EG76" s="13">
        <f>IF(EE76="","",IF(COUNTIF(EE76:EE79,EE76)=1,EE76,EE76+RANK(EF76,EF76:EF79,0)-1))</f>
        <v/>
      </c>
      <c r="EH76" s="13">
        <f>IF(OR(EG76="",COUNTIF(EG76:EG79,EG76)=1),"",$BX76)</f>
        <v/>
      </c>
      <c r="EI76" s="13">
        <f>IF(EE76="","",IF(COUNTIF(EG76:EG79,EG76)=1,EG76,EG76+RANK(EH76,EH76:EH79,0)-1))</f>
        <v/>
      </c>
      <c r="EJ76" s="13">
        <f>IF(OR(EI76="",COUNTIF(EI76:EI79,EI76)=1),"",$BU76)</f>
        <v/>
      </c>
      <c r="EK76" s="13">
        <f>IF(EE76="","",IF(COUNTIF(EI76:EI79,EI76)=1,EI76,EI76+RANK(EJ76,EJ76:EJ79,0)-1))</f>
        <v/>
      </c>
      <c r="EL76" s="13">
        <f>IF(DT76&gt;0,CG74+DA74+RANK(EK76,EK76:EK79,1),)</f>
        <v/>
      </c>
      <c r="EN76" s="13">
        <f>IF(CC76=4,BT76,)</f>
        <v/>
      </c>
      <c r="EO76" s="13">
        <f>(SUMIF($AF$4:$AF$108,$BT76,$BL$4:$BL$108)+SUMIF($AH$4:$AH$108,$BT76,$BM$4:$BM$108))</f>
        <v/>
      </c>
      <c r="EP76" s="13">
        <f>(SUMIF($AF$4:$AF$108,$BT76,$BN$4:$BN$108)+SUMIF($AH$4:$AH$108,$BT76,$BO$4:$BO$108))</f>
        <v/>
      </c>
      <c r="EQ76" s="13">
        <f>(SUMIF($AF$4:$AF$108,$BT76,$BP$4:$BP$108)+SUMIF($AH$4:$AH$108,$BT76,$BQ$4:$BQ$108))</f>
        <v/>
      </c>
      <c r="ER76" s="13">
        <f>IFERROR(EO76*3+EP76*1,0)</f>
        <v/>
      </c>
      <c r="ES76" s="13">
        <f>$CB76</f>
        <v/>
      </c>
      <c r="ET76" s="13">
        <f>IF(EN76&gt;0,RANK(ER76,ER76:ER79)+CG74+DA74+DU74,)</f>
        <v/>
      </c>
      <c r="EU76" s="13">
        <f>IF(AND(EN76&gt;0,COUNTIF(ET76:ET79,ET76)&gt;1),SUMIFS($AI$4:$AI$108,$AF$4:$AF$108,$BT76,$M$4:$M$108,4)+SUMIFS($AK$4:$AK$108,$AH$4:$AH$108,$BT76,$M$4:$M$108,4)-SUMIFS($AK$4:$AK$108,$AF$4:$AF$108,$BT76,$M$4:$M$108,4)-SUMIFS($AI$4:$AI$108,$AH$4:$AH$108,$BT76,$M$4:$M$108,4),)</f>
        <v/>
      </c>
      <c r="EV76" s="13">
        <f>IF(AND(EN76&gt;0,COUNTIF(ET76:ET79,ET76)&gt;1),ET76+RANK(EU76,EU76:EU79)-1,ET76)</f>
        <v/>
      </c>
      <c r="EW76" s="13">
        <f>IF(AND(EN76&gt;0,COUNTIF(EV76:EV79,EV76)&gt;1),SUMIFS($AI$4:$AI$108,$AF$4:$AF$108,$BT76,$M$4:$M$108,4)+SUMIFS($AK$4:$AK$108,$AH$4:$AH$108,$BT76,$M$4:$M$108,4),)</f>
        <v/>
      </c>
      <c r="EX76" s="13">
        <f>IF(AND(EN76&gt;0,COUNTIF(EV76:EV79,EV76)&gt;1),EV76+RANK(EW76,EW76:EW79)-1,EV76)</f>
        <v/>
      </c>
      <c r="EY76" s="13">
        <f>IF(EX76=0,"",EX76)</f>
        <v/>
      </c>
      <c r="EZ76" s="13">
        <f>IF(OR(EY76="",COUNTIF(EY76:EY79,EY76)=1),"",$BZ76)</f>
        <v/>
      </c>
      <c r="FA76" s="13">
        <f>IF(EY76="","",IF(COUNTIF(EY76:EY79,EY76)=1,EY76,EY76+RANK(EZ76,EZ76:EZ79,0)-1))</f>
        <v/>
      </c>
      <c r="FB76" s="13">
        <f>IF(OR(FA76="",COUNTIF(FA76:FA79,FA76)=1),"",$BX76)</f>
        <v/>
      </c>
      <c r="FC76" s="13">
        <f>IF(EY76="","",IF(COUNTIF(FA76:FA79,FA76)=1,FA76,FA76+RANK(FB76,FB76:FB79,0)-1))</f>
        <v/>
      </c>
      <c r="FD76" s="13">
        <f>IF(OR(FC76="",COUNTIF(FC76:FC79,FC76)=1),"",$BU76)</f>
        <v/>
      </c>
      <c r="FE76" s="13">
        <f>IF(EY76="","",IF(COUNTIF(FC76:FC79,FC76)=1,FC76,FC76+RANK(FD76,FD76:FD79,0)-1))</f>
        <v/>
      </c>
      <c r="FF76" s="13">
        <f>IF(EN76&gt;0,CG74+DA74+DU74+RANK(FE76,FE76:FE79,1),)</f>
        <v/>
      </c>
      <c r="FH76" s="13">
        <f>IFERROR(VLOOKUP(FJ76,CF75:CX79,19,FALSE),IFERROR(VLOOKUP(FJ76,CZ75:DR79,19,FALSE),IFERROR(VLOOKUP(FJ76,DT75:EL79,19,FALSE),VLOOKUP(FJ76,EN75:FF79,19,FALSE))))</f>
        <v/>
      </c>
      <c r="FI76" s="13">
        <f>RANK(FH76,FH76:FH79,1)+COUNTIF(FH76:FH76,FH76)-1</f>
        <v/>
      </c>
      <c r="FJ76" s="12">
        <f>BT76</f>
        <v/>
      </c>
      <c r="FZ76" s="79" t="n">
        <v>74</v>
      </c>
      <c r="GA76" s="3">
        <f>GB76&amp;GC76&amp;GD76&amp;GE76&amp;GF76&amp;GG76&amp;GH76&amp;GI76</f>
        <v/>
      </c>
      <c r="GB76" s="3" t="inlineStr">
        <is>
          <t>E</t>
        </is>
      </c>
      <c r="GC76" s="3" t="inlineStr">
        <is>
          <t>G</t>
        </is>
      </c>
      <c r="GD76" s="3" t="inlineStr">
        <is>
          <t>B</t>
        </is>
      </c>
      <c r="GE76" s="3" t="inlineStr">
        <is>
          <t>D</t>
        </is>
      </c>
      <c r="GF76" s="3" t="inlineStr">
        <is>
          <t>I</t>
        </is>
      </c>
      <c r="GG76" s="3" t="inlineStr">
        <is>
          <t>F</t>
        </is>
      </c>
      <c r="GH76" s="3" t="inlineStr">
        <is>
          <t>L</t>
        </is>
      </c>
      <c r="GI76" s="3" t="inlineStr">
        <is>
          <t>K</t>
        </is>
      </c>
      <c r="GJ76" s="9">
        <f>VLOOKUP(GB76,$FM$3:$FN$15,2,FALSE)</f>
        <v/>
      </c>
      <c r="GK76" s="9">
        <f>VLOOKUP(GC76,$FM$3:$FN$15,2,FALSE)</f>
        <v/>
      </c>
      <c r="GL76" s="9">
        <f>VLOOKUP(GD76,$FM$3:$FN$15,2,FALSE)</f>
        <v/>
      </c>
      <c r="GM76" s="9">
        <f>VLOOKUP(GE76,$FM$3:$FN$15,2,FALSE)</f>
        <v/>
      </c>
      <c r="GN76" s="9">
        <f>VLOOKUP(GF76,$FM$3:$FN$15,2,FALSE)</f>
        <v/>
      </c>
      <c r="GO76" s="9">
        <f>VLOOKUP(GG76,$FM$3:$FN$15,2,FALSE)</f>
        <v/>
      </c>
      <c r="GP76" s="9">
        <f>VLOOKUP(GH76,$FM$3:$FN$15,2,FALSE)</f>
        <v/>
      </c>
      <c r="GQ76" s="9">
        <f>VLOOKUP(GI76,$FM$3:$FN$15,2,FALSE)</f>
        <v/>
      </c>
      <c r="GR76" s="9">
        <f>IFERROR(IF(AND(VLOOKUP(GB76,$FX$4:$FX$15,1,FALSE)=GB76,VLOOKUP(GC76,$FX$4:$FX$15,1,FALSE)=GC76,VLOOKUP(GD76,$FX$4:$FX$15,1,FALSE)=GD76,VLOOKUP(GE76,$FX$4:$FX$15,1,FALSE)=GE76,VLOOKUP(GF76,$FX$4:$FX$15,1,FALSE)=GF76,VLOOKUP(GG76,$FX$4:$FX$15,1,FALSE)=GG76,VLOOKUP(GH76,$FX$4:$FX$15,1,FALSE)=GH76,VLOOKUP(GI76,$FX$4:$FX$15,1,FALSE)=GI76),FZ76,""),"")</f>
        <v/>
      </c>
      <c r="GX76" s="142" t="n"/>
    </row>
    <row r="77" ht="14.25" customHeight="1">
      <c r="B77" s="58" t="n">
        <v>18</v>
      </c>
      <c r="C77" s="59" t="n">
        <v>46190</v>
      </c>
      <c r="D77" s="60" t="inlineStr">
        <is>
          <t>Irak</t>
        </is>
      </c>
      <c r="E77" s="61" t="inlineStr">
        <is>
          <t>-</t>
        </is>
      </c>
      <c r="F77" s="62" t="inlineStr">
        <is>
          <t>Norge</t>
        </is>
      </c>
      <c r="G77" s="63" t="n">
        <v>0</v>
      </c>
      <c r="H77" s="64" t="inlineStr">
        <is>
          <t>-</t>
        </is>
      </c>
      <c r="I77" s="63" t="n">
        <v>3</v>
      </c>
      <c r="J77" s="65">
        <f>IF(OR(ISBLANK(G77),ISBLANK(I77)),"",IF(G77&gt;I77,1,IF(G77&lt;I77,2,"X")))</f>
        <v/>
      </c>
      <c r="K77" s="66">
        <f>IF(OR(G77="",I77="",'[1]Resultat &amp; tabell'!G77="",'[1]Resultat &amp; tabell'!I77=""),0,IF(G77='[1]Resultat &amp; tabell'!G77,2,0)+IF(I77='[1]Resultat &amp; tabell'!I77,2,0)+IF(J77='[1]Resultat &amp; tabell'!J77,2,0))</f>
        <v/>
      </c>
      <c r="L77" s="67" t="n"/>
      <c r="M77" s="29">
        <f>IF(VLOOKUP(D77,$BT$75:$CC$79,10,FALSE)=VLOOKUP(F77,$BT$75:$CC$79,10,FALSE),VLOOKUP(D77,$BT$75:$CC$79,10,FALSE),"-")</f>
        <v/>
      </c>
      <c r="N77" s="30" t="n">
        <v>2</v>
      </c>
      <c r="O77" s="80">
        <f>VLOOKUP(N77,FI76:FJ79,2,FALSE)</f>
        <v/>
      </c>
      <c r="P77" s="81">
        <f>VLOOKUP($O77,$BT$76:$CA$79,2,FALSE)</f>
        <v/>
      </c>
      <c r="Q77" s="81">
        <f>VLOOKUP($O77,$BT$76:$CA$79,3,FALSE)</f>
        <v/>
      </c>
      <c r="R77" s="81">
        <f>VLOOKUP($O77,$BT$76:$CA$79,4,FALSE)</f>
        <v/>
      </c>
      <c r="S77" s="81">
        <f>VLOOKUP($O77,$BT$76:$CA$79,5,FALSE)</f>
        <v/>
      </c>
      <c r="T77" s="81">
        <f>VLOOKUP($O77,$BT$76:$CA$79,6,FALSE)</f>
        <v/>
      </c>
      <c r="U77" s="81">
        <f>VLOOKUP($O77,$BT$76:$CA$79,7,FALSE)</f>
        <v/>
      </c>
      <c r="V77" s="82">
        <f>VLOOKUP($O77,$BT$76:$CA$79,8,FALSE)</f>
        <v/>
      </c>
      <c r="X77" s="1" t="n"/>
      <c r="AE77" s="72">
        <f>C77</f>
        <v/>
      </c>
      <c r="AF77" s="72">
        <f>D77</f>
        <v/>
      </c>
      <c r="AG77" s="72">
        <f>E77</f>
        <v/>
      </c>
      <c r="AH77" s="72">
        <f>F77</f>
        <v/>
      </c>
      <c r="AI77" s="63">
        <f>IF(G77="","",G77)</f>
        <v/>
      </c>
      <c r="AJ77" s="58">
        <f>H77</f>
        <v/>
      </c>
      <c r="AK77" s="63">
        <f>IF(I77="","",I77)</f>
        <v/>
      </c>
      <c r="AL77" s="65">
        <f>J77</f>
        <v/>
      </c>
      <c r="AM77" s="73" t="n"/>
      <c r="AN77" s="13">
        <f>IF(AI77&gt;AK77,1,0)</f>
        <v/>
      </c>
      <c r="AO77" s="13">
        <f>IF(AK77&gt;AI77,1,0)</f>
        <v/>
      </c>
      <c r="AP77" s="13">
        <f>IF(AND(AI77=AK77,AI77&lt;&gt;""),1,0)</f>
        <v/>
      </c>
      <c r="AQ77" s="13">
        <f>IF(AND(AI77=AK77,AI77&lt;&gt;""),1,0)</f>
        <v/>
      </c>
      <c r="AR77" s="13">
        <f>IF(AI77&lt;AK77,1,0)</f>
        <v/>
      </c>
      <c r="AS77" s="13">
        <f>IF(AK77&lt;AI77,1,)</f>
        <v/>
      </c>
      <c r="AT77" s="13">
        <f>IF(ISERROR(VLOOKUP(AF77,CF:CF,1,FALSE)),0,1)*IF(ISERROR(VLOOKUP(AH77,CF:CF,1,FALSE)),0,1)*AN77</f>
        <v/>
      </c>
      <c r="AU77" s="13">
        <f>IF(ISERROR(VLOOKUP(AF77,CF:CF,1,FALSE)),0,1)*IF(ISERROR(VLOOKUP(AH77,CF:CF,1,FALSE)),0,1)*AO77</f>
        <v/>
      </c>
      <c r="AV77" s="13">
        <f>IF(ISERROR(VLOOKUP(AF77,CF:CF,1,FALSE)),0,1)*IF(ISERROR(VLOOKUP(AH77,CF:CF,1,FALSE)),0,1)*AP77</f>
        <v/>
      </c>
      <c r="AW77" s="13">
        <f>IF(ISERROR(VLOOKUP(AF77,CF:CF,1,FALSE)),0,1)*IF(ISERROR(VLOOKUP(AH77,CF:CF,1,FALSE)),0,1)*AQ77</f>
        <v/>
      </c>
      <c r="AX77" s="13">
        <f>IF(ISERROR(VLOOKUP(AF77,CF:CF,1,FALSE)),0,1)*IF(ISERROR(VLOOKUP(AH77,CF:CF,1,FALSE)),0,1)*AR77</f>
        <v/>
      </c>
      <c r="AY77" s="13">
        <f>IF(ISERROR(VLOOKUP(AF77,CF:CF,1,FALSE)),0,1)*IF(ISERROR(VLOOKUP(AH77,CF:CF,1,FALSE)),0,1)*AS77</f>
        <v/>
      </c>
      <c r="AZ77" s="13">
        <f>IF(ISERROR(VLOOKUP(AF77,CZ:CZ,1,FALSE)),0,1)*IF(ISERROR(VLOOKUP(AH77,CZ:CZ,1,FALSE)),0,1)*AN77</f>
        <v/>
      </c>
      <c r="BA77" s="13">
        <f>IF(ISERROR(VLOOKUP(AF77,CZ:CZ,1,FALSE)),0,1)*IF(ISERROR(VLOOKUP(AH77,CZ:CZ,1,FALSE)),0,1)*AO77</f>
        <v/>
      </c>
      <c r="BB77" s="13">
        <f>IF(ISERROR(VLOOKUP(AF77,CZ:CZ,1,FALSE)),0,1)*IF(ISERROR(VLOOKUP(AH77,CZ:CZ,1,FALSE)),0,1)*AP77</f>
        <v/>
      </c>
      <c r="BC77" s="13">
        <f>IF(ISERROR(VLOOKUP(AF77,CZ:CZ,1,FALSE)),0,1)*IF(ISERROR(VLOOKUP(AH77,CZ:CZ,1,FALSE)),0,1)*AQ77</f>
        <v/>
      </c>
      <c r="BD77" s="13">
        <f>IF(ISERROR(VLOOKUP(AF77,CZ:CZ,1,FALSE)),0,1)*IF(ISERROR(VLOOKUP(AH77,CZ:CZ,1,FALSE)),0,1)*AR77</f>
        <v/>
      </c>
      <c r="BE77" s="13">
        <f>IF(ISERROR(VLOOKUP(AF77,CZ:CZ,1,FALSE)),0,1)*IF(ISERROR(VLOOKUP(AH77,CZ:CZ,1,FALSE)),0,1)*AS77</f>
        <v/>
      </c>
      <c r="BF77" s="13">
        <f>IF(ISERROR(VLOOKUP(AF77,DT:DT,1,FALSE)),0,1)*IF(ISERROR(VLOOKUP(AH77,DT:DT,1,FALSE)),0,1)*AN77</f>
        <v/>
      </c>
      <c r="BG77" s="13">
        <f>IF(ISERROR(VLOOKUP(AF77,DT:DT,1,FALSE)),0,1)*IF(ISERROR(VLOOKUP(AH77,DT:DT,1,FALSE)),0,1)*AO77</f>
        <v/>
      </c>
      <c r="BH77" s="13">
        <f>IF(ISERROR(VLOOKUP(AF77,DT:DT,1,FALSE)),0,1)*IF(ISERROR(VLOOKUP(AH77,DT:DT,1,FALSE)),0,1)*AP77</f>
        <v/>
      </c>
      <c r="BI77" s="13">
        <f>IF(ISERROR(VLOOKUP(AF77,DT:DT,1,FALSE)),0,1)*IF(ISERROR(VLOOKUP(AH77,DT:DT,1,FALSE)),0,1)*AQ77</f>
        <v/>
      </c>
      <c r="BJ77" s="13">
        <f>IF(ISERROR(VLOOKUP(AF77,DT:DT,1,FALSE)),0,1)*IF(ISERROR(VLOOKUP(AH77,DT:DT,1,FALSE)),0,1)*AR77</f>
        <v/>
      </c>
      <c r="BK77" s="13">
        <f>IF(ISERROR(VLOOKUP(AF77,DT:DT,1,FALSE)),0,1)*IF(ISERROR(VLOOKUP(AH77,DT:DT,1,FALSE)),0,1)*AS77</f>
        <v/>
      </c>
      <c r="BL77" s="13">
        <f>IF(ISERROR(VLOOKUP(AF77,EN:EN,1,FALSE)),0,1)*IF(ISERROR(VLOOKUP(AH77,EN:EN,1,FALSE)),0,1)*AN77</f>
        <v/>
      </c>
      <c r="BM77" s="13">
        <f>IF(ISERROR(VLOOKUP(AF77,EN:EN,1,FALSE)),0,1)*IF(ISERROR(VLOOKUP(AH77,EN:EN,1,FALSE)),0,1)*AO77</f>
        <v/>
      </c>
      <c r="BN77" s="13">
        <f>IF(ISERROR(VLOOKUP(AF77,EN:EN,1,FALSE)),0,1)*IF(ISERROR(VLOOKUP(AH77,EN:EN,1,FALSE)),0,1)*AP77</f>
        <v/>
      </c>
      <c r="BO77" s="13">
        <f>IF(ISERROR(VLOOKUP(AF77,EN:EN,1,FALSE)),0,1)*IF(ISERROR(VLOOKUP(AH77,EN:EN,1,FALSE)),0,1)*AQ77</f>
        <v/>
      </c>
      <c r="BP77" s="13">
        <f>IF(ISERROR(VLOOKUP(AF77,EN:EN,1,FALSE)),0,1)*IF(ISERROR(VLOOKUP(AH77,EN:EN,1,FALSE)),0,1)*AR77</f>
        <v/>
      </c>
      <c r="BQ77" s="13">
        <f>IF(ISERROR(VLOOKUP(AF77,EN:EN,1,FALSE)),0,1)*IF(ISERROR(VLOOKUP(AH77,EN:EN,1,FALSE)),0,1)*AS77</f>
        <v/>
      </c>
      <c r="BT77" s="12" t="inlineStr">
        <is>
          <t>Senegal</t>
        </is>
      </c>
      <c r="BU77" s="13">
        <f>(SUMIF(AF$4:AF$108,BT77,AN$4:AN$108)+SUMIF(AH$4:AH$108,BT77,AO$4:AO$108))</f>
        <v/>
      </c>
      <c r="BV77" s="13">
        <f>(SUMIF(AF$4:AF$108,BT77,AP$4:AP$108)+SUMIF(AH$4:AH$108,BT77,AQ$4:AQ$108))</f>
        <v/>
      </c>
      <c r="BW77" s="13">
        <f>(SUMIF(AF$4:AF$108,BT77,AR$4:AR$108)+SUMIF(AH$4:AH$108,BT77,AS$4:AS$108))</f>
        <v/>
      </c>
      <c r="BX77" s="13">
        <f>SUMIF($AF$4:$AF$108,BT77,$AI$4:$AI$108)+SUMIF($AH$4:$AH$108,BT77,$AK$4:$AK$108)</f>
        <v/>
      </c>
      <c r="BY77" s="13">
        <f>SUMIF($AF$4:$AF$108,BT77,$AK$4:$AK$108)+SUMIF($AH$4:$AH$108,BT77,$AI$4:$AI$108)</f>
        <v/>
      </c>
      <c r="BZ77" s="13">
        <f>BX77-BY77</f>
        <v/>
      </c>
      <c r="CA77" s="13">
        <f>IFERROR(BU77*3+BV77*1,0)</f>
        <v/>
      </c>
      <c r="CB77" s="13" t="inlineStr">
        <is>
          <t>I</t>
        </is>
      </c>
      <c r="CC77" s="74">
        <f>RANK(CA77,CA76:CA79)</f>
        <v/>
      </c>
      <c r="CD77" s="13">
        <f>SUMPRODUCT((CA76:CA79=CA77)*(BZ76:BZ79&gt;BZ77))</f>
        <v/>
      </c>
      <c r="CF77" s="12">
        <f>IF(CC77=1,BT77,)</f>
        <v/>
      </c>
      <c r="CG77" s="13">
        <f>(SUMIF($AF$4:$AF$108,$BT77,$AT$4:$AT$108)+SUMIF($AH$4:$AH$108,$BT77,$AU$4:$AU$108))</f>
        <v/>
      </c>
      <c r="CH77" s="13">
        <f>(SUMIF($AF$4:$AF$108,$BT77,$AV$4:$AV$108)+SUMIF($AH$4:$AH$108,$BT77,$AW$4:$AW$108))</f>
        <v/>
      </c>
      <c r="CI77" s="13">
        <f>(SUMIF($AF$4:$AF$108,$BT77,$AX$4:$AX$108)+SUMIF($AH$4:$AH$108,$BT77,$AY$4:$AY$108))</f>
        <v/>
      </c>
      <c r="CJ77" s="13">
        <f>IFERROR(CG77*3+CH77*1,0)</f>
        <v/>
      </c>
      <c r="CK77" s="13">
        <f>CB77</f>
        <v/>
      </c>
      <c r="CL77" s="13">
        <f>IF(CF77&gt;0,RANK(CJ77,CJ76:CJ79),)</f>
        <v/>
      </c>
      <c r="CM77" s="13">
        <f>IF(AND(CF77&gt;0,COUNTIF(CL76:CL79,CL77)&gt;1),SUMIFS($AI$4:$AI$108,$AF$4:$AF$108,$BT77,$M$4:$M$108,1)+SUMIFS($AK$4:$AK$108,$AH$4:$AH$108,$BT77,$M$4:$M$108,1)-SUMIFS($AK$4:$AK$108,$AF$4:$AF$108,$BT77,$M$4:$M$108,1)-SUMIFS($AI$4:$AI$108,$AH$4:$AH$108,$BT77,$M$4:$M$108,1),)</f>
        <v/>
      </c>
      <c r="CN77" s="13">
        <f>IF(AND(CF77&gt;0,COUNTIF(CL76:CL79,CL77)&gt;1),CL77+RANK(CM77,CM76:CM79)-1,CL77)</f>
        <v/>
      </c>
      <c r="CO77" s="13">
        <f>IF(AND(CF77&gt;0,COUNTIF(CN76:CN79,CN77)&gt;1),SUMIFS($AI$4:$AI$108,$AF$4:$AF$108,$BT77,$M$4:$M$108,1)+SUMIFS($AK$4:$AK$108,$AH$4:$AH$108,$BT77,$M$4:$M$108,1),)</f>
        <v/>
      </c>
      <c r="CP77" s="13">
        <f>IF(AND(CF77&gt;0,COUNTIF(CN76:CN79,CN77)&gt;1),CN77+RANK(CO77,CO76:CO79)-1,CN77)</f>
        <v/>
      </c>
      <c r="CQ77" s="13">
        <f>IF(CP77=0,"",CP77)</f>
        <v/>
      </c>
      <c r="CR77" s="13">
        <f>IF(OR(CQ77="",COUNTIF(CQ76:CQ79,CQ77)=1),"",$BZ77)</f>
        <v/>
      </c>
      <c r="CS77" s="13">
        <f>IF(CQ77="","",IF(COUNTIF(CQ76:CQ79,CQ77)=1,CQ77,CQ77+RANK(CR77,CR76:CR79,0)-1))</f>
        <v/>
      </c>
      <c r="CT77" s="13">
        <f>IF(OR(CS77="",COUNTIF(CS76:CS79,CS77)=1),"",$BX77)</f>
        <v/>
      </c>
      <c r="CU77" s="13">
        <f>IF(CQ77="","",IF(COUNTIF(CS76:CS79,CS77)=1,CS77,CS77+RANK(CT77,CT76:CT79,0)-1))</f>
        <v/>
      </c>
      <c r="CV77" s="13">
        <f>IF(OR(CU77="",COUNTIF(CU76:CU79,CU77)=1),"",$BU77)</f>
        <v/>
      </c>
      <c r="CW77" s="13">
        <f>IF(CQ77="","",IF(COUNTIF(CU76:CU79,CU77)=1,CU77,CU77+RANK(CV77,CV76:CV79,0)-1))</f>
        <v/>
      </c>
      <c r="CX77" s="13">
        <f>IF(CF77&gt;0,BM74+RANK(CW77,CW76:CW79,1),)</f>
        <v/>
      </c>
      <c r="CZ77" s="12">
        <f>IF(CC77=2,BT77,)</f>
        <v/>
      </c>
      <c r="DA77" s="13">
        <f>(SUMIF($AF$4:$AF$108,$BT77,$AZ$4:$AZ$108)+SUMIF($AH$4:$AH$108,$BT77,$BA$4:$BA$108))</f>
        <v/>
      </c>
      <c r="DB77" s="13">
        <f>(SUMIF($AF$4:$AF$108,$BT77,$BB$4:$BB$108)+SUMIF($AH$4:$AH$108,$BT77,$BC$4:$BC$108))</f>
        <v/>
      </c>
      <c r="DC77" s="13">
        <f>(SUMIF($AF$4:$AF$108,$BT77,$BD$4:$BD$108)+SUMIF($AH$4:$AH$108,$BT77,$BE$4:$BE$108))</f>
        <v/>
      </c>
      <c r="DD77" s="13">
        <f>IFERROR(DA77*3+DB77*1,0)</f>
        <v/>
      </c>
      <c r="DE77" s="13">
        <f>$CB77</f>
        <v/>
      </c>
      <c r="DF77" s="13">
        <f>IF(CZ77&gt;0,RANK(DD77,DD76:DD79)+CG74,)</f>
        <v/>
      </c>
      <c r="DG77" s="13">
        <f>IF(AND(CZ77&gt;0,COUNTIF(DF76:DF79,DF77)&gt;1),SUMIFS($AI$4:$AI$108,$AF$4:$AF$108,$BT77,$M$4:$M$108,2)+SUMIFS($AK$4:$AK$108,$AH$4:$AH108,$BT77,$M$4:$M$108,2)-SUMIFS($AK$4:$AK$108,$AF$4:$AF$108,$BT77,$M$4:$M$108,2)-SUMIFS($AI$4:$AI$108,$AH$4:$AH$108,$BT77,$M$4:$M$108,2),)</f>
        <v/>
      </c>
      <c r="DH77" s="13">
        <f>IF(AND(CZ77&gt;0,COUNTIF(DF76:DF79,DF77)&gt;1),DF77+RANK(DG77,DG76:DG79)-1,DF77)</f>
        <v/>
      </c>
      <c r="DI77" s="13">
        <f>IF(AND(CZ77&gt;0,COUNTIF(DH76:DH79,DH77)&gt;1),SUMIFS($AI$4:$AI$108,$AF$4:$AF$108,$BT77,$M$4:$M$108,2)+SUMIFS($AK$4:$AK$108,$AH$4:$AH$108,$BT77,$M$4:$M$108,2),)</f>
        <v/>
      </c>
      <c r="DJ77" s="13">
        <f>IF(AND(CZ77&gt;0,COUNTIF(DH76:DH79,DH77)&gt;1),DH77+RANK(DI77,DI76:DI79)-1,DH77)</f>
        <v/>
      </c>
      <c r="DK77" s="75">
        <f>IF(DJ77=0,"",DJ77)</f>
        <v/>
      </c>
      <c r="DL77" s="75">
        <f>IF(OR(DK77="",COUNTIF(DK76:DK79,DK77)=1),"",$BZ77)</f>
        <v/>
      </c>
      <c r="DM77" s="75">
        <f>IF(DK77="","",IF(COUNTIF(DK76:DK79,DK77)=1,DK77,DK77+RANK(DL77,DL76:DL79,0)-1))</f>
        <v/>
      </c>
      <c r="DN77" s="75">
        <f>IF(OR(DM77="",COUNTIF(DM76:DM79,DM77)=1),"",$BX77)</f>
        <v/>
      </c>
      <c r="DO77" s="75">
        <f>IF(DK77="","",IF(COUNTIF(DM76:DM79,DM77)=1,DM77,DM77+RANK(DN77,DN76:DN79,0)-1))</f>
        <v/>
      </c>
      <c r="DP77" s="75">
        <f>IF(OR(DO77="",COUNTIF(DO76:DO79,DO77)=1),"",$BU77)</f>
        <v/>
      </c>
      <c r="DQ77" s="75">
        <f>IF(DK77="","",IF(COUNTIF(DO76:DO79,DO77)=1,DO77,DO77+RANK(DP77,DP76:DP79,0)-1))</f>
        <v/>
      </c>
      <c r="DR77" s="13">
        <f>IF(CZ77&gt;0,CG74+RANK(DQ77,DQ76:DQ79,1),)</f>
        <v/>
      </c>
      <c r="DT77" s="13">
        <f>IF(CC77=3,BT77,)</f>
        <v/>
      </c>
      <c r="DU77" s="13">
        <f>(SUMIF($AF$4:$AF$108,BT77,$BF$4:$BF$108)+SUMIF($AH$4:$AH$108,BT77,$BG$4:$BG$108))</f>
        <v/>
      </c>
      <c r="DV77" s="13">
        <f>(SUMIF($AF$4:$AF$108,BT77,$BH$4:$BH$108)+SUMIF($AH$4:$AH$108,BT77,$BI$4:$BI$108))</f>
        <v/>
      </c>
      <c r="DW77" s="13">
        <f>(SUMIF($AF$4:$AF$108,BT77,$BJ$4:$BJ$108)+SUMIF($AH$4:$AH$108,BT77,$BK$4:$BK$108))</f>
        <v/>
      </c>
      <c r="DX77" s="13">
        <f>IFERROR(DU77*3+DV77*1,0)</f>
        <v/>
      </c>
      <c r="DY77" s="13">
        <f>CB77</f>
        <v/>
      </c>
      <c r="DZ77" s="13">
        <f>IF(DT77&gt;0,RANK(DX77,DX76:DX79)+CG74+DA74,)</f>
        <v/>
      </c>
      <c r="EA77" s="13">
        <f>IF(AND(DT77&gt;0,COUNTIF(DZ76:DZ79,DZ77)&gt;1),SUMIFS($AI$4:$AI$108,$AF$4:$AF$108,$BT77,$M$4:$M$108,3)+SUMIFS($AK$4:$AK$108,$AH$4:$AH$108,$BT77,$M$4:$M$108,3)-SUMIFS($AK$4:$AK$108,$AF$4:$AF$108,$BT77,$M$4:$M$108,3)-SUMIFS($AI$4:$AI$108,$AH$4:$AH$108,$BT77,$M$4:$M$108,3),)</f>
        <v/>
      </c>
      <c r="EB77" s="13">
        <f>IF(AND(DT77&gt;0,COUNTIF(DZ76:DZ79,DZ77)&gt;1),DZ77+RANK(EA77,EA76:EA79)-1,DZ77)</f>
        <v/>
      </c>
      <c r="EC77" s="13">
        <f>IF(AND(DT77&gt;0,COUNTIF(EB76:EB79,EB77)&gt;1),SUMIFS($AI$4:$AI$108,$AF$4:$AF$108,$BT77,$M$4:$M$108,3)+SUMIFS($AK$4:$AK$108,$AH$4:$AH$108,$BT77,$M$4:$M$108,3),)</f>
        <v/>
      </c>
      <c r="ED77" s="13">
        <f>IF(AND(DT77&gt;0,COUNTIF(EB76:EB79,EB77)&gt;1),EB77+RANK(EC77,EC76:EC79)-1,EB77)</f>
        <v/>
      </c>
      <c r="EE77" s="13">
        <f>IF(ED77=0,"",ED77)</f>
        <v/>
      </c>
      <c r="EF77" s="13">
        <f>IF(OR(EE77="",COUNTIF(EE76:EE79,EE77)=1),"",$BZ77)</f>
        <v/>
      </c>
      <c r="EG77" s="13">
        <f>IF(EE77="","",IF(COUNTIF(EE76:EE79,EE77)=1,EE77,EE77+RANK(EF77,EF76:EF79,0)-1))</f>
        <v/>
      </c>
      <c r="EH77" s="13">
        <f>IF(OR(EG77="",COUNTIF(EG76:EG79,EG77)=1),"",$BX77)</f>
        <v/>
      </c>
      <c r="EI77" s="13">
        <f>IF(EE77="","",IF(COUNTIF(EG76:EG79,EG77)=1,EG77,EG77+RANK(EH77,EH76:EH79,0)-1))</f>
        <v/>
      </c>
      <c r="EJ77" s="13">
        <f>IF(OR(EI77="",COUNTIF(EI76:EI79,EI77)=1),"",$BU77)</f>
        <v/>
      </c>
      <c r="EK77" s="13">
        <f>IF(EE77="","",IF(COUNTIF(EI76:EI79,EI77)=1,EI77,EI77+RANK(EJ77,EJ76:EJ79,0)-1))</f>
        <v/>
      </c>
      <c r="EL77" s="13">
        <f>IF(DT77&gt;0,CG74+DA74+RANK(EK77,EK76:EK79,1),)</f>
        <v/>
      </c>
      <c r="EN77" s="13">
        <f>IF(CC77=4,BT77,)</f>
        <v/>
      </c>
      <c r="EO77" s="13">
        <f>(SUMIF($AF$4:$AF$108,$BT77,$BL$4:$BL$108)+SUMIF($AH$4:$AH$108,$BT77,$BM$4:$BM$108))</f>
        <v/>
      </c>
      <c r="EP77" s="13">
        <f>(SUMIF($AF$4:$AF$108,$BT77,$BN$4:$BN$108)+SUMIF($AH$4:$AH$108,$BT77,$BO$4:$BO$108))</f>
        <v/>
      </c>
      <c r="EQ77" s="13">
        <f>(SUMIF($AF$4:$AF$108,$BT77,$BP$4:$BP$108)+SUMIF($AH$4:$AH$108,$BT77,$BQ$4:$BQ$108))</f>
        <v/>
      </c>
      <c r="ER77" s="13">
        <f>IFERROR(EO77*3+EP77*1,0)</f>
        <v/>
      </c>
      <c r="ES77" s="13">
        <f>$CB77</f>
        <v/>
      </c>
      <c r="ET77" s="13">
        <f>IF(EN77&gt;0,RANK(ER77,ER76:ER79)+CG74+DA74+DU74,)</f>
        <v/>
      </c>
      <c r="EU77" s="13">
        <f>IF(AND(EN77&gt;0,COUNTIF(ET76:ET79,ET77)&gt;1),SUMIFS($AI$4:$AI$108,$AF$4:$AF$108,$BT77,$M$4:$M$108,4)+SUMIFS($AK$4:$AK$108,$AH$4:$AH$108,$BT77,$M$4:$M$108,4)-SUMIFS($AK$4:$AK$108,$AF$4:$AF$108,$BT77,$M$4:$M$108,4)-SUMIFS($AI$4:$AI$108,$AH$4:$AH$108,$BT77,$M$4:$M$108,4),)</f>
        <v/>
      </c>
      <c r="EV77" s="13">
        <f>IF(AND(EN77&gt;0,COUNTIF(ET76:ET79,ET77)&gt;1),ET77+RANK(EU77,EU76:EU79)-1,ET77)</f>
        <v/>
      </c>
      <c r="EW77" s="13">
        <f>IF(AND(EN77&gt;0,COUNTIF(EV77:EV80,EV77)&gt;1),SUMIFS($AI$4:$AI$108,$AF$4:$AF$108,$BT77,$M$4:$M$108,4)+SUMIFS($AK$4:$AK$108,$AH$4:$AH$108,$BT77,$M$4:$M$108,4),)</f>
        <v/>
      </c>
      <c r="EX77" s="13">
        <f>IF(AND(EN77&gt;0,COUNTIF(EV76:EV79,EV77)&gt;1),EV77+RANK(EW77,EW76:EW79)-1,EV77)</f>
        <v/>
      </c>
      <c r="EY77" s="13">
        <f>IF(EX77=0,"",EX77)</f>
        <v/>
      </c>
      <c r="EZ77" s="13">
        <f>IF(OR(EY77="",COUNTIF(EY76:EY79,EY77)=1),"",$BZ77)</f>
        <v/>
      </c>
      <c r="FA77" s="13">
        <f>IF(EY77="","",IF(COUNTIF(EY76:EY79,EY77)=1,EY77,EY77+RANK(EZ77,EZ76:EZ79,0)-1))</f>
        <v/>
      </c>
      <c r="FB77" s="13">
        <f>IF(OR(FA77="",COUNTIF(FA76:FA79,FA77)=1),"",$BX77)</f>
        <v/>
      </c>
      <c r="FC77" s="13">
        <f>IF(EY77="","",IF(COUNTIF(FA76:FA79,FA77)=1,FA77,FA77+RANK(FB77,FB76:FB79,0)-1))</f>
        <v/>
      </c>
      <c r="FD77" s="13">
        <f>IF(OR(FC77="",COUNTIF(FC76:FC79,FC77)=1),"",$BU77)</f>
        <v/>
      </c>
      <c r="FE77" s="13">
        <f>IF(EY77="","",IF(COUNTIF(FC76:FC79,FC77)=1,FC77,FC77+RANK(FD77,FD76:FD79,0)-1))</f>
        <v/>
      </c>
      <c r="FF77" s="13">
        <f>IF(EN77&gt;0,CG74+DA74+DU74+RANK(FE77,FE76:FE79,1),)</f>
        <v/>
      </c>
      <c r="FH77" s="13">
        <f>IFERROR(VLOOKUP(FJ77,CF75:CX79,19,FALSE),IFERROR(VLOOKUP(FJ77,CZ75:DR79,19,FALSE),IFERROR(VLOOKUP(FJ77,DT75:EL79,19,FALSE),VLOOKUP(FJ77,EN75:FF79,19,FALSE))))</f>
        <v/>
      </c>
      <c r="FI77" s="13">
        <f>RANK(FH77,FH76:FH79,1)+COUNTIF(FH76:FH77,FH77)-1</f>
        <v/>
      </c>
      <c r="FJ77" s="12">
        <f>BT77</f>
        <v/>
      </c>
      <c r="FZ77" s="79" t="n">
        <v>75</v>
      </c>
      <c r="GA77" s="3">
        <f>GB77&amp;GC77&amp;GD77&amp;GE77&amp;GF77&amp;GG77&amp;GH77&amp;GI77</f>
        <v/>
      </c>
      <c r="GB77" s="3" t="inlineStr">
        <is>
          <t>E</t>
        </is>
      </c>
      <c r="GC77" s="3" t="inlineStr">
        <is>
          <t>G</t>
        </is>
      </c>
      <c r="GD77" s="3" t="inlineStr">
        <is>
          <t>B</t>
        </is>
      </c>
      <c r="GE77" s="3" t="inlineStr">
        <is>
          <t>D</t>
        </is>
      </c>
      <c r="GF77" s="3" t="inlineStr">
        <is>
          <t>J</t>
        </is>
      </c>
      <c r="GG77" s="3" t="inlineStr">
        <is>
          <t>F</t>
        </is>
      </c>
      <c r="GH77" s="3" t="inlineStr">
        <is>
          <t>L</t>
        </is>
      </c>
      <c r="GI77" s="3" t="inlineStr">
        <is>
          <t>I</t>
        </is>
      </c>
      <c r="GJ77" s="9">
        <f>VLOOKUP(GB77,$FM$3:$FN$15,2,FALSE)</f>
        <v/>
      </c>
      <c r="GK77" s="9">
        <f>VLOOKUP(GC77,$FM$3:$FN$15,2,FALSE)</f>
        <v/>
      </c>
      <c r="GL77" s="9">
        <f>VLOOKUP(GD77,$FM$3:$FN$15,2,FALSE)</f>
        <v/>
      </c>
      <c r="GM77" s="9">
        <f>VLOOKUP(GE77,$FM$3:$FN$15,2,FALSE)</f>
        <v/>
      </c>
      <c r="GN77" s="9">
        <f>VLOOKUP(GF77,$FM$3:$FN$15,2,FALSE)</f>
        <v/>
      </c>
      <c r="GO77" s="9">
        <f>VLOOKUP(GG77,$FM$3:$FN$15,2,FALSE)</f>
        <v/>
      </c>
      <c r="GP77" s="9">
        <f>VLOOKUP(GH77,$FM$3:$FN$15,2,FALSE)</f>
        <v/>
      </c>
      <c r="GQ77" s="9">
        <f>VLOOKUP(GI77,$FM$3:$FN$15,2,FALSE)</f>
        <v/>
      </c>
      <c r="GR77" s="9">
        <f>IFERROR(IF(AND(VLOOKUP(GB77,$FX$4:$FX$15,1,FALSE)=GB77,VLOOKUP(GC77,$FX$4:$FX$15,1,FALSE)=GC77,VLOOKUP(GD77,$FX$4:$FX$15,1,FALSE)=GD77,VLOOKUP(GE77,$FX$4:$FX$15,1,FALSE)=GE77,VLOOKUP(GF77,$FX$4:$FX$15,1,FALSE)=GF77,VLOOKUP(GG77,$FX$4:$FX$15,1,FALSE)=GG77,VLOOKUP(GH77,$FX$4:$FX$15,1,FALSE)=GH77,VLOOKUP(GI77,$FX$4:$FX$15,1,FALSE)=GI77),FZ77,""),"")</f>
        <v/>
      </c>
      <c r="GX77" s="142" t="n"/>
    </row>
    <row r="78" ht="14.25" customHeight="1">
      <c r="B78" s="58" t="n">
        <v>42</v>
      </c>
      <c r="C78" s="59" t="n">
        <v>46195</v>
      </c>
      <c r="D78" s="60" t="inlineStr">
        <is>
          <t>Frankrike</t>
        </is>
      </c>
      <c r="E78" s="61" t="inlineStr">
        <is>
          <t>-</t>
        </is>
      </c>
      <c r="F78" s="62" t="inlineStr">
        <is>
          <t>Irak</t>
        </is>
      </c>
      <c r="G78" s="63" t="n">
        <v>3</v>
      </c>
      <c r="H78" s="64" t="inlineStr">
        <is>
          <t>-</t>
        </is>
      </c>
      <c r="I78" s="63" t="n">
        <v>0</v>
      </c>
      <c r="J78" s="65">
        <f>IF(OR(ISBLANK(G78),ISBLANK(I78)),"",IF(G78&gt;I78,1,IF(G78&lt;I78,2,"X")))</f>
        <v/>
      </c>
      <c r="K78" s="66">
        <f>IF(OR(G78="",I78="",'[1]Resultat &amp; tabell'!G78="",'[1]Resultat &amp; tabell'!I78=""),0,IF(G78='[1]Resultat &amp; tabell'!G78,2,0)+IF(I78='[1]Resultat &amp; tabell'!I78,2,0)+IF(J78='[1]Resultat &amp; tabell'!J78,2,0))</f>
        <v/>
      </c>
      <c r="L78" s="67" t="n"/>
      <c r="M78" s="29">
        <f>IF(VLOOKUP(D78,$BT$75:$CC$79,10,FALSE)=VLOOKUP(F78,$BT$75:$CC$79,10,FALSE),VLOOKUP(D78,$BT$75:$CC$79,10,FALSE),"-")</f>
        <v/>
      </c>
      <c r="N78" s="30" t="n">
        <v>3</v>
      </c>
      <c r="O78" s="83">
        <f>VLOOKUP(N78,FI76:FJ79,2,FALSE)</f>
        <v/>
      </c>
      <c r="P78" s="84">
        <f>VLOOKUP($O78,$BT$76:$CA$79,2,FALSE)</f>
        <v/>
      </c>
      <c r="Q78" s="84">
        <f>VLOOKUP($O78,$BT$76:$CA$79,3,FALSE)</f>
        <v/>
      </c>
      <c r="R78" s="84">
        <f>VLOOKUP($O78,$BT$76:$CA$79,4,FALSE)</f>
        <v/>
      </c>
      <c r="S78" s="84">
        <f>VLOOKUP($O78,$BT$76:$CA$79,5,FALSE)</f>
        <v/>
      </c>
      <c r="T78" s="84">
        <f>VLOOKUP($O78,$BT$76:$CA$79,6,FALSE)</f>
        <v/>
      </c>
      <c r="U78" s="84">
        <f>VLOOKUP($O78,$BT$76:$CA$79,7,FALSE)</f>
        <v/>
      </c>
      <c r="V78" s="85">
        <f>VLOOKUP($O78,$BT$76:$CA$79,8,FALSE)</f>
        <v/>
      </c>
      <c r="X78" s="1" t="n"/>
      <c r="AE78" s="72">
        <f>C78</f>
        <v/>
      </c>
      <c r="AF78" s="72">
        <f>D78</f>
        <v/>
      </c>
      <c r="AG78" s="72">
        <f>E78</f>
        <v/>
      </c>
      <c r="AH78" s="72">
        <f>F78</f>
        <v/>
      </c>
      <c r="AI78" s="63">
        <f>IF(G78="","",G78)</f>
        <v/>
      </c>
      <c r="AJ78" s="58">
        <f>H78</f>
        <v/>
      </c>
      <c r="AK78" s="63">
        <f>IF(I78="","",I78)</f>
        <v/>
      </c>
      <c r="AL78" s="65">
        <f>J78</f>
        <v/>
      </c>
      <c r="AM78" s="73" t="n"/>
      <c r="AN78" s="13">
        <f>IF(AI78&gt;AK78,1,0)</f>
        <v/>
      </c>
      <c r="AO78" s="13">
        <f>IF(AK78&gt;AI78,1,0)</f>
        <v/>
      </c>
      <c r="AP78" s="13">
        <f>IF(AND(AI78=AK78,AI78&lt;&gt;""),1,0)</f>
        <v/>
      </c>
      <c r="AQ78" s="13">
        <f>IF(AND(AI78=AK78,AI78&lt;&gt;""),1,0)</f>
        <v/>
      </c>
      <c r="AR78" s="13">
        <f>IF(AI78&lt;AK78,1,0)</f>
        <v/>
      </c>
      <c r="AS78" s="13">
        <f>IF(AK78&lt;AI78,1,)</f>
        <v/>
      </c>
      <c r="AT78" s="13">
        <f>IF(ISERROR(VLOOKUP(AF78,CF:CF,1,FALSE)),0,1)*IF(ISERROR(VLOOKUP(AH78,CF:CF,1,FALSE)),0,1)*AN78</f>
        <v/>
      </c>
      <c r="AU78" s="13">
        <f>IF(ISERROR(VLOOKUP(AF78,CF:CF,1,FALSE)),0,1)*IF(ISERROR(VLOOKUP(AH78,CF:CF,1,FALSE)),0,1)*AO78</f>
        <v/>
      </c>
      <c r="AV78" s="13">
        <f>IF(ISERROR(VLOOKUP(AF78,CF:CF,1,FALSE)),0,1)*IF(ISERROR(VLOOKUP(AH78,CF:CF,1,FALSE)),0,1)*AP78</f>
        <v/>
      </c>
      <c r="AW78" s="13">
        <f>IF(ISERROR(VLOOKUP(AF78,CF:CF,1,FALSE)),0,1)*IF(ISERROR(VLOOKUP(AH78,CF:CF,1,FALSE)),0,1)*AQ78</f>
        <v/>
      </c>
      <c r="AX78" s="13">
        <f>IF(ISERROR(VLOOKUP(AF78,CF:CF,1,FALSE)),0,1)*IF(ISERROR(VLOOKUP(AH78,CF:CF,1,FALSE)),0,1)*AR78</f>
        <v/>
      </c>
      <c r="AY78" s="13">
        <f>IF(ISERROR(VLOOKUP(AF78,CF:CF,1,FALSE)),0,1)*IF(ISERROR(VLOOKUP(AH78,CF:CF,1,FALSE)),0,1)*AS78</f>
        <v/>
      </c>
      <c r="AZ78" s="13">
        <f>IF(ISERROR(VLOOKUP(AF78,CZ:CZ,1,FALSE)),0,1)*IF(ISERROR(VLOOKUP(AH78,CZ:CZ,1,FALSE)),0,1)*AN78</f>
        <v/>
      </c>
      <c r="BA78" s="13">
        <f>IF(ISERROR(VLOOKUP(AF78,CZ:CZ,1,FALSE)),0,1)*IF(ISERROR(VLOOKUP(AH78,CZ:CZ,1,FALSE)),0,1)*AO78</f>
        <v/>
      </c>
      <c r="BB78" s="13">
        <f>IF(ISERROR(VLOOKUP(AF78,CZ:CZ,1,FALSE)),0,1)*IF(ISERROR(VLOOKUP(AH78,CZ:CZ,1,FALSE)),0,1)*AP78</f>
        <v/>
      </c>
      <c r="BC78" s="13">
        <f>IF(ISERROR(VLOOKUP(AF78,CZ:CZ,1,FALSE)),0,1)*IF(ISERROR(VLOOKUP(AH78,CZ:CZ,1,FALSE)),0,1)*AQ78</f>
        <v/>
      </c>
      <c r="BD78" s="13">
        <f>IF(ISERROR(VLOOKUP(AF78,CZ:CZ,1,FALSE)),0,1)*IF(ISERROR(VLOOKUP(AH78,CZ:CZ,1,FALSE)),0,1)*AR78</f>
        <v/>
      </c>
      <c r="BE78" s="13">
        <f>IF(ISERROR(VLOOKUP(AF78,CZ:CZ,1,FALSE)),0,1)*IF(ISERROR(VLOOKUP(AH78,CZ:CZ,1,FALSE)),0,1)*AS78</f>
        <v/>
      </c>
      <c r="BF78" s="13">
        <f>IF(ISERROR(VLOOKUP(AF78,DT:DT,1,FALSE)),0,1)*IF(ISERROR(VLOOKUP(AH78,DT:DT,1,FALSE)),0,1)*AN78</f>
        <v/>
      </c>
      <c r="BG78" s="13">
        <f>IF(ISERROR(VLOOKUP(AF78,DT:DT,1,FALSE)),0,1)*IF(ISERROR(VLOOKUP(AH78,DT:DT,1,FALSE)),0,1)*AO78</f>
        <v/>
      </c>
      <c r="BH78" s="13">
        <f>IF(ISERROR(VLOOKUP(AF78,DT:DT,1,FALSE)),0,1)*IF(ISERROR(VLOOKUP(AH78,DT:DT,1,FALSE)),0,1)*AP78</f>
        <v/>
      </c>
      <c r="BI78" s="13">
        <f>IF(ISERROR(VLOOKUP(AF78,DT:DT,1,FALSE)),0,1)*IF(ISERROR(VLOOKUP(AH78,DT:DT,1,FALSE)),0,1)*AQ78</f>
        <v/>
      </c>
      <c r="BJ78" s="13">
        <f>IF(ISERROR(VLOOKUP(AF78,DT:DT,1,FALSE)),0,1)*IF(ISERROR(VLOOKUP(AH78,DT:DT,1,FALSE)),0,1)*AR78</f>
        <v/>
      </c>
      <c r="BK78" s="13">
        <f>IF(ISERROR(VLOOKUP(AF78,DT:DT,1,FALSE)),0,1)*IF(ISERROR(VLOOKUP(AH78,DT:DT,1,FALSE)),0,1)*AS78</f>
        <v/>
      </c>
      <c r="BL78" s="13">
        <f>IF(ISERROR(VLOOKUP(AF78,EN:EN,1,FALSE)),0,1)*IF(ISERROR(VLOOKUP(AH78,EN:EN,1,FALSE)),0,1)*AN78</f>
        <v/>
      </c>
      <c r="BM78" s="13">
        <f>IF(ISERROR(VLOOKUP(AF78,EN:EN,1,FALSE)),0,1)*IF(ISERROR(VLOOKUP(AH78,EN:EN,1,FALSE)),0,1)*AO78</f>
        <v/>
      </c>
      <c r="BN78" s="13">
        <f>IF(ISERROR(VLOOKUP(AF78,EN:EN,1,FALSE)),0,1)*IF(ISERROR(VLOOKUP(AH78,EN:EN,1,FALSE)),0,1)*AP78</f>
        <v/>
      </c>
      <c r="BO78" s="13">
        <f>IF(ISERROR(VLOOKUP(AF78,EN:EN,1,FALSE)),0,1)*IF(ISERROR(VLOOKUP(AH78,EN:EN,1,FALSE)),0,1)*AQ78</f>
        <v/>
      </c>
      <c r="BP78" s="13">
        <f>IF(ISERROR(VLOOKUP(AF78,EN:EN,1,FALSE)),0,1)*IF(ISERROR(VLOOKUP(AH78,EN:EN,1,FALSE)),0,1)*AR78</f>
        <v/>
      </c>
      <c r="BQ78" s="13">
        <f>IF(ISERROR(VLOOKUP(AF78,EN:EN,1,FALSE)),0,1)*IF(ISERROR(VLOOKUP(AH78,EN:EN,1,FALSE)),0,1)*AS78</f>
        <v/>
      </c>
      <c r="BT78" s="12" t="inlineStr">
        <is>
          <t>Irak</t>
        </is>
      </c>
      <c r="BU78" s="13">
        <f>(SUMIF(AF$4:AF$108,BT78,AN$4:AN$108)+SUMIF(AH$4:AH$108,BT78,AO$4:AO$108))</f>
        <v/>
      </c>
      <c r="BV78" s="13">
        <f>(SUMIF(AF$4:AF$108,BT78,AP$4:AP$108)+SUMIF(AH$4:AH$108,BT78,AQ$4:AQ$108))</f>
        <v/>
      </c>
      <c r="BW78" s="13">
        <f>(SUMIF(AF$4:AF$108,BT78,AR$4:AR$108)+SUMIF(AH$4:AH$108,BT78,AS$4:AS$108))</f>
        <v/>
      </c>
      <c r="BX78" s="13">
        <f>SUMIF($AF$4:$AF$108,BT78,$AI$4:$AI$108)+SUMIF($AH$4:$AH$108,BT78,$AK$4:$AK$108)</f>
        <v/>
      </c>
      <c r="BY78" s="13">
        <f>SUMIF($AF$4:$AF$108,BT78,$AK$4:$AK$108)+SUMIF($AH$4:$AH$108,BT78,$AI$4:$AI$108)</f>
        <v/>
      </c>
      <c r="BZ78" s="13">
        <f>BX78-BY78</f>
        <v/>
      </c>
      <c r="CA78" s="13">
        <f>IFERROR(BU78*3+BV78*1,0)</f>
        <v/>
      </c>
      <c r="CB78" s="13" t="inlineStr">
        <is>
          <t>I</t>
        </is>
      </c>
      <c r="CC78" s="74">
        <f>RANK(CA78,CA76:CA79)</f>
        <v/>
      </c>
      <c r="CD78" s="13">
        <f>SUMPRODUCT((CA76:CA79=CA78)*(BZ76:BZ79&gt;BZ78))</f>
        <v/>
      </c>
      <c r="CF78" s="12">
        <f>IF(CC78=1,BT78,)</f>
        <v/>
      </c>
      <c r="CG78" s="13">
        <f>(SUMIF($AF$4:$AF$108,$BT78,$AT$4:$AT$108)+SUMIF($AH$4:$AH$108,$BT78,$AU$4:$AU$108))</f>
        <v/>
      </c>
      <c r="CH78" s="13">
        <f>(SUMIF($AF$4:$AF$108,$BT78,$AV$4:$AV$108)+SUMIF($AH$4:$AH$108,$BT78,$AW$4:$AW$108))</f>
        <v/>
      </c>
      <c r="CI78" s="13">
        <f>(SUMIF($AF$4:$AF$108,$BT78,$AX$4:$AX$108)+SUMIF($AH$4:$AH$108,$BT78,$AY$4:$AY$108))</f>
        <v/>
      </c>
      <c r="CJ78" s="13">
        <f>IFERROR(CG78*3+CH78*1,0)</f>
        <v/>
      </c>
      <c r="CK78" s="13">
        <f>CB78</f>
        <v/>
      </c>
      <c r="CL78" s="13">
        <f>IF(CF78&gt;0,RANK(CJ78,CJ76:CJ79),)</f>
        <v/>
      </c>
      <c r="CM78" s="13">
        <f>IF(AND(CF78&gt;0,COUNTIF(CL76:CL79,CL78)&gt;1),SUMIFS($AI$4:$AI$108,$AF$4:$AF$108,$BT78,$M$4:$M$108,1)+SUMIFS($AK$4:$AK$108,$AH$4:$AH$108,$BT78,$M$4:$M$108,1)-SUMIFS($AK$4:$AK$108,$AF$4:$AF$108,$BT78,$M$4:$M$108,1)-SUMIFS($AI$4:$AI$108,$AH$4:$AH$108,$BT78,$M$4:$M$108,1),)</f>
        <v/>
      </c>
      <c r="CN78" s="13">
        <f>IF(AND(CF78&gt;0,COUNTIF(CL76:CL79,CL78)&gt;1),CL78+RANK(CM78,CM76:CM79)-1,CL78)</f>
        <v/>
      </c>
      <c r="CO78" s="13">
        <f>IF(AND(CF78&gt;0,COUNTIF(CN76:CN79,CN78)&gt;1),SUMIFS($AI$4:$AI$108,$AF$4:$AF$108,$BT78,$M$4:$M$108,1)+SUMIFS($AK$4:$AK$108,$AH$4:$AH$108,$BT78,$M$4:$M$108,1),)</f>
        <v/>
      </c>
      <c r="CP78" s="13">
        <f>IF(AND(CF78&gt;0,COUNTIF(CN76:CN79,CN78)&gt;1),CN78+RANK(CO78,CO76:CO79)-1,CN78)</f>
        <v/>
      </c>
      <c r="CQ78" s="13">
        <f>IF(CP78=0,"",CP78)</f>
        <v/>
      </c>
      <c r="CR78" s="13">
        <f>IF(OR(CQ78="",COUNTIF(CQ76:CQ79,CQ78)=1),"",$BZ78)</f>
        <v/>
      </c>
      <c r="CS78" s="13">
        <f>IF(CQ78="","",IF(COUNTIF(CQ76:CQ79,CQ78)=1,CQ78,CQ78+RANK(CR78,CR76:CR79,0)-1))</f>
        <v/>
      </c>
      <c r="CT78" s="13">
        <f>IF(OR(CS78="",COUNTIF(CS76:CS79,CS78)=1),"",$BX78)</f>
        <v/>
      </c>
      <c r="CU78" s="13">
        <f>IF(CQ78="","",IF(COUNTIF(CS76:CS79,CS78)=1,CS78,CS78+RANK(CT78,CT76:CT79,0)-1))</f>
        <v/>
      </c>
      <c r="CV78" s="13">
        <f>IF(OR(CU78="",COUNTIF(CU76:CU79,CU78)=1),"",$BU78)</f>
        <v/>
      </c>
      <c r="CW78" s="13">
        <f>IF(CQ78="","",IF(COUNTIF(CU76:CU79,CU78)=1,CU78,CU78+RANK(CV78,CV76:CV79,0)-1))</f>
        <v/>
      </c>
      <c r="CX78" s="13">
        <f>IF(CF78&gt;0,BM74+RANK(CW78,CW76:CW79,1),)</f>
        <v/>
      </c>
      <c r="CZ78" s="12">
        <f>IF(CC78=2,BT78,)</f>
        <v/>
      </c>
      <c r="DA78" s="13">
        <f>(SUMIF($AF$4:$AF$108,$BT78,$AZ$4:$AZ$108)+SUMIF($AH$4:$AH$108,$BT78,$BA$4:$BA$108))</f>
        <v/>
      </c>
      <c r="DB78" s="13">
        <f>(SUMIF($AF$4:$AF$108,$BT78,$BB$4:$BB$108)+SUMIF($AH$4:$AH$108,$BT78,$BC$4:$BC$108))</f>
        <v/>
      </c>
      <c r="DC78" s="13">
        <f>(SUMIF($AF$4:$AF$108,$BT78,$BD$4:$BD$108)+SUMIF($AH$4:$AH$108,$BT78,$BE$4:$BE$108))</f>
        <v/>
      </c>
      <c r="DD78" s="13">
        <f>IFERROR(DA78*3+DB78*1,0)</f>
        <v/>
      </c>
      <c r="DE78" s="13">
        <f>$CB78</f>
        <v/>
      </c>
      <c r="DF78" s="13">
        <f>IF(CZ78&gt;0,RANK(DD78,DD76:DD79)+CG74,)</f>
        <v/>
      </c>
      <c r="DG78" s="13">
        <f>IF(AND(CZ78&gt;0,COUNTIF(DF76:DF79,DF78)&gt;1),SUMIFS($AI$4:$AI$108,$AF$4:$AF$108,$BT78,$M$4:$M$108,2)+SUMIFS($AK$4:$AK$108,$AH$4:$AH108,$BT78,$M$4:$M$108,2)-SUMIFS($AK$4:$AK$108,$AF$4:$AF$108,$BT78,$M$4:$M$108,2)-SUMIFS($AI$4:$AI$108,$AH$4:$AH$108,$BT78,$M$4:$M$108,2),)</f>
        <v/>
      </c>
      <c r="DH78" s="13">
        <f>IF(AND(CZ78&gt;0,COUNTIF(DF76:DF79,DF78)&gt;1),DF78+RANK(DG78,DG76:DG79)-1,DF78)</f>
        <v/>
      </c>
      <c r="DI78" s="13">
        <f>IF(AND(CZ78&gt;0,COUNTIF(DH76:DH79,DH78)&gt;1),SUMIFS($AI$4:$AI$108,$AF$4:$AF$108,$BT78,$M$4:$M$108,2)+SUMIFS($AK$4:$AK$108,$AH$4:$AH$108,$BT78,$M$4:$M$108,2),)</f>
        <v/>
      </c>
      <c r="DJ78" s="13">
        <f>IF(AND(CZ78&gt;0,COUNTIF(DH76:DH79,DH78)&gt;1),DH78+RANK(DI78,DI76:DI79)-1,DH78)</f>
        <v/>
      </c>
      <c r="DK78" s="75">
        <f>IF(DJ78=0,"",DJ78)</f>
        <v/>
      </c>
      <c r="DL78" s="75">
        <f>IF(OR(DK78="",COUNTIF(DK76:DK79,DK78)=1),"",$BZ78)</f>
        <v/>
      </c>
      <c r="DM78" s="75">
        <f>IF(DK78="","",IF(COUNTIF(DK76:DK79,DK78)=1,DK78,DK78+RANK(DL78,DL76:DL79,0)-1))</f>
        <v/>
      </c>
      <c r="DN78" s="75">
        <f>IF(OR(DM78="",COUNTIF(DM76:DM79,DM78)=1),"",$BX78)</f>
        <v/>
      </c>
      <c r="DO78" s="75">
        <f>IF(DK78="","",IF(COUNTIF(DM76:DM79,DM78)=1,DM78,DM78+RANK(DN78,DN76:DN79,0)-1))</f>
        <v/>
      </c>
      <c r="DP78" s="75">
        <f>IF(OR(DO78="",COUNTIF(DO76:DO79,DO78)=1),"",$BU78)</f>
        <v/>
      </c>
      <c r="DQ78" s="75">
        <f>IF(DK78="","",IF(COUNTIF(DO76:DO79,DO78)=1,DO78,DO78+RANK(DP78,DP76:DP79,0)-1))</f>
        <v/>
      </c>
      <c r="DR78" s="13">
        <f>IF(CZ78&gt;0,CG74+RANK(DQ78,DQ76:DQ79,1),)</f>
        <v/>
      </c>
      <c r="DT78" s="13">
        <f>IF(CC78=3,BT78,)</f>
        <v/>
      </c>
      <c r="DU78" s="13">
        <f>(SUMIF($AF$4:$AF$108,BT78,$BF$4:$BF$108)+SUMIF($AH$4:$AH$108,BT78,$BG$4:$BG$108))</f>
        <v/>
      </c>
      <c r="DV78" s="13">
        <f>(SUMIF($AF$4:$AF$108,BT78,$BH$4:$BH$108)+SUMIF($AH$4:$AH$108,BT78,$BI$4:$BI$108))</f>
        <v/>
      </c>
      <c r="DW78" s="13">
        <f>(SUMIF($AF$4:$AF$108,BT78,$BJ$4:$BJ$108)+SUMIF($AH$4:$AH$108,BT78,$BK$4:$BK$108))</f>
        <v/>
      </c>
      <c r="DX78" s="13">
        <f>IFERROR(DU78*3+DV78*1,0)</f>
        <v/>
      </c>
      <c r="DY78" s="13">
        <f>CB78</f>
        <v/>
      </c>
      <c r="DZ78" s="13">
        <f>IF(DT78&gt;0,RANK(DX78,DX76:DX79)+CG74+DA74,)</f>
        <v/>
      </c>
      <c r="EA78" s="13">
        <f>IF(AND(DT78&gt;0,COUNTIF(DZ76:DZ79,DZ78)&gt;1),SUMIFS($AI$4:$AI$108,$AF$4:$AF$108,$BT78,$M$4:$M$108,3)+SUMIFS($AK$4:$AK$108,$AH$4:$AH$108,$BT78,$M$4:$M$108,3)-SUMIFS($AK$4:$AK$108,$AF$4:$AF$108,$BT78,$M$4:$M$108,3)-SUMIFS($AI$4:$AI$108,$AH$4:$AH$108,$BT78,$M$4:$M$108,3),)</f>
        <v/>
      </c>
      <c r="EB78" s="13">
        <f>IF(AND(DT78&gt;0,COUNTIF(DZ76:DZ79,DZ78)&gt;1),DZ78+RANK(EA78,EA76:EA79)-1,DZ78)</f>
        <v/>
      </c>
      <c r="EC78" s="13">
        <f>IF(AND(DT78&gt;0,COUNTIF(EB76:EB79,EB78)&gt;1),SUMIFS($AI$4:$AI$108,$AF$4:$AF$108,$BT78,$M$4:$M$108,3)+SUMIFS($AK$4:$AK$108,$AH$4:$AH$108,$BT78,$M$4:$M$108,3),)</f>
        <v/>
      </c>
      <c r="ED78" s="13">
        <f>IF(AND(DT78&gt;0,COUNTIF(EB76:EB79,EB78)&gt;1),EB78+RANK(EC78,EC76:EC79)-1,EB78)</f>
        <v/>
      </c>
      <c r="EE78" s="13">
        <f>IF(ED78=0,"",ED78)</f>
        <v/>
      </c>
      <c r="EF78" s="13">
        <f>IF(OR(EE78="",COUNTIF(EE76:EE79,EE78)=1),"",$BZ78)</f>
        <v/>
      </c>
      <c r="EG78" s="13">
        <f>IF(EE78="","",IF(COUNTIF(EE76:EE79,EE78)=1,EE78,EE78+RANK(EF78,EF76:EF79,0)-1))</f>
        <v/>
      </c>
      <c r="EH78" s="13">
        <f>IF(OR(EG78="",COUNTIF(EG76:EG79,EG78)=1),"",$BX78)</f>
        <v/>
      </c>
      <c r="EI78" s="13">
        <f>IF(EE78="","",IF(COUNTIF(EG76:EG79,EG78)=1,EG78,EG78+RANK(EH78,EH76:EH79,0)-1))</f>
        <v/>
      </c>
      <c r="EJ78" s="13">
        <f>IF(OR(EI78="",COUNTIF(EI76:EI79,EI78)=1),"",$BU78)</f>
        <v/>
      </c>
      <c r="EK78" s="13">
        <f>IF(EE78="","",IF(COUNTIF(EI76:EI79,EI78)=1,EI78,EI78+RANK(EJ78,EJ76:EJ79,0)-1))</f>
        <v/>
      </c>
      <c r="EL78" s="13">
        <f>IF(DT78&gt;0,CG74+DA74+RANK(EK78,EK76:EK79,1),)</f>
        <v/>
      </c>
      <c r="EN78" s="13">
        <f>IF(CC78=4,BT78,)</f>
        <v/>
      </c>
      <c r="EO78" s="13">
        <f>(SUMIF($AF$4:$AF$108,$BT78,$BL$4:$BL$108)+SUMIF($AH$4:$AH$108,$BT78,$BM$4:$BM$108))</f>
        <v/>
      </c>
      <c r="EP78" s="13">
        <f>(SUMIF($AF$4:$AF$108,$BT78,$BN$4:$BN$108)+SUMIF($AH$4:$AH$108,$BT78,$BO$4:$BO$108))</f>
        <v/>
      </c>
      <c r="EQ78" s="13">
        <f>(SUMIF($AF$4:$AF$108,$BT78,$BP$4:$BP$108)+SUMIF($AH$4:$AH$108,$BT78,$BQ$4:$BQ$108))</f>
        <v/>
      </c>
      <c r="ER78" s="13">
        <f>IFERROR(EO78*3+EP78*1,0)</f>
        <v/>
      </c>
      <c r="ES78" s="13">
        <f>$CB78</f>
        <v/>
      </c>
      <c r="ET78" s="13">
        <f>IF(EN78&gt;0,RANK(ER78,ER76:ER79)+CG74+DA74+DU74,)</f>
        <v/>
      </c>
      <c r="EU78" s="13">
        <f>IF(AND(EN78&gt;0,COUNTIF(ET76:ET79,ET78)&gt;1),SUMIFS($AI$4:$AI$108,$AF$4:$AF$108,$BT78,$M$4:$M$108,4)+SUMIFS($AK$4:$AK$108,$AH$4:$AH$108,$BT78,$M$4:$M$108,4)-SUMIFS($AK$4:$AK$108,$AF$4:$AF$108,$BT78,$M$4:$M$108,4)-SUMIFS($AI$4:$AI$108,$AH$4:$AH$108,$BT78,$M$4:$M$108,4),)</f>
        <v/>
      </c>
      <c r="EV78" s="13">
        <f>IF(AND(EN78&gt;0,COUNTIF(ET76:ET79,ET78)&gt;1),ET78+RANK(EU78,EU76:EU79)-1,ET78)</f>
        <v/>
      </c>
      <c r="EW78" s="13">
        <f>IF(AND(EN78&gt;0,COUNTIF(EV78:EV81,EV78)&gt;1),SUMIFS($AI$4:$AI$108,$AF$4:$AF$108,$BT78,$M$4:$M$108,4)+SUMIFS($AK$4:$AK$108,$AH$4:$AH$108,$BT78,$M$4:$M$108,4),)</f>
        <v/>
      </c>
      <c r="EX78" s="13">
        <f>IF(AND(EN78&gt;0,COUNTIF(EV76:EV79,EV78)&gt;1),EV78+RANK(EW78,EW76:EW79)-1,EV78)</f>
        <v/>
      </c>
      <c r="EY78" s="13">
        <f>IF(EX78=0,"",EX78)</f>
        <v/>
      </c>
      <c r="EZ78" s="13">
        <f>IF(OR(EY78="",COUNTIF(EY76:EY79,EY78)=1),"",$BZ78)</f>
        <v/>
      </c>
      <c r="FA78" s="13">
        <f>IF(EY78="","",IF(COUNTIF(EY76:EY79,EY78)=1,EY78,EY78+RANK(EZ78,EZ76:EZ79,0)-1))</f>
        <v/>
      </c>
      <c r="FB78" s="13">
        <f>IF(OR(FA78="",COUNTIF(FA76:FA79,FA78)=1),"",$BX78)</f>
        <v/>
      </c>
      <c r="FC78" s="13">
        <f>IF(EY78="","",IF(COUNTIF(FA76:FA79,FA78)=1,FA78,FA78+RANK(FB78,FB76:FB79,0)-1))</f>
        <v/>
      </c>
      <c r="FD78" s="13">
        <f>IF(OR(FC78="",COUNTIF(FC76:FC79,FC78)=1),"",$BU78)</f>
        <v/>
      </c>
      <c r="FE78" s="13">
        <f>IF(EY78="","",IF(COUNTIF(FC76:FC79,FC78)=1,FC78,FC78+RANK(FD78,FD76:FD79,0)-1))</f>
        <v/>
      </c>
      <c r="FF78" s="13">
        <f>IF(EN78&gt;0,CG74+DA74+DU74+RANK(FE78,FE76:FE79,1),)</f>
        <v/>
      </c>
      <c r="FH78" s="13">
        <f>IFERROR(VLOOKUP(FJ78,CF75:CX79,19,FALSE),IFERROR(VLOOKUP(FJ78,CZ75:DR79,19,FALSE),IFERROR(VLOOKUP(FJ78,DT75:EL79,19,FALSE),VLOOKUP(FJ78,EN75:FF79,19,FALSE))))</f>
        <v/>
      </c>
      <c r="FI78" s="13">
        <f>RANK(FH78,FH76:FH79,1)+COUNTIF(FH76:FH78,FH78)-1</f>
        <v/>
      </c>
      <c r="FJ78" s="12">
        <f>BT78</f>
        <v/>
      </c>
      <c r="FZ78" s="79" t="n">
        <v>76</v>
      </c>
      <c r="GA78" s="3">
        <f>GB78&amp;GC78&amp;GD78&amp;GE78&amp;GF78&amp;GG78&amp;GH78&amp;GI78</f>
        <v/>
      </c>
      <c r="GB78" s="3" t="inlineStr">
        <is>
          <t>E</t>
        </is>
      </c>
      <c r="GC78" s="3" t="inlineStr">
        <is>
          <t>G</t>
        </is>
      </c>
      <c r="GD78" s="3" t="inlineStr">
        <is>
          <t>B</t>
        </is>
      </c>
      <c r="GE78" s="3" t="inlineStr">
        <is>
          <t>D</t>
        </is>
      </c>
      <c r="GF78" s="3" t="inlineStr">
        <is>
          <t>J</t>
        </is>
      </c>
      <c r="GG78" s="3" t="inlineStr">
        <is>
          <t>F</t>
        </is>
      </c>
      <c r="GH78" s="3" t="inlineStr">
        <is>
          <t>I</t>
        </is>
      </c>
      <c r="GI78" s="3" t="inlineStr">
        <is>
          <t>K</t>
        </is>
      </c>
      <c r="GJ78" s="9">
        <f>VLOOKUP(GB78,$FM$3:$FN$15,2,FALSE)</f>
        <v/>
      </c>
      <c r="GK78" s="9">
        <f>VLOOKUP(GC78,$FM$3:$FN$15,2,FALSE)</f>
        <v/>
      </c>
      <c r="GL78" s="9">
        <f>VLOOKUP(GD78,$FM$3:$FN$15,2,FALSE)</f>
        <v/>
      </c>
      <c r="GM78" s="9">
        <f>VLOOKUP(GE78,$FM$3:$FN$15,2,FALSE)</f>
        <v/>
      </c>
      <c r="GN78" s="9">
        <f>VLOOKUP(GF78,$FM$3:$FN$15,2,FALSE)</f>
        <v/>
      </c>
      <c r="GO78" s="9">
        <f>VLOOKUP(GG78,$FM$3:$FN$15,2,FALSE)</f>
        <v/>
      </c>
      <c r="GP78" s="9">
        <f>VLOOKUP(GH78,$FM$3:$FN$15,2,FALSE)</f>
        <v/>
      </c>
      <c r="GQ78" s="9">
        <f>VLOOKUP(GI78,$FM$3:$FN$15,2,FALSE)</f>
        <v/>
      </c>
      <c r="GR78" s="9">
        <f>IFERROR(IF(AND(VLOOKUP(GB78,$FX$4:$FX$15,1,FALSE)=GB78,VLOOKUP(GC78,$FX$4:$FX$15,1,FALSE)=GC78,VLOOKUP(GD78,$FX$4:$FX$15,1,FALSE)=GD78,VLOOKUP(GE78,$FX$4:$FX$15,1,FALSE)=GE78,VLOOKUP(GF78,$FX$4:$FX$15,1,FALSE)=GF78,VLOOKUP(GG78,$FX$4:$FX$15,1,FALSE)=GG78,VLOOKUP(GH78,$FX$4:$FX$15,1,FALSE)=GH78,VLOOKUP(GI78,$FX$4:$FX$15,1,FALSE)=GI78),FZ78,""),"")</f>
        <v/>
      </c>
      <c r="GX78" s="142" t="n"/>
    </row>
    <row r="79" ht="14.25" customHeight="1">
      <c r="B79" s="58" t="n">
        <v>41</v>
      </c>
      <c r="C79" s="59" t="n">
        <v>46196</v>
      </c>
      <c r="D79" s="60" t="inlineStr">
        <is>
          <t>Norge</t>
        </is>
      </c>
      <c r="E79" s="61" t="inlineStr">
        <is>
          <t>-</t>
        </is>
      </c>
      <c r="F79" s="62" t="inlineStr">
        <is>
          <t>Senegal</t>
        </is>
      </c>
      <c r="G79" s="63" t="n">
        <v>1</v>
      </c>
      <c r="H79" s="64" t="inlineStr">
        <is>
          <t>-</t>
        </is>
      </c>
      <c r="I79" s="63" t="n">
        <v>1</v>
      </c>
      <c r="J79" s="65">
        <f>IF(OR(ISBLANK(G79),ISBLANK(I79)),"",IF(G79&gt;I79,1,IF(G79&lt;I79,2,"X")))</f>
        <v/>
      </c>
      <c r="K79" s="66">
        <f>IF(OR(G79="",I79="",'[1]Resultat &amp; tabell'!G79="",'[1]Resultat &amp; tabell'!I79=""),0,IF(G79='[1]Resultat &amp; tabell'!G79,2,0)+IF(I79='[1]Resultat &amp; tabell'!I79,2,0)+IF(J79='[1]Resultat &amp; tabell'!J79,2,0))</f>
        <v/>
      </c>
      <c r="L79" s="67" t="n"/>
      <c r="M79" s="29">
        <f>IF(VLOOKUP(D79,$BT$75:$CC$79,10,FALSE)=VLOOKUP(F79,$BT$75:$CC$79,10,FALSE),VLOOKUP(D79,$BT$75:$CC$79,10,FALSE),"-")</f>
        <v/>
      </c>
      <c r="N79" s="30" t="n">
        <v>4</v>
      </c>
      <c r="O79" s="86">
        <f>VLOOKUP(N79,FI76:FJ79,2,FALSE)</f>
        <v/>
      </c>
      <c r="P79" s="87">
        <f>VLOOKUP($O79,$BT$76:$CA$79,2,FALSE)</f>
        <v/>
      </c>
      <c r="Q79" s="87">
        <f>VLOOKUP($O79,$BT$76:$CA$79,3,FALSE)</f>
        <v/>
      </c>
      <c r="R79" s="87">
        <f>VLOOKUP($O79,$BT$76:$CA$79,4,FALSE)</f>
        <v/>
      </c>
      <c r="S79" s="87">
        <f>VLOOKUP($O79,$BT$76:$CA$79,5,FALSE)</f>
        <v/>
      </c>
      <c r="T79" s="87">
        <f>VLOOKUP($O79,$BT$76:$CA$79,6,FALSE)</f>
        <v/>
      </c>
      <c r="U79" s="87">
        <f>VLOOKUP($O79,$BT$76:$CA$79,7,FALSE)</f>
        <v/>
      </c>
      <c r="V79" s="82">
        <f>VLOOKUP($O79,$BT$76:$CA$79,8,FALSE)</f>
        <v/>
      </c>
      <c r="X79" s="1" t="n"/>
      <c r="AE79" s="72">
        <f>C79</f>
        <v/>
      </c>
      <c r="AF79" s="72">
        <f>D79</f>
        <v/>
      </c>
      <c r="AG79" s="72">
        <f>E79</f>
        <v/>
      </c>
      <c r="AH79" s="72">
        <f>F79</f>
        <v/>
      </c>
      <c r="AI79" s="63">
        <f>IF(G79="","",G79)</f>
        <v/>
      </c>
      <c r="AJ79" s="58">
        <f>H79</f>
        <v/>
      </c>
      <c r="AK79" s="63">
        <f>IF(I79="","",I79)</f>
        <v/>
      </c>
      <c r="AL79" s="65">
        <f>J79</f>
        <v/>
      </c>
      <c r="AM79" s="73" t="n"/>
      <c r="AN79" s="13">
        <f>IF(AI79&gt;AK79,1,0)</f>
        <v/>
      </c>
      <c r="AO79" s="13">
        <f>IF(AK79&gt;AI79,1,0)</f>
        <v/>
      </c>
      <c r="AP79" s="13">
        <f>IF(AND(AI79=AK79,AI79&lt;&gt;""),1,0)</f>
        <v/>
      </c>
      <c r="AQ79" s="13">
        <f>IF(AND(AI79=AK79,AI79&lt;&gt;""),1,0)</f>
        <v/>
      </c>
      <c r="AR79" s="13">
        <f>IF(AI79&lt;AK79,1,0)</f>
        <v/>
      </c>
      <c r="AS79" s="13">
        <f>IF(AK79&lt;AI79,1,)</f>
        <v/>
      </c>
      <c r="AT79" s="13">
        <f>IF(ISERROR(VLOOKUP(AF79,CF:CF,1,FALSE)),0,1)*IF(ISERROR(VLOOKUP(AH79,CF:CF,1,FALSE)),0,1)*AN79</f>
        <v/>
      </c>
      <c r="AU79" s="13">
        <f>IF(ISERROR(VLOOKUP(AF79,CF:CF,1,FALSE)),0,1)*IF(ISERROR(VLOOKUP(AH79,CF:CF,1,FALSE)),0,1)*AO79</f>
        <v/>
      </c>
      <c r="AV79" s="13">
        <f>IF(ISERROR(VLOOKUP(AF79,CF:CF,1,FALSE)),0,1)*IF(ISERROR(VLOOKUP(AH79,CF:CF,1,FALSE)),0,1)*AP79</f>
        <v/>
      </c>
      <c r="AW79" s="13">
        <f>IF(ISERROR(VLOOKUP(AF79,CF:CF,1,FALSE)),0,1)*IF(ISERROR(VLOOKUP(AH79,CF:CF,1,FALSE)),0,1)*AQ79</f>
        <v/>
      </c>
      <c r="AX79" s="13">
        <f>IF(ISERROR(VLOOKUP(AF79,CF:CF,1,FALSE)),0,1)*IF(ISERROR(VLOOKUP(AH79,CF:CF,1,FALSE)),0,1)*AR79</f>
        <v/>
      </c>
      <c r="AY79" s="13">
        <f>IF(ISERROR(VLOOKUP(AF79,CF:CF,1,FALSE)),0,1)*IF(ISERROR(VLOOKUP(AH79,CF:CF,1,FALSE)),0,1)*AS79</f>
        <v/>
      </c>
      <c r="AZ79" s="13">
        <f>IF(ISERROR(VLOOKUP(AF79,CZ:CZ,1,FALSE)),0,1)*IF(ISERROR(VLOOKUP(AH79,CZ:CZ,1,FALSE)),0,1)*AN79</f>
        <v/>
      </c>
      <c r="BA79" s="13">
        <f>IF(ISERROR(VLOOKUP(AF79,CZ:CZ,1,FALSE)),0,1)*IF(ISERROR(VLOOKUP(AH79,CZ:CZ,1,FALSE)),0,1)*AO79</f>
        <v/>
      </c>
      <c r="BB79" s="13">
        <f>IF(ISERROR(VLOOKUP(AF79,CZ:CZ,1,FALSE)),0,1)*IF(ISERROR(VLOOKUP(AH79,CZ:CZ,1,FALSE)),0,1)*AP79</f>
        <v/>
      </c>
      <c r="BC79" s="13">
        <f>IF(ISERROR(VLOOKUP(AF79,CZ:CZ,1,FALSE)),0,1)*IF(ISERROR(VLOOKUP(AH79,CZ:CZ,1,FALSE)),0,1)*AQ79</f>
        <v/>
      </c>
      <c r="BD79" s="13">
        <f>IF(ISERROR(VLOOKUP(AF79,CZ:CZ,1,FALSE)),0,1)*IF(ISERROR(VLOOKUP(AH79,CZ:CZ,1,FALSE)),0,1)*AR79</f>
        <v/>
      </c>
      <c r="BE79" s="13">
        <f>IF(ISERROR(VLOOKUP(AF79,CZ:CZ,1,FALSE)),0,1)*IF(ISERROR(VLOOKUP(AH79,CZ:CZ,1,FALSE)),0,1)*AS79</f>
        <v/>
      </c>
      <c r="BF79" s="13">
        <f>IF(ISERROR(VLOOKUP(AF79,DT:DT,1,FALSE)),0,1)*IF(ISERROR(VLOOKUP(AH79,DT:DT,1,FALSE)),0,1)*AN79</f>
        <v/>
      </c>
      <c r="BG79" s="13">
        <f>IF(ISERROR(VLOOKUP(AF79,DT:DT,1,FALSE)),0,1)*IF(ISERROR(VLOOKUP(AH79,DT:DT,1,FALSE)),0,1)*AO79</f>
        <v/>
      </c>
      <c r="BH79" s="13">
        <f>IF(ISERROR(VLOOKUP(AF79,DT:DT,1,FALSE)),0,1)*IF(ISERROR(VLOOKUP(AH79,DT:DT,1,FALSE)),0,1)*AP79</f>
        <v/>
      </c>
      <c r="BI79" s="13">
        <f>IF(ISERROR(VLOOKUP(AF79,DT:DT,1,FALSE)),0,1)*IF(ISERROR(VLOOKUP(AH79,DT:DT,1,FALSE)),0,1)*AQ79</f>
        <v/>
      </c>
      <c r="BJ79" s="13">
        <f>IF(ISERROR(VLOOKUP(AF79,DT:DT,1,FALSE)),0,1)*IF(ISERROR(VLOOKUP(AH79,DT:DT,1,FALSE)),0,1)*AR79</f>
        <v/>
      </c>
      <c r="BK79" s="13">
        <f>IF(ISERROR(VLOOKUP(AF79,DT:DT,1,FALSE)),0,1)*IF(ISERROR(VLOOKUP(AH79,DT:DT,1,FALSE)),0,1)*AS79</f>
        <v/>
      </c>
      <c r="BL79" s="13">
        <f>IF(ISERROR(VLOOKUP(AF79,EN:EN,1,FALSE)),0,1)*IF(ISERROR(VLOOKUP(AH79,EN:EN,1,FALSE)),0,1)*AN79</f>
        <v/>
      </c>
      <c r="BM79" s="13">
        <f>IF(ISERROR(VLOOKUP(AF79,EN:EN,1,FALSE)),0,1)*IF(ISERROR(VLOOKUP(AH79,EN:EN,1,FALSE)),0,1)*AO79</f>
        <v/>
      </c>
      <c r="BN79" s="13">
        <f>IF(ISERROR(VLOOKUP(AF79,EN:EN,1,FALSE)),0,1)*IF(ISERROR(VLOOKUP(AH79,EN:EN,1,FALSE)),0,1)*AP79</f>
        <v/>
      </c>
      <c r="BO79" s="13">
        <f>IF(ISERROR(VLOOKUP(AF79,EN:EN,1,FALSE)),0,1)*IF(ISERROR(VLOOKUP(AH79,EN:EN,1,FALSE)),0,1)*AQ79</f>
        <v/>
      </c>
      <c r="BP79" s="13">
        <f>IF(ISERROR(VLOOKUP(AF79,EN:EN,1,FALSE)),0,1)*IF(ISERROR(VLOOKUP(AH79,EN:EN,1,FALSE)),0,1)*AR79</f>
        <v/>
      </c>
      <c r="BQ79" s="13">
        <f>IF(ISERROR(VLOOKUP(AF79,EN:EN,1,FALSE)),0,1)*IF(ISERROR(VLOOKUP(AH79,EN:EN,1,FALSE)),0,1)*AS79</f>
        <v/>
      </c>
      <c r="BT79" s="88" t="inlineStr">
        <is>
          <t>Norge</t>
        </is>
      </c>
      <c r="BU79" s="13">
        <f>(SUMIF(AF$4:AF$108,BT79,AN$4:AN$108)+SUMIF(AH$4:AH$108,BT79,AO$4:AO$108))</f>
        <v/>
      </c>
      <c r="BV79" s="13">
        <f>(SUMIF(AF$4:AF$108,BT79,AP$4:AP$108)+SUMIF(AH$4:AH$108,BT79,AQ$4:AQ$108))</f>
        <v/>
      </c>
      <c r="BW79" s="13">
        <f>(SUMIF(AF$4:AF$108,BT79,AR$4:AR$108)+SUMIF(AH$4:AH$108,BT79,AS$4:AS$108))</f>
        <v/>
      </c>
      <c r="BX79" s="13">
        <f>SUMIF($AF$4:$AF$108,BT79,$AI$4:$AI$108)+SUMIF($AH$4:$AH$108,BT79,$AK$4:$AK$108)</f>
        <v/>
      </c>
      <c r="BY79" s="13">
        <f>SUMIF($AF$4:$AF$108,BT79,$AK$4:$AK$108)+SUMIF($AH$4:$AH$108,BT79,$AI$4:$AI$108)</f>
        <v/>
      </c>
      <c r="BZ79" s="13">
        <f>BX79-BY79</f>
        <v/>
      </c>
      <c r="CA79" s="13">
        <f>IFERROR(BU79*3+BV79*1,0)</f>
        <v/>
      </c>
      <c r="CB79" s="89" t="inlineStr">
        <is>
          <t>I</t>
        </is>
      </c>
      <c r="CC79" s="74">
        <f>RANK(CA79,CA76:CA79)</f>
        <v/>
      </c>
      <c r="CD79" s="13">
        <f>SUMPRODUCT((CA76:CA79=CA79)*(BZ76:BZ79&gt;BZ79))</f>
        <v/>
      </c>
      <c r="CF79" s="88">
        <f>IF(CC79=1,BT79,)</f>
        <v/>
      </c>
      <c r="CG79" s="13">
        <f>(SUMIF($AF$4:$AF$108,$BT79,$AT$4:$AT$108)+SUMIF($AH$4:$AH$108,$BT79,$AU$4:$AU$108))</f>
        <v/>
      </c>
      <c r="CH79" s="13">
        <f>(SUMIF($AF$4:$AF$108,$BT79,$AV$4:$AV$108)+SUMIF($AH$4:$AH$108,$BT79,$AW$4:$AW$108))</f>
        <v/>
      </c>
      <c r="CI79" s="13">
        <f>(SUMIF($AF$4:$AF$108,$BT79,$AX$4:$AX$108)+SUMIF($AH$4:$AH$108,$BT79,$AY$4:$AY$108))</f>
        <v/>
      </c>
      <c r="CJ79" s="13">
        <f>IFERROR(CG79*3+CH79*1,0)</f>
        <v/>
      </c>
      <c r="CK79" s="13">
        <f>CB79</f>
        <v/>
      </c>
      <c r="CL79" s="13">
        <f>IF(CF79&gt;0,RANK(CJ79,CJ76:CJ79),)</f>
        <v/>
      </c>
      <c r="CM79" s="13">
        <f>IF(AND(CF79&gt;0,COUNTIF(CL76:CL79,CL79)&gt;1),SUMIFS($AI$4:$AI$108,$AF$4:$AF$108,$BT79,$M$4:$M$108,1)+SUMIFS($AK$4:$AK$108,$AH$4:$AH$108,$BT79,$M$4:$M$108,1)-SUMIFS($AK$4:$AK$108,$AF$4:$AF$108,$BT79,$M$4:$M$108,1)-SUMIFS($AI$4:$AI$108,$AH$4:$AH$108,$BT79,$M$4:$M$108,1),)</f>
        <v/>
      </c>
      <c r="CN79" s="13">
        <f>IF(AND(CF79&gt;0,COUNTIF(CL76:CL79,CL79)&gt;1),CL79+RANK(CM79,CM76:CM79)-1,CL79)</f>
        <v/>
      </c>
      <c r="CO79" s="13">
        <f>IF(AND(CF79&gt;0,COUNTIF(CN76:CN79,CN79)&gt;1),SUMIFS($AI$4:$AI$108,$AF$4:$AF$108,$BT79,$M$4:$M$108,1)+SUMIFS($AK$4:$AK$108,$AH$4:$AH$108,$BT79,$M$4:$M$108,1),)</f>
        <v/>
      </c>
      <c r="CP79" s="13">
        <f>IF(AND(CF79&gt;0,COUNTIF(CN76:CN79,CN79)&gt;1),CN79+RANK(CO79,CO76:CO79)-1,CN79)</f>
        <v/>
      </c>
      <c r="CQ79" s="13">
        <f>IF(CP79=0,"",CP79)</f>
        <v/>
      </c>
      <c r="CR79" s="13">
        <f>IF(OR(CQ79="",COUNTIF(CQ76:CQ79,CQ79)=1),"",$BZ79)</f>
        <v/>
      </c>
      <c r="CS79" s="13">
        <f>IF(CQ79="","",IF(COUNTIF(CQ76:CQ79,CQ79)=1,CQ79,CQ79+RANK(CR79,CR76:CR79,0)-1))</f>
        <v/>
      </c>
      <c r="CT79" s="13">
        <f>IF(OR(CS79="",COUNTIF(CS76:CS79,CS79)=1),"",$BX79)</f>
        <v/>
      </c>
      <c r="CU79" s="13">
        <f>IF(CQ79="","",IF(COUNTIF(CS76:CS79,CS79)=1,CS79,CS79+RANK(CT79,CT76:CT79,0)-1))</f>
        <v/>
      </c>
      <c r="CV79" s="13">
        <f>IF(OR(CU79="",COUNTIF(CU76:CU79,CU79)=1),"",$BU79)</f>
        <v/>
      </c>
      <c r="CW79" s="13">
        <f>IF(CQ79="","",IF(COUNTIF(CU76:CU79,CU79)=1,CU79,CU79+RANK(CV79,CV76:CV79,0)-1))</f>
        <v/>
      </c>
      <c r="CX79" s="13">
        <f>IF(CF79&gt;0,BM74+RANK(CW79,CW76:CW79,1),)</f>
        <v/>
      </c>
      <c r="CZ79" s="88">
        <f>IF(CC79=2,BT79,)</f>
        <v/>
      </c>
      <c r="DA79" s="13">
        <f>(SUMIF($AF$4:$AF$108,$BT79,$AZ$4:$AZ$108)+SUMIF($AH$4:$AH$108,$BT79,$BA$4:$BA$108))</f>
        <v/>
      </c>
      <c r="DB79" s="13">
        <f>(SUMIF($AF$4:$AF$108,$BT79,$BB$4:$BB$108)+SUMIF($AH$4:$AH$108,$BT79,$BC$4:$BC$108))</f>
        <v/>
      </c>
      <c r="DC79" s="13">
        <f>(SUMIF($AF$4:$AF$108,$BT79,$BD$4:$BD$108)+SUMIF($AH$4:$AH$108,$BT79,$BE$4:$BE$108))</f>
        <v/>
      </c>
      <c r="DD79" s="13">
        <f>IFERROR(DA79*3+DB79*1,0)</f>
        <v/>
      </c>
      <c r="DE79" s="13">
        <f>$CB79</f>
        <v/>
      </c>
      <c r="DF79" s="13">
        <f>IF(CZ79&gt;0,RANK(DD79,DD76:DD79)+CG74,)</f>
        <v/>
      </c>
      <c r="DG79" s="13">
        <f>IF(AND(CZ79&gt;0,COUNTIF(DF76:DF79,DF79)&gt;1),SUMIFS($AI$4:$AI$108,$AF$4:$AF$108,$BT79,$M$4:$M$108,2)+SUMIFS($AK$4:$AK$108,$AH$4:$AH108,$BT79,$M$4:$M$108,2)-SUMIFS($AK$4:$AK$108,$AF$4:$AF$108,$BT79,$M$4:$M$108,2)-SUMIFS($AI$4:$AI$108,$AH$4:$AH$108,$BT79,$M$4:$M$108,2),)</f>
        <v/>
      </c>
      <c r="DH79" s="13">
        <f>IF(AND(CZ79&gt;0,COUNTIF(DF76:DF79,DF79)&gt;1),DF79+RANK(DG79,DG76:DG79)-1,DF79)</f>
        <v/>
      </c>
      <c r="DI79" s="13">
        <f>IF(AND(CZ79&gt;0,COUNTIF(DH76:DH79,DH79)&gt;1),SUMIFS($AI$4:$AI$108,$AF$4:$AF$108,$BT79,$M$4:$M$108,2)+SUMIFS($AK$4:$AK$108,$AH$4:$AH$108,$BT79,$M$4:$M$108,2),)</f>
        <v/>
      </c>
      <c r="DJ79" s="13">
        <f>IF(AND(CZ79&gt;0,COUNTIF(DH76:DH79,DH79)&gt;1),DH79+RANK(DI79,DI76:DI79)-1,DH79)</f>
        <v/>
      </c>
      <c r="DK79" s="75">
        <f>IF(DJ79=0,"",DJ79)</f>
        <v/>
      </c>
      <c r="DL79" s="75">
        <f>IF(OR(DK79="",COUNTIF(DK76:DK79,DK79)=1),"",$BZ79)</f>
        <v/>
      </c>
      <c r="DM79" s="75">
        <f>IF(DK79="","",IF(COUNTIF(DK76:DK79,DK79)=1,DK79,DK79+RANK(DL79,DL76:DL79,0)-1))</f>
        <v/>
      </c>
      <c r="DN79" s="75">
        <f>IF(OR(DM79="",COUNTIF(DM76:DM79,DM79)=1),"",$BX79)</f>
        <v/>
      </c>
      <c r="DO79" s="75">
        <f>IF(DK79="","",IF(COUNTIF(DM76:DM79,DM79)=1,DM79,DM79+RANK(DN79,DN76:DN79,0)-1))</f>
        <v/>
      </c>
      <c r="DP79" s="75">
        <f>IF(OR(DO79="",COUNTIF(DO76:DO79,DO79)=1),"",$BU79)</f>
        <v/>
      </c>
      <c r="DQ79" s="75">
        <f>IF(DK79="","",IF(COUNTIF(DO76:DO79,DO79)=1,DO79,DO79+RANK(DP79,DP76:DP79,0)-1))</f>
        <v/>
      </c>
      <c r="DR79" s="13">
        <f>IF(CZ79&gt;0,CG74+RANK(DQ79,DQ76:DQ79,1),)</f>
        <v/>
      </c>
      <c r="DT79" s="89">
        <f>IF(CC79=3,BT79,)</f>
        <v/>
      </c>
      <c r="DU79" s="13">
        <f>(SUMIF($AF$4:$AF$108,BT79,$BF$4:$BF$108)+SUMIF($AH$4:$AH$108,BT79,$BG$4:$BG$108))</f>
        <v/>
      </c>
      <c r="DV79" s="13">
        <f>(SUMIF($AF$4:$AF$108,BT79,$BH$4:$BH$108)+SUMIF($AH$4:$AH$108,BT79,$BI$4:$BI$108))</f>
        <v/>
      </c>
      <c r="DW79" s="13">
        <f>(SUMIF($AF$4:$AF$108,BT79,$BJ$4:$BJ$108)+SUMIF($AH$4:$AH$108,BT79,$BK$4:$BK$108))</f>
        <v/>
      </c>
      <c r="DX79" s="13">
        <f>IFERROR(DU79*3+DV79*1,0)</f>
        <v/>
      </c>
      <c r="DY79" s="13">
        <f>CB79</f>
        <v/>
      </c>
      <c r="DZ79" s="13">
        <f>IF(DT79&gt;0,RANK(DX79,DX76:DX79)+CG74+DA74,)</f>
        <v/>
      </c>
      <c r="EA79" s="13">
        <f>IF(AND(DT79&gt;0,COUNTIF(DZ76:DZ79,DZ79)&gt;1),SUMIFS($AI$4:$AI$108,$AF$4:$AF$108,$BT79,$M$4:$M$108,3)+SUMIFS($AK$4:$AK$108,$AH$4:$AH$108,$BT79,$M$4:$M$108,3)-SUMIFS($AK$4:$AK$108,$AF$4:$AF$108,$BT79,$M$4:$M$108,3)-SUMIFS($AI$4:$AI$108,$AH$4:$AH$108,$BT79,$M$4:$M$108,3),)</f>
        <v/>
      </c>
      <c r="EB79" s="13">
        <f>IF(AND(DT79&gt;0,COUNTIF(DZ76:DZ79,DZ79)&gt;1),DZ79+RANK(EA79,EA76:EA79)-1,DZ79)</f>
        <v/>
      </c>
      <c r="EC79" s="13">
        <f>IF(AND(DT79&gt;0,COUNTIF(EB76:EB79,EB79)&gt;1),SUMIFS($AI$4:$AI$108,$AF$4:$AF$108,$BT79,$M$4:$M$108,3)+SUMIFS($AK$4:$AK$108,$AH$4:$AH$108,$BT79,$M$4:$M$108,3),)</f>
        <v/>
      </c>
      <c r="ED79" s="13">
        <f>IF(AND(DT79&gt;0,COUNTIF(EB76:EB79,EB79)&gt;1),EB79+RANK(EC79,EC76:EC79)-1,EB79)</f>
        <v/>
      </c>
      <c r="EE79" s="13">
        <f>IF(ED79=0,"",ED79)</f>
        <v/>
      </c>
      <c r="EF79" s="13">
        <f>IF(OR(EE79="",COUNTIF(EE76:EE79,EE79)=1),"",$BZ79)</f>
        <v/>
      </c>
      <c r="EG79" s="13">
        <f>IF(EE79="","",IF(COUNTIF(EE76:EE79,EE79)=1,EE79,EE79+RANK(EF79,EF76:EF79,0)-1))</f>
        <v/>
      </c>
      <c r="EH79" s="13">
        <f>IF(OR(EG79="",COUNTIF(EG76:EG79,EG79)=1),"",$BX79)</f>
        <v/>
      </c>
      <c r="EI79" s="13">
        <f>IF(EE79="","",IF(COUNTIF(EG76:EG79,EG79)=1,EG79,EG79+RANK(EH79,EH76:EH79,0)-1))</f>
        <v/>
      </c>
      <c r="EJ79" s="13">
        <f>IF(OR(EI79="",COUNTIF(EI76:EI79,EI79)=1),"",$BU79)</f>
        <v/>
      </c>
      <c r="EK79" s="13">
        <f>IF(EE79="","",IF(COUNTIF(EI76:EI79,EI79)=1,EI79,EI79+RANK(EJ79,EJ76:EJ79,0)-1))</f>
        <v/>
      </c>
      <c r="EL79" s="13">
        <f>IF(DT79&gt;0,CG74+DA74+RANK(EK79,EK76:EK79,1),)</f>
        <v/>
      </c>
      <c r="EN79" s="13">
        <f>IF(CC79=4,BT79,)</f>
        <v/>
      </c>
      <c r="EO79" s="13">
        <f>(SUMIF($AF$4:$AF$108,$BT79,$BL$4:$BL$108)+SUMIF($AH$4:$AH$108,$BT79,$BM$4:$BM$108))</f>
        <v/>
      </c>
      <c r="EP79" s="13">
        <f>(SUMIF($AF$4:$AF$108,$BT79,$BN$4:$BN$108)+SUMIF($AH$4:$AH$108,$BT79,$BO$4:$BO$108))</f>
        <v/>
      </c>
      <c r="EQ79" s="13">
        <f>(SUMIF($AF$4:$AF$108,$BT79,$BP$4:$BP$108)+SUMIF($AH$4:$AH$108,$BT79,$BQ$4:$BQ$108))</f>
        <v/>
      </c>
      <c r="ER79" s="13">
        <f>IFERROR(EO79*3+EP79*1,0)</f>
        <v/>
      </c>
      <c r="ES79" s="13">
        <f>$CB79</f>
        <v/>
      </c>
      <c r="ET79" s="13">
        <f>IF(EN79&gt;0,RANK(ER79,ER76:ER79)+CG74+DA74+DU74,)</f>
        <v/>
      </c>
      <c r="EU79" s="13">
        <f>IF(AND(EN79&gt;0,COUNTIF(ET76:ET79,ET79)&gt;1),SUMIFS($AI$4:$AI$108,$AF$4:$AF$108,$BT79,$M$4:$M$108,4)+SUMIFS($AK$4:$AK$108,$AH$4:$AH$108,$BT79,$M$4:$M$108,4)-SUMIFS($AK$4:$AK$108,$AF$4:$AF$108,$BT79,$M$4:$M$108,4)-SUMIFS($AI$4:$AI$108,$AH$4:$AH$108,$BT79,$M$4:$M$108,4),)</f>
        <v/>
      </c>
      <c r="EV79" s="13">
        <f>IF(AND(EN79&gt;0,COUNTIF(ET76:ET79,ET79)&gt;1),ET79+RANK(EU79,EU76:EU79)-1,ET79)</f>
        <v/>
      </c>
      <c r="EW79" s="13">
        <f>IF(AND(EN79&gt;0,COUNTIF(EV79:EV82,EV79)&gt;1),SUMIFS($AI$4:$AI$108,$AF$4:$AF$108,$BT79,$M$4:$M$108,4)+SUMIFS($AK$4:$AK$108,$AH$4:$AH$108,$BT79,$M$4:$M$108,4),)</f>
        <v/>
      </c>
      <c r="EX79" s="13">
        <f>IF(AND(EN79&gt;0,COUNTIF(EV76:EV79,EV79)&gt;1),EV79+RANK(EW79,EW76:EW79)-1,EV79)</f>
        <v/>
      </c>
      <c r="EY79" s="13">
        <f>IF(EX79=0,"",EX79)</f>
        <v/>
      </c>
      <c r="EZ79" s="13">
        <f>IF(OR(EY79="",COUNTIF(EY76:EY79,EY79)=1),"",$BZ79)</f>
        <v/>
      </c>
      <c r="FA79" s="13">
        <f>IF(EY79="","",IF(COUNTIF(EY76:EY79,EY79)=1,EY79,EY79+RANK(EZ79,EZ76:EZ79,0)-1))</f>
        <v/>
      </c>
      <c r="FB79" s="13">
        <f>IF(OR(FA79="",COUNTIF(FA76:FA79,FA79)=1),"",$BX79)</f>
        <v/>
      </c>
      <c r="FC79" s="13">
        <f>IF(EY79="","",IF(COUNTIF(FA76:FA79,FA79)=1,FA79,FA79+RANK(FB79,FB76:FB79,0)-1))</f>
        <v/>
      </c>
      <c r="FD79" s="13">
        <f>IF(OR(FC79="",COUNTIF(FC76:FC79,FC79)=1),"",$BU79)</f>
        <v/>
      </c>
      <c r="FE79" s="13">
        <f>IF(EY79="","",IF(COUNTIF(FC76:FC79,FC79)=1,FC79,FC79+RANK(FD79,FD76:FD79,0)-1))</f>
        <v/>
      </c>
      <c r="FF79" s="13">
        <f>IF(EN79&gt;0,CG74+DA74+DU74+RANK(FE79,FE76:FE79,1),)</f>
        <v/>
      </c>
      <c r="FH79" s="13">
        <f>IFERROR(VLOOKUP(FJ79,CF75:CX79,19,FALSE),IFERROR(VLOOKUP(FJ79,CZ75:DR79,19,FALSE),IFERROR(VLOOKUP(FJ79,DT75:EL79,19,FALSE),VLOOKUP(FJ79,EN75:FF79,19,FALSE))))</f>
        <v/>
      </c>
      <c r="FI79" s="13">
        <f>RANK(FH79,FH76:FH79,1)+COUNTIF(FH76:FH79,FH79)-1</f>
        <v/>
      </c>
      <c r="FJ79" s="12">
        <f>BT79</f>
        <v/>
      </c>
      <c r="FZ79" s="79" t="n">
        <v>77</v>
      </c>
      <c r="GA79" s="3">
        <f>GB79&amp;GC79&amp;GD79&amp;GE79&amp;GF79&amp;GG79&amp;GH79&amp;GI79</f>
        <v/>
      </c>
      <c r="GB79" s="3" t="inlineStr">
        <is>
          <t>E</t>
        </is>
      </c>
      <c r="GC79" s="3" t="inlineStr">
        <is>
          <t>G</t>
        </is>
      </c>
      <c r="GD79" s="3" t="inlineStr">
        <is>
          <t>B</t>
        </is>
      </c>
      <c r="GE79" s="3" t="inlineStr">
        <is>
          <t>D</t>
        </is>
      </c>
      <c r="GF79" s="3" t="inlineStr">
        <is>
          <t>H</t>
        </is>
      </c>
      <c r="GG79" s="3" t="inlineStr">
        <is>
          <t>F</t>
        </is>
      </c>
      <c r="GH79" s="3" t="inlineStr">
        <is>
          <t>L</t>
        </is>
      </c>
      <c r="GI79" s="3" t="inlineStr">
        <is>
          <t>K</t>
        </is>
      </c>
      <c r="GJ79" s="9">
        <f>VLOOKUP(GB79,$FM$3:$FN$15,2,FALSE)</f>
        <v/>
      </c>
      <c r="GK79" s="9">
        <f>VLOOKUP(GC79,$FM$3:$FN$15,2,FALSE)</f>
        <v/>
      </c>
      <c r="GL79" s="9">
        <f>VLOOKUP(GD79,$FM$3:$FN$15,2,FALSE)</f>
        <v/>
      </c>
      <c r="GM79" s="9">
        <f>VLOOKUP(GE79,$FM$3:$FN$15,2,FALSE)</f>
        <v/>
      </c>
      <c r="GN79" s="9">
        <f>VLOOKUP(GF79,$FM$3:$FN$15,2,FALSE)</f>
        <v/>
      </c>
      <c r="GO79" s="9">
        <f>VLOOKUP(GG79,$FM$3:$FN$15,2,FALSE)</f>
        <v/>
      </c>
      <c r="GP79" s="9">
        <f>VLOOKUP(GH79,$FM$3:$FN$15,2,FALSE)</f>
        <v/>
      </c>
      <c r="GQ79" s="9">
        <f>VLOOKUP(GI79,$FM$3:$FN$15,2,FALSE)</f>
        <v/>
      </c>
      <c r="GR79" s="9">
        <f>IFERROR(IF(AND(VLOOKUP(GB79,$FX$4:$FX$15,1,FALSE)=GB79,VLOOKUP(GC79,$FX$4:$FX$15,1,FALSE)=GC79,VLOOKUP(GD79,$FX$4:$FX$15,1,FALSE)=GD79,VLOOKUP(GE79,$FX$4:$FX$15,1,FALSE)=GE79,VLOOKUP(GF79,$FX$4:$FX$15,1,FALSE)=GF79,VLOOKUP(GG79,$FX$4:$FX$15,1,FALSE)=GG79,VLOOKUP(GH79,$FX$4:$FX$15,1,FALSE)=GH79,VLOOKUP(GI79,$FX$4:$FX$15,1,FALSE)=GI79),FZ79,""),"")</f>
        <v/>
      </c>
      <c r="GX79" s="142" t="n"/>
    </row>
    <row r="80" ht="14.25" customHeight="1">
      <c r="B80" s="58" t="n">
        <v>61</v>
      </c>
      <c r="C80" s="59" t="n">
        <v>46199</v>
      </c>
      <c r="D80" s="60" t="inlineStr">
        <is>
          <t>Norge</t>
        </is>
      </c>
      <c r="E80" s="61" t="inlineStr">
        <is>
          <t>-</t>
        </is>
      </c>
      <c r="F80" s="62" t="inlineStr">
        <is>
          <t>Frankrike</t>
        </is>
      </c>
      <c r="G80" s="63" t="n">
        <v>1</v>
      </c>
      <c r="H80" s="64" t="inlineStr">
        <is>
          <t>-</t>
        </is>
      </c>
      <c r="I80" s="63" t="n">
        <v>2</v>
      </c>
      <c r="J80" s="65">
        <f>IF(OR(ISBLANK(G80),ISBLANK(I80)),"",IF(G80&gt;I80,1,IF(G80&lt;I80,2,"X")))</f>
        <v/>
      </c>
      <c r="K80" s="66">
        <f>IF(OR(G80="",I80="",'[1]Resultat &amp; tabell'!G80="",'[1]Resultat &amp; tabell'!I80=""),0,IF(G80='[1]Resultat &amp; tabell'!G80,2,0)+IF(I80='[1]Resultat &amp; tabell'!I80,2,0)+IF(J80='[1]Resultat &amp; tabell'!J80,2,0))</f>
        <v/>
      </c>
      <c r="L80" s="67" t="n"/>
      <c r="M80" s="29">
        <f>IF(VLOOKUP(D80,$BT$75:$CC$79,10,FALSE)=VLOOKUP(F80,$BT$75:$CC$79,10,FALSE),VLOOKUP(D80,$BT$75:$CC$79,10,FALSE),"-")</f>
        <v/>
      </c>
      <c r="O80" s="91">
        <f>IF(COUNTBLANK(G76:G81)+COUNTBLANK(I76:I81)=0,"Resultat OK","Fyll i resultat")</f>
        <v/>
      </c>
      <c r="P80" s="92" t="n"/>
      <c r="Q80" s="92" t="n"/>
      <c r="R80" s="92" t="n"/>
      <c r="S80" s="92" t="n"/>
      <c r="T80" s="92" t="n"/>
      <c r="U80" s="92" t="n"/>
      <c r="X80" s="1" t="n"/>
      <c r="AE80" s="72">
        <f>C80</f>
        <v/>
      </c>
      <c r="AF80" s="72">
        <f>D80</f>
        <v/>
      </c>
      <c r="AG80" s="72">
        <f>E80</f>
        <v/>
      </c>
      <c r="AH80" s="72">
        <f>F80</f>
        <v/>
      </c>
      <c r="AI80" s="63">
        <f>IF(G80="","",G80)</f>
        <v/>
      </c>
      <c r="AJ80" s="58">
        <f>H80</f>
        <v/>
      </c>
      <c r="AK80" s="63">
        <f>IF(I80="","",I80)</f>
        <v/>
      </c>
      <c r="AL80" s="65">
        <f>J80</f>
        <v/>
      </c>
      <c r="AM80" s="73" t="n"/>
      <c r="AN80" s="13">
        <f>IF(AI80&gt;AK80,1,0)</f>
        <v/>
      </c>
      <c r="AO80" s="13">
        <f>IF(AK80&gt;AI80,1,0)</f>
        <v/>
      </c>
      <c r="AP80" s="13">
        <f>IF(AND(AI80=AK80,AI80&lt;&gt;""),1,0)</f>
        <v/>
      </c>
      <c r="AQ80" s="13">
        <f>IF(AND(AI80=AK80,AI80&lt;&gt;""),1,0)</f>
        <v/>
      </c>
      <c r="AR80" s="13">
        <f>IF(AI80&lt;AK80,1,0)</f>
        <v/>
      </c>
      <c r="AS80" s="13">
        <f>IF(AK80&lt;AI80,1,)</f>
        <v/>
      </c>
      <c r="AT80" s="13">
        <f>IF(ISERROR(VLOOKUP(AF80,CF:CF,1,FALSE)),0,1)*IF(ISERROR(VLOOKUP(AH80,CF:CF,1,FALSE)),0,1)*AN80</f>
        <v/>
      </c>
      <c r="AU80" s="13">
        <f>IF(ISERROR(VLOOKUP(AF80,CF:CF,1,FALSE)),0,1)*IF(ISERROR(VLOOKUP(AH80,CF:CF,1,FALSE)),0,1)*AO80</f>
        <v/>
      </c>
      <c r="AV80" s="13">
        <f>IF(ISERROR(VLOOKUP(AF80,CF:CF,1,FALSE)),0,1)*IF(ISERROR(VLOOKUP(AH80,CF:CF,1,FALSE)),0,1)*AP80</f>
        <v/>
      </c>
      <c r="AW80" s="13">
        <f>IF(ISERROR(VLOOKUP(AF80,CF:CF,1,FALSE)),0,1)*IF(ISERROR(VLOOKUP(AH80,CF:CF,1,FALSE)),0,1)*AQ80</f>
        <v/>
      </c>
      <c r="AX80" s="13">
        <f>IF(ISERROR(VLOOKUP(AF80,CF:CF,1,FALSE)),0,1)*IF(ISERROR(VLOOKUP(AH80,CF:CF,1,FALSE)),0,1)*AR80</f>
        <v/>
      </c>
      <c r="AY80" s="13">
        <f>IF(ISERROR(VLOOKUP(AF80,CF:CF,1,FALSE)),0,1)*IF(ISERROR(VLOOKUP(AH80,CF:CF,1,FALSE)),0,1)*AS80</f>
        <v/>
      </c>
      <c r="AZ80" s="13">
        <f>IF(ISERROR(VLOOKUP(AF80,CZ:CZ,1,FALSE)),0,1)*IF(ISERROR(VLOOKUP(AH80,CZ:CZ,1,FALSE)),0,1)*AN80</f>
        <v/>
      </c>
      <c r="BA80" s="13">
        <f>IF(ISERROR(VLOOKUP(AF80,CZ:CZ,1,FALSE)),0,1)*IF(ISERROR(VLOOKUP(AH80,CZ:CZ,1,FALSE)),0,1)*AO80</f>
        <v/>
      </c>
      <c r="BB80" s="13">
        <f>IF(ISERROR(VLOOKUP(AF80,CZ:CZ,1,FALSE)),0,1)*IF(ISERROR(VLOOKUP(AH80,CZ:CZ,1,FALSE)),0,1)*AP80</f>
        <v/>
      </c>
      <c r="BC80" s="13">
        <f>IF(ISERROR(VLOOKUP(AF80,CZ:CZ,1,FALSE)),0,1)*IF(ISERROR(VLOOKUP(AH80,CZ:CZ,1,FALSE)),0,1)*AQ80</f>
        <v/>
      </c>
      <c r="BD80" s="13">
        <f>IF(ISERROR(VLOOKUP(AF80,CZ:CZ,1,FALSE)),0,1)*IF(ISERROR(VLOOKUP(AH80,CZ:CZ,1,FALSE)),0,1)*AR80</f>
        <v/>
      </c>
      <c r="BE80" s="13">
        <f>IF(ISERROR(VLOOKUP(AF80,CZ:CZ,1,FALSE)),0,1)*IF(ISERROR(VLOOKUP(AH80,CZ:CZ,1,FALSE)),0,1)*AS80</f>
        <v/>
      </c>
      <c r="BF80" s="13">
        <f>IF(ISERROR(VLOOKUP(AF80,DT:DT,1,FALSE)),0,1)*IF(ISERROR(VLOOKUP(AH80,DT:DT,1,FALSE)),0,1)*AN80</f>
        <v/>
      </c>
      <c r="BG80" s="13">
        <f>IF(ISERROR(VLOOKUP(AF80,DT:DT,1,FALSE)),0,1)*IF(ISERROR(VLOOKUP(AH80,DT:DT,1,FALSE)),0,1)*AO80</f>
        <v/>
      </c>
      <c r="BH80" s="13">
        <f>IF(ISERROR(VLOOKUP(AF80,DT:DT,1,FALSE)),0,1)*IF(ISERROR(VLOOKUP(AH80,DT:DT,1,FALSE)),0,1)*AP80</f>
        <v/>
      </c>
      <c r="BI80" s="13">
        <f>IF(ISERROR(VLOOKUP(AF80,DT:DT,1,FALSE)),0,1)*IF(ISERROR(VLOOKUP(AH80,DT:DT,1,FALSE)),0,1)*AQ80</f>
        <v/>
      </c>
      <c r="BJ80" s="13">
        <f>IF(ISERROR(VLOOKUP(AF80,DT:DT,1,FALSE)),0,1)*IF(ISERROR(VLOOKUP(AH80,DT:DT,1,FALSE)),0,1)*AR80</f>
        <v/>
      </c>
      <c r="BK80" s="13">
        <f>IF(ISERROR(VLOOKUP(AF80,DT:DT,1,FALSE)),0,1)*IF(ISERROR(VLOOKUP(AH80,DT:DT,1,FALSE)),0,1)*AS80</f>
        <v/>
      </c>
      <c r="BL80" s="13">
        <f>IF(ISERROR(VLOOKUP(AF80,EN:EN,1,FALSE)),0,1)*IF(ISERROR(VLOOKUP(AH80,EN:EN,1,FALSE)),0,1)*AN80</f>
        <v/>
      </c>
      <c r="BM80" s="13">
        <f>IF(ISERROR(VLOOKUP(AF80,EN:EN,1,FALSE)),0,1)*IF(ISERROR(VLOOKUP(AH80,EN:EN,1,FALSE)),0,1)*AO80</f>
        <v/>
      </c>
      <c r="BN80" s="13">
        <f>IF(ISERROR(VLOOKUP(AF80,EN:EN,1,FALSE)),0,1)*IF(ISERROR(VLOOKUP(AH80,EN:EN,1,FALSE)),0,1)*AP80</f>
        <v/>
      </c>
      <c r="BO80" s="13">
        <f>IF(ISERROR(VLOOKUP(AF80,EN:EN,1,FALSE)),0,1)*IF(ISERROR(VLOOKUP(AH80,EN:EN,1,FALSE)),0,1)*AQ80</f>
        <v/>
      </c>
      <c r="BP80" s="13">
        <f>IF(ISERROR(VLOOKUP(AF80,EN:EN,1,FALSE)),0,1)*IF(ISERROR(VLOOKUP(AH80,EN:EN,1,FALSE)),0,1)*AR80</f>
        <v/>
      </c>
      <c r="BQ80" s="13">
        <f>IF(ISERROR(VLOOKUP(AF80,EN:EN,1,FALSE)),0,1)*IF(ISERROR(VLOOKUP(AH80,EN:EN,1,FALSE)),0,1)*AS80</f>
        <v/>
      </c>
      <c r="FZ80" s="79" t="n">
        <v>78</v>
      </c>
      <c r="GA80" s="3">
        <f>GB80&amp;GC80&amp;GD80&amp;GE80&amp;GF80&amp;GG80&amp;GH80&amp;GI80</f>
        <v/>
      </c>
      <c r="GB80" s="3" t="inlineStr">
        <is>
          <t>H</t>
        </is>
      </c>
      <c r="GC80" s="3" t="inlineStr">
        <is>
          <t>G</t>
        </is>
      </c>
      <c r="GD80" s="3" t="inlineStr">
        <is>
          <t>B</t>
        </is>
      </c>
      <c r="GE80" s="3" t="inlineStr">
        <is>
          <t>D</t>
        </is>
      </c>
      <c r="GF80" s="3" t="inlineStr">
        <is>
          <t>J</t>
        </is>
      </c>
      <c r="GG80" s="3" t="inlineStr">
        <is>
          <t>F</t>
        </is>
      </c>
      <c r="GH80" s="3" t="inlineStr">
        <is>
          <t>L</t>
        </is>
      </c>
      <c r="GI80" s="3" t="inlineStr">
        <is>
          <t>E</t>
        </is>
      </c>
      <c r="GJ80" s="9">
        <f>VLOOKUP(GB80,$FM$3:$FN$15,2,FALSE)</f>
        <v/>
      </c>
      <c r="GK80" s="9">
        <f>VLOOKUP(GC80,$FM$3:$FN$15,2,FALSE)</f>
        <v/>
      </c>
      <c r="GL80" s="9">
        <f>VLOOKUP(GD80,$FM$3:$FN$15,2,FALSE)</f>
        <v/>
      </c>
      <c r="GM80" s="9">
        <f>VLOOKUP(GE80,$FM$3:$FN$15,2,FALSE)</f>
        <v/>
      </c>
      <c r="GN80" s="9">
        <f>VLOOKUP(GF80,$FM$3:$FN$15,2,FALSE)</f>
        <v/>
      </c>
      <c r="GO80" s="9">
        <f>VLOOKUP(GG80,$FM$3:$FN$15,2,FALSE)</f>
        <v/>
      </c>
      <c r="GP80" s="9">
        <f>VLOOKUP(GH80,$FM$3:$FN$15,2,FALSE)</f>
        <v/>
      </c>
      <c r="GQ80" s="9">
        <f>VLOOKUP(GI80,$FM$3:$FN$15,2,FALSE)</f>
        <v/>
      </c>
      <c r="GR80" s="9">
        <f>IFERROR(IF(AND(VLOOKUP(GB80,$FX$4:$FX$15,1,FALSE)=GB80,VLOOKUP(GC80,$FX$4:$FX$15,1,FALSE)=GC80,VLOOKUP(GD80,$FX$4:$FX$15,1,FALSE)=GD80,VLOOKUP(GE80,$FX$4:$FX$15,1,FALSE)=GE80,VLOOKUP(GF80,$FX$4:$FX$15,1,FALSE)=GF80,VLOOKUP(GG80,$FX$4:$FX$15,1,FALSE)=GG80,VLOOKUP(GH80,$FX$4:$FX$15,1,FALSE)=GH80,VLOOKUP(GI80,$FX$4:$FX$15,1,FALSE)=GI80),FZ80,""),"")</f>
        <v/>
      </c>
      <c r="GX80" s="142" t="n"/>
    </row>
    <row r="81" ht="14.25" customHeight="1">
      <c r="B81" s="58" t="n">
        <v>62</v>
      </c>
      <c r="C81" s="59" t="n">
        <v>46199</v>
      </c>
      <c r="D81" s="60" t="inlineStr">
        <is>
          <t>Senegal</t>
        </is>
      </c>
      <c r="E81" s="61" t="inlineStr">
        <is>
          <t>-</t>
        </is>
      </c>
      <c r="F81" s="62" t="inlineStr">
        <is>
          <t>Irak</t>
        </is>
      </c>
      <c r="G81" s="63" t="n">
        <v>2</v>
      </c>
      <c r="H81" s="64" t="inlineStr">
        <is>
          <t>-</t>
        </is>
      </c>
      <c r="I81" s="63" t="n">
        <v>0</v>
      </c>
      <c r="J81" s="65">
        <f>IF(OR(ISBLANK(G81),ISBLANK(I81)),"",IF(G81&gt;I81,1,IF(G81&lt;I81,2,"X")))</f>
        <v/>
      </c>
      <c r="K81" s="66">
        <f>IF(OR(G81="",I81="",'[1]Resultat &amp; tabell'!G81="",'[1]Resultat &amp; tabell'!I81=""),0,IF(G81='[1]Resultat &amp; tabell'!G81,2,0)+IF(I81='[1]Resultat &amp; tabell'!I81,2,0)+IF(J81='[1]Resultat &amp; tabell'!J81,2,0))</f>
        <v/>
      </c>
      <c r="L81" s="67" t="n"/>
      <c r="M81" s="29">
        <f>IF(VLOOKUP(D81,$BT$75:$CC$79,10,FALSE)=VLOOKUP(F81,$BT$75:$CC$79,10,FALSE),VLOOKUP(D81,$BT$75:$CC$79,10,FALSE),"-")</f>
        <v/>
      </c>
      <c r="O81" s="144" t="n"/>
      <c r="X81" s="1" t="n"/>
      <c r="AE81" s="72">
        <f>C81</f>
        <v/>
      </c>
      <c r="AF81" s="72">
        <f>D81</f>
        <v/>
      </c>
      <c r="AG81" s="72">
        <f>E81</f>
        <v/>
      </c>
      <c r="AH81" s="72">
        <f>F81</f>
        <v/>
      </c>
      <c r="AI81" s="63">
        <f>IF(G81="","",G81)</f>
        <v/>
      </c>
      <c r="AJ81" s="58">
        <f>H81</f>
        <v/>
      </c>
      <c r="AK81" s="63">
        <f>IF(I81="","",I81)</f>
        <v/>
      </c>
      <c r="AL81" s="65">
        <f>J81</f>
        <v/>
      </c>
      <c r="AM81" s="73" t="n"/>
      <c r="AN81" s="13">
        <f>IF(AI81&gt;AK81,1,0)</f>
        <v/>
      </c>
      <c r="AO81" s="13">
        <f>IF(AK81&gt;AI81,1,0)</f>
        <v/>
      </c>
      <c r="AP81" s="13">
        <f>IF(AND(AI81=AK81,AI81&lt;&gt;""),1,0)</f>
        <v/>
      </c>
      <c r="AQ81" s="13">
        <f>IF(AND(AI81=AK81,AI81&lt;&gt;""),1,0)</f>
        <v/>
      </c>
      <c r="AR81" s="13">
        <f>IF(AI81&lt;AK81,1,0)</f>
        <v/>
      </c>
      <c r="AS81" s="13">
        <f>IF(AK81&lt;AI81,1,)</f>
        <v/>
      </c>
      <c r="AT81" s="13">
        <f>IF(ISERROR(VLOOKUP(AF81,CF:CF,1,FALSE)),0,1)*IF(ISERROR(VLOOKUP(AH81,CF:CF,1,FALSE)),0,1)*AN81</f>
        <v/>
      </c>
      <c r="AU81" s="13">
        <f>IF(ISERROR(VLOOKUP(AF81,CF:CF,1,FALSE)),0,1)*IF(ISERROR(VLOOKUP(AH81,CF:CF,1,FALSE)),0,1)*AO81</f>
        <v/>
      </c>
      <c r="AV81" s="13">
        <f>IF(ISERROR(VLOOKUP(AF81,CF:CF,1,FALSE)),0,1)*IF(ISERROR(VLOOKUP(AH81,CF:CF,1,FALSE)),0,1)*AP81</f>
        <v/>
      </c>
      <c r="AW81" s="13">
        <f>IF(ISERROR(VLOOKUP(AF81,CF:CF,1,FALSE)),0,1)*IF(ISERROR(VLOOKUP(AH81,CF:CF,1,FALSE)),0,1)*AQ81</f>
        <v/>
      </c>
      <c r="AX81" s="13">
        <f>IF(ISERROR(VLOOKUP(AF81,CF:CF,1,FALSE)),0,1)*IF(ISERROR(VLOOKUP(AH81,CF:CF,1,FALSE)),0,1)*AR81</f>
        <v/>
      </c>
      <c r="AY81" s="13">
        <f>IF(ISERROR(VLOOKUP(AF81,CF:CF,1,FALSE)),0,1)*IF(ISERROR(VLOOKUP(AH81,CF:CF,1,FALSE)),0,1)*AS81</f>
        <v/>
      </c>
      <c r="AZ81" s="13">
        <f>IF(ISERROR(VLOOKUP(AF81,CZ:CZ,1,FALSE)),0,1)*IF(ISERROR(VLOOKUP(AH81,CZ:CZ,1,FALSE)),0,1)*AN81</f>
        <v/>
      </c>
      <c r="BA81" s="13">
        <f>IF(ISERROR(VLOOKUP(AF81,CZ:CZ,1,FALSE)),0,1)*IF(ISERROR(VLOOKUP(AH81,CZ:CZ,1,FALSE)),0,1)*AO81</f>
        <v/>
      </c>
      <c r="BB81" s="13">
        <f>IF(ISERROR(VLOOKUP(AF81,CZ:CZ,1,FALSE)),0,1)*IF(ISERROR(VLOOKUP(AH81,CZ:CZ,1,FALSE)),0,1)*AP81</f>
        <v/>
      </c>
      <c r="BC81" s="13">
        <f>IF(ISERROR(VLOOKUP(AF81,CZ:CZ,1,FALSE)),0,1)*IF(ISERROR(VLOOKUP(AH81,CZ:CZ,1,FALSE)),0,1)*AQ81</f>
        <v/>
      </c>
      <c r="BD81" s="13">
        <f>IF(ISERROR(VLOOKUP(AF81,CZ:CZ,1,FALSE)),0,1)*IF(ISERROR(VLOOKUP(AH81,CZ:CZ,1,FALSE)),0,1)*AR81</f>
        <v/>
      </c>
      <c r="BE81" s="13">
        <f>IF(ISERROR(VLOOKUP(AF81,CZ:CZ,1,FALSE)),0,1)*IF(ISERROR(VLOOKUP(AH81,CZ:CZ,1,FALSE)),0,1)*AS81</f>
        <v/>
      </c>
      <c r="BF81" s="13">
        <f>IF(ISERROR(VLOOKUP(AF81,DT:DT,1,FALSE)),0,1)*IF(ISERROR(VLOOKUP(AH81,DT:DT,1,FALSE)),0,1)*AN81</f>
        <v/>
      </c>
      <c r="BG81" s="13">
        <f>IF(ISERROR(VLOOKUP(AF81,DT:DT,1,FALSE)),0,1)*IF(ISERROR(VLOOKUP(AH81,DT:DT,1,FALSE)),0,1)*AO81</f>
        <v/>
      </c>
      <c r="BH81" s="13">
        <f>IF(ISERROR(VLOOKUP(AF81,DT:DT,1,FALSE)),0,1)*IF(ISERROR(VLOOKUP(AH81,DT:DT,1,FALSE)),0,1)*AP81</f>
        <v/>
      </c>
      <c r="BI81" s="13">
        <f>IF(ISERROR(VLOOKUP(AF81,DT:DT,1,FALSE)),0,1)*IF(ISERROR(VLOOKUP(AH81,DT:DT,1,FALSE)),0,1)*AQ81</f>
        <v/>
      </c>
      <c r="BJ81" s="13">
        <f>IF(ISERROR(VLOOKUP(AF81,DT:DT,1,FALSE)),0,1)*IF(ISERROR(VLOOKUP(AH81,DT:DT,1,FALSE)),0,1)*AR81</f>
        <v/>
      </c>
      <c r="BK81" s="13">
        <f>IF(ISERROR(VLOOKUP(AF81,DT:DT,1,FALSE)),0,1)*IF(ISERROR(VLOOKUP(AH81,DT:DT,1,FALSE)),0,1)*AS81</f>
        <v/>
      </c>
      <c r="BL81" s="13">
        <f>IF(ISERROR(VLOOKUP(AF81,EN:EN,1,FALSE)),0,1)*IF(ISERROR(VLOOKUP(AH81,EN:EN,1,FALSE)),0,1)*AN81</f>
        <v/>
      </c>
      <c r="BM81" s="13">
        <f>IF(ISERROR(VLOOKUP(AF81,EN:EN,1,FALSE)),0,1)*IF(ISERROR(VLOOKUP(AH81,EN:EN,1,FALSE)),0,1)*AO81</f>
        <v/>
      </c>
      <c r="BN81" s="13">
        <f>IF(ISERROR(VLOOKUP(AF81,EN:EN,1,FALSE)),0,1)*IF(ISERROR(VLOOKUP(AH81,EN:EN,1,FALSE)),0,1)*AP81</f>
        <v/>
      </c>
      <c r="BO81" s="13">
        <f>IF(ISERROR(VLOOKUP(AF81,EN:EN,1,FALSE)),0,1)*IF(ISERROR(VLOOKUP(AH81,EN:EN,1,FALSE)),0,1)*AQ81</f>
        <v/>
      </c>
      <c r="BP81" s="13">
        <f>IF(ISERROR(VLOOKUP(AF81,EN:EN,1,FALSE)),0,1)*IF(ISERROR(VLOOKUP(AH81,EN:EN,1,FALSE)),0,1)*AR81</f>
        <v/>
      </c>
      <c r="BQ81" s="13">
        <f>IF(ISERROR(VLOOKUP(AF81,EN:EN,1,FALSE)),0,1)*IF(ISERROR(VLOOKUP(AH81,EN:EN,1,FALSE)),0,1)*AS81</f>
        <v/>
      </c>
      <c r="FZ81" s="79" t="n">
        <v>79</v>
      </c>
      <c r="GA81" s="3">
        <f>GB81&amp;GC81&amp;GD81&amp;GE81&amp;GF81&amp;GG81&amp;GH81&amp;GI81</f>
        <v/>
      </c>
      <c r="GB81" s="3" t="inlineStr">
        <is>
          <t>H</t>
        </is>
      </c>
      <c r="GC81" s="3" t="inlineStr">
        <is>
          <t>G</t>
        </is>
      </c>
      <c r="GD81" s="3" t="inlineStr">
        <is>
          <t>B</t>
        </is>
      </c>
      <c r="GE81" s="3" t="inlineStr">
        <is>
          <t>D</t>
        </is>
      </c>
      <c r="GF81" s="3" t="inlineStr">
        <is>
          <t>J</t>
        </is>
      </c>
      <c r="GG81" s="3" t="inlineStr">
        <is>
          <t>F</t>
        </is>
      </c>
      <c r="GH81" s="3" t="inlineStr">
        <is>
          <t>E</t>
        </is>
      </c>
      <c r="GI81" s="3" t="inlineStr">
        <is>
          <t>K</t>
        </is>
      </c>
      <c r="GJ81" s="9">
        <f>VLOOKUP(GB81,$FM$3:$FN$15,2,FALSE)</f>
        <v/>
      </c>
      <c r="GK81" s="9">
        <f>VLOOKUP(GC81,$FM$3:$FN$15,2,FALSE)</f>
        <v/>
      </c>
      <c r="GL81" s="9">
        <f>VLOOKUP(GD81,$FM$3:$FN$15,2,FALSE)</f>
        <v/>
      </c>
      <c r="GM81" s="9">
        <f>VLOOKUP(GE81,$FM$3:$FN$15,2,FALSE)</f>
        <v/>
      </c>
      <c r="GN81" s="9">
        <f>VLOOKUP(GF81,$FM$3:$FN$15,2,FALSE)</f>
        <v/>
      </c>
      <c r="GO81" s="9">
        <f>VLOOKUP(GG81,$FM$3:$FN$15,2,FALSE)</f>
        <v/>
      </c>
      <c r="GP81" s="9">
        <f>VLOOKUP(GH81,$FM$3:$FN$15,2,FALSE)</f>
        <v/>
      </c>
      <c r="GQ81" s="9">
        <f>VLOOKUP(GI81,$FM$3:$FN$15,2,FALSE)</f>
        <v/>
      </c>
      <c r="GR81" s="9">
        <f>IFERROR(IF(AND(VLOOKUP(GB81,$FX$4:$FX$15,1,FALSE)=GB81,VLOOKUP(GC81,$FX$4:$FX$15,1,FALSE)=GC81,VLOOKUP(GD81,$FX$4:$FX$15,1,FALSE)=GD81,VLOOKUP(GE81,$FX$4:$FX$15,1,FALSE)=GE81,VLOOKUP(GF81,$FX$4:$FX$15,1,FALSE)=GF81,VLOOKUP(GG81,$FX$4:$FX$15,1,FALSE)=GG81,VLOOKUP(GH81,$FX$4:$FX$15,1,FALSE)=GH81,VLOOKUP(GI81,$FX$4:$FX$15,1,FALSE)=GI81),FZ81,""),"")</f>
        <v/>
      </c>
      <c r="GX81" s="142" t="n"/>
    </row>
    <row r="82" ht="14.25" customHeight="1">
      <c r="B82" s="3" t="n"/>
      <c r="C82" s="94" t="n"/>
      <c r="D82" s="139" t="n"/>
      <c r="E82" s="79" t="n"/>
      <c r="F82" s="73" t="n"/>
      <c r="G82" s="139" t="n"/>
      <c r="H82" s="100" t="n"/>
      <c r="I82" s="139" t="n"/>
      <c r="J82" s="79" t="n"/>
      <c r="K82" s="73" t="n"/>
      <c r="L82" s="67" t="n"/>
      <c r="X82" s="1" t="n"/>
      <c r="AE82" s="94" t="n"/>
      <c r="AF82" s="143" t="n"/>
      <c r="AG82" s="3" t="n"/>
      <c r="AH82" s="143" t="n"/>
      <c r="AI82" s="139" t="n"/>
      <c r="AJ82" s="105" t="n"/>
      <c r="AK82" s="139" t="n"/>
      <c r="AL82" s="79" t="n"/>
      <c r="AM82" s="73" t="n"/>
      <c r="FZ82" s="79" t="n">
        <v>80</v>
      </c>
      <c r="GA82" s="3">
        <f>GB82&amp;GC82&amp;GD82&amp;GE82&amp;GF82&amp;GG82&amp;GH82&amp;GI82</f>
        <v/>
      </c>
      <c r="GB82" s="3" t="inlineStr">
        <is>
          <t>E</t>
        </is>
      </c>
      <c r="GC82" s="3" t="inlineStr">
        <is>
          <t>G</t>
        </is>
      </c>
      <c r="GD82" s="3" t="inlineStr">
        <is>
          <t>B</t>
        </is>
      </c>
      <c r="GE82" s="3" t="inlineStr">
        <is>
          <t>D</t>
        </is>
      </c>
      <c r="GF82" s="3" t="inlineStr">
        <is>
          <t>H</t>
        </is>
      </c>
      <c r="GG82" s="3" t="inlineStr">
        <is>
          <t>F</t>
        </is>
      </c>
      <c r="GH82" s="3" t="inlineStr">
        <is>
          <t>L</t>
        </is>
      </c>
      <c r="GI82" s="3" t="inlineStr">
        <is>
          <t>I</t>
        </is>
      </c>
      <c r="GJ82" s="9">
        <f>VLOOKUP(GB82,$FM$3:$FN$15,2,FALSE)</f>
        <v/>
      </c>
      <c r="GK82" s="9">
        <f>VLOOKUP(GC82,$FM$3:$FN$15,2,FALSE)</f>
        <v/>
      </c>
      <c r="GL82" s="9">
        <f>VLOOKUP(GD82,$FM$3:$FN$15,2,FALSE)</f>
        <v/>
      </c>
      <c r="GM82" s="9">
        <f>VLOOKUP(GE82,$FM$3:$FN$15,2,FALSE)</f>
        <v/>
      </c>
      <c r="GN82" s="9">
        <f>VLOOKUP(GF82,$FM$3:$FN$15,2,FALSE)</f>
        <v/>
      </c>
      <c r="GO82" s="9">
        <f>VLOOKUP(GG82,$FM$3:$FN$15,2,FALSE)</f>
        <v/>
      </c>
      <c r="GP82" s="9">
        <f>VLOOKUP(GH82,$FM$3:$FN$15,2,FALSE)</f>
        <v/>
      </c>
      <c r="GQ82" s="9">
        <f>VLOOKUP(GI82,$FM$3:$FN$15,2,FALSE)</f>
        <v/>
      </c>
      <c r="GR82" s="9">
        <f>IFERROR(IF(AND(VLOOKUP(GB82,$FX$4:$FX$15,1,FALSE)=GB82,VLOOKUP(GC82,$FX$4:$FX$15,1,FALSE)=GC82,VLOOKUP(GD82,$FX$4:$FX$15,1,FALSE)=GD82,VLOOKUP(GE82,$FX$4:$FX$15,1,FALSE)=GE82,VLOOKUP(GF82,$FX$4:$FX$15,1,FALSE)=GF82,VLOOKUP(GG82,$FX$4:$FX$15,1,FALSE)=GG82,VLOOKUP(GH82,$FX$4:$FX$15,1,FALSE)=GH82,VLOOKUP(GI82,$FX$4:$FX$15,1,FALSE)=GI82),FZ82,""),"")</f>
        <v/>
      </c>
      <c r="GX82" s="142" t="n"/>
    </row>
    <row r="83" ht="14.25" customHeight="1">
      <c r="B83" s="19" t="inlineStr">
        <is>
          <t>Grupp J</t>
        </is>
      </c>
      <c r="C83" s="97" t="n"/>
      <c r="D83" s="33" t="n"/>
      <c r="E83" s="23" t="n"/>
      <c r="F83" s="16" t="n"/>
      <c r="G83" s="25" t="n"/>
      <c r="H83" s="25" t="n"/>
      <c r="I83" s="25" t="n"/>
      <c r="J83" s="23" t="n"/>
      <c r="K83" s="16" t="n"/>
      <c r="L83" s="49" t="n"/>
      <c r="O83" s="19" t="inlineStr">
        <is>
          <t>Grupp J</t>
        </is>
      </c>
      <c r="X83" s="1" t="n"/>
      <c r="AE83" s="19" t="inlineStr">
        <is>
          <t>Grupp J</t>
        </is>
      </c>
      <c r="AF83" s="126" t="n"/>
      <c r="AG83" s="33" t="n"/>
      <c r="AH83" s="126" t="n"/>
      <c r="AI83" s="33" t="n"/>
      <c r="AJ83" s="33" t="n"/>
      <c r="AK83" s="33" t="n"/>
      <c r="AL83" s="23" t="n"/>
      <c r="AM83" s="16" t="n"/>
      <c r="AN83" s="16" t="n"/>
      <c r="BT83" s="39" t="inlineStr">
        <is>
          <t>Rank 0</t>
        </is>
      </c>
      <c r="BU83" s="34" t="n"/>
      <c r="BV83" s="34" t="n"/>
      <c r="BW83" s="34" t="n"/>
      <c r="BX83" s="34" t="n"/>
      <c r="BY83" s="34" t="n"/>
      <c r="BZ83" s="34" t="n"/>
      <c r="CA83" s="34" t="n"/>
      <c r="CB83" s="39" t="n"/>
      <c r="CC83" s="34" t="n"/>
      <c r="CD83" s="34" t="n"/>
      <c r="CF83" s="40" t="inlineStr">
        <is>
          <t>Rank 1</t>
        </is>
      </c>
      <c r="CG83" s="35">
        <f>COUNTIF(CC85:CC88,1)</f>
        <v/>
      </c>
      <c r="CH83" s="35" t="n"/>
      <c r="CI83" s="35" t="n"/>
      <c r="CJ83" s="35" t="n"/>
      <c r="CK83" s="35" t="n"/>
      <c r="CL83" s="35" t="n"/>
      <c r="CM83" s="35" t="n"/>
      <c r="CN83" s="35" t="n"/>
      <c r="CO83" s="35" t="n"/>
      <c r="CP83" s="35" t="n"/>
      <c r="CZ83" s="41" t="inlineStr">
        <is>
          <t>Rank 2</t>
        </is>
      </c>
      <c r="DA83" s="36">
        <f>COUNTIF(CC85:CC88,2)</f>
        <v/>
      </c>
      <c r="DB83" s="36" t="n"/>
      <c r="DC83" s="36" t="n"/>
      <c r="DD83" s="36" t="n"/>
      <c r="DE83" s="36" t="n"/>
      <c r="DF83" s="36" t="n"/>
      <c r="DG83" s="36" t="n"/>
      <c r="DH83" s="36" t="n"/>
      <c r="DI83" s="36" t="n"/>
      <c r="DJ83" s="41" t="n"/>
      <c r="DT83" s="37" t="inlineStr">
        <is>
          <t>Rank 3</t>
        </is>
      </c>
      <c r="DU83" s="37">
        <f>COUNTIF(CC85:CC88,3)</f>
        <v/>
      </c>
      <c r="DV83" s="37" t="n"/>
      <c r="DW83" s="37" t="n"/>
      <c r="DX83" s="37" t="n"/>
      <c r="DY83" s="37" t="n"/>
      <c r="DZ83" s="37" t="n"/>
      <c r="EA83" s="37" t="n"/>
      <c r="EB83" s="37" t="n"/>
      <c r="EC83" s="37" t="n"/>
      <c r="ED83" s="37" t="n"/>
      <c r="EN83" s="38" t="inlineStr">
        <is>
          <t>Rank 4</t>
        </is>
      </c>
      <c r="EO83" s="38">
        <f>COUNTIF(CC85:CC88,4)</f>
        <v/>
      </c>
      <c r="EP83" s="38" t="n"/>
      <c r="EQ83" s="38" t="n"/>
      <c r="ER83" s="38" t="n"/>
      <c r="ES83" s="38" t="n"/>
      <c r="ET83" s="38" t="n"/>
      <c r="EU83" s="38" t="n"/>
      <c r="EV83" s="38" t="n"/>
      <c r="EW83" s="38" t="n"/>
      <c r="EX83" s="38" t="n"/>
      <c r="FZ83" s="79" t="n">
        <v>81</v>
      </c>
      <c r="GA83" s="3">
        <f>GB83&amp;GC83&amp;GD83&amp;GE83&amp;GF83&amp;GG83&amp;GH83&amp;GI83</f>
        <v/>
      </c>
      <c r="GB83" s="3" t="inlineStr">
        <is>
          <t>E</t>
        </is>
      </c>
      <c r="GC83" s="3" t="inlineStr">
        <is>
          <t>G</t>
        </is>
      </c>
      <c r="GD83" s="3" t="inlineStr">
        <is>
          <t>B</t>
        </is>
      </c>
      <c r="GE83" s="3" t="inlineStr">
        <is>
          <t>D</t>
        </is>
      </c>
      <c r="GF83" s="3" t="inlineStr">
        <is>
          <t>H</t>
        </is>
      </c>
      <c r="GG83" s="3" t="inlineStr">
        <is>
          <t>F</t>
        </is>
      </c>
      <c r="GH83" s="3" t="inlineStr">
        <is>
          <t>I</t>
        </is>
      </c>
      <c r="GI83" s="3" t="inlineStr">
        <is>
          <t>K</t>
        </is>
      </c>
      <c r="GJ83" s="9">
        <f>VLOOKUP(GB83,$FM$3:$FN$15,2,FALSE)</f>
        <v/>
      </c>
      <c r="GK83" s="9">
        <f>VLOOKUP(GC83,$FM$3:$FN$15,2,FALSE)</f>
        <v/>
      </c>
      <c r="GL83" s="9">
        <f>VLOOKUP(GD83,$FM$3:$FN$15,2,FALSE)</f>
        <v/>
      </c>
      <c r="GM83" s="9">
        <f>VLOOKUP(GE83,$FM$3:$FN$15,2,FALSE)</f>
        <v/>
      </c>
      <c r="GN83" s="9">
        <f>VLOOKUP(GF83,$FM$3:$FN$15,2,FALSE)</f>
        <v/>
      </c>
      <c r="GO83" s="9">
        <f>VLOOKUP(GG83,$FM$3:$FN$15,2,FALSE)</f>
        <v/>
      </c>
      <c r="GP83" s="9">
        <f>VLOOKUP(GH83,$FM$3:$FN$15,2,FALSE)</f>
        <v/>
      </c>
      <c r="GQ83" s="9">
        <f>VLOOKUP(GI83,$FM$3:$FN$15,2,FALSE)</f>
        <v/>
      </c>
      <c r="GR83" s="9">
        <f>IFERROR(IF(AND(VLOOKUP(GB83,$FX$4:$FX$15,1,FALSE)=GB83,VLOOKUP(GC83,$FX$4:$FX$15,1,FALSE)=GC83,VLOOKUP(GD83,$FX$4:$FX$15,1,FALSE)=GD83,VLOOKUP(GE83,$FX$4:$FX$15,1,FALSE)=GE83,VLOOKUP(GF83,$FX$4:$FX$15,1,FALSE)=GF83,VLOOKUP(GG83,$FX$4:$FX$15,1,FALSE)=GG83,VLOOKUP(GH83,$FX$4:$FX$15,1,FALSE)=GH83,VLOOKUP(GI83,$FX$4:$FX$15,1,FALSE)=GI83),FZ83,""),"")</f>
        <v/>
      </c>
      <c r="GX83" s="142" t="n"/>
    </row>
    <row r="84" ht="14.25" customHeight="1">
      <c r="B84" s="117" t="inlineStr">
        <is>
          <t>Match</t>
        </is>
      </c>
      <c r="C84" s="107" t="inlineStr">
        <is>
          <t>Datum</t>
        </is>
      </c>
      <c r="D84" s="210" t="inlineStr">
        <is>
          <t>Match</t>
        </is>
      </c>
      <c r="E84" s="211" t="n"/>
      <c r="F84" s="212" t="n"/>
      <c r="G84" s="184" t="inlineStr">
        <is>
          <t>Resultat</t>
        </is>
      </c>
      <c r="H84" s="217" t="n"/>
      <c r="I84" s="217" t="n"/>
      <c r="J84" s="47" t="inlineStr">
        <is>
          <t>1X2</t>
        </is>
      </c>
      <c r="K84" s="48" t="inlineStr">
        <is>
          <t>Poäng</t>
        </is>
      </c>
      <c r="L84" s="49" t="n"/>
      <c r="O84" s="51" t="inlineStr">
        <is>
          <t>Lag</t>
        </is>
      </c>
      <c r="P84" s="186" t="inlineStr">
        <is>
          <t>V</t>
        </is>
      </c>
      <c r="Q84" s="186" t="inlineStr">
        <is>
          <t>O</t>
        </is>
      </c>
      <c r="R84" s="186" t="inlineStr">
        <is>
          <t>F</t>
        </is>
      </c>
      <c r="S84" s="186" t="inlineStr">
        <is>
          <t>GM</t>
        </is>
      </c>
      <c r="T84" s="186" t="inlineStr">
        <is>
          <t>IM</t>
        </is>
      </c>
      <c r="U84" s="186" t="inlineStr">
        <is>
          <t>+/-</t>
        </is>
      </c>
      <c r="V84" s="187" t="inlineStr">
        <is>
          <t>P</t>
        </is>
      </c>
      <c r="X84" s="1" t="n"/>
      <c r="AE84" s="107" t="inlineStr">
        <is>
          <t>Datum</t>
        </is>
      </c>
      <c r="AF84" s="210" t="inlineStr">
        <is>
          <t>Match</t>
        </is>
      </c>
      <c r="AG84" s="211" t="n"/>
      <c r="AH84" s="212" t="n"/>
      <c r="AI84" s="182" t="inlineStr">
        <is>
          <t>Resultat</t>
        </is>
      </c>
      <c r="AJ84" s="211" t="n"/>
      <c r="AK84" s="211" t="n"/>
      <c r="AL84" s="47" t="inlineStr">
        <is>
          <t>Tecken</t>
        </is>
      </c>
      <c r="AM84" s="16" t="n"/>
      <c r="AN84" s="34" t="inlineStr">
        <is>
          <t>V1</t>
        </is>
      </c>
      <c r="AO84" s="34" t="inlineStr">
        <is>
          <t>V2</t>
        </is>
      </c>
      <c r="AP84" s="34" t="inlineStr">
        <is>
          <t>O1</t>
        </is>
      </c>
      <c r="AQ84" s="34" t="inlineStr">
        <is>
          <t>O2</t>
        </is>
      </c>
      <c r="AR84" s="34" t="inlineStr">
        <is>
          <t>F1</t>
        </is>
      </c>
      <c r="AS84" s="34" t="inlineStr">
        <is>
          <t>F2</t>
        </is>
      </c>
      <c r="AT84" s="35" t="inlineStr">
        <is>
          <t>V1</t>
        </is>
      </c>
      <c r="AU84" s="35" t="inlineStr">
        <is>
          <t>V2</t>
        </is>
      </c>
      <c r="AV84" s="35" t="inlineStr">
        <is>
          <t>O1</t>
        </is>
      </c>
      <c r="AW84" s="35" t="inlineStr">
        <is>
          <t>O2</t>
        </is>
      </c>
      <c r="AX84" s="35" t="inlineStr">
        <is>
          <t>F1</t>
        </is>
      </c>
      <c r="AY84" s="35" t="inlineStr">
        <is>
          <t>F2</t>
        </is>
      </c>
      <c r="AZ84" s="36" t="inlineStr">
        <is>
          <t>V1</t>
        </is>
      </c>
      <c r="BA84" s="36" t="inlineStr">
        <is>
          <t>V2</t>
        </is>
      </c>
      <c r="BB84" s="36" t="inlineStr">
        <is>
          <t>O1</t>
        </is>
      </c>
      <c r="BC84" s="36" t="inlineStr">
        <is>
          <t>O2</t>
        </is>
      </c>
      <c r="BD84" s="36" t="inlineStr">
        <is>
          <t>F1</t>
        </is>
      </c>
      <c r="BE84" s="36" t="inlineStr">
        <is>
          <t>F2</t>
        </is>
      </c>
      <c r="BF84" s="37" t="inlineStr">
        <is>
          <t>V1</t>
        </is>
      </c>
      <c r="BG84" s="37" t="inlineStr">
        <is>
          <t>V2</t>
        </is>
      </c>
      <c r="BH84" s="37" t="inlineStr">
        <is>
          <t>O1</t>
        </is>
      </c>
      <c r="BI84" s="37" t="inlineStr">
        <is>
          <t>O2</t>
        </is>
      </c>
      <c r="BJ84" s="37" t="inlineStr">
        <is>
          <t>F1</t>
        </is>
      </c>
      <c r="BK84" s="37" t="inlineStr">
        <is>
          <t>F2</t>
        </is>
      </c>
      <c r="BL84" s="38" t="inlineStr">
        <is>
          <t>V1</t>
        </is>
      </c>
      <c r="BM84" s="38" t="inlineStr">
        <is>
          <t>V2</t>
        </is>
      </c>
      <c r="BN84" s="38" t="inlineStr">
        <is>
          <t>O1</t>
        </is>
      </c>
      <c r="BO84" s="38" t="inlineStr">
        <is>
          <t>O2</t>
        </is>
      </c>
      <c r="BP84" s="38" t="inlineStr">
        <is>
          <t>F1</t>
        </is>
      </c>
      <c r="BQ84" s="38" t="inlineStr">
        <is>
          <t>F2</t>
        </is>
      </c>
      <c r="BT84" s="39" t="inlineStr">
        <is>
          <t>Lag</t>
        </is>
      </c>
      <c r="BU84" s="34" t="inlineStr">
        <is>
          <t>V</t>
        </is>
      </c>
      <c r="BV84" s="34" t="inlineStr">
        <is>
          <t>O</t>
        </is>
      </c>
      <c r="BW84" s="34" t="inlineStr">
        <is>
          <t>F</t>
        </is>
      </c>
      <c r="BX84" s="34" t="inlineStr">
        <is>
          <t>GM</t>
        </is>
      </c>
      <c r="BY84" s="34" t="inlineStr">
        <is>
          <t>IM</t>
        </is>
      </c>
      <c r="BZ84" s="34" t="inlineStr">
        <is>
          <t>+/-</t>
        </is>
      </c>
      <c r="CA84" s="34" t="inlineStr">
        <is>
          <t>P</t>
        </is>
      </c>
      <c r="CB84" s="39" t="inlineStr">
        <is>
          <t>Grupp</t>
        </is>
      </c>
      <c r="CC84" s="34" t="inlineStr">
        <is>
          <t>Rank P</t>
        </is>
      </c>
      <c r="CD84" s="34" t="inlineStr">
        <is>
          <t>Rank +/-</t>
        </is>
      </c>
      <c r="CF84" s="40" t="inlineStr">
        <is>
          <t>Lag</t>
        </is>
      </c>
      <c r="CG84" s="35" t="inlineStr">
        <is>
          <t>V</t>
        </is>
      </c>
      <c r="CH84" s="35" t="inlineStr">
        <is>
          <t>O</t>
        </is>
      </c>
      <c r="CI84" s="35" t="inlineStr">
        <is>
          <t>F</t>
        </is>
      </c>
      <c r="CJ84" s="35" t="inlineStr">
        <is>
          <t>P</t>
        </is>
      </c>
      <c r="CK84" s="35" t="inlineStr">
        <is>
          <t>Grupp</t>
        </is>
      </c>
      <c r="CL84" s="35" t="inlineStr">
        <is>
          <t>Rank P</t>
        </is>
      </c>
      <c r="CM84" s="56" t="inlineStr">
        <is>
          <t>+/-</t>
        </is>
      </c>
      <c r="CN84" s="56" t="inlineStr">
        <is>
          <t>+/- rank</t>
        </is>
      </c>
      <c r="CO84" s="56" t="inlineStr">
        <is>
          <t>GM</t>
        </is>
      </c>
      <c r="CP84" s="56" t="inlineStr">
        <is>
          <t>GM rank</t>
        </is>
      </c>
      <c r="CQ84" s="35" t="inlineStr">
        <is>
          <t>Rank internal</t>
        </is>
      </c>
      <c r="CR84" s="56" t="inlineStr">
        <is>
          <t>+/- all</t>
        </is>
      </c>
      <c r="CS84" s="56" t="inlineStr">
        <is>
          <t>+/- rank all</t>
        </is>
      </c>
      <c r="CT84" s="56" t="inlineStr">
        <is>
          <t>GM all</t>
        </is>
      </c>
      <c r="CU84" s="56" t="inlineStr">
        <is>
          <t>GM rank all</t>
        </is>
      </c>
      <c r="CV84" s="56" t="inlineStr">
        <is>
          <t>V all</t>
        </is>
      </c>
      <c r="CW84" s="56" t="inlineStr">
        <is>
          <t>V rank all</t>
        </is>
      </c>
      <c r="CX84" s="35" t="inlineStr">
        <is>
          <t>Rank all</t>
        </is>
      </c>
      <c r="CZ84" s="41" t="inlineStr">
        <is>
          <t>Lag</t>
        </is>
      </c>
      <c r="DA84" s="36" t="inlineStr">
        <is>
          <t>V</t>
        </is>
      </c>
      <c r="DB84" s="36" t="inlineStr">
        <is>
          <t>O</t>
        </is>
      </c>
      <c r="DC84" s="36" t="inlineStr">
        <is>
          <t>F</t>
        </is>
      </c>
      <c r="DD84" s="36" t="inlineStr">
        <is>
          <t>P</t>
        </is>
      </c>
      <c r="DE84" s="36" t="inlineStr">
        <is>
          <t>Grupp</t>
        </is>
      </c>
      <c r="DF84" s="36" t="inlineStr">
        <is>
          <t>Rank P</t>
        </is>
      </c>
      <c r="DG84" s="36" t="inlineStr">
        <is>
          <t>+/-</t>
        </is>
      </c>
      <c r="DH84" s="36" t="inlineStr">
        <is>
          <t>+/- rank</t>
        </is>
      </c>
      <c r="DI84" s="36" t="inlineStr">
        <is>
          <t>GM</t>
        </is>
      </c>
      <c r="DJ84" s="41" t="inlineStr">
        <is>
          <t>GM rank</t>
        </is>
      </c>
      <c r="DK84" s="41" t="inlineStr">
        <is>
          <t>Rank internal</t>
        </is>
      </c>
      <c r="DL84" s="41" t="inlineStr">
        <is>
          <t>+/- all</t>
        </is>
      </c>
      <c r="DM84" s="41" t="inlineStr">
        <is>
          <t>+/- rank all</t>
        </is>
      </c>
      <c r="DN84" s="41" t="inlineStr">
        <is>
          <t>GM all</t>
        </is>
      </c>
      <c r="DO84" s="41" t="inlineStr">
        <is>
          <t>GM rank all</t>
        </is>
      </c>
      <c r="DP84" s="41" t="inlineStr">
        <is>
          <t>V all</t>
        </is>
      </c>
      <c r="DQ84" s="41" t="inlineStr">
        <is>
          <t>V rank all</t>
        </is>
      </c>
      <c r="DR84" s="41" t="inlineStr">
        <is>
          <t>Rank all</t>
        </is>
      </c>
      <c r="DT84" s="37" t="inlineStr">
        <is>
          <t>Lag</t>
        </is>
      </c>
      <c r="DU84" s="37" t="inlineStr">
        <is>
          <t>V</t>
        </is>
      </c>
      <c r="DV84" s="37" t="inlineStr">
        <is>
          <t>O</t>
        </is>
      </c>
      <c r="DW84" s="37" t="inlineStr">
        <is>
          <t>F</t>
        </is>
      </c>
      <c r="DX84" s="37" t="inlineStr">
        <is>
          <t>P</t>
        </is>
      </c>
      <c r="DY84" s="37" t="inlineStr">
        <is>
          <t>Grupp</t>
        </is>
      </c>
      <c r="DZ84" s="37" t="inlineStr">
        <is>
          <t>Rank P</t>
        </is>
      </c>
      <c r="EA84" s="37" t="inlineStr">
        <is>
          <t>+/-</t>
        </is>
      </c>
      <c r="EB84" s="37" t="inlineStr">
        <is>
          <t>+/- rank</t>
        </is>
      </c>
      <c r="EC84" s="37" t="inlineStr">
        <is>
          <t>GM</t>
        </is>
      </c>
      <c r="ED84" s="37" t="inlineStr">
        <is>
          <t>GM rank</t>
        </is>
      </c>
      <c r="EE84" s="37" t="inlineStr">
        <is>
          <t>Rank internal</t>
        </is>
      </c>
      <c r="EF84" s="37" t="inlineStr">
        <is>
          <t>+/- all</t>
        </is>
      </c>
      <c r="EG84" s="37" t="inlineStr">
        <is>
          <t>+/- rank all</t>
        </is>
      </c>
      <c r="EH84" s="37" t="inlineStr">
        <is>
          <t>GM all</t>
        </is>
      </c>
      <c r="EI84" s="37" t="inlineStr">
        <is>
          <t>GM rank all</t>
        </is>
      </c>
      <c r="EJ84" s="37" t="inlineStr">
        <is>
          <t>V all</t>
        </is>
      </c>
      <c r="EK84" s="37" t="inlineStr">
        <is>
          <t>V rank all</t>
        </is>
      </c>
      <c r="EL84" s="37" t="inlineStr">
        <is>
          <t>Rank all</t>
        </is>
      </c>
      <c r="EN84" s="38" t="inlineStr">
        <is>
          <t>Lag</t>
        </is>
      </c>
      <c r="EO84" s="38" t="inlineStr">
        <is>
          <t>V</t>
        </is>
      </c>
      <c r="EP84" s="38" t="inlineStr">
        <is>
          <t>O</t>
        </is>
      </c>
      <c r="EQ84" s="38" t="inlineStr">
        <is>
          <t>F</t>
        </is>
      </c>
      <c r="ER84" s="38" t="inlineStr">
        <is>
          <t>P</t>
        </is>
      </c>
      <c r="ES84" s="38" t="inlineStr">
        <is>
          <t>Grupp</t>
        </is>
      </c>
      <c r="ET84" s="38" t="inlineStr">
        <is>
          <t>Rank P</t>
        </is>
      </c>
      <c r="EU84" s="38" t="inlineStr">
        <is>
          <t>+/-</t>
        </is>
      </c>
      <c r="EV84" s="38" t="inlineStr">
        <is>
          <t>+/- rank</t>
        </is>
      </c>
      <c r="EW84" s="38" t="inlineStr">
        <is>
          <t>GM</t>
        </is>
      </c>
      <c r="EX84" s="38" t="inlineStr">
        <is>
          <t>GM rank</t>
        </is>
      </c>
      <c r="EY84" s="38" t="inlineStr">
        <is>
          <t>Rank internal</t>
        </is>
      </c>
      <c r="EZ84" s="38" t="inlineStr">
        <is>
          <t>+/- all</t>
        </is>
      </c>
      <c r="FA84" s="38" t="inlineStr">
        <is>
          <t>+/- rank all</t>
        </is>
      </c>
      <c r="FB84" s="38" t="inlineStr">
        <is>
          <t>GM all</t>
        </is>
      </c>
      <c r="FC84" s="38" t="inlineStr">
        <is>
          <t>GM rank all</t>
        </is>
      </c>
      <c r="FD84" s="38" t="inlineStr">
        <is>
          <t>V all</t>
        </is>
      </c>
      <c r="FE84" s="38" t="inlineStr">
        <is>
          <t>V rank all</t>
        </is>
      </c>
      <c r="FF84" s="38" t="inlineStr">
        <is>
          <t>Rank all</t>
        </is>
      </c>
      <c r="FH84" s="38" t="inlineStr">
        <is>
          <t>Rank</t>
        </is>
      </c>
      <c r="FI84" s="38" t="inlineStr">
        <is>
          <t>Rank Ties</t>
        </is>
      </c>
      <c r="FZ84" s="79" t="n">
        <v>82</v>
      </c>
      <c r="GA84" s="3">
        <f>GB84&amp;GC84&amp;GD84&amp;GE84&amp;GF84&amp;GG84&amp;GH84&amp;GI84</f>
        <v/>
      </c>
      <c r="GB84" s="3" t="inlineStr">
        <is>
          <t>H</t>
        </is>
      </c>
      <c r="GC84" s="3" t="inlineStr">
        <is>
          <t>G</t>
        </is>
      </c>
      <c r="GD84" s="3" t="inlineStr">
        <is>
          <t>B</t>
        </is>
      </c>
      <c r="GE84" s="3" t="inlineStr">
        <is>
          <t>D</t>
        </is>
      </c>
      <c r="GF84" s="3" t="inlineStr">
        <is>
          <t>J</t>
        </is>
      </c>
      <c r="GG84" s="3" t="inlineStr">
        <is>
          <t>F</t>
        </is>
      </c>
      <c r="GH84" s="3" t="inlineStr">
        <is>
          <t>E</t>
        </is>
      </c>
      <c r="GI84" s="3" t="inlineStr">
        <is>
          <t>I</t>
        </is>
      </c>
      <c r="GJ84" s="9">
        <f>VLOOKUP(GB84,$FM$3:$FN$15,2,FALSE)</f>
        <v/>
      </c>
      <c r="GK84" s="9">
        <f>VLOOKUP(GC84,$FM$3:$FN$15,2,FALSE)</f>
        <v/>
      </c>
      <c r="GL84" s="9">
        <f>VLOOKUP(GD84,$FM$3:$FN$15,2,FALSE)</f>
        <v/>
      </c>
      <c r="GM84" s="9">
        <f>VLOOKUP(GE84,$FM$3:$FN$15,2,FALSE)</f>
        <v/>
      </c>
      <c r="GN84" s="9">
        <f>VLOOKUP(GF84,$FM$3:$FN$15,2,FALSE)</f>
        <v/>
      </c>
      <c r="GO84" s="9">
        <f>VLOOKUP(GG84,$FM$3:$FN$15,2,FALSE)</f>
        <v/>
      </c>
      <c r="GP84" s="9">
        <f>VLOOKUP(GH84,$FM$3:$FN$15,2,FALSE)</f>
        <v/>
      </c>
      <c r="GQ84" s="9">
        <f>VLOOKUP(GI84,$FM$3:$FN$15,2,FALSE)</f>
        <v/>
      </c>
      <c r="GR84" s="9">
        <f>IFERROR(IF(AND(VLOOKUP(GB84,$FX$4:$FX$15,1,FALSE)=GB84,VLOOKUP(GC84,$FX$4:$FX$15,1,FALSE)=GC84,VLOOKUP(GD84,$FX$4:$FX$15,1,FALSE)=GD84,VLOOKUP(GE84,$FX$4:$FX$15,1,FALSE)=GE84,VLOOKUP(GF84,$FX$4:$FX$15,1,FALSE)=GF84,VLOOKUP(GG84,$FX$4:$FX$15,1,FALSE)=GG84,VLOOKUP(GH84,$FX$4:$FX$15,1,FALSE)=GH84,VLOOKUP(GI84,$FX$4:$FX$15,1,FALSE)=GI84),FZ84,""),"")</f>
        <v/>
      </c>
      <c r="GX84" s="142" t="n"/>
    </row>
    <row r="85" ht="14.25" customHeight="1">
      <c r="B85" s="58" t="n">
        <v>19</v>
      </c>
      <c r="C85" s="59" t="n">
        <v>46190</v>
      </c>
      <c r="D85" s="60" t="inlineStr">
        <is>
          <t>Argentina</t>
        </is>
      </c>
      <c r="E85" s="61" t="inlineStr">
        <is>
          <t>-</t>
        </is>
      </c>
      <c r="F85" s="62" t="inlineStr">
        <is>
          <t>Algeriet</t>
        </is>
      </c>
      <c r="G85" s="63" t="n">
        <v>2</v>
      </c>
      <c r="H85" s="64" t="inlineStr">
        <is>
          <t>-</t>
        </is>
      </c>
      <c r="I85" s="63" t="n">
        <v>0</v>
      </c>
      <c r="J85" s="65">
        <f>IF(OR(ISBLANK(G85),ISBLANK(I85)),"",IF(G85&gt;I85,1,IF(G85&lt;I85,2,"X")))</f>
        <v/>
      </c>
      <c r="K85" s="66">
        <f>IF(OR(G85="",I85="",'[1]Resultat &amp; tabell'!G85="",'[1]Resultat &amp; tabell'!I85=""),0,IF(G85='[1]Resultat &amp; tabell'!G85,2,0)+IF(I85='[1]Resultat &amp; tabell'!I85,2,0)+IF(J85='[1]Resultat &amp; tabell'!J85,2,0))</f>
        <v/>
      </c>
      <c r="L85" s="67" t="n"/>
      <c r="M85" s="29">
        <f>IF(VLOOKUP(D85,$BT$84:$CC$88,10,FALSE)=VLOOKUP(F85,$BT$84:$CC$88,10,FALSE),VLOOKUP(D85,$BT$84:$CC$88,10,FALSE),"-")</f>
        <v/>
      </c>
      <c r="N85" s="30" t="n">
        <v>1</v>
      </c>
      <c r="O85" s="68">
        <f>VLOOKUP(N85,FI85:FJ88,2,FALSE)</f>
        <v/>
      </c>
      <c r="P85" s="69">
        <f>VLOOKUP($O85,$BT$85:$CA$88,2,FALSE)</f>
        <v/>
      </c>
      <c r="Q85" s="69">
        <f>VLOOKUP($O85,$BT$85:$CA$88,3,FALSE)</f>
        <v/>
      </c>
      <c r="R85" s="69">
        <f>VLOOKUP($O85,$BT$85:$CA$88,4,FALSE)</f>
        <v/>
      </c>
      <c r="S85" s="69">
        <f>VLOOKUP($O85,$BT$85:$CA$88,5,FALSE)</f>
        <v/>
      </c>
      <c r="T85" s="69">
        <f>VLOOKUP($O85,$BT$85:$CA$88,6,FALSE)</f>
        <v/>
      </c>
      <c r="U85" s="69">
        <f>VLOOKUP($O85,$BT$85:$CA$88,7,FALSE)</f>
        <v/>
      </c>
      <c r="V85" s="70">
        <f>VLOOKUP($O85,$BT$85:$CA$88,8,FALSE)</f>
        <v/>
      </c>
      <c r="X85" s="1" t="n"/>
      <c r="AE85" s="72">
        <f>C85</f>
        <v/>
      </c>
      <c r="AF85" s="72">
        <f>D85</f>
        <v/>
      </c>
      <c r="AG85" s="72">
        <f>E85</f>
        <v/>
      </c>
      <c r="AH85" s="72">
        <f>F85</f>
        <v/>
      </c>
      <c r="AI85" s="63">
        <f>IF(G85="","",G85)</f>
        <v/>
      </c>
      <c r="AJ85" s="58">
        <f>H85</f>
        <v/>
      </c>
      <c r="AK85" s="63">
        <f>IF(I85="","",I85)</f>
        <v/>
      </c>
      <c r="AL85" s="65">
        <f>J85</f>
        <v/>
      </c>
      <c r="AM85" s="73" t="n"/>
      <c r="AN85" s="13">
        <f>IF(AI85&gt;AK85,1,0)</f>
        <v/>
      </c>
      <c r="AO85" s="13">
        <f>IF(AK85&gt;AI85,1,0)</f>
        <v/>
      </c>
      <c r="AP85" s="13">
        <f>IF(AND(AI85=AK85,AI85&lt;&gt;""),1,0)</f>
        <v/>
      </c>
      <c r="AQ85" s="13">
        <f>IF(AND(AI85=AK85,AI85&lt;&gt;""),1,0)</f>
        <v/>
      </c>
      <c r="AR85" s="13">
        <f>IF(AI85&lt;AK85,1,0)</f>
        <v/>
      </c>
      <c r="AS85" s="13">
        <f>IF(AK85&lt;AI85,1,)</f>
        <v/>
      </c>
      <c r="AT85" s="13">
        <f>IF(ISERROR(VLOOKUP(AF85,CF:CF,1,FALSE)),0,1)*IF(ISERROR(VLOOKUP(AH85,CF:CF,1,FALSE)),0,1)*AN85</f>
        <v/>
      </c>
      <c r="AU85" s="13">
        <f>IF(ISERROR(VLOOKUP(AF85,CF:CF,1,FALSE)),0,1)*IF(ISERROR(VLOOKUP(AH85,CF:CF,1,FALSE)),0,1)*AO85</f>
        <v/>
      </c>
      <c r="AV85" s="13">
        <f>IF(ISERROR(VLOOKUP(AF85,CF:CF,1,FALSE)),0,1)*IF(ISERROR(VLOOKUP(AH85,CF:CF,1,FALSE)),0,1)*AP85</f>
        <v/>
      </c>
      <c r="AW85" s="13">
        <f>IF(ISERROR(VLOOKUP(AF85,CF:CF,1,FALSE)),0,1)*IF(ISERROR(VLOOKUP(AH85,CF:CF,1,FALSE)),0,1)*AQ85</f>
        <v/>
      </c>
      <c r="AX85" s="13">
        <f>IF(ISERROR(VLOOKUP(AF85,CF:CF,1,FALSE)),0,1)*IF(ISERROR(VLOOKUP(AH85,CF:CF,1,FALSE)),0,1)*AR85</f>
        <v/>
      </c>
      <c r="AY85" s="13">
        <f>IF(ISERROR(VLOOKUP(AF85,CF:CF,1,FALSE)),0,1)*IF(ISERROR(VLOOKUP(AH85,CF:CF,1,FALSE)),0,1)*AS85</f>
        <v/>
      </c>
      <c r="AZ85" s="13">
        <f>IF(ISERROR(VLOOKUP(AF85,CZ:CZ,1,FALSE)),0,1)*IF(ISERROR(VLOOKUP(AH85,CZ:CZ,1,FALSE)),0,1)*AN85</f>
        <v/>
      </c>
      <c r="BA85" s="13">
        <f>IF(ISERROR(VLOOKUP(AF85,CZ:CZ,1,FALSE)),0,1)*IF(ISERROR(VLOOKUP(AH85,CZ:CZ,1,FALSE)),0,1)*AO85</f>
        <v/>
      </c>
      <c r="BB85" s="13">
        <f>IF(ISERROR(VLOOKUP(AF85,CZ:CZ,1,FALSE)),0,1)*IF(ISERROR(VLOOKUP(AH85,CZ:CZ,1,FALSE)),0,1)*AP85</f>
        <v/>
      </c>
      <c r="BC85" s="13">
        <f>IF(ISERROR(VLOOKUP(AF85,CZ:CZ,1,FALSE)),0,1)*IF(ISERROR(VLOOKUP(AH85,CZ:CZ,1,FALSE)),0,1)*AQ85</f>
        <v/>
      </c>
      <c r="BD85" s="13">
        <f>IF(ISERROR(VLOOKUP(AF85,CZ:CZ,1,FALSE)),0,1)*IF(ISERROR(VLOOKUP(AH85,CZ:CZ,1,FALSE)),0,1)*AR85</f>
        <v/>
      </c>
      <c r="BE85" s="13">
        <f>IF(ISERROR(VLOOKUP(AF85,CZ:CZ,1,FALSE)),0,1)*IF(ISERROR(VLOOKUP(AH85,CZ:CZ,1,FALSE)),0,1)*AS85</f>
        <v/>
      </c>
      <c r="BF85" s="13">
        <f>IF(ISERROR(VLOOKUP(AF85,DT:DT,1,FALSE)),0,1)*IF(ISERROR(VLOOKUP(AH85,DT:DT,1,FALSE)),0,1)*AN85</f>
        <v/>
      </c>
      <c r="BG85" s="13">
        <f>IF(ISERROR(VLOOKUP(AF85,DT:DT,1,FALSE)),0,1)*IF(ISERROR(VLOOKUP(AH85,DT:DT,1,FALSE)),0,1)*AO85</f>
        <v/>
      </c>
      <c r="BH85" s="13">
        <f>IF(ISERROR(VLOOKUP(AF85,DT:DT,1,FALSE)),0,1)*IF(ISERROR(VLOOKUP(AH85,DT:DT,1,FALSE)),0,1)*AP85</f>
        <v/>
      </c>
      <c r="BI85" s="13">
        <f>IF(ISERROR(VLOOKUP(AF85,DT:DT,1,FALSE)),0,1)*IF(ISERROR(VLOOKUP(AH85,DT:DT,1,FALSE)),0,1)*AQ85</f>
        <v/>
      </c>
      <c r="BJ85" s="13">
        <f>IF(ISERROR(VLOOKUP(AF85,DT:DT,1,FALSE)),0,1)*IF(ISERROR(VLOOKUP(AH85,DT:DT,1,FALSE)),0,1)*AR85</f>
        <v/>
      </c>
      <c r="BK85" s="13">
        <f>IF(ISERROR(VLOOKUP(AF85,DT:DT,1,FALSE)),0,1)*IF(ISERROR(VLOOKUP(AH85,DT:DT,1,FALSE)),0,1)*AS85</f>
        <v/>
      </c>
      <c r="BL85" s="13">
        <f>IF(ISERROR(VLOOKUP(AF85,EN:EN,1,FALSE)),0,1)*IF(ISERROR(VLOOKUP(AH85,EN:EN,1,FALSE)),0,1)*AN85</f>
        <v/>
      </c>
      <c r="BM85" s="13">
        <f>IF(ISERROR(VLOOKUP(AF85,EN:EN,1,FALSE)),0,1)*IF(ISERROR(VLOOKUP(AH85,EN:EN,1,FALSE)),0,1)*AO85</f>
        <v/>
      </c>
      <c r="BN85" s="13">
        <f>IF(ISERROR(VLOOKUP(AF85,EN:EN,1,FALSE)),0,1)*IF(ISERROR(VLOOKUP(AH85,EN:EN,1,FALSE)),0,1)*AP85</f>
        <v/>
      </c>
      <c r="BO85" s="13">
        <f>IF(ISERROR(VLOOKUP(AF85,EN:EN,1,FALSE)),0,1)*IF(ISERROR(VLOOKUP(AH85,EN:EN,1,FALSE)),0,1)*AQ85</f>
        <v/>
      </c>
      <c r="BP85" s="13">
        <f>IF(ISERROR(VLOOKUP(AF85,EN:EN,1,FALSE)),0,1)*IF(ISERROR(VLOOKUP(AH85,EN:EN,1,FALSE)),0,1)*AR85</f>
        <v/>
      </c>
      <c r="BQ85" s="13">
        <f>IF(ISERROR(VLOOKUP(AF85,EN:EN,1,FALSE)),0,1)*IF(ISERROR(VLOOKUP(AH85,EN:EN,1,FALSE)),0,1)*AS85</f>
        <v/>
      </c>
      <c r="BT85" s="12" t="inlineStr">
        <is>
          <t>Argentina</t>
        </is>
      </c>
      <c r="BU85" s="13">
        <f>(SUMIF(AF$4:AF$108,BT85,AN$4:AN$108)+SUMIF(AH$4:AH$108,BT85,AO$4:AO$108))</f>
        <v/>
      </c>
      <c r="BV85" s="13">
        <f>(SUMIF(AF$4:AF$108,BT85,AP$4:AP$108)+SUMIF(AH$4:AH$108,BT85,AQ$4:AQ$108))</f>
        <v/>
      </c>
      <c r="BW85" s="13">
        <f>(SUMIF(AF$4:AF$108,BT85,AR$4:AR$108)+SUMIF(AH$4:AH$108,BT85,AS$4:AS$108))</f>
        <v/>
      </c>
      <c r="BX85" s="13">
        <f>SUMIF($AF$4:$AF$108,BT85,$AI$4:$AI$108)+SUMIF($AH$4:$AH$108,BT85,$AK$4:$AK$108)</f>
        <v/>
      </c>
      <c r="BY85" s="13">
        <f>SUMIF($AF$4:$AF$108,BT85,$AK$4:$AK$108)+SUMIF($AH$4:$AH$108,BT85,$AI$4:$AI$108)</f>
        <v/>
      </c>
      <c r="BZ85" s="13">
        <f>BX85-BY85</f>
        <v/>
      </c>
      <c r="CA85" s="13">
        <f>IFERROR(BU85*3+BV85*1,0)</f>
        <v/>
      </c>
      <c r="CB85" s="13" t="inlineStr">
        <is>
          <t>J</t>
        </is>
      </c>
      <c r="CC85" s="74">
        <f>RANK(CA85,CA85:CA88)</f>
        <v/>
      </c>
      <c r="CD85" s="13">
        <f>SUMPRODUCT((CA85:CA88=CA85)*(BZ85:BZ88&gt;BZ85))</f>
        <v/>
      </c>
      <c r="CF85" s="12">
        <f>IF(CC85=1,BT85,)</f>
        <v/>
      </c>
      <c r="CG85" s="13">
        <f>(SUMIF($AF$4:$AF$108,$BT85,$AT$4:$AT$108)+SUMIF($AH$4:$AH$108,$BT85,$AU$4:$AU$108))</f>
        <v/>
      </c>
      <c r="CH85" s="13">
        <f>(SUMIF($AF$4:$AF$108,$BT85,$AV$4:$AV$108)+SUMIF($AH$4:$AH$108,$BT85,$AW$4:$AW$108))</f>
        <v/>
      </c>
      <c r="CI85" s="13">
        <f>(SUMIF($AF$4:$AF$108,$BT85,$AX$4:$AX$108)+SUMIF($AH$4:$AH$108,$BT85,$AY$4:$AY$108))</f>
        <v/>
      </c>
      <c r="CJ85" s="13">
        <f>IFERROR(CG85*3+CH85*1,0)</f>
        <v/>
      </c>
      <c r="CK85" s="13">
        <f>CB85</f>
        <v/>
      </c>
      <c r="CL85" s="13">
        <f>IF(CF85&gt;0,RANK(CJ85,CJ85:CJ88),)</f>
        <v/>
      </c>
      <c r="CM85" s="13">
        <f>IF(AND(CF85&gt;0,COUNTIF(CL85:CL88,CL85)&gt;1),SUMIFS($AI$4:$AI$108,$AF$4:$AF$108,$BT85,$M$4:$M$108,1)+SUMIFS($AK$4:$AK$108,$AH$4:$AH$108,$BT85,$M$4:$M$108,1)-SUMIFS($AK$4:$AK$108,$AF$4:$AF$108,$BT85,$M$4:$M$108,1)-SUMIFS($AI$4:$AI$108,$AH$4:$AH$108,$BT85,$M$4:$M$108,1),)</f>
        <v/>
      </c>
      <c r="CN85" s="13">
        <f>IF(AND(CF85&gt;0,COUNTIF(CL85:CL88,CL85)&gt;1),CL85+RANK(CM85,CM85:CM88)-1,CL85)</f>
        <v/>
      </c>
      <c r="CO85" s="13">
        <f>IF(AND(CF85&gt;0,COUNTIF(CN85:CN88,CN85)&gt;1),SUMIFS($AI$4:$AI$108,$AF$4:$AF$108,$BT85,$M$4:$M$108,1)+SUMIFS($AK$4:$AK$108,$AH$4:$AH$108,$BT85,$M$4:$M$108,1),)</f>
        <v/>
      </c>
      <c r="CP85" s="13">
        <f>IF(AND(CF85&gt;0,COUNTIF(CN85:CN88,CN85)&gt;1),CN85+RANK(CO85,CO85:CO88)-1,CN85)</f>
        <v/>
      </c>
      <c r="CQ85" s="13">
        <f>IF(CP85=0,"",CP85)</f>
        <v/>
      </c>
      <c r="CR85" s="13">
        <f>IF(OR(CQ85="",COUNTIF(CQ85:CQ88,CQ85)=1),"",$BZ85)</f>
        <v/>
      </c>
      <c r="CS85" s="13">
        <f>IF(CQ85="","",IF(COUNTIF(CQ85:CQ88,CQ85)=1,CQ85,CQ85+RANK(CR85,CR85:CR88,0)-1))</f>
        <v/>
      </c>
      <c r="CT85" s="13">
        <f>IF(OR(CS85="",COUNTIF(CS85:CS88,CS85)=1),"",$BX85)</f>
        <v/>
      </c>
      <c r="CU85" s="13">
        <f>IF(CQ85="","",IF(COUNTIF(CS85:CS88,CS85)=1,CS85,CS85+RANK(CT85,CT85:CT88,0)-1))</f>
        <v/>
      </c>
      <c r="CV85" s="13">
        <f>IF(OR(CU85="",COUNTIF(CU85:CU88,CU85)=1),"",$BU85)</f>
        <v/>
      </c>
      <c r="CW85" s="13">
        <f>IF(CQ85="","",IF(COUNTIF(CU85:CU88,CU85)=1,CU85,CU85+RANK(CV85,CV85:CV88,0)-1))</f>
        <v/>
      </c>
      <c r="CX85" s="13">
        <f>IF(CF85&gt;0,BM83+RANK(CW85,CW85:CW88,1),)</f>
        <v/>
      </c>
      <c r="CZ85" s="12">
        <f>IF(CC85=2,BT85,)</f>
        <v/>
      </c>
      <c r="DA85" s="13">
        <f>(SUMIF($AF$4:$AF$108,$BT85,$AZ$4:$AZ$108)+SUMIF($AH$4:$AH$108,$BT85,$BA$4:$BA$108))</f>
        <v/>
      </c>
      <c r="DB85" s="13">
        <f>(SUMIF($AF$4:$AF$108,$BT85,$BB$4:$BB$108)+SUMIF($AH$4:$AH$108,$BT85,$BC$4:$BC$108))</f>
        <v/>
      </c>
      <c r="DC85" s="13">
        <f>(SUMIF($AF$4:$AF$108,$BT85,$BD$4:$BD$108)+SUMIF($AH$4:$AH$108,$BT85,$BE$4:$BE$108))</f>
        <v/>
      </c>
      <c r="DD85" s="13">
        <f>IFERROR(DA85*3+DB85*1,0)</f>
        <v/>
      </c>
      <c r="DE85" s="13">
        <f>$CB85</f>
        <v/>
      </c>
      <c r="DF85" s="13">
        <f>IF(CZ85&gt;0,RANK(DD85,DD85:DD88)+CG83,)</f>
        <v/>
      </c>
      <c r="DG85" s="13">
        <f>IF(AND(CZ85&gt;0,COUNTIF(DF85:DF88,DF85)&gt;1),SUMIFS($AI$4:$AI$108,$AF$4:$AF$108,$BT85,$M$4:$M$108,2)+SUMIFS($AK$4:$AK$108,$AH$4:$AH108,$BT85,$M$4:$M$108,2)-SUMIFS($AK$4:$AK$108,$AF$4:$AF$108,$BT85,$M$4:$M$108,2)-SUMIFS($AI$4:$AI$108,$AH$4:$AH$108,$BT85,$M$4:$M$108,2),)</f>
        <v/>
      </c>
      <c r="DH85" s="13">
        <f>IF(AND(CZ85&gt;0,COUNTIF(DF85:DF88,DF85)&gt;1),DF85+RANK(DG85,DG85:DG88)-1,DF85)</f>
        <v/>
      </c>
      <c r="DI85" s="13">
        <f>IF(AND(CZ85&gt;0,COUNTIF(DH85:DH88,DH85)&gt;1),SUMIFS($AI$4:$AI$108,$AF$4:$AF$108,$BT85,$M$4:$M$108,2)+SUMIFS($AK$4:$AK$108,$AH$4:$AH$108,$BT85,$M$4:$M$108,2),)</f>
        <v/>
      </c>
      <c r="DJ85" s="13">
        <f>IF(AND(CZ85&gt;0,COUNTIF(DH85:DH88,DH85)&gt;1),DH85+RANK(DI85,DI85:DI88)-1,DH85)</f>
        <v/>
      </c>
      <c r="DK85" s="75">
        <f>IF(DJ85=0,"",DJ85)</f>
        <v/>
      </c>
      <c r="DL85" s="75">
        <f>IF(OR(DK85="",COUNTIF(DK85:DK88,DK85)=1),"",$BZ85)</f>
        <v/>
      </c>
      <c r="DM85" s="75">
        <f>IF(DK85="","",IF(COUNTIF(DK85:DK88,DK85)=1,DK85,DK85+RANK(DL85,DL85:DL88,0)-1))</f>
        <v/>
      </c>
      <c r="DN85" s="75">
        <f>IF(OR(DM85="",COUNTIF(DM85:DM88,DM85)=1),"",$BX85)</f>
        <v/>
      </c>
      <c r="DO85" s="75">
        <f>IF(DK85="","",IF(COUNTIF(DM85:DM88,DM85)=1,DM85,DM85+RANK(DN85,DN85:DN88,0)-1))</f>
        <v/>
      </c>
      <c r="DP85" s="75">
        <f>IF(OR(DO85="",COUNTIF(DO85:DO88,DO85)=1),"",$BU85)</f>
        <v/>
      </c>
      <c r="DQ85" s="75">
        <f>IF(DK85="","",IF(COUNTIF(DO85:DO88,DO85)=1,DO85,DO85+RANK(DP85,DP85:DP88,0)-1))</f>
        <v/>
      </c>
      <c r="DR85" s="13">
        <f>IF(CZ85&gt;0,CG83+RANK(DQ85,DQ85:DQ88,1),)</f>
        <v/>
      </c>
      <c r="DT85" s="13">
        <f>IF(CC85=3,BT85,)</f>
        <v/>
      </c>
      <c r="DU85" s="13">
        <f>(SUMIF($AF$4:$AF$108,BT85,$BF$4:$BF$108)+SUMIF($AH$4:$AH$108,BT85,$BG$4:$BG$108))</f>
        <v/>
      </c>
      <c r="DV85" s="13">
        <f>(SUMIF($AF$4:$AF$108,BT85,$BH$4:$BH$108)+SUMIF($AH$4:$AH$108,BT85,$BI$4:$BI$108))</f>
        <v/>
      </c>
      <c r="DW85" s="13">
        <f>(SUMIF($AF$4:$AF$108,BT85,$BJ$4:$BJ$108)+SUMIF($AH$4:$AH$108,BT85,$BK$4:$BK$108))</f>
        <v/>
      </c>
      <c r="DX85" s="13">
        <f>IFERROR(DU85*3+DV85*1,0)</f>
        <v/>
      </c>
      <c r="DY85" s="13">
        <f>CB85</f>
        <v/>
      </c>
      <c r="DZ85" s="13">
        <f>IF(DT85&gt;0,RANK(DX85,DX85:DX88)+CG83+DA83,)</f>
        <v/>
      </c>
      <c r="EA85" s="13">
        <f>IF(AND(DT85&gt;0,COUNTIF(DZ85:DZ88,DZ85)&gt;1),SUMIFS($AI$4:$AI$108,$AF$4:$AF$108,$BT85,$M$4:$M$108,3)+SUMIFS($AK$4:$AK$108,$AH$4:$AH$108,$BT85,$M$4:$M$108,3)-SUMIFS($AK$4:$AK$108,$AF$4:$AF$108,$BT85,$M$4:$M$108,3)-SUMIFS($AI$4:$AI$108,$AH$4:$AH$108,$BT85,$M$4:$M$108,3),)</f>
        <v/>
      </c>
      <c r="EB85" s="13">
        <f>IF(AND(DT85&gt;0,COUNTIF(DZ85:DZ88,DZ85)&gt;1),DZ85+RANK(EA85,EA85:EA88)-1,DZ85)</f>
        <v/>
      </c>
      <c r="EC85" s="13">
        <f>IF(AND(DT85&gt;0,COUNTIF(EB85:EB88,EB85)&gt;1),SUMIFS($AI$4:$AI$108,$AF$4:$AF$108,$BT85,$M$4:$M$108,3)+SUMIFS($AK$4:$AK$108,$AH$4:$AH$108,$BT85,$M$4:$M$108,3),)</f>
        <v/>
      </c>
      <c r="ED85" s="13">
        <f>IF(AND(DT85&gt;0,COUNTIF(EB85:EB88,EB85)&gt;1),EB85+RANK(EC85,EC85:EC88)-1,EB85)</f>
        <v/>
      </c>
      <c r="EE85" s="13">
        <f>IF(ED85=0,"",ED85)</f>
        <v/>
      </c>
      <c r="EF85" s="13">
        <f>IF(OR(EE85="",COUNTIF(EE85:EE88,EE85)=1),"",$BZ85)</f>
        <v/>
      </c>
      <c r="EG85" s="13">
        <f>IF(EE85="","",IF(COUNTIF(EE85:EE88,EE85)=1,EE85,EE85+RANK(EF85,EF85:EF88,0)-1))</f>
        <v/>
      </c>
      <c r="EH85" s="13">
        <f>IF(OR(EG85="",COUNTIF(EG85:EG88,EG85)=1),"",$BX85)</f>
        <v/>
      </c>
      <c r="EI85" s="13">
        <f>IF(EE85="","",IF(COUNTIF(EG85:EG88,EG85)=1,EG85,EG85+RANK(EH85,EH85:EH88,0)-1))</f>
        <v/>
      </c>
      <c r="EJ85" s="13">
        <f>IF(OR(EI85="",COUNTIF(EI85:EI88,EI85)=1),"",$BU85)</f>
        <v/>
      </c>
      <c r="EK85" s="13">
        <f>IF(EE85="","",IF(COUNTIF(EI85:EI88,EI85)=1,EI85,EI85+RANK(EJ85,EJ85:EJ88,0)-1))</f>
        <v/>
      </c>
      <c r="EL85" s="13">
        <f>IF(DT85&gt;0,CG83+DA83+RANK(EK85,EK85:EK88,1),)</f>
        <v/>
      </c>
      <c r="EN85" s="13">
        <f>IF(CC85=4,BT85,)</f>
        <v/>
      </c>
      <c r="EO85" s="13">
        <f>(SUMIF($AF$4:$AF$108,$BT85,$BL$4:$BL$108)+SUMIF($AH$4:$AH$108,$BT85,$BM$4:$BM$108))</f>
        <v/>
      </c>
      <c r="EP85" s="13">
        <f>(SUMIF($AF$4:$AF$108,$BT85,$BN$4:$BN$108)+SUMIF($AH$4:$AH$108,$BT85,$BO$4:$BO$108))</f>
        <v/>
      </c>
      <c r="EQ85" s="13">
        <f>(SUMIF($AF$4:$AF$108,$BT85,$BP$4:$BP$108)+SUMIF($AH$4:$AH$108,$BT85,$BQ$4:$BQ$108))</f>
        <v/>
      </c>
      <c r="ER85" s="13">
        <f>IFERROR(EO85*3+EP85*1,0)</f>
        <v/>
      </c>
      <c r="ES85" s="13">
        <f>$CB85</f>
        <v/>
      </c>
      <c r="ET85" s="13">
        <f>IF(EN85&gt;0,RANK(ER85,ER85:ER88)+CG83+DA83+DU83,)</f>
        <v/>
      </c>
      <c r="EU85" s="13">
        <f>IF(AND(EN85&gt;0,COUNTIF(ET85:ET88,ET85)&gt;1),SUMIFS($AI$4:$AI$108,$AF$4:$AF$108,$BT85,$M$4:$M$108,4)+SUMIFS($AK$4:$AK$108,$AH$4:$AH$108,$BT85,$M$4:$M$108,4)-SUMIFS($AK$4:$AK$108,$AF$4:$AF$108,$BT85,$M$4:$M$108,4)-SUMIFS($AI$4:$AI$108,$AH$4:$AH$108,$BT85,$M$4:$M$108,4),)</f>
        <v/>
      </c>
      <c r="EV85" s="13">
        <f>IF(AND(EN85&gt;0,COUNTIF(ET85:ET88,ET85)&gt;1),ET85+RANK(EU85,EU85:EU88)-1,ET85)</f>
        <v/>
      </c>
      <c r="EW85" s="13">
        <f>IF(AND(EN85&gt;0,COUNTIF(EV85:EV88,EV85)&gt;1),SUMIFS($AI$4:$AI$108,$AF$4:$AF$108,$BT85,$M$4:$M$108,4)+SUMIFS($AK$4:$AK$108,$AH$4:$AH$108,$BT85,$M$4:$M$108,4),)</f>
        <v/>
      </c>
      <c r="EX85" s="13">
        <f>IF(AND(EN85&gt;0,COUNTIF(EV85:EV88,EV85)&gt;1),EV85+RANK(EW85,EW85:EW88)-1,EV85)</f>
        <v/>
      </c>
      <c r="EY85" s="13">
        <f>IF(EX85=0,"",EX85)</f>
        <v/>
      </c>
      <c r="EZ85" s="13">
        <f>IF(OR(EY85="",COUNTIF(EY85:EY88,EY85)=1),"",$BZ85)</f>
        <v/>
      </c>
      <c r="FA85" s="13">
        <f>IF(EY85="","",IF(COUNTIF(EY85:EY88,EY85)=1,EY85,EY85+RANK(EZ85,EZ85:EZ88,0)-1))</f>
        <v/>
      </c>
      <c r="FB85" s="13">
        <f>IF(OR(FA85="",COUNTIF(FA85:FA88,FA85)=1),"",$BX85)</f>
        <v/>
      </c>
      <c r="FC85" s="13">
        <f>IF(EY85="","",IF(COUNTIF(FA85:FA88,FA85)=1,FA85,FA85+RANK(FB85,FB85:FB88,0)-1))</f>
        <v/>
      </c>
      <c r="FD85" s="13">
        <f>IF(OR(FC85="",COUNTIF(FC85:FC88,FC85)=1),"",$BU85)</f>
        <v/>
      </c>
      <c r="FE85" s="13">
        <f>IF(EY85="","",IF(COUNTIF(FC85:FC88,FC85)=1,FC85,FC85+RANK(FD85,FD85:FD88,0)-1))</f>
        <v/>
      </c>
      <c r="FF85" s="13">
        <f>IF(EN85&gt;0,CG83+DA83+DU83+RANK(FE85,FE85:FE88,1),)</f>
        <v/>
      </c>
      <c r="FH85" s="13">
        <f>IFERROR(VLOOKUP(FJ85,CF84:CX88,19,FALSE),IFERROR(VLOOKUP(FJ85,CZ84:DR88,19,FALSE),IFERROR(VLOOKUP(FJ85,DT84:EL88,19,FALSE),VLOOKUP(FJ85,EN84:FF88,19,FALSE))))</f>
        <v/>
      </c>
      <c r="FI85" s="13">
        <f>RANK(FH85,FH85:FH88,1)+COUNTIF(FH85:FH85,FH85)-1</f>
        <v/>
      </c>
      <c r="FJ85" s="12">
        <f>BT85</f>
        <v/>
      </c>
      <c r="FZ85" s="79" t="n">
        <v>83</v>
      </c>
      <c r="GA85" s="3">
        <f>GB85&amp;GC85&amp;GD85&amp;GE85&amp;GF85&amp;GG85&amp;GH85&amp;GI85</f>
        <v/>
      </c>
      <c r="GB85" s="3" t="inlineStr">
        <is>
          <t>H</t>
        </is>
      </c>
      <c r="GC85" s="3" t="inlineStr">
        <is>
          <t>J</t>
        </is>
      </c>
      <c r="GD85" s="3" t="inlineStr">
        <is>
          <t>B</t>
        </is>
      </c>
      <c r="GE85" s="3" t="inlineStr">
        <is>
          <t>C</t>
        </is>
      </c>
      <c r="GF85" s="3" t="inlineStr">
        <is>
          <t>I</t>
        </is>
      </c>
      <c r="GG85" s="3" t="inlineStr">
        <is>
          <t>G</t>
        </is>
      </c>
      <c r="GH85" s="3" t="inlineStr">
        <is>
          <t>L</t>
        </is>
      </c>
      <c r="GI85" s="3" t="inlineStr">
        <is>
          <t>K</t>
        </is>
      </c>
      <c r="GJ85" s="9">
        <f>VLOOKUP(GB85,$FM$3:$FN$15,2,FALSE)</f>
        <v/>
      </c>
      <c r="GK85" s="9">
        <f>VLOOKUP(GC85,$FM$3:$FN$15,2,FALSE)</f>
        <v/>
      </c>
      <c r="GL85" s="9">
        <f>VLOOKUP(GD85,$FM$3:$FN$15,2,FALSE)</f>
        <v/>
      </c>
      <c r="GM85" s="9">
        <f>VLOOKUP(GE85,$FM$3:$FN$15,2,FALSE)</f>
        <v/>
      </c>
      <c r="GN85" s="9">
        <f>VLOOKUP(GF85,$FM$3:$FN$15,2,FALSE)</f>
        <v/>
      </c>
      <c r="GO85" s="9">
        <f>VLOOKUP(GG85,$FM$3:$FN$15,2,FALSE)</f>
        <v/>
      </c>
      <c r="GP85" s="9">
        <f>VLOOKUP(GH85,$FM$3:$FN$15,2,FALSE)</f>
        <v/>
      </c>
      <c r="GQ85" s="9">
        <f>VLOOKUP(GI85,$FM$3:$FN$15,2,FALSE)</f>
        <v/>
      </c>
      <c r="GR85" s="9">
        <f>IFERROR(IF(AND(VLOOKUP(GB85,$FX$4:$FX$15,1,FALSE)=GB85,VLOOKUP(GC85,$FX$4:$FX$15,1,FALSE)=GC85,VLOOKUP(GD85,$FX$4:$FX$15,1,FALSE)=GD85,VLOOKUP(GE85,$FX$4:$FX$15,1,FALSE)=GE85,VLOOKUP(GF85,$FX$4:$FX$15,1,FALSE)=GF85,VLOOKUP(GG85,$FX$4:$FX$15,1,FALSE)=GG85,VLOOKUP(GH85,$FX$4:$FX$15,1,FALSE)=GH85,VLOOKUP(GI85,$FX$4:$FX$15,1,FALSE)=GI85),FZ85,""),"")</f>
        <v/>
      </c>
      <c r="GX85" s="142" t="n"/>
    </row>
    <row r="86" ht="14.25" customHeight="1">
      <c r="B86" s="58" t="n">
        <v>20</v>
      </c>
      <c r="C86" s="59" t="n">
        <v>46190</v>
      </c>
      <c r="D86" s="60" t="inlineStr">
        <is>
          <t>Österrike</t>
        </is>
      </c>
      <c r="E86" s="61" t="inlineStr">
        <is>
          <t>-</t>
        </is>
      </c>
      <c r="F86" s="62" t="inlineStr">
        <is>
          <t>Jordanien</t>
        </is>
      </c>
      <c r="G86" s="63" t="n">
        <v>2</v>
      </c>
      <c r="H86" s="64" t="inlineStr">
        <is>
          <t>-</t>
        </is>
      </c>
      <c r="I86" s="63" t="n">
        <v>0</v>
      </c>
      <c r="J86" s="65">
        <f>IF(OR(ISBLANK(G86),ISBLANK(I86)),"",IF(G86&gt;I86,1,IF(G86&lt;I86,2,"X")))</f>
        <v/>
      </c>
      <c r="K86" s="66">
        <f>IF(OR(G86="",I86="",'[1]Resultat &amp; tabell'!G86="",'[1]Resultat &amp; tabell'!I86=""),0,IF(G86='[1]Resultat &amp; tabell'!G86,2,0)+IF(I86='[1]Resultat &amp; tabell'!I86,2,0)+IF(J86='[1]Resultat &amp; tabell'!J86,2,0))</f>
        <v/>
      </c>
      <c r="L86" s="67" t="n"/>
      <c r="M86" s="29">
        <f>IF(VLOOKUP(D86,$BT$84:$CC$88,10,FALSE)=VLOOKUP(F86,$BT$84:$CC$88,10,FALSE),VLOOKUP(D86,$BT$84:$CC$88,10,FALSE),"-")</f>
        <v/>
      </c>
      <c r="N86" s="30" t="n">
        <v>2</v>
      </c>
      <c r="O86" s="80">
        <f>VLOOKUP(N86,FI85:FJ88,2,FALSE)</f>
        <v/>
      </c>
      <c r="P86" s="81">
        <f>VLOOKUP($O86,$BT$85:$CA$88,2,FALSE)</f>
        <v/>
      </c>
      <c r="Q86" s="81">
        <f>VLOOKUP($O86,$BT$85:$CA$88,3,FALSE)</f>
        <v/>
      </c>
      <c r="R86" s="81">
        <f>VLOOKUP($O86,$BT$85:$CA$88,4,FALSE)</f>
        <v/>
      </c>
      <c r="S86" s="81">
        <f>VLOOKUP($O86,$BT$85:$CA$88,5,FALSE)</f>
        <v/>
      </c>
      <c r="T86" s="81">
        <f>VLOOKUP($O86,$BT$85:$CA$88,6,FALSE)</f>
        <v/>
      </c>
      <c r="U86" s="81">
        <f>VLOOKUP($O86,$BT$85:$CA$88,7,FALSE)</f>
        <v/>
      </c>
      <c r="V86" s="82">
        <f>VLOOKUP($O86,$BT$85:$CA$88,8,FALSE)</f>
        <v/>
      </c>
      <c r="X86" s="1" t="n"/>
      <c r="AE86" s="72">
        <f>C86</f>
        <v/>
      </c>
      <c r="AF86" s="72">
        <f>D86</f>
        <v/>
      </c>
      <c r="AG86" s="72">
        <f>E86</f>
        <v/>
      </c>
      <c r="AH86" s="72">
        <f>F86</f>
        <v/>
      </c>
      <c r="AI86" s="63">
        <f>IF(G86="","",G86)</f>
        <v/>
      </c>
      <c r="AJ86" s="58">
        <f>H86</f>
        <v/>
      </c>
      <c r="AK86" s="63">
        <f>IF(I86="","",I86)</f>
        <v/>
      </c>
      <c r="AL86" s="65">
        <f>J86</f>
        <v/>
      </c>
      <c r="AM86" s="73" t="n"/>
      <c r="AN86" s="13">
        <f>IF(AI86&gt;AK86,1,0)</f>
        <v/>
      </c>
      <c r="AO86" s="13">
        <f>IF(AK86&gt;AI86,1,0)</f>
        <v/>
      </c>
      <c r="AP86" s="13">
        <f>IF(AND(AI86=AK86,AI86&lt;&gt;""),1,0)</f>
        <v/>
      </c>
      <c r="AQ86" s="13">
        <f>IF(AND(AI86=AK86,AI86&lt;&gt;""),1,0)</f>
        <v/>
      </c>
      <c r="AR86" s="13">
        <f>IF(AI86&lt;AK86,1,0)</f>
        <v/>
      </c>
      <c r="AS86" s="13">
        <f>IF(AK86&lt;AI86,1,)</f>
        <v/>
      </c>
      <c r="AT86" s="13">
        <f>IF(ISERROR(VLOOKUP(AF86,CF:CF,1,FALSE)),0,1)*IF(ISERROR(VLOOKUP(AH86,CF:CF,1,FALSE)),0,1)*AN86</f>
        <v/>
      </c>
      <c r="AU86" s="13">
        <f>IF(ISERROR(VLOOKUP(AF86,CF:CF,1,FALSE)),0,1)*IF(ISERROR(VLOOKUP(AH86,CF:CF,1,FALSE)),0,1)*AO86</f>
        <v/>
      </c>
      <c r="AV86" s="13">
        <f>IF(ISERROR(VLOOKUP(AF86,CF:CF,1,FALSE)),0,1)*IF(ISERROR(VLOOKUP(AH86,CF:CF,1,FALSE)),0,1)*AP86</f>
        <v/>
      </c>
      <c r="AW86" s="13">
        <f>IF(ISERROR(VLOOKUP(AF86,CF:CF,1,FALSE)),0,1)*IF(ISERROR(VLOOKUP(AH86,CF:CF,1,FALSE)),0,1)*AQ86</f>
        <v/>
      </c>
      <c r="AX86" s="13">
        <f>IF(ISERROR(VLOOKUP(AF86,CF:CF,1,FALSE)),0,1)*IF(ISERROR(VLOOKUP(AH86,CF:CF,1,FALSE)),0,1)*AR86</f>
        <v/>
      </c>
      <c r="AY86" s="13">
        <f>IF(ISERROR(VLOOKUP(AF86,CF:CF,1,FALSE)),0,1)*IF(ISERROR(VLOOKUP(AH86,CF:CF,1,FALSE)),0,1)*AS86</f>
        <v/>
      </c>
      <c r="AZ86" s="13">
        <f>IF(ISERROR(VLOOKUP(AF86,CZ:CZ,1,FALSE)),0,1)*IF(ISERROR(VLOOKUP(AH86,CZ:CZ,1,FALSE)),0,1)*AN86</f>
        <v/>
      </c>
      <c r="BA86" s="13">
        <f>IF(ISERROR(VLOOKUP(AF86,CZ:CZ,1,FALSE)),0,1)*IF(ISERROR(VLOOKUP(AH86,CZ:CZ,1,FALSE)),0,1)*AO86</f>
        <v/>
      </c>
      <c r="BB86" s="13">
        <f>IF(ISERROR(VLOOKUP(AF86,CZ:CZ,1,FALSE)),0,1)*IF(ISERROR(VLOOKUP(AH86,CZ:CZ,1,FALSE)),0,1)*AP86</f>
        <v/>
      </c>
      <c r="BC86" s="13">
        <f>IF(ISERROR(VLOOKUP(AF86,CZ:CZ,1,FALSE)),0,1)*IF(ISERROR(VLOOKUP(AH86,CZ:CZ,1,FALSE)),0,1)*AQ86</f>
        <v/>
      </c>
      <c r="BD86" s="13">
        <f>IF(ISERROR(VLOOKUP(AF86,CZ:CZ,1,FALSE)),0,1)*IF(ISERROR(VLOOKUP(AH86,CZ:CZ,1,FALSE)),0,1)*AR86</f>
        <v/>
      </c>
      <c r="BE86" s="13">
        <f>IF(ISERROR(VLOOKUP(AF86,CZ:CZ,1,FALSE)),0,1)*IF(ISERROR(VLOOKUP(AH86,CZ:CZ,1,FALSE)),0,1)*AS86</f>
        <v/>
      </c>
      <c r="BF86" s="13">
        <f>IF(ISERROR(VLOOKUP(AF86,DT:DT,1,FALSE)),0,1)*IF(ISERROR(VLOOKUP(AH86,DT:DT,1,FALSE)),0,1)*AN86</f>
        <v/>
      </c>
      <c r="BG86" s="13">
        <f>IF(ISERROR(VLOOKUP(AF86,DT:DT,1,FALSE)),0,1)*IF(ISERROR(VLOOKUP(AH86,DT:DT,1,FALSE)),0,1)*AO86</f>
        <v/>
      </c>
      <c r="BH86" s="13">
        <f>IF(ISERROR(VLOOKUP(AF86,DT:DT,1,FALSE)),0,1)*IF(ISERROR(VLOOKUP(AH86,DT:DT,1,FALSE)),0,1)*AP86</f>
        <v/>
      </c>
      <c r="BI86" s="13">
        <f>IF(ISERROR(VLOOKUP(AF86,DT:DT,1,FALSE)),0,1)*IF(ISERROR(VLOOKUP(AH86,DT:DT,1,FALSE)),0,1)*AQ86</f>
        <v/>
      </c>
      <c r="BJ86" s="13">
        <f>IF(ISERROR(VLOOKUP(AF86,DT:DT,1,FALSE)),0,1)*IF(ISERROR(VLOOKUP(AH86,DT:DT,1,FALSE)),0,1)*AR86</f>
        <v/>
      </c>
      <c r="BK86" s="13">
        <f>IF(ISERROR(VLOOKUP(AF86,DT:DT,1,FALSE)),0,1)*IF(ISERROR(VLOOKUP(AH86,DT:DT,1,FALSE)),0,1)*AS86</f>
        <v/>
      </c>
      <c r="BL86" s="13">
        <f>IF(ISERROR(VLOOKUP(AF86,EN:EN,1,FALSE)),0,1)*IF(ISERROR(VLOOKUP(AH86,EN:EN,1,FALSE)),0,1)*AN86</f>
        <v/>
      </c>
      <c r="BM86" s="13">
        <f>IF(ISERROR(VLOOKUP(AF86,EN:EN,1,FALSE)),0,1)*IF(ISERROR(VLOOKUP(AH86,EN:EN,1,FALSE)),0,1)*AO86</f>
        <v/>
      </c>
      <c r="BN86" s="13">
        <f>IF(ISERROR(VLOOKUP(AF86,EN:EN,1,FALSE)),0,1)*IF(ISERROR(VLOOKUP(AH86,EN:EN,1,FALSE)),0,1)*AP86</f>
        <v/>
      </c>
      <c r="BO86" s="13">
        <f>IF(ISERROR(VLOOKUP(AF86,EN:EN,1,FALSE)),0,1)*IF(ISERROR(VLOOKUP(AH86,EN:EN,1,FALSE)),0,1)*AQ86</f>
        <v/>
      </c>
      <c r="BP86" s="13">
        <f>IF(ISERROR(VLOOKUP(AF86,EN:EN,1,FALSE)),0,1)*IF(ISERROR(VLOOKUP(AH86,EN:EN,1,FALSE)),0,1)*AR86</f>
        <v/>
      </c>
      <c r="BQ86" s="13">
        <f>IF(ISERROR(VLOOKUP(AF86,EN:EN,1,FALSE)),0,1)*IF(ISERROR(VLOOKUP(AH86,EN:EN,1,FALSE)),0,1)*AS86</f>
        <v/>
      </c>
      <c r="BT86" s="12" t="inlineStr">
        <is>
          <t>Algeriet</t>
        </is>
      </c>
      <c r="BU86" s="13">
        <f>(SUMIF(AF$4:AF$108,BT86,AN$4:AN$108)+SUMIF(AH$4:AH$108,BT86,AO$4:AO$108))</f>
        <v/>
      </c>
      <c r="BV86" s="13">
        <f>(SUMIF(AF$4:AF$108,BT86,AP$4:AP$108)+SUMIF(AH$4:AH$108,BT86,AQ$4:AQ$108))</f>
        <v/>
      </c>
      <c r="BW86" s="13">
        <f>(SUMIF(AF$4:AF$108,BT86,AR$4:AR$108)+SUMIF(AH$4:AH$108,BT86,AS$4:AS$108))</f>
        <v/>
      </c>
      <c r="BX86" s="13">
        <f>SUMIF($AF$4:$AF$108,BT86,$AI$4:$AI$108)+SUMIF($AH$4:$AH$108,BT86,$AK$4:$AK$108)</f>
        <v/>
      </c>
      <c r="BY86" s="13">
        <f>SUMIF($AF$4:$AF$108,BT86,$AK$4:$AK$108)+SUMIF($AH$4:$AH$108,BT86,$AI$4:$AI$108)</f>
        <v/>
      </c>
      <c r="BZ86" s="13">
        <f>BX86-BY86</f>
        <v/>
      </c>
      <c r="CA86" s="13">
        <f>IFERROR(BU86*3+BV86*1,0)</f>
        <v/>
      </c>
      <c r="CB86" s="13" t="inlineStr">
        <is>
          <t>J</t>
        </is>
      </c>
      <c r="CC86" s="74">
        <f>RANK(CA86,CA85:CA88)</f>
        <v/>
      </c>
      <c r="CD86" s="13">
        <f>SUMPRODUCT((CA85:CA88=CA86)*(BZ85:BZ88&gt;BZ86))</f>
        <v/>
      </c>
      <c r="CF86" s="12">
        <f>IF(CC86=1,BT86,)</f>
        <v/>
      </c>
      <c r="CG86" s="13">
        <f>(SUMIF($AF$4:$AF$108,$BT86,$AT$4:$AT$108)+SUMIF($AH$4:$AH$108,$BT86,$AU$4:$AU$108))</f>
        <v/>
      </c>
      <c r="CH86" s="13">
        <f>(SUMIF($AF$4:$AF$108,$BT86,$AV$4:$AV$108)+SUMIF($AH$4:$AH$108,$BT86,$AW$4:$AW$108))</f>
        <v/>
      </c>
      <c r="CI86" s="13">
        <f>(SUMIF($AF$4:$AF$108,$BT86,$AX$4:$AX$108)+SUMIF($AH$4:$AH$108,$BT86,$AY$4:$AY$108))</f>
        <v/>
      </c>
      <c r="CJ86" s="13">
        <f>IFERROR(CG86*3+CH86*1,0)</f>
        <v/>
      </c>
      <c r="CK86" s="13">
        <f>CB86</f>
        <v/>
      </c>
      <c r="CL86" s="13">
        <f>IF(CF86&gt;0,RANK(CJ86,CJ85:CJ88),)</f>
        <v/>
      </c>
      <c r="CM86" s="13">
        <f>IF(AND(CF86&gt;0,COUNTIF(CL85:CL88,CL86)&gt;1),SUMIFS($AI$4:$AI$108,$AF$4:$AF$108,$BT86,$M$4:$M$108,1)+SUMIFS($AK$4:$AK$108,$AH$4:$AH$108,$BT86,$M$4:$M$108,1)-SUMIFS($AK$4:$AK$108,$AF$4:$AF$108,$BT86,$M$4:$M$108,1)-SUMIFS($AI$4:$AI$108,$AH$4:$AH$108,$BT86,$M$4:$M$108,1),)</f>
        <v/>
      </c>
      <c r="CN86" s="13">
        <f>IF(AND(CF86&gt;0,COUNTIF(CL85:CL88,CL86)&gt;1),CL86+RANK(CM86,CM85:CM88)-1,CL86)</f>
        <v/>
      </c>
      <c r="CO86" s="13">
        <f>IF(AND(CF86&gt;0,COUNTIF(CN85:CN88,CN86)&gt;1),SUMIFS($AI$4:$AI$108,$AF$4:$AF$108,$BT86,$M$4:$M$108,1)+SUMIFS($AK$4:$AK$108,$AH$4:$AH$108,$BT86,$M$4:$M$108,1),)</f>
        <v/>
      </c>
      <c r="CP86" s="13">
        <f>IF(AND(CF86&gt;0,COUNTIF(CN85:CN88,CN86)&gt;1),CN86+RANK(CO86,CO85:CO88)-1,CN86)</f>
        <v/>
      </c>
      <c r="CQ86" s="13">
        <f>IF(CP86=0,"",CP86)</f>
        <v/>
      </c>
      <c r="CR86" s="13">
        <f>IF(OR(CQ86="",COUNTIF(CQ85:CQ88,CQ86)=1),"",$BZ86)</f>
        <v/>
      </c>
      <c r="CS86" s="13">
        <f>IF(CQ86="","",IF(COUNTIF(CQ85:CQ88,CQ86)=1,CQ86,CQ86+RANK(CR86,CR85:CR88,0)-1))</f>
        <v/>
      </c>
      <c r="CT86" s="13">
        <f>IF(OR(CS86="",COUNTIF(CS85:CS88,CS86)=1),"",$BX86)</f>
        <v/>
      </c>
      <c r="CU86" s="13">
        <f>IF(CQ86="","",IF(COUNTIF(CS85:CS88,CS86)=1,CS86,CS86+RANK(CT86,CT85:CT88,0)-1))</f>
        <v/>
      </c>
      <c r="CV86" s="13">
        <f>IF(OR(CU86="",COUNTIF(CU85:CU88,CU86)=1),"",$BU86)</f>
        <v/>
      </c>
      <c r="CW86" s="13">
        <f>IF(CQ86="","",IF(COUNTIF(CU85:CU88,CU86)=1,CU86,CU86+RANK(CV86,CV85:CV88,0)-1))</f>
        <v/>
      </c>
      <c r="CX86" s="13">
        <f>IF(CF86&gt;0,BM83+RANK(CW86,CW85:CW88,1),)</f>
        <v/>
      </c>
      <c r="CZ86" s="12">
        <f>IF(CC86=2,BT86,)</f>
        <v/>
      </c>
      <c r="DA86" s="13">
        <f>(SUMIF($AF$4:$AF$108,$BT86,$AZ$4:$AZ$108)+SUMIF($AH$4:$AH$108,$BT86,$BA$4:$BA$108))</f>
        <v/>
      </c>
      <c r="DB86" s="13">
        <f>(SUMIF($AF$4:$AF$108,$BT86,$BB$4:$BB$108)+SUMIF($AH$4:$AH$108,$BT86,$BC$4:$BC$108))</f>
        <v/>
      </c>
      <c r="DC86" s="13">
        <f>(SUMIF($AF$4:$AF$108,$BT86,$BD$4:$BD$108)+SUMIF($AH$4:$AH$108,$BT86,$BE$4:$BE$108))</f>
        <v/>
      </c>
      <c r="DD86" s="13">
        <f>IFERROR(DA86*3+DB86*1,0)</f>
        <v/>
      </c>
      <c r="DE86" s="13">
        <f>$CB86</f>
        <v/>
      </c>
      <c r="DF86" s="13">
        <f>IF(CZ86&gt;0,RANK(DD86,DD85:DD88)+CG83,)</f>
        <v/>
      </c>
      <c r="DG86" s="13">
        <f>IF(AND(CZ86&gt;0,COUNTIF(DF85:DF88,DF86)&gt;1),SUMIFS($AI$4:$AI$108,$AF$4:$AF$108,$BT86,$M$4:$M$108,2)+SUMIFS($AK$4:$AK$108,$AH$4:$AH108,$BT86,$M$4:$M$108,2)-SUMIFS($AK$4:$AK$108,$AF$4:$AF$108,$BT86,$M$4:$M$108,2)-SUMIFS($AI$4:$AI$108,$AH$4:$AH$108,$BT86,$M$4:$M$108,2),)</f>
        <v/>
      </c>
      <c r="DH86" s="13">
        <f>IF(AND(CZ86&gt;0,COUNTIF(DF85:DF88,DF86)&gt;1),DF86+RANK(DG86,DG85:DG88)-1,DF86)</f>
        <v/>
      </c>
      <c r="DI86" s="13">
        <f>IF(AND(CZ86&gt;0,COUNTIF(DH85:DH88,DH86)&gt;1),SUMIFS($AI$4:$AI$108,$AF$4:$AF$108,$BT86,$M$4:$M$108,2)+SUMIFS($AK$4:$AK$108,$AH$4:$AH$108,$BT86,$M$4:$M$108,2),)</f>
        <v/>
      </c>
      <c r="DJ86" s="13">
        <f>IF(AND(CZ86&gt;0,COUNTIF(DH85:DH88,DH86)&gt;1),DH86+RANK(DI86,DI85:DI88)-1,DH86)</f>
        <v/>
      </c>
      <c r="DK86" s="75">
        <f>IF(DJ86=0,"",DJ86)</f>
        <v/>
      </c>
      <c r="DL86" s="75">
        <f>IF(OR(DK86="",COUNTIF(DK85:DK88,DK86)=1),"",$BZ86)</f>
        <v/>
      </c>
      <c r="DM86" s="75">
        <f>IF(DK86="","",IF(COUNTIF(DK85:DK88,DK86)=1,DK86,DK86+RANK(DL86,DL85:DL88,0)-1))</f>
        <v/>
      </c>
      <c r="DN86" s="75">
        <f>IF(OR(DM86="",COUNTIF(DM85:DM88,DM86)=1),"",$BX86)</f>
        <v/>
      </c>
      <c r="DO86" s="75">
        <f>IF(DK86="","",IF(COUNTIF(DM85:DM88,DM86)=1,DM86,DM86+RANK(DN86,DN85:DN88,0)-1))</f>
        <v/>
      </c>
      <c r="DP86" s="75">
        <f>IF(OR(DO86="",COUNTIF(DO85:DO88,DO86)=1),"",$BU86)</f>
        <v/>
      </c>
      <c r="DQ86" s="75">
        <f>IF(DK86="","",IF(COUNTIF(DO85:DO88,DO86)=1,DO86,DO86+RANK(DP86,DP85:DP88,0)-1))</f>
        <v/>
      </c>
      <c r="DR86" s="13">
        <f>IF(CZ86&gt;0,CG83+RANK(DQ86,DQ85:DQ88,1),)</f>
        <v/>
      </c>
      <c r="DT86" s="13">
        <f>IF(CC86=3,BT86,)</f>
        <v/>
      </c>
      <c r="DU86" s="13">
        <f>(SUMIF($AF$4:$AF$108,BT86,$BF$4:$BF$108)+SUMIF($AH$4:$AH$108,BT86,$BG$4:$BG$108))</f>
        <v/>
      </c>
      <c r="DV86" s="13">
        <f>(SUMIF($AF$4:$AF$108,BT86,$BH$4:$BH$108)+SUMIF($AH$4:$AH$108,BT86,$BI$4:$BI$108))</f>
        <v/>
      </c>
      <c r="DW86" s="13">
        <f>(SUMIF($AF$4:$AF$108,BT86,$BJ$4:$BJ$108)+SUMIF($AH$4:$AH$108,BT86,$BK$4:$BK$108))</f>
        <v/>
      </c>
      <c r="DX86" s="13">
        <f>IFERROR(DU86*3+DV86*1,0)</f>
        <v/>
      </c>
      <c r="DY86" s="13">
        <f>CB86</f>
        <v/>
      </c>
      <c r="DZ86" s="13">
        <f>IF(DT86&gt;0,RANK(DX86,DX85:DX88)+CG83+DA83,)</f>
        <v/>
      </c>
      <c r="EA86" s="13">
        <f>IF(AND(DT86&gt;0,COUNTIF(DZ85:DZ88,DZ86)&gt;1),SUMIFS($AI$4:$AI$108,$AF$4:$AF$108,$BT86,$M$4:$M$108,3)+SUMIFS($AK$4:$AK$108,$AH$4:$AH$108,$BT86,$M$4:$M$108,3)-SUMIFS($AK$4:$AK$108,$AF$4:$AF$108,$BT86,$M$4:$M$108,3)-SUMIFS($AI$4:$AI$108,$AH$4:$AH$108,$BT86,$M$4:$M$108,3),)</f>
        <v/>
      </c>
      <c r="EB86" s="13">
        <f>IF(AND(DT86&gt;0,COUNTIF(DZ85:DZ88,DZ86)&gt;1),DZ86+RANK(EA86,EA85:EA88)-1,DZ86)</f>
        <v/>
      </c>
      <c r="EC86" s="13">
        <f>IF(AND(DT86&gt;0,COUNTIF(EB85:EB88,EB86)&gt;1),SUMIFS($AI$4:$AI$108,$AF$4:$AF$108,$BT86,$M$4:$M$108,3)+SUMIFS($AK$4:$AK$108,$AH$4:$AH$108,$BT86,$M$4:$M$108,3),)</f>
        <v/>
      </c>
      <c r="ED86" s="13">
        <f>IF(AND(DT86&gt;0,COUNTIF(EB85:EB88,EB86)&gt;1),EB86+RANK(EC86,EC85:EC88)-1,EB86)</f>
        <v/>
      </c>
      <c r="EE86" s="13">
        <f>IF(ED86=0,"",ED86)</f>
        <v/>
      </c>
      <c r="EF86" s="13">
        <f>IF(OR(EE86="",COUNTIF(EE85:EE88,EE86)=1),"",$BZ86)</f>
        <v/>
      </c>
      <c r="EG86" s="13">
        <f>IF(EE86="","",IF(COUNTIF(EE85:EE88,EE86)=1,EE86,EE86+RANK(EF86,EF85:EF88,0)-1))</f>
        <v/>
      </c>
      <c r="EH86" s="13">
        <f>IF(OR(EG86="",COUNTIF(EG85:EG88,EG86)=1),"",$BX86)</f>
        <v/>
      </c>
      <c r="EI86" s="13">
        <f>IF(EE86="","",IF(COUNTIF(EG85:EG88,EG86)=1,EG86,EG86+RANK(EH86,EH85:EH88,0)-1))</f>
        <v/>
      </c>
      <c r="EJ86" s="13">
        <f>IF(OR(EI86="",COUNTIF(EI85:EI88,EI86)=1),"",$BU86)</f>
        <v/>
      </c>
      <c r="EK86" s="13">
        <f>IF(EE86="","",IF(COUNTIF(EI85:EI88,EI86)=1,EI86,EI86+RANK(EJ86,EJ85:EJ88,0)-1))</f>
        <v/>
      </c>
      <c r="EL86" s="13">
        <f>IF(DT86&gt;0,CG83+DA83+RANK(EK86,EK85:EK88,1),)</f>
        <v/>
      </c>
      <c r="EN86" s="13">
        <f>IF(CC86=4,BT86,)</f>
        <v/>
      </c>
      <c r="EO86" s="13">
        <f>(SUMIF($AF$4:$AF$108,$BT86,$BL$4:$BL$108)+SUMIF($AH$4:$AH$108,$BT86,$BM$4:$BM$108))</f>
        <v/>
      </c>
      <c r="EP86" s="13">
        <f>(SUMIF($AF$4:$AF$108,$BT86,$BN$4:$BN$108)+SUMIF($AH$4:$AH$108,$BT86,$BO$4:$BO$108))</f>
        <v/>
      </c>
      <c r="EQ86" s="13">
        <f>(SUMIF($AF$4:$AF$108,$BT86,$BP$4:$BP$108)+SUMIF($AH$4:$AH$108,$BT86,$BQ$4:$BQ$108))</f>
        <v/>
      </c>
      <c r="ER86" s="13">
        <f>IFERROR(EO86*3+EP86*1,0)</f>
        <v/>
      </c>
      <c r="ES86" s="13">
        <f>$CB86</f>
        <v/>
      </c>
      <c r="ET86" s="13">
        <f>IF(EN86&gt;0,RANK(ER86,ER85:ER88)+CG83+DA83+DU83,)</f>
        <v/>
      </c>
      <c r="EU86" s="13">
        <f>IF(AND(EN86&gt;0,COUNTIF(ET85:ET88,ET86)&gt;1),SUMIFS($AI$4:$AI$108,$AF$4:$AF$108,$BT86,$M$4:$M$108,4)+SUMIFS($AK$4:$AK$108,$AH$4:$AH$108,$BT86,$M$4:$M$108,4)-SUMIFS($AK$4:$AK$108,$AF$4:$AF$108,$BT86,$M$4:$M$108,4)-SUMIFS($AI$4:$AI$108,$AH$4:$AH$108,$BT86,$M$4:$M$108,4),)</f>
        <v/>
      </c>
      <c r="EV86" s="13">
        <f>IF(AND(EN86&gt;0,COUNTIF(ET85:ET88,ET86)&gt;1),ET86+RANK(EU86,EU85:EU88)-1,ET86)</f>
        <v/>
      </c>
      <c r="EW86" s="13">
        <f>IF(AND(EN86&gt;0,COUNTIF(EV86:EV89,EV86)&gt;1),SUMIFS($AI$4:$AI$108,$AF$4:$AF$108,$BT86,$M$4:$M$108,4)+SUMIFS($AK$4:$AK$108,$AH$4:$AH$108,$BT86,$M$4:$M$108,4),)</f>
        <v/>
      </c>
      <c r="EX86" s="13">
        <f>IF(AND(EN86&gt;0,COUNTIF(EV85:EV88,EV86)&gt;1),EV86+RANK(EW86,EW85:EW88)-1,EV86)</f>
        <v/>
      </c>
      <c r="EY86" s="13">
        <f>IF(EX86=0,"",EX86)</f>
        <v/>
      </c>
      <c r="EZ86" s="13">
        <f>IF(OR(EY86="",COUNTIF(EY85:EY88,EY86)=1),"",$BZ86)</f>
        <v/>
      </c>
      <c r="FA86" s="13">
        <f>IF(EY86="","",IF(COUNTIF(EY85:EY88,EY86)=1,EY86,EY86+RANK(EZ86,EZ85:EZ88,0)-1))</f>
        <v/>
      </c>
      <c r="FB86" s="13">
        <f>IF(OR(FA86="",COUNTIF(FA85:FA88,FA86)=1),"",$BX86)</f>
        <v/>
      </c>
      <c r="FC86" s="13">
        <f>IF(EY86="","",IF(COUNTIF(FA85:FA88,FA86)=1,FA86,FA86+RANK(FB86,FB85:FB88,0)-1))</f>
        <v/>
      </c>
      <c r="FD86" s="13">
        <f>IF(OR(FC86="",COUNTIF(FC85:FC88,FC86)=1),"",$BU86)</f>
        <v/>
      </c>
      <c r="FE86" s="13">
        <f>IF(EY86="","",IF(COUNTIF(FC85:FC88,FC86)=1,FC86,FC86+RANK(FD86,FD85:FD88,0)-1))</f>
        <v/>
      </c>
      <c r="FF86" s="13">
        <f>IF(EN86&gt;0,CG83+DA83+DU83+RANK(FE86,FE85:FE88,1),)</f>
        <v/>
      </c>
      <c r="FH86" s="13">
        <f>IFERROR(VLOOKUP(FJ86,CF84:CX88,19,FALSE),IFERROR(VLOOKUP(FJ86,CZ84:DR88,19,FALSE),IFERROR(VLOOKUP(FJ86,DT84:EL88,19,FALSE),VLOOKUP(FJ86,EN84:FF88,19,FALSE))))</f>
        <v/>
      </c>
      <c r="FI86" s="13">
        <f>RANK(FH86,FH85:FH88,1)+COUNTIF(FH85:FH86,FH86)-1</f>
        <v/>
      </c>
      <c r="FJ86" s="12">
        <f>BT86</f>
        <v/>
      </c>
      <c r="FZ86" s="79" t="n">
        <v>84</v>
      </c>
      <c r="GA86" s="3">
        <f>GB86&amp;GC86&amp;GD86&amp;GE86&amp;GF86&amp;GG86&amp;GH86&amp;GI86</f>
        <v/>
      </c>
      <c r="GB86" s="3" t="inlineStr">
        <is>
          <t>H</t>
        </is>
      </c>
      <c r="GC86" s="3" t="inlineStr">
        <is>
          <t>J</t>
        </is>
      </c>
      <c r="GD86" s="3" t="inlineStr">
        <is>
          <t>B</t>
        </is>
      </c>
      <c r="GE86" s="3" t="inlineStr">
        <is>
          <t>C</t>
        </is>
      </c>
      <c r="GF86" s="3" t="inlineStr">
        <is>
          <t>I</t>
        </is>
      </c>
      <c r="GG86" s="3" t="inlineStr">
        <is>
          <t>F</t>
        </is>
      </c>
      <c r="GH86" s="3" t="inlineStr">
        <is>
          <t>L</t>
        </is>
      </c>
      <c r="GI86" s="3" t="inlineStr">
        <is>
          <t>K</t>
        </is>
      </c>
      <c r="GJ86" s="9">
        <f>VLOOKUP(GB86,$FM$3:$FN$15,2,FALSE)</f>
        <v/>
      </c>
      <c r="GK86" s="9">
        <f>VLOOKUP(GC86,$FM$3:$FN$15,2,FALSE)</f>
        <v/>
      </c>
      <c r="GL86" s="9">
        <f>VLOOKUP(GD86,$FM$3:$FN$15,2,FALSE)</f>
        <v/>
      </c>
      <c r="GM86" s="9">
        <f>VLOOKUP(GE86,$FM$3:$FN$15,2,FALSE)</f>
        <v/>
      </c>
      <c r="GN86" s="9">
        <f>VLOOKUP(GF86,$FM$3:$FN$15,2,FALSE)</f>
        <v/>
      </c>
      <c r="GO86" s="9">
        <f>VLOOKUP(GG86,$FM$3:$FN$15,2,FALSE)</f>
        <v/>
      </c>
      <c r="GP86" s="9">
        <f>VLOOKUP(GH86,$FM$3:$FN$15,2,FALSE)</f>
        <v/>
      </c>
      <c r="GQ86" s="9">
        <f>VLOOKUP(GI86,$FM$3:$FN$15,2,FALSE)</f>
        <v/>
      </c>
      <c r="GR86" s="9">
        <f>IFERROR(IF(AND(VLOOKUP(GB86,$FX$4:$FX$15,1,FALSE)=GB86,VLOOKUP(GC86,$FX$4:$FX$15,1,FALSE)=GC86,VLOOKUP(GD86,$FX$4:$FX$15,1,FALSE)=GD86,VLOOKUP(GE86,$FX$4:$FX$15,1,FALSE)=GE86,VLOOKUP(GF86,$FX$4:$FX$15,1,FALSE)=GF86,VLOOKUP(GG86,$FX$4:$FX$15,1,FALSE)=GG86,VLOOKUP(GH86,$FX$4:$FX$15,1,FALSE)=GH86,VLOOKUP(GI86,$FX$4:$FX$15,1,FALSE)=GI86),FZ86,""),"")</f>
        <v/>
      </c>
      <c r="GX86" s="142" t="n"/>
    </row>
    <row r="87" ht="14.25" customHeight="1">
      <c r="B87" s="58" t="n">
        <v>43</v>
      </c>
      <c r="C87" s="59" t="n">
        <v>46195</v>
      </c>
      <c r="D87" s="60" t="inlineStr">
        <is>
          <t>Argentina</t>
        </is>
      </c>
      <c r="E87" s="61" t="inlineStr">
        <is>
          <t>-</t>
        </is>
      </c>
      <c r="F87" s="62" t="inlineStr">
        <is>
          <t>Österrike</t>
        </is>
      </c>
      <c r="G87" s="63" t="n">
        <v>2</v>
      </c>
      <c r="H87" s="64" t="inlineStr">
        <is>
          <t>-</t>
        </is>
      </c>
      <c r="I87" s="63" t="n">
        <v>1</v>
      </c>
      <c r="J87" s="65">
        <f>IF(OR(ISBLANK(G87),ISBLANK(I87)),"",IF(G87&gt;I87,1,IF(G87&lt;I87,2,"X")))</f>
        <v/>
      </c>
      <c r="K87" s="66">
        <f>IF(OR(G87="",I87="",'[1]Resultat &amp; tabell'!G87="",'[1]Resultat &amp; tabell'!I87=""),0,IF(G87='[1]Resultat &amp; tabell'!G87,2,0)+IF(I87='[1]Resultat &amp; tabell'!I87,2,0)+IF(J87='[1]Resultat &amp; tabell'!J87,2,0))</f>
        <v/>
      </c>
      <c r="L87" s="67" t="n"/>
      <c r="M87" s="29">
        <f>IF(VLOOKUP(D87,$BT$84:$CC$88,10,FALSE)=VLOOKUP(F87,$BT$84:$CC$88,10,FALSE),VLOOKUP(D87,$BT$84:$CC$88,10,FALSE),"-")</f>
        <v/>
      </c>
      <c r="N87" s="30" t="n">
        <v>3</v>
      </c>
      <c r="O87" s="83">
        <f>VLOOKUP(N87,FI85:FJ88,2,FALSE)</f>
        <v/>
      </c>
      <c r="P87" s="84">
        <f>VLOOKUP($O87,$BT$85:$CA$88,2,FALSE)</f>
        <v/>
      </c>
      <c r="Q87" s="84">
        <f>VLOOKUP($O87,$BT$85:$CA$88,3,FALSE)</f>
        <v/>
      </c>
      <c r="R87" s="84">
        <f>VLOOKUP($O87,$BT$85:$CA$88,4,FALSE)</f>
        <v/>
      </c>
      <c r="S87" s="84">
        <f>VLOOKUP($O87,$BT$85:$CA$88,5,FALSE)</f>
        <v/>
      </c>
      <c r="T87" s="84">
        <f>VLOOKUP($O87,$BT$85:$CA$88,6,FALSE)</f>
        <v/>
      </c>
      <c r="U87" s="84">
        <f>VLOOKUP($O87,$BT$85:$CA$88,7,FALSE)</f>
        <v/>
      </c>
      <c r="V87" s="85">
        <f>VLOOKUP($O87,$BT$85:$CA$88,8,FALSE)</f>
        <v/>
      </c>
      <c r="X87" s="1" t="n"/>
      <c r="AE87" s="72">
        <f>C87</f>
        <v/>
      </c>
      <c r="AF87" s="72">
        <f>D87</f>
        <v/>
      </c>
      <c r="AG87" s="72">
        <f>E87</f>
        <v/>
      </c>
      <c r="AH87" s="72">
        <f>F87</f>
        <v/>
      </c>
      <c r="AI87" s="63">
        <f>IF(G87="","",G87)</f>
        <v/>
      </c>
      <c r="AJ87" s="58">
        <f>H87</f>
        <v/>
      </c>
      <c r="AK87" s="63">
        <f>IF(I87="","",I87)</f>
        <v/>
      </c>
      <c r="AL87" s="65">
        <f>J87</f>
        <v/>
      </c>
      <c r="AM87" s="73" t="n"/>
      <c r="AN87" s="13">
        <f>IF(AI87&gt;AK87,1,0)</f>
        <v/>
      </c>
      <c r="AO87" s="13">
        <f>IF(AK87&gt;AI87,1,0)</f>
        <v/>
      </c>
      <c r="AP87" s="13">
        <f>IF(AND(AI87=AK87,AI87&lt;&gt;""),1,0)</f>
        <v/>
      </c>
      <c r="AQ87" s="13">
        <f>IF(AND(AI87=AK87,AI87&lt;&gt;""),1,0)</f>
        <v/>
      </c>
      <c r="AR87" s="13">
        <f>IF(AI87&lt;AK87,1,0)</f>
        <v/>
      </c>
      <c r="AS87" s="13">
        <f>IF(AK87&lt;AI87,1,)</f>
        <v/>
      </c>
      <c r="AT87" s="13">
        <f>IF(ISERROR(VLOOKUP(AF87,CF:CF,1,FALSE)),0,1)*IF(ISERROR(VLOOKUP(AH87,CF:CF,1,FALSE)),0,1)*AN87</f>
        <v/>
      </c>
      <c r="AU87" s="13">
        <f>IF(ISERROR(VLOOKUP(AF87,CF:CF,1,FALSE)),0,1)*IF(ISERROR(VLOOKUP(AH87,CF:CF,1,FALSE)),0,1)*AO87</f>
        <v/>
      </c>
      <c r="AV87" s="13">
        <f>IF(ISERROR(VLOOKUP(AF87,CF:CF,1,FALSE)),0,1)*IF(ISERROR(VLOOKUP(AH87,CF:CF,1,FALSE)),0,1)*AP87</f>
        <v/>
      </c>
      <c r="AW87" s="13">
        <f>IF(ISERROR(VLOOKUP(AF87,CF:CF,1,FALSE)),0,1)*IF(ISERROR(VLOOKUP(AH87,CF:CF,1,FALSE)),0,1)*AQ87</f>
        <v/>
      </c>
      <c r="AX87" s="13">
        <f>IF(ISERROR(VLOOKUP(AF87,CF:CF,1,FALSE)),0,1)*IF(ISERROR(VLOOKUP(AH87,CF:CF,1,FALSE)),0,1)*AR87</f>
        <v/>
      </c>
      <c r="AY87" s="13">
        <f>IF(ISERROR(VLOOKUP(AF87,CF:CF,1,FALSE)),0,1)*IF(ISERROR(VLOOKUP(AH87,CF:CF,1,FALSE)),0,1)*AS87</f>
        <v/>
      </c>
      <c r="AZ87" s="13">
        <f>IF(ISERROR(VLOOKUP(AF87,CZ:CZ,1,FALSE)),0,1)*IF(ISERROR(VLOOKUP(AH87,CZ:CZ,1,FALSE)),0,1)*AN87</f>
        <v/>
      </c>
      <c r="BA87" s="13">
        <f>IF(ISERROR(VLOOKUP(AF87,CZ:CZ,1,FALSE)),0,1)*IF(ISERROR(VLOOKUP(AH87,CZ:CZ,1,FALSE)),0,1)*AO87</f>
        <v/>
      </c>
      <c r="BB87" s="13">
        <f>IF(ISERROR(VLOOKUP(AF87,CZ:CZ,1,FALSE)),0,1)*IF(ISERROR(VLOOKUP(AH87,CZ:CZ,1,FALSE)),0,1)*AP87</f>
        <v/>
      </c>
      <c r="BC87" s="13">
        <f>IF(ISERROR(VLOOKUP(AF87,CZ:CZ,1,FALSE)),0,1)*IF(ISERROR(VLOOKUP(AH87,CZ:CZ,1,FALSE)),0,1)*AQ87</f>
        <v/>
      </c>
      <c r="BD87" s="13">
        <f>IF(ISERROR(VLOOKUP(AF87,CZ:CZ,1,FALSE)),0,1)*IF(ISERROR(VLOOKUP(AH87,CZ:CZ,1,FALSE)),0,1)*AR87</f>
        <v/>
      </c>
      <c r="BE87" s="13">
        <f>IF(ISERROR(VLOOKUP(AF87,CZ:CZ,1,FALSE)),0,1)*IF(ISERROR(VLOOKUP(AH87,CZ:CZ,1,FALSE)),0,1)*AS87</f>
        <v/>
      </c>
      <c r="BF87" s="13">
        <f>IF(ISERROR(VLOOKUP(AF87,DT:DT,1,FALSE)),0,1)*IF(ISERROR(VLOOKUP(AH87,DT:DT,1,FALSE)),0,1)*AN87</f>
        <v/>
      </c>
      <c r="BG87" s="13">
        <f>IF(ISERROR(VLOOKUP(AF87,DT:DT,1,FALSE)),0,1)*IF(ISERROR(VLOOKUP(AH87,DT:DT,1,FALSE)),0,1)*AO87</f>
        <v/>
      </c>
      <c r="BH87" s="13">
        <f>IF(ISERROR(VLOOKUP(AF87,DT:DT,1,FALSE)),0,1)*IF(ISERROR(VLOOKUP(AH87,DT:DT,1,FALSE)),0,1)*AP87</f>
        <v/>
      </c>
      <c r="BI87" s="13">
        <f>IF(ISERROR(VLOOKUP(AF87,DT:DT,1,FALSE)),0,1)*IF(ISERROR(VLOOKUP(AH87,DT:DT,1,FALSE)),0,1)*AQ87</f>
        <v/>
      </c>
      <c r="BJ87" s="13">
        <f>IF(ISERROR(VLOOKUP(AF87,DT:DT,1,FALSE)),0,1)*IF(ISERROR(VLOOKUP(AH87,DT:DT,1,FALSE)),0,1)*AR87</f>
        <v/>
      </c>
      <c r="BK87" s="13">
        <f>IF(ISERROR(VLOOKUP(AF87,DT:DT,1,FALSE)),0,1)*IF(ISERROR(VLOOKUP(AH87,DT:DT,1,FALSE)),0,1)*AS87</f>
        <v/>
      </c>
      <c r="BL87" s="13">
        <f>IF(ISERROR(VLOOKUP(AF87,EN:EN,1,FALSE)),0,1)*IF(ISERROR(VLOOKUP(AH87,EN:EN,1,FALSE)),0,1)*AN87</f>
        <v/>
      </c>
      <c r="BM87" s="13">
        <f>IF(ISERROR(VLOOKUP(AF87,EN:EN,1,FALSE)),0,1)*IF(ISERROR(VLOOKUP(AH87,EN:EN,1,FALSE)),0,1)*AO87</f>
        <v/>
      </c>
      <c r="BN87" s="13">
        <f>IF(ISERROR(VLOOKUP(AF87,EN:EN,1,FALSE)),0,1)*IF(ISERROR(VLOOKUP(AH87,EN:EN,1,FALSE)),0,1)*AP87</f>
        <v/>
      </c>
      <c r="BO87" s="13">
        <f>IF(ISERROR(VLOOKUP(AF87,EN:EN,1,FALSE)),0,1)*IF(ISERROR(VLOOKUP(AH87,EN:EN,1,FALSE)),0,1)*AQ87</f>
        <v/>
      </c>
      <c r="BP87" s="13">
        <f>IF(ISERROR(VLOOKUP(AF87,EN:EN,1,FALSE)),0,1)*IF(ISERROR(VLOOKUP(AH87,EN:EN,1,FALSE)),0,1)*AR87</f>
        <v/>
      </c>
      <c r="BQ87" s="13">
        <f>IF(ISERROR(VLOOKUP(AF87,EN:EN,1,FALSE)),0,1)*IF(ISERROR(VLOOKUP(AH87,EN:EN,1,FALSE)),0,1)*AS87</f>
        <v/>
      </c>
      <c r="BT87" s="12" t="inlineStr">
        <is>
          <t>Österrike</t>
        </is>
      </c>
      <c r="BU87" s="13">
        <f>(SUMIF(AF$4:AF$108,BT87,AN$4:AN$108)+SUMIF(AH$4:AH$108,BT87,AO$4:AO$108))</f>
        <v/>
      </c>
      <c r="BV87" s="13">
        <f>(SUMIF(AF$4:AF$108,BT87,AP$4:AP$108)+SUMIF(AH$4:AH$108,BT87,AQ$4:AQ$108))</f>
        <v/>
      </c>
      <c r="BW87" s="13">
        <f>(SUMIF(AF$4:AF$108,BT87,AR$4:AR$108)+SUMIF(AH$4:AH$108,BT87,AS$4:AS$108))</f>
        <v/>
      </c>
      <c r="BX87" s="13">
        <f>SUMIF($AF$4:$AF$108,BT87,$AI$4:$AI$108)+SUMIF($AH$4:$AH$108,BT87,$AK$4:$AK$108)</f>
        <v/>
      </c>
      <c r="BY87" s="13">
        <f>SUMIF($AF$4:$AF$108,BT87,$AK$4:$AK$108)+SUMIF($AH$4:$AH$108,BT87,$AI$4:$AI$108)</f>
        <v/>
      </c>
      <c r="BZ87" s="13">
        <f>BX87-BY87</f>
        <v/>
      </c>
      <c r="CA87" s="13">
        <f>IFERROR(BU87*3+BV87*1,0)</f>
        <v/>
      </c>
      <c r="CB87" s="13" t="inlineStr">
        <is>
          <t>J</t>
        </is>
      </c>
      <c r="CC87" s="74">
        <f>RANK(CA87,CA85:CA88)</f>
        <v/>
      </c>
      <c r="CD87" s="13">
        <f>SUMPRODUCT((CA85:CA88=CA87)*(BZ85:BZ88&gt;BZ87))</f>
        <v/>
      </c>
      <c r="CF87" s="12">
        <f>IF(CC87=1,BT87,)</f>
        <v/>
      </c>
      <c r="CG87" s="13">
        <f>(SUMIF($AF$4:$AF$108,$BT87,$AT$4:$AT$108)+SUMIF($AH$4:$AH$108,$BT87,$AU$4:$AU$108))</f>
        <v/>
      </c>
      <c r="CH87" s="13">
        <f>(SUMIF($AF$4:$AF$108,$BT87,$AV$4:$AV$108)+SUMIF($AH$4:$AH$108,$BT87,$AW$4:$AW$108))</f>
        <v/>
      </c>
      <c r="CI87" s="13">
        <f>(SUMIF($AF$4:$AF$108,$BT87,$AX$4:$AX$108)+SUMIF($AH$4:$AH$108,$BT87,$AY$4:$AY$108))</f>
        <v/>
      </c>
      <c r="CJ87" s="13">
        <f>IFERROR(CG87*3+CH87*1,0)</f>
        <v/>
      </c>
      <c r="CK87" s="13">
        <f>CB87</f>
        <v/>
      </c>
      <c r="CL87" s="13">
        <f>IF(CF87&gt;0,RANK(CJ87,CJ85:CJ88),)</f>
        <v/>
      </c>
      <c r="CM87" s="13">
        <f>IF(AND(CF87&gt;0,COUNTIF(CL85:CL88,CL87)&gt;1),SUMIFS($AI$4:$AI$108,$AF$4:$AF$108,$BT87,$M$4:$M$108,1)+SUMIFS($AK$4:$AK$108,$AH$4:$AH$108,$BT87,$M$4:$M$108,1)-SUMIFS($AK$4:$AK$108,$AF$4:$AF$108,$BT87,$M$4:$M$108,1)-SUMIFS($AI$4:$AI$108,$AH$4:$AH$108,$BT87,$M$4:$M$108,1),)</f>
        <v/>
      </c>
      <c r="CN87" s="13">
        <f>IF(AND(CF87&gt;0,COUNTIF(CL85:CL88,CL87)&gt;1),CL87+RANK(CM87,CM85:CM88)-1,CL87)</f>
        <v/>
      </c>
      <c r="CO87" s="13">
        <f>IF(AND(CF87&gt;0,COUNTIF(CN85:CN88,CN87)&gt;1),SUMIFS($AI$4:$AI$108,$AF$4:$AF$108,$BT87,$M$4:$M$108,1)+SUMIFS($AK$4:$AK$108,$AH$4:$AH$108,$BT87,$M$4:$M$108,1),)</f>
        <v/>
      </c>
      <c r="CP87" s="13">
        <f>IF(AND(CF87&gt;0,COUNTIF(CN85:CN88,CN87)&gt;1),CN87+RANK(CO87,CO85:CO88)-1,CN87)</f>
        <v/>
      </c>
      <c r="CQ87" s="13">
        <f>IF(CP87=0,"",CP87)</f>
        <v/>
      </c>
      <c r="CR87" s="13">
        <f>IF(OR(CQ87="",COUNTIF(CQ85:CQ88,CQ87)=1),"",$BZ87)</f>
        <v/>
      </c>
      <c r="CS87" s="13">
        <f>IF(CQ87="","",IF(COUNTIF(CQ85:CQ88,CQ87)=1,CQ87,CQ87+RANK(CR87,CR85:CR88,0)-1))</f>
        <v/>
      </c>
      <c r="CT87" s="13">
        <f>IF(OR(CS87="",COUNTIF(CS85:CS88,CS87)=1),"",$BX87)</f>
        <v/>
      </c>
      <c r="CU87" s="13">
        <f>IF(CQ87="","",IF(COUNTIF(CS85:CS88,CS87)=1,CS87,CS87+RANK(CT87,CT85:CT88,0)-1))</f>
        <v/>
      </c>
      <c r="CV87" s="13">
        <f>IF(OR(CU87="",COUNTIF(CU85:CU88,CU87)=1),"",$BU87)</f>
        <v/>
      </c>
      <c r="CW87" s="13">
        <f>IF(CQ87="","",IF(COUNTIF(CU85:CU88,CU87)=1,CU87,CU87+RANK(CV87,CV85:CV88,0)-1))</f>
        <v/>
      </c>
      <c r="CX87" s="13">
        <f>IF(CF87&gt;0,BM83+RANK(CW87,CW85:CW88,1),)</f>
        <v/>
      </c>
      <c r="CZ87" s="12">
        <f>IF(CC87=2,BT87,)</f>
        <v/>
      </c>
      <c r="DA87" s="13">
        <f>(SUMIF($AF$4:$AF$108,$BT87,$AZ$4:$AZ$108)+SUMIF($AH$4:$AH$108,$BT87,$BA$4:$BA$108))</f>
        <v/>
      </c>
      <c r="DB87" s="13">
        <f>(SUMIF($AF$4:$AF$108,$BT87,$BB$4:$BB$108)+SUMIF($AH$4:$AH$108,$BT87,$BC$4:$BC$108))</f>
        <v/>
      </c>
      <c r="DC87" s="13">
        <f>(SUMIF($AF$4:$AF$108,$BT87,$BD$4:$BD$108)+SUMIF($AH$4:$AH$108,$BT87,$BE$4:$BE$108))</f>
        <v/>
      </c>
      <c r="DD87" s="13">
        <f>IFERROR(DA87*3+DB87*1,0)</f>
        <v/>
      </c>
      <c r="DE87" s="13">
        <f>$CB87</f>
        <v/>
      </c>
      <c r="DF87" s="13">
        <f>IF(CZ87&gt;0,RANK(DD87,DD85:DD88)+CG83,)</f>
        <v/>
      </c>
      <c r="DG87" s="13">
        <f>IF(AND(CZ87&gt;0,COUNTIF(DF85:DF88,DF87)&gt;1),SUMIFS($AI$4:$AI$108,$AF$4:$AF$108,$BT87,$M$4:$M$108,2)+SUMIFS($AK$4:$AK$108,$AH$4:$AH108,$BT87,$M$4:$M$108,2)-SUMIFS($AK$4:$AK$108,$AF$4:$AF$108,$BT87,$M$4:$M$108,2)-SUMIFS($AI$4:$AI$108,$AH$4:$AH$108,$BT87,$M$4:$M$108,2),)</f>
        <v/>
      </c>
      <c r="DH87" s="13">
        <f>IF(AND(CZ87&gt;0,COUNTIF(DF85:DF88,DF87)&gt;1),DF87+RANK(DG87,DG85:DG88)-1,DF87)</f>
        <v/>
      </c>
      <c r="DI87" s="13">
        <f>IF(AND(CZ87&gt;0,COUNTIF(DH85:DH88,DH87)&gt;1),SUMIFS($AI$4:$AI$108,$AF$4:$AF$108,$BT87,$M$4:$M$108,2)+SUMIFS($AK$4:$AK$108,$AH$4:$AH$108,$BT87,$M$4:$M$108,2),)</f>
        <v/>
      </c>
      <c r="DJ87" s="13">
        <f>IF(AND(CZ87&gt;0,COUNTIF(DH85:DH88,DH87)&gt;1),DH87+RANK(DI87,DI85:DI88)-1,DH87)</f>
        <v/>
      </c>
      <c r="DK87" s="75">
        <f>IF(DJ87=0,"",DJ87)</f>
        <v/>
      </c>
      <c r="DL87" s="75">
        <f>IF(OR(DK87="",COUNTIF(DK85:DK88,DK87)=1),"",$BZ87)</f>
        <v/>
      </c>
      <c r="DM87" s="75">
        <f>IF(DK87="","",IF(COUNTIF(DK85:DK88,DK87)=1,DK87,DK87+RANK(DL87,DL85:DL88,0)-1))</f>
        <v/>
      </c>
      <c r="DN87" s="75">
        <f>IF(OR(DM87="",COUNTIF(DM85:DM88,DM87)=1),"",$BX87)</f>
        <v/>
      </c>
      <c r="DO87" s="75">
        <f>IF(DK87="","",IF(COUNTIF(DM85:DM88,DM87)=1,DM87,DM87+RANK(DN87,DN85:DN88,0)-1))</f>
        <v/>
      </c>
      <c r="DP87" s="75">
        <f>IF(OR(DO87="",COUNTIF(DO85:DO88,DO87)=1),"",$BU87)</f>
        <v/>
      </c>
      <c r="DQ87" s="75">
        <f>IF(DK87="","",IF(COUNTIF(DO85:DO88,DO87)=1,DO87,DO87+RANK(DP87,DP85:DP88,0)-1))</f>
        <v/>
      </c>
      <c r="DR87" s="13">
        <f>IF(CZ87&gt;0,CG83+RANK(DQ87,DQ85:DQ88,1),)</f>
        <v/>
      </c>
      <c r="DT87" s="13">
        <f>IF(CC87=3,BT87,)</f>
        <v/>
      </c>
      <c r="DU87" s="13">
        <f>(SUMIF($AF$4:$AF$108,BT87,$BF$4:$BF$108)+SUMIF($AH$4:$AH$108,BT87,$BG$4:$BG$108))</f>
        <v/>
      </c>
      <c r="DV87" s="13">
        <f>(SUMIF($AF$4:$AF$108,BT87,$BH$4:$BH$108)+SUMIF($AH$4:$AH$108,BT87,$BI$4:$BI$108))</f>
        <v/>
      </c>
      <c r="DW87" s="13">
        <f>(SUMIF($AF$4:$AF$108,BT87,$BJ$4:$BJ$108)+SUMIF($AH$4:$AH$108,BT87,$BK$4:$BK$108))</f>
        <v/>
      </c>
      <c r="DX87" s="13">
        <f>IFERROR(DU87*3+DV87*1,0)</f>
        <v/>
      </c>
      <c r="DY87" s="13">
        <f>CB87</f>
        <v/>
      </c>
      <c r="DZ87" s="13">
        <f>IF(DT87&gt;0,RANK(DX87,DX85:DX88)+CG83+DA83,)</f>
        <v/>
      </c>
      <c r="EA87" s="13">
        <f>IF(AND(DT87&gt;0,COUNTIF(DZ85:DZ88,DZ87)&gt;1),SUMIFS($AI$4:$AI$108,$AF$4:$AF$108,$BT87,$M$4:$M$108,3)+SUMIFS($AK$4:$AK$108,$AH$4:$AH$108,$BT87,$M$4:$M$108,3)-SUMIFS($AK$4:$AK$108,$AF$4:$AF$108,$BT87,$M$4:$M$108,3)-SUMIFS($AI$4:$AI$108,$AH$4:$AH$108,$BT87,$M$4:$M$108,3),)</f>
        <v/>
      </c>
      <c r="EB87" s="13">
        <f>IF(AND(DT87&gt;0,COUNTIF(DZ85:DZ88,DZ87)&gt;1),DZ87+RANK(EA87,EA85:EA88)-1,DZ87)</f>
        <v/>
      </c>
      <c r="EC87" s="13">
        <f>IF(AND(DT87&gt;0,COUNTIF(EB85:EB88,EB87)&gt;1),SUMIFS($AI$4:$AI$108,$AF$4:$AF$108,$BT87,$M$4:$M$108,3)+SUMIFS($AK$4:$AK$108,$AH$4:$AH$108,$BT87,$M$4:$M$108,3),)</f>
        <v/>
      </c>
      <c r="ED87" s="13">
        <f>IF(AND(DT87&gt;0,COUNTIF(EB85:EB88,EB87)&gt;1),EB87+RANK(EC87,EC85:EC88)-1,EB87)</f>
        <v/>
      </c>
      <c r="EE87" s="13">
        <f>IF(ED87=0,"",ED87)</f>
        <v/>
      </c>
      <c r="EF87" s="13">
        <f>IF(OR(EE87="",COUNTIF(EE85:EE88,EE87)=1),"",$BZ87)</f>
        <v/>
      </c>
      <c r="EG87" s="13">
        <f>IF(EE87="","",IF(COUNTIF(EE85:EE88,EE87)=1,EE87,EE87+RANK(EF87,EF85:EF88,0)-1))</f>
        <v/>
      </c>
      <c r="EH87" s="13">
        <f>IF(OR(EG87="",COUNTIF(EG85:EG88,EG87)=1),"",$BX87)</f>
        <v/>
      </c>
      <c r="EI87" s="13">
        <f>IF(EE87="","",IF(COUNTIF(EG85:EG88,EG87)=1,EG87,EG87+RANK(EH87,EH85:EH88,0)-1))</f>
        <v/>
      </c>
      <c r="EJ87" s="13">
        <f>IF(OR(EI87="",COUNTIF(EI85:EI88,EI87)=1),"",$BU87)</f>
        <v/>
      </c>
      <c r="EK87" s="13">
        <f>IF(EE87="","",IF(COUNTIF(EI85:EI88,EI87)=1,EI87,EI87+RANK(EJ87,EJ85:EJ88,0)-1))</f>
        <v/>
      </c>
      <c r="EL87" s="13">
        <f>IF(DT87&gt;0,CG83+DA83+RANK(EK87,EK85:EK88,1),)</f>
        <v/>
      </c>
      <c r="EN87" s="13">
        <f>IF(CC87=4,BT87,)</f>
        <v/>
      </c>
      <c r="EO87" s="13">
        <f>(SUMIF($AF$4:$AF$108,$BT87,$BL$4:$BL$108)+SUMIF($AH$4:$AH$108,$BT87,$BM$4:$BM$108))</f>
        <v/>
      </c>
      <c r="EP87" s="13">
        <f>(SUMIF($AF$4:$AF$108,$BT87,$BN$4:$BN$108)+SUMIF($AH$4:$AH$108,$BT87,$BO$4:$BO$108))</f>
        <v/>
      </c>
      <c r="EQ87" s="13">
        <f>(SUMIF($AF$4:$AF$108,$BT87,$BP$4:$BP$108)+SUMIF($AH$4:$AH$108,$BT87,$BQ$4:$BQ$108))</f>
        <v/>
      </c>
      <c r="ER87" s="13">
        <f>IFERROR(EO87*3+EP87*1,0)</f>
        <v/>
      </c>
      <c r="ES87" s="13">
        <f>$CB87</f>
        <v/>
      </c>
      <c r="ET87" s="13">
        <f>IF(EN87&gt;0,RANK(ER87,ER85:ER88)+CG83+DA83+DU83,)</f>
        <v/>
      </c>
      <c r="EU87" s="13">
        <f>IF(AND(EN87&gt;0,COUNTIF(ET85:ET88,ET87)&gt;1),SUMIFS($AI$4:$AI$108,$AF$4:$AF$108,$BT87,$M$4:$M$108,4)+SUMIFS($AK$4:$AK$108,$AH$4:$AH$108,$BT87,$M$4:$M$108,4)-SUMIFS($AK$4:$AK$108,$AF$4:$AF$108,$BT87,$M$4:$M$108,4)-SUMIFS($AI$4:$AI$108,$AH$4:$AH$108,$BT87,$M$4:$M$108,4),)</f>
        <v/>
      </c>
      <c r="EV87" s="13">
        <f>IF(AND(EN87&gt;0,COUNTIF(ET85:ET88,ET87)&gt;1),ET87+RANK(EU87,EU85:EU88)-1,ET87)</f>
        <v/>
      </c>
      <c r="EW87" s="13">
        <f>IF(AND(EN87&gt;0,COUNTIF(EV87:EV90,EV87)&gt;1),SUMIFS($AI$4:$AI$108,$AF$4:$AF$108,$BT87,$M$4:$M$108,4)+SUMIFS($AK$4:$AK$108,$AH$4:$AH$108,$BT87,$M$4:$M$108,4),)</f>
        <v/>
      </c>
      <c r="EX87" s="13">
        <f>IF(AND(EN87&gt;0,COUNTIF(EV85:EV88,EV87)&gt;1),EV87+RANK(EW87,EW85:EW88)-1,EV87)</f>
        <v/>
      </c>
      <c r="EY87" s="13">
        <f>IF(EX87=0,"",EX87)</f>
        <v/>
      </c>
      <c r="EZ87" s="13">
        <f>IF(OR(EY87="",COUNTIF(EY85:EY88,EY87)=1),"",$BZ87)</f>
        <v/>
      </c>
      <c r="FA87" s="13">
        <f>IF(EY87="","",IF(COUNTIF(EY85:EY88,EY87)=1,EY87,EY87+RANK(EZ87,EZ85:EZ88,0)-1))</f>
        <v/>
      </c>
      <c r="FB87" s="13">
        <f>IF(OR(FA87="",COUNTIF(FA85:FA88,FA87)=1),"",$BX87)</f>
        <v/>
      </c>
      <c r="FC87" s="13">
        <f>IF(EY87="","",IF(COUNTIF(FA85:FA88,FA87)=1,FA87,FA87+RANK(FB87,FB85:FB88,0)-1))</f>
        <v/>
      </c>
      <c r="FD87" s="13">
        <f>IF(OR(FC87="",COUNTIF(FC85:FC88,FC87)=1),"",$BU87)</f>
        <v/>
      </c>
      <c r="FE87" s="13">
        <f>IF(EY87="","",IF(COUNTIF(FC85:FC88,FC87)=1,FC87,FC87+RANK(FD87,FD85:FD88,0)-1))</f>
        <v/>
      </c>
      <c r="FF87" s="13">
        <f>IF(EN87&gt;0,CG83+DA83+DU83+RANK(FE87,FE85:FE88,1),)</f>
        <v/>
      </c>
      <c r="FH87" s="13">
        <f>IFERROR(VLOOKUP(FJ87,CF84:CX88,19,FALSE),IFERROR(VLOOKUP(FJ87,CZ84:DR88,19,FALSE),IFERROR(VLOOKUP(FJ87,DT84:EL88,19,FALSE),VLOOKUP(FJ87,EN84:FF88,19,FALSE))))</f>
        <v/>
      </c>
      <c r="FI87" s="13">
        <f>RANK(FH87,FH85:FH88,1)+COUNTIF(FH85:FH87,FH87)-1</f>
        <v/>
      </c>
      <c r="FJ87" s="12">
        <f>BT87</f>
        <v/>
      </c>
      <c r="FZ87" s="79" t="n">
        <v>85</v>
      </c>
      <c r="GA87" s="3">
        <f>GB87&amp;GC87&amp;GD87&amp;GE87&amp;GF87&amp;GG87&amp;GH87&amp;GI87</f>
        <v/>
      </c>
      <c r="GB87" s="3" t="inlineStr">
        <is>
          <t>I</t>
        </is>
      </c>
      <c r="GC87" s="3" t="inlineStr">
        <is>
          <t>G</t>
        </is>
      </c>
      <c r="GD87" s="3" t="inlineStr">
        <is>
          <t>B</t>
        </is>
      </c>
      <c r="GE87" s="3" t="inlineStr">
        <is>
          <t>C</t>
        </is>
      </c>
      <c r="GF87" s="3" t="inlineStr">
        <is>
          <t>J</t>
        </is>
      </c>
      <c r="GG87" s="3" t="inlineStr">
        <is>
          <t>F</t>
        </is>
      </c>
      <c r="GH87" s="3" t="inlineStr">
        <is>
          <t>L</t>
        </is>
      </c>
      <c r="GI87" s="3" t="inlineStr">
        <is>
          <t>K</t>
        </is>
      </c>
      <c r="GJ87" s="9">
        <f>VLOOKUP(GB87,$FM$3:$FN$15,2,FALSE)</f>
        <v/>
      </c>
      <c r="GK87" s="9">
        <f>VLOOKUP(GC87,$FM$3:$FN$15,2,FALSE)</f>
        <v/>
      </c>
      <c r="GL87" s="9">
        <f>VLOOKUP(GD87,$FM$3:$FN$15,2,FALSE)</f>
        <v/>
      </c>
      <c r="GM87" s="9">
        <f>VLOOKUP(GE87,$FM$3:$FN$15,2,FALSE)</f>
        <v/>
      </c>
      <c r="GN87" s="9">
        <f>VLOOKUP(GF87,$FM$3:$FN$15,2,FALSE)</f>
        <v/>
      </c>
      <c r="GO87" s="9">
        <f>VLOOKUP(GG87,$FM$3:$FN$15,2,FALSE)</f>
        <v/>
      </c>
      <c r="GP87" s="9">
        <f>VLOOKUP(GH87,$FM$3:$FN$15,2,FALSE)</f>
        <v/>
      </c>
      <c r="GQ87" s="9">
        <f>VLOOKUP(GI87,$FM$3:$FN$15,2,FALSE)</f>
        <v/>
      </c>
      <c r="GR87" s="9">
        <f>IFERROR(IF(AND(VLOOKUP(GB87,$FX$4:$FX$15,1,FALSE)=GB87,VLOOKUP(GC87,$FX$4:$FX$15,1,FALSE)=GC87,VLOOKUP(GD87,$FX$4:$FX$15,1,FALSE)=GD87,VLOOKUP(GE87,$FX$4:$FX$15,1,FALSE)=GE87,VLOOKUP(GF87,$FX$4:$FX$15,1,FALSE)=GF87,VLOOKUP(GG87,$FX$4:$FX$15,1,FALSE)=GG87,VLOOKUP(GH87,$FX$4:$FX$15,1,FALSE)=GH87,VLOOKUP(GI87,$FX$4:$FX$15,1,FALSE)=GI87),FZ87,""),"")</f>
        <v/>
      </c>
      <c r="GX87" s="142" t="n"/>
    </row>
    <row r="88" ht="14.25" customHeight="1">
      <c r="B88" s="58" t="n">
        <v>44</v>
      </c>
      <c r="C88" s="59" t="n">
        <v>46196</v>
      </c>
      <c r="D88" s="60" t="inlineStr">
        <is>
          <t>Jordanien</t>
        </is>
      </c>
      <c r="E88" s="61" t="inlineStr">
        <is>
          <t>-</t>
        </is>
      </c>
      <c r="F88" s="62" t="inlineStr">
        <is>
          <t>Algeriet</t>
        </is>
      </c>
      <c r="G88" s="63" t="n">
        <v>0</v>
      </c>
      <c r="H88" s="64" t="inlineStr">
        <is>
          <t>-</t>
        </is>
      </c>
      <c r="I88" s="63" t="n">
        <v>2</v>
      </c>
      <c r="J88" s="65">
        <f>IF(OR(ISBLANK(G88),ISBLANK(I88)),"",IF(G88&gt;I88,1,IF(G88&lt;I88,2,"X")))</f>
        <v/>
      </c>
      <c r="K88" s="66">
        <f>IF(OR(G88="",I88="",'[1]Resultat &amp; tabell'!G88="",'[1]Resultat &amp; tabell'!I88=""),0,IF(G88='[1]Resultat &amp; tabell'!G88,2,0)+IF(I88='[1]Resultat &amp; tabell'!I88,2,0)+IF(J88='[1]Resultat &amp; tabell'!J88,2,0))</f>
        <v/>
      </c>
      <c r="L88" s="67" t="n"/>
      <c r="M88" s="29">
        <f>IF(VLOOKUP(D88,$BT$84:$CC$88,10,FALSE)=VLOOKUP(F88,$BT$84:$CC$88,10,FALSE),VLOOKUP(D88,$BT$84:$CC$88,10,FALSE),"-")</f>
        <v/>
      </c>
      <c r="N88" s="30" t="n">
        <v>4</v>
      </c>
      <c r="O88" s="86">
        <f>VLOOKUP(N88,FI85:FJ88,2,FALSE)</f>
        <v/>
      </c>
      <c r="P88" s="87">
        <f>VLOOKUP($O88,$BT$85:$CA$88,2,FALSE)</f>
        <v/>
      </c>
      <c r="Q88" s="87">
        <f>VLOOKUP($O88,$BT$85:$CA$88,3,FALSE)</f>
        <v/>
      </c>
      <c r="R88" s="87">
        <f>VLOOKUP($O88,$BT$85:$CA$88,4,FALSE)</f>
        <v/>
      </c>
      <c r="S88" s="87">
        <f>VLOOKUP($O88,$BT$85:$CA$88,5,FALSE)</f>
        <v/>
      </c>
      <c r="T88" s="87">
        <f>VLOOKUP($O88,$BT$85:$CA$88,6,FALSE)</f>
        <v/>
      </c>
      <c r="U88" s="87">
        <f>VLOOKUP($O88,$BT$85:$CA$88,7,FALSE)</f>
        <v/>
      </c>
      <c r="V88" s="82">
        <f>VLOOKUP($O88,$BT$85:$CA$88,8,FALSE)</f>
        <v/>
      </c>
      <c r="X88" s="1" t="n"/>
      <c r="AE88" s="72">
        <f>C88</f>
        <v/>
      </c>
      <c r="AF88" s="72">
        <f>D88</f>
        <v/>
      </c>
      <c r="AG88" s="72">
        <f>E88</f>
        <v/>
      </c>
      <c r="AH88" s="72">
        <f>F88</f>
        <v/>
      </c>
      <c r="AI88" s="63">
        <f>IF(G88="","",G88)</f>
        <v/>
      </c>
      <c r="AJ88" s="58">
        <f>H88</f>
        <v/>
      </c>
      <c r="AK88" s="63">
        <f>IF(I88="","",I88)</f>
        <v/>
      </c>
      <c r="AL88" s="65">
        <f>J88</f>
        <v/>
      </c>
      <c r="AM88" s="73" t="n"/>
      <c r="AN88" s="13">
        <f>IF(AI88&gt;AK88,1,0)</f>
        <v/>
      </c>
      <c r="AO88" s="13">
        <f>IF(AK88&gt;AI88,1,0)</f>
        <v/>
      </c>
      <c r="AP88" s="13">
        <f>IF(AND(AI88=AK88,AI88&lt;&gt;""),1,0)</f>
        <v/>
      </c>
      <c r="AQ88" s="13">
        <f>IF(AND(AI88=AK88,AI88&lt;&gt;""),1,0)</f>
        <v/>
      </c>
      <c r="AR88" s="13">
        <f>IF(AI88&lt;AK88,1,0)</f>
        <v/>
      </c>
      <c r="AS88" s="13">
        <f>IF(AK88&lt;AI88,1,)</f>
        <v/>
      </c>
      <c r="AT88" s="13">
        <f>IF(ISERROR(VLOOKUP(AF88,CF:CF,1,FALSE)),0,1)*IF(ISERROR(VLOOKUP(AH88,CF:CF,1,FALSE)),0,1)*AN88</f>
        <v/>
      </c>
      <c r="AU88" s="13">
        <f>IF(ISERROR(VLOOKUP(AF88,CF:CF,1,FALSE)),0,1)*IF(ISERROR(VLOOKUP(AH88,CF:CF,1,FALSE)),0,1)*AO88</f>
        <v/>
      </c>
      <c r="AV88" s="13">
        <f>IF(ISERROR(VLOOKUP(AF88,CF:CF,1,FALSE)),0,1)*IF(ISERROR(VLOOKUP(AH88,CF:CF,1,FALSE)),0,1)*AP88</f>
        <v/>
      </c>
      <c r="AW88" s="13">
        <f>IF(ISERROR(VLOOKUP(AF88,CF:CF,1,FALSE)),0,1)*IF(ISERROR(VLOOKUP(AH88,CF:CF,1,FALSE)),0,1)*AQ88</f>
        <v/>
      </c>
      <c r="AX88" s="13">
        <f>IF(ISERROR(VLOOKUP(AF88,CF:CF,1,FALSE)),0,1)*IF(ISERROR(VLOOKUP(AH88,CF:CF,1,FALSE)),0,1)*AR88</f>
        <v/>
      </c>
      <c r="AY88" s="13">
        <f>IF(ISERROR(VLOOKUP(AF88,CF:CF,1,FALSE)),0,1)*IF(ISERROR(VLOOKUP(AH88,CF:CF,1,FALSE)),0,1)*AS88</f>
        <v/>
      </c>
      <c r="AZ88" s="13">
        <f>IF(ISERROR(VLOOKUP(AF88,CZ:CZ,1,FALSE)),0,1)*IF(ISERROR(VLOOKUP(AH88,CZ:CZ,1,FALSE)),0,1)*AN88</f>
        <v/>
      </c>
      <c r="BA88" s="13">
        <f>IF(ISERROR(VLOOKUP(AF88,CZ:CZ,1,FALSE)),0,1)*IF(ISERROR(VLOOKUP(AH88,CZ:CZ,1,FALSE)),0,1)*AO88</f>
        <v/>
      </c>
      <c r="BB88" s="13">
        <f>IF(ISERROR(VLOOKUP(AF88,CZ:CZ,1,FALSE)),0,1)*IF(ISERROR(VLOOKUP(AH88,CZ:CZ,1,FALSE)),0,1)*AP88</f>
        <v/>
      </c>
      <c r="BC88" s="13">
        <f>IF(ISERROR(VLOOKUP(AF88,CZ:CZ,1,FALSE)),0,1)*IF(ISERROR(VLOOKUP(AH88,CZ:CZ,1,FALSE)),0,1)*AQ88</f>
        <v/>
      </c>
      <c r="BD88" s="13">
        <f>IF(ISERROR(VLOOKUP(AF88,CZ:CZ,1,FALSE)),0,1)*IF(ISERROR(VLOOKUP(AH88,CZ:CZ,1,FALSE)),0,1)*AR88</f>
        <v/>
      </c>
      <c r="BE88" s="13">
        <f>IF(ISERROR(VLOOKUP(AF88,CZ:CZ,1,FALSE)),0,1)*IF(ISERROR(VLOOKUP(AH88,CZ:CZ,1,FALSE)),0,1)*AS88</f>
        <v/>
      </c>
      <c r="BF88" s="13">
        <f>IF(ISERROR(VLOOKUP(AF88,DT:DT,1,FALSE)),0,1)*IF(ISERROR(VLOOKUP(AH88,DT:DT,1,FALSE)),0,1)*AN88</f>
        <v/>
      </c>
      <c r="BG88" s="13">
        <f>IF(ISERROR(VLOOKUP(AF88,DT:DT,1,FALSE)),0,1)*IF(ISERROR(VLOOKUP(AH88,DT:DT,1,FALSE)),0,1)*AO88</f>
        <v/>
      </c>
      <c r="BH88" s="13">
        <f>IF(ISERROR(VLOOKUP(AF88,DT:DT,1,FALSE)),0,1)*IF(ISERROR(VLOOKUP(AH88,DT:DT,1,FALSE)),0,1)*AP88</f>
        <v/>
      </c>
      <c r="BI88" s="13">
        <f>IF(ISERROR(VLOOKUP(AF88,DT:DT,1,FALSE)),0,1)*IF(ISERROR(VLOOKUP(AH88,DT:DT,1,FALSE)),0,1)*AQ88</f>
        <v/>
      </c>
      <c r="BJ88" s="13">
        <f>IF(ISERROR(VLOOKUP(AF88,DT:DT,1,FALSE)),0,1)*IF(ISERROR(VLOOKUP(AH88,DT:DT,1,FALSE)),0,1)*AR88</f>
        <v/>
      </c>
      <c r="BK88" s="13">
        <f>IF(ISERROR(VLOOKUP(AF88,DT:DT,1,FALSE)),0,1)*IF(ISERROR(VLOOKUP(AH88,DT:DT,1,FALSE)),0,1)*AS88</f>
        <v/>
      </c>
      <c r="BL88" s="13">
        <f>IF(ISERROR(VLOOKUP(AF88,EN:EN,1,FALSE)),0,1)*IF(ISERROR(VLOOKUP(AH88,EN:EN,1,FALSE)),0,1)*AN88</f>
        <v/>
      </c>
      <c r="BM88" s="13">
        <f>IF(ISERROR(VLOOKUP(AF88,EN:EN,1,FALSE)),0,1)*IF(ISERROR(VLOOKUP(AH88,EN:EN,1,FALSE)),0,1)*AO88</f>
        <v/>
      </c>
      <c r="BN88" s="13">
        <f>IF(ISERROR(VLOOKUP(AF88,EN:EN,1,FALSE)),0,1)*IF(ISERROR(VLOOKUP(AH88,EN:EN,1,FALSE)),0,1)*AP88</f>
        <v/>
      </c>
      <c r="BO88" s="13">
        <f>IF(ISERROR(VLOOKUP(AF88,EN:EN,1,FALSE)),0,1)*IF(ISERROR(VLOOKUP(AH88,EN:EN,1,FALSE)),0,1)*AQ88</f>
        <v/>
      </c>
      <c r="BP88" s="13">
        <f>IF(ISERROR(VLOOKUP(AF88,EN:EN,1,FALSE)),0,1)*IF(ISERROR(VLOOKUP(AH88,EN:EN,1,FALSE)),0,1)*AR88</f>
        <v/>
      </c>
      <c r="BQ88" s="13">
        <f>IF(ISERROR(VLOOKUP(AF88,EN:EN,1,FALSE)),0,1)*IF(ISERROR(VLOOKUP(AH88,EN:EN,1,FALSE)),0,1)*AS88</f>
        <v/>
      </c>
      <c r="BT88" s="88" t="inlineStr">
        <is>
          <t>Jordanien</t>
        </is>
      </c>
      <c r="BU88" s="13">
        <f>(SUMIF(AF$4:AF$108,BT88,AN$4:AN$108)+SUMIF(AH$4:AH$108,BT88,AO$4:AO$108))</f>
        <v/>
      </c>
      <c r="BV88" s="13">
        <f>(SUMIF(AF$4:AF$108,BT88,AP$4:AP$108)+SUMIF(AH$4:AH$108,BT88,AQ$4:AQ$108))</f>
        <v/>
      </c>
      <c r="BW88" s="13">
        <f>(SUMIF(AF$4:AF$108,BT88,AR$4:AR$108)+SUMIF(AH$4:AH$108,BT88,AS$4:AS$108))</f>
        <v/>
      </c>
      <c r="BX88" s="13">
        <f>SUMIF($AF$4:$AF$108,BT88,$AI$4:$AI$108)+SUMIF($AH$4:$AH$108,BT88,$AK$4:$AK$108)</f>
        <v/>
      </c>
      <c r="BY88" s="13">
        <f>SUMIF($AF$4:$AF$108,BT88,$AK$4:$AK$108)+SUMIF($AH$4:$AH$108,BT88,$AI$4:$AI$108)</f>
        <v/>
      </c>
      <c r="BZ88" s="13">
        <f>BX88-BY88</f>
        <v/>
      </c>
      <c r="CA88" s="13">
        <f>IFERROR(BU88*3+BV88*1,0)</f>
        <v/>
      </c>
      <c r="CB88" s="89" t="inlineStr">
        <is>
          <t>J</t>
        </is>
      </c>
      <c r="CC88" s="74">
        <f>RANK(CA88,CA85:CA88)</f>
        <v/>
      </c>
      <c r="CD88" s="13">
        <f>SUMPRODUCT((CA85:CA88=CA88)*(BZ85:BZ88&gt;BZ88))</f>
        <v/>
      </c>
      <c r="CF88" s="88">
        <f>IF(CC88=1,BT88,)</f>
        <v/>
      </c>
      <c r="CG88" s="13">
        <f>(SUMIF($AF$4:$AF$108,$BT88,$AT$4:$AT$108)+SUMIF($AH$4:$AH$108,$BT88,$AU$4:$AU$108))</f>
        <v/>
      </c>
      <c r="CH88" s="13">
        <f>(SUMIF($AF$4:$AF$108,$BT88,$AV$4:$AV$108)+SUMIF($AH$4:$AH$108,$BT88,$AW$4:$AW$108))</f>
        <v/>
      </c>
      <c r="CI88" s="13">
        <f>(SUMIF($AF$4:$AF$108,$BT88,$AX$4:$AX$108)+SUMIF($AH$4:$AH$108,$BT88,$AY$4:$AY$108))</f>
        <v/>
      </c>
      <c r="CJ88" s="13">
        <f>IFERROR(CG88*3+CH88*1,0)</f>
        <v/>
      </c>
      <c r="CK88" s="13">
        <f>CB88</f>
        <v/>
      </c>
      <c r="CL88" s="13">
        <f>IF(CF88&gt;0,RANK(CJ88,CJ85:CJ88),)</f>
        <v/>
      </c>
      <c r="CM88" s="13">
        <f>IF(AND(CF88&gt;0,COUNTIF(CL85:CL88,CL88)&gt;1),SUMIFS($AI$4:$AI$108,$AF$4:$AF$108,$BT88,$M$4:$M$108,1)+SUMIFS($AK$4:$AK$108,$AH$4:$AH$108,$BT88,$M$4:$M$108,1)-SUMIFS($AK$4:$AK$108,$AF$4:$AF$108,$BT88,$M$4:$M$108,1)-SUMIFS($AI$4:$AI$108,$AH$4:$AH$108,$BT88,$M$4:$M$108,1),)</f>
        <v/>
      </c>
      <c r="CN88" s="13">
        <f>IF(AND(CF88&gt;0,COUNTIF(CL85:CL88,CL88)&gt;1),CL88+RANK(CM88,CM85:CM88)-1,CL88)</f>
        <v/>
      </c>
      <c r="CO88" s="13">
        <f>IF(AND(CF88&gt;0,COUNTIF(CN85:CN88,CN88)&gt;1),SUMIFS($AI$4:$AI$108,$AF$4:$AF$108,$BT88,$M$4:$M$108,1)+SUMIFS($AK$4:$AK$108,$AH$4:$AH$108,$BT88,$M$4:$M$108,1),)</f>
        <v/>
      </c>
      <c r="CP88" s="13">
        <f>IF(AND(CF88&gt;0,COUNTIF(CN85:CN88,CN88)&gt;1),CN88+RANK(CO88,CO85:CO88)-1,CN88)</f>
        <v/>
      </c>
      <c r="CQ88" s="13">
        <f>IF(CP88=0,"",CP88)</f>
        <v/>
      </c>
      <c r="CR88" s="13">
        <f>IF(OR(CQ88="",COUNTIF(CQ85:CQ88,CQ88)=1),"",$BZ88)</f>
        <v/>
      </c>
      <c r="CS88" s="13">
        <f>IF(CQ88="","",IF(COUNTIF(CQ85:CQ88,CQ88)=1,CQ88,CQ88+RANK(CR88,CR85:CR88,0)-1))</f>
        <v/>
      </c>
      <c r="CT88" s="13">
        <f>IF(OR(CS88="",COUNTIF(CS85:CS88,CS88)=1),"",$BX88)</f>
        <v/>
      </c>
      <c r="CU88" s="13">
        <f>IF(CQ88="","",IF(COUNTIF(CS85:CS88,CS88)=1,CS88,CS88+RANK(CT88,CT85:CT88,0)-1))</f>
        <v/>
      </c>
      <c r="CV88" s="13">
        <f>IF(OR(CU88="",COUNTIF(CU85:CU88,CU88)=1),"",$BU88)</f>
        <v/>
      </c>
      <c r="CW88" s="13">
        <f>IF(CQ88="","",IF(COUNTIF(CU85:CU88,CU88)=1,CU88,CU88+RANK(CV88,CV85:CV88,0)-1))</f>
        <v/>
      </c>
      <c r="CX88" s="13">
        <f>IF(CF88&gt;0,BM83+RANK(CW88,CW85:CW88,1),)</f>
        <v/>
      </c>
      <c r="CZ88" s="88">
        <f>IF(CC88=2,BT88,)</f>
        <v/>
      </c>
      <c r="DA88" s="13">
        <f>(SUMIF($AF$4:$AF$108,$BT88,$AZ$4:$AZ$108)+SUMIF($AH$4:$AH$108,$BT88,$BA$4:$BA$108))</f>
        <v/>
      </c>
      <c r="DB88" s="13">
        <f>(SUMIF($AF$4:$AF$108,$BT88,$BB$4:$BB$108)+SUMIF($AH$4:$AH$108,$BT88,$BC$4:$BC$108))</f>
        <v/>
      </c>
      <c r="DC88" s="13">
        <f>(SUMIF($AF$4:$AF$108,$BT88,$BD$4:$BD$108)+SUMIF($AH$4:$AH$108,$BT88,$BE$4:$BE$108))</f>
        <v/>
      </c>
      <c r="DD88" s="13">
        <f>IFERROR(DA88*3+DB88*1,0)</f>
        <v/>
      </c>
      <c r="DE88" s="13">
        <f>$CB88</f>
        <v/>
      </c>
      <c r="DF88" s="13">
        <f>IF(CZ88&gt;0,RANK(DD88,DD85:DD88)+CG83,)</f>
        <v/>
      </c>
      <c r="DG88" s="13">
        <f>IF(AND(CZ88&gt;0,COUNTIF(DF85:DF88,DF88)&gt;1),SUMIFS($AI$4:$AI$108,$AF$4:$AF$108,$BT88,$M$4:$M$108,2)+SUMIFS($AK$4:$AK$108,$AH$4:$AH108,$BT88,$M$4:$M$108,2)-SUMIFS($AK$4:$AK$108,$AF$4:$AF$108,$BT88,$M$4:$M$108,2)-SUMIFS($AI$4:$AI$108,$AH$4:$AH$108,$BT88,$M$4:$M$108,2),)</f>
        <v/>
      </c>
      <c r="DH88" s="13">
        <f>IF(AND(CZ88&gt;0,COUNTIF(DF85:DF88,DF88)&gt;1),DF88+RANK(DG88,DG85:DG88)-1,DF88)</f>
        <v/>
      </c>
      <c r="DI88" s="13">
        <f>IF(AND(CZ88&gt;0,COUNTIF(DH85:DH88,DH88)&gt;1),SUMIFS($AI$4:$AI$108,$AF$4:$AF$108,$BT88,$M$4:$M$108,2)+SUMIFS($AK$4:$AK$108,$AH$4:$AH$108,$BT88,$M$4:$M$108,2),)</f>
        <v/>
      </c>
      <c r="DJ88" s="13">
        <f>IF(AND(CZ88&gt;0,COUNTIF(DH85:DH88,DH88)&gt;1),DH88+RANK(DI88,DI85:DI88)-1,DH88)</f>
        <v/>
      </c>
      <c r="DK88" s="75">
        <f>IF(DJ88=0,"",DJ88)</f>
        <v/>
      </c>
      <c r="DL88" s="75">
        <f>IF(OR(DK88="",COUNTIF(DK85:DK88,DK88)=1),"",$BZ88)</f>
        <v/>
      </c>
      <c r="DM88" s="75">
        <f>IF(DK88="","",IF(COUNTIF(DK85:DK88,DK88)=1,DK88,DK88+RANK(DL88,DL85:DL88,0)-1))</f>
        <v/>
      </c>
      <c r="DN88" s="75">
        <f>IF(OR(DM88="",COUNTIF(DM85:DM88,DM88)=1),"",$BX88)</f>
        <v/>
      </c>
      <c r="DO88" s="75">
        <f>IF(DK88="","",IF(COUNTIF(DM85:DM88,DM88)=1,DM88,DM88+RANK(DN88,DN85:DN88,0)-1))</f>
        <v/>
      </c>
      <c r="DP88" s="75">
        <f>IF(OR(DO88="",COUNTIF(DO85:DO88,DO88)=1),"",$BU88)</f>
        <v/>
      </c>
      <c r="DQ88" s="75">
        <f>IF(DK88="","",IF(COUNTIF(DO85:DO88,DO88)=1,DO88,DO88+RANK(DP88,DP85:DP88,0)-1))</f>
        <v/>
      </c>
      <c r="DR88" s="13">
        <f>IF(CZ88&gt;0,CG83+RANK(DQ88,DQ85:DQ88,1),)</f>
        <v/>
      </c>
      <c r="DT88" s="89">
        <f>IF(CC88=3,BT88,)</f>
        <v/>
      </c>
      <c r="DU88" s="13">
        <f>(SUMIF($AF$4:$AF$108,BT88,$BF$4:$BF$108)+SUMIF($AH$4:$AH$108,BT88,$BG$4:$BG$108))</f>
        <v/>
      </c>
      <c r="DV88" s="13">
        <f>(SUMIF($AF$4:$AF$108,BT88,$BH$4:$BH$108)+SUMIF($AH$4:$AH$108,BT88,$BI$4:$BI$108))</f>
        <v/>
      </c>
      <c r="DW88" s="13">
        <f>(SUMIF($AF$4:$AF$108,BT88,$BJ$4:$BJ$108)+SUMIF($AH$4:$AH$108,BT88,$BK$4:$BK$108))</f>
        <v/>
      </c>
      <c r="DX88" s="13">
        <f>IFERROR(DU88*3+DV88*1,0)</f>
        <v/>
      </c>
      <c r="DY88" s="13">
        <f>CB88</f>
        <v/>
      </c>
      <c r="DZ88" s="13">
        <f>IF(DT88&gt;0,RANK(DX88,DX85:DX88)+CG83+DA83,)</f>
        <v/>
      </c>
      <c r="EA88" s="13">
        <f>IF(AND(DT88&gt;0,COUNTIF(DZ85:DZ88,DZ88)&gt;1),SUMIFS($AI$4:$AI$108,$AF$4:$AF$108,$BT88,$M$4:$M$108,3)+SUMIFS($AK$4:$AK$108,$AH$4:$AH$108,$BT88,$M$4:$M$108,3)-SUMIFS($AK$4:$AK$108,$AF$4:$AF$108,$BT88,$M$4:$M$108,3)-SUMIFS($AI$4:$AI$108,$AH$4:$AH$108,$BT88,$M$4:$M$108,3),)</f>
        <v/>
      </c>
      <c r="EB88" s="13">
        <f>IF(AND(DT88&gt;0,COUNTIF(DZ85:DZ88,DZ88)&gt;1),DZ88+RANK(EA88,EA85:EA88)-1,DZ88)</f>
        <v/>
      </c>
      <c r="EC88" s="13">
        <f>IF(AND(DT88&gt;0,COUNTIF(EB85:EB88,EB88)&gt;1),SUMIFS($AI$4:$AI$108,$AF$4:$AF$108,$BT88,$M$4:$M$108,3)+SUMIFS($AK$4:$AK$108,$AH$4:$AH$108,$BT88,$M$4:$M$108,3),)</f>
        <v/>
      </c>
      <c r="ED88" s="13">
        <f>IF(AND(DT88&gt;0,COUNTIF(EB85:EB88,EB88)&gt;1),EB88+RANK(EC88,EC85:EC88)-1,EB88)</f>
        <v/>
      </c>
      <c r="EE88" s="13">
        <f>IF(ED88=0,"",ED88)</f>
        <v/>
      </c>
      <c r="EF88" s="13">
        <f>IF(OR(EE88="",COUNTIF(EE85:EE88,EE88)=1),"",$BZ88)</f>
        <v/>
      </c>
      <c r="EG88" s="13">
        <f>IF(EE88="","",IF(COUNTIF(EE85:EE88,EE88)=1,EE88,EE88+RANK(EF88,EF85:EF88,0)-1))</f>
        <v/>
      </c>
      <c r="EH88" s="13">
        <f>IF(OR(EG88="",COUNTIF(EG85:EG88,EG88)=1),"",$BX88)</f>
        <v/>
      </c>
      <c r="EI88" s="13">
        <f>IF(EE88="","",IF(COUNTIF(EG85:EG88,EG88)=1,EG88,EG88+RANK(EH88,EH85:EH88,0)-1))</f>
        <v/>
      </c>
      <c r="EJ88" s="13">
        <f>IF(OR(EI88="",COUNTIF(EI85:EI88,EI88)=1),"",$BU88)</f>
        <v/>
      </c>
      <c r="EK88" s="13">
        <f>IF(EE88="","",IF(COUNTIF(EI85:EI88,EI88)=1,EI88,EI88+RANK(EJ88,EJ85:EJ88,0)-1))</f>
        <v/>
      </c>
      <c r="EL88" s="13">
        <f>IF(DT88&gt;0,CG83+DA83+RANK(EK88,EK85:EK88,1),)</f>
        <v/>
      </c>
      <c r="EN88" s="13">
        <f>IF(CC88=4,BT88,)</f>
        <v/>
      </c>
      <c r="EO88" s="13">
        <f>(SUMIF($AF$4:$AF$108,$BT88,$BL$4:$BL$108)+SUMIF($AH$4:$AH$108,$BT88,$BM$4:$BM$108))</f>
        <v/>
      </c>
      <c r="EP88" s="13">
        <f>(SUMIF($AF$4:$AF$108,$BT88,$BN$4:$BN$108)+SUMIF($AH$4:$AH$108,$BT88,$BO$4:$BO$108))</f>
        <v/>
      </c>
      <c r="EQ88" s="13">
        <f>(SUMIF($AF$4:$AF$108,$BT88,$BP$4:$BP$108)+SUMIF($AH$4:$AH$108,$BT88,$BQ$4:$BQ$108))</f>
        <v/>
      </c>
      <c r="ER88" s="13">
        <f>IFERROR(EO88*3+EP88*1,0)</f>
        <v/>
      </c>
      <c r="ES88" s="13">
        <f>$CB88</f>
        <v/>
      </c>
      <c r="ET88" s="13">
        <f>IF(EN88&gt;0,RANK(ER88,ER85:ER88)+CG83+DA83+DU83,)</f>
        <v/>
      </c>
      <c r="EU88" s="13">
        <f>IF(AND(EN88&gt;0,COUNTIF(ET85:ET88,ET88)&gt;1),SUMIFS($AI$4:$AI$108,$AF$4:$AF$108,$BT88,$M$4:$M$108,4)+SUMIFS($AK$4:$AK$108,$AH$4:$AH$108,$BT88,$M$4:$M$108,4)-SUMIFS($AK$4:$AK$108,$AF$4:$AF$108,$BT88,$M$4:$M$108,4)-SUMIFS($AI$4:$AI$108,$AH$4:$AH$108,$BT88,$M$4:$M$108,4),)</f>
        <v/>
      </c>
      <c r="EV88" s="13">
        <f>IF(AND(EN88&gt;0,COUNTIF(ET85:ET88,ET88)&gt;1),ET88+RANK(EU88,EU85:EU88)-1,ET88)</f>
        <v/>
      </c>
      <c r="EW88" s="13">
        <f>IF(AND(EN88&gt;0,COUNTIF(EV88:EV91,EV88)&gt;1),SUMIFS($AI$4:$AI$108,$AF$4:$AF$108,$BT88,$M$4:$M$108,4)+SUMIFS($AK$4:$AK$108,$AH$4:$AH$108,$BT88,$M$4:$M$108,4),)</f>
        <v/>
      </c>
      <c r="EX88" s="13">
        <f>IF(AND(EN88&gt;0,COUNTIF(EV85:EV88,EV88)&gt;1),EV88+RANK(EW88,EW85:EW88)-1,EV88)</f>
        <v/>
      </c>
      <c r="EY88" s="13">
        <f>IF(EX88=0,"",EX88)</f>
        <v/>
      </c>
      <c r="EZ88" s="13">
        <f>IF(OR(EY88="",COUNTIF(EY85:EY88,EY88)=1),"",$BZ88)</f>
        <v/>
      </c>
      <c r="FA88" s="13">
        <f>IF(EY88="","",IF(COUNTIF(EY85:EY88,EY88)=1,EY88,EY88+RANK(EZ88,EZ85:EZ88,0)-1))</f>
        <v/>
      </c>
      <c r="FB88" s="13">
        <f>IF(OR(FA88="",COUNTIF(FA85:FA88,FA88)=1),"",$BX88)</f>
        <v/>
      </c>
      <c r="FC88" s="13">
        <f>IF(EY88="","",IF(COUNTIF(FA85:FA88,FA88)=1,FA88,FA88+RANK(FB88,FB85:FB88,0)-1))</f>
        <v/>
      </c>
      <c r="FD88" s="13">
        <f>IF(OR(FC88="",COUNTIF(FC85:FC88,FC88)=1),"",$BU88)</f>
        <v/>
      </c>
      <c r="FE88" s="13">
        <f>IF(EY88="","",IF(COUNTIF(FC85:FC88,FC88)=1,FC88,FC88+RANK(FD88,FD85:FD88,0)-1))</f>
        <v/>
      </c>
      <c r="FF88" s="13">
        <f>IF(EN88&gt;0,CG83+DA83+DU83+RANK(FE88,FE85:FE88,1),)</f>
        <v/>
      </c>
      <c r="FH88" s="13">
        <f>IFERROR(VLOOKUP(FJ88,CF84:CX88,19,FALSE),IFERROR(VLOOKUP(FJ88,CZ84:DR88,19,FALSE),IFERROR(VLOOKUP(FJ88,DT84:EL88,19,FALSE),VLOOKUP(FJ88,EN84:FF88,19,FALSE))))</f>
        <v/>
      </c>
      <c r="FI88" s="13">
        <f>RANK(FH88,FH85:FH88,1)+COUNTIF(FH85:FH88,FH88)-1</f>
        <v/>
      </c>
      <c r="FJ88" s="12">
        <f>BT88</f>
        <v/>
      </c>
      <c r="FZ88" s="79" t="n">
        <v>86</v>
      </c>
      <c r="GA88" s="3">
        <f>GB88&amp;GC88&amp;GD88&amp;GE88&amp;GF88&amp;GG88&amp;GH88&amp;GI88</f>
        <v/>
      </c>
      <c r="GB88" s="3" t="inlineStr">
        <is>
          <t>H</t>
        </is>
      </c>
      <c r="GC88" s="3" t="inlineStr">
        <is>
          <t>G</t>
        </is>
      </c>
      <c r="GD88" s="3" t="inlineStr">
        <is>
          <t>B</t>
        </is>
      </c>
      <c r="GE88" s="3" t="inlineStr">
        <is>
          <t>C</t>
        </is>
      </c>
      <c r="GF88" s="3" t="inlineStr">
        <is>
          <t>J</t>
        </is>
      </c>
      <c r="GG88" s="3" t="inlineStr">
        <is>
          <t>F</t>
        </is>
      </c>
      <c r="GH88" s="3" t="inlineStr">
        <is>
          <t>L</t>
        </is>
      </c>
      <c r="GI88" s="3" t="inlineStr">
        <is>
          <t>K</t>
        </is>
      </c>
      <c r="GJ88" s="9">
        <f>VLOOKUP(GB88,$FM$3:$FN$15,2,FALSE)</f>
        <v/>
      </c>
      <c r="GK88" s="9">
        <f>VLOOKUP(GC88,$FM$3:$FN$15,2,FALSE)</f>
        <v/>
      </c>
      <c r="GL88" s="9">
        <f>VLOOKUP(GD88,$FM$3:$FN$15,2,FALSE)</f>
        <v/>
      </c>
      <c r="GM88" s="9">
        <f>VLOOKUP(GE88,$FM$3:$FN$15,2,FALSE)</f>
        <v/>
      </c>
      <c r="GN88" s="9">
        <f>VLOOKUP(GF88,$FM$3:$FN$15,2,FALSE)</f>
        <v/>
      </c>
      <c r="GO88" s="9">
        <f>VLOOKUP(GG88,$FM$3:$FN$15,2,FALSE)</f>
        <v/>
      </c>
      <c r="GP88" s="9">
        <f>VLOOKUP(GH88,$FM$3:$FN$15,2,FALSE)</f>
        <v/>
      </c>
      <c r="GQ88" s="9">
        <f>VLOOKUP(GI88,$FM$3:$FN$15,2,FALSE)</f>
        <v/>
      </c>
      <c r="GR88" s="9">
        <f>IFERROR(IF(AND(VLOOKUP(GB88,$FX$4:$FX$15,1,FALSE)=GB88,VLOOKUP(GC88,$FX$4:$FX$15,1,FALSE)=GC88,VLOOKUP(GD88,$FX$4:$FX$15,1,FALSE)=GD88,VLOOKUP(GE88,$FX$4:$FX$15,1,FALSE)=GE88,VLOOKUP(GF88,$FX$4:$FX$15,1,FALSE)=GF88,VLOOKUP(GG88,$FX$4:$FX$15,1,FALSE)=GG88,VLOOKUP(GH88,$FX$4:$FX$15,1,FALSE)=GH88,VLOOKUP(GI88,$FX$4:$FX$15,1,FALSE)=GI88),FZ88,""),"")</f>
        <v/>
      </c>
      <c r="GX88" s="142" t="n"/>
    </row>
    <row r="89" ht="14.25" customHeight="1">
      <c r="B89" s="58" t="n">
        <v>69</v>
      </c>
      <c r="C89" s="59" t="n">
        <v>46201</v>
      </c>
      <c r="D89" s="60" t="inlineStr">
        <is>
          <t>Algeriet</t>
        </is>
      </c>
      <c r="E89" s="61" t="inlineStr">
        <is>
          <t>-</t>
        </is>
      </c>
      <c r="F89" s="62" t="inlineStr">
        <is>
          <t>Österrike</t>
        </is>
      </c>
      <c r="G89" s="63" t="n">
        <v>0</v>
      </c>
      <c r="H89" s="64" t="inlineStr">
        <is>
          <t>-</t>
        </is>
      </c>
      <c r="I89" s="63" t="n">
        <v>1</v>
      </c>
      <c r="J89" s="65">
        <f>IF(OR(ISBLANK(G89),ISBLANK(I89)),"",IF(G89&gt;I89,1,IF(G89&lt;I89,2,"X")))</f>
        <v/>
      </c>
      <c r="K89" s="66">
        <f>IF(OR(G89="",I89="",'[1]Resultat &amp; tabell'!G89="",'[1]Resultat &amp; tabell'!I89=""),0,IF(G89='[1]Resultat &amp; tabell'!G89,2,0)+IF(I89='[1]Resultat &amp; tabell'!I89,2,0)+IF(J89='[1]Resultat &amp; tabell'!J89,2,0))</f>
        <v/>
      </c>
      <c r="L89" s="67" t="n"/>
      <c r="M89" s="29">
        <f>IF(VLOOKUP(D89,$BT$84:$CC$88,10,FALSE)=VLOOKUP(F89,$BT$84:$CC$88,10,FALSE),VLOOKUP(D89,$BT$84:$CC$88,10,FALSE),"-")</f>
        <v/>
      </c>
      <c r="O89" s="91">
        <f>IF(COUNTBLANK(G85:G90)+COUNTBLANK(I85:I90)=0,"Resultat OK","Fyll i resultat")</f>
        <v/>
      </c>
      <c r="P89" s="92" t="n"/>
      <c r="Q89" s="92" t="n"/>
      <c r="R89" s="92" t="n"/>
      <c r="S89" s="92" t="n"/>
      <c r="T89" s="92" t="n"/>
      <c r="U89" s="92" t="n"/>
      <c r="X89" s="1" t="n"/>
      <c r="AE89" s="72">
        <f>C89</f>
        <v/>
      </c>
      <c r="AF89" s="72">
        <f>D89</f>
        <v/>
      </c>
      <c r="AG89" s="72">
        <f>E89</f>
        <v/>
      </c>
      <c r="AH89" s="72">
        <f>F89</f>
        <v/>
      </c>
      <c r="AI89" s="63">
        <f>IF(G89="","",G89)</f>
        <v/>
      </c>
      <c r="AJ89" s="58">
        <f>H89</f>
        <v/>
      </c>
      <c r="AK89" s="63">
        <f>IF(I89="","",I89)</f>
        <v/>
      </c>
      <c r="AL89" s="65">
        <f>J89</f>
        <v/>
      </c>
      <c r="AM89" s="73" t="n"/>
      <c r="AN89" s="13">
        <f>IF(AI89&gt;AK89,1,0)</f>
        <v/>
      </c>
      <c r="AO89" s="13">
        <f>IF(AK89&gt;AI89,1,0)</f>
        <v/>
      </c>
      <c r="AP89" s="13">
        <f>IF(AND(AI89=AK89,AI89&lt;&gt;""),1,0)</f>
        <v/>
      </c>
      <c r="AQ89" s="13">
        <f>IF(AND(AI89=AK89,AI89&lt;&gt;""),1,0)</f>
        <v/>
      </c>
      <c r="AR89" s="13">
        <f>IF(AI89&lt;AK89,1,0)</f>
        <v/>
      </c>
      <c r="AS89" s="13">
        <f>IF(AK89&lt;AI89,1,)</f>
        <v/>
      </c>
      <c r="AT89" s="13">
        <f>IF(ISERROR(VLOOKUP(AF89,CF:CF,1,FALSE)),0,1)*IF(ISERROR(VLOOKUP(AH89,CF:CF,1,FALSE)),0,1)*AN89</f>
        <v/>
      </c>
      <c r="AU89" s="13">
        <f>IF(ISERROR(VLOOKUP(AF89,CF:CF,1,FALSE)),0,1)*IF(ISERROR(VLOOKUP(AH89,CF:CF,1,FALSE)),0,1)*AO89</f>
        <v/>
      </c>
      <c r="AV89" s="13">
        <f>IF(ISERROR(VLOOKUP(AF89,CF:CF,1,FALSE)),0,1)*IF(ISERROR(VLOOKUP(AH89,CF:CF,1,FALSE)),0,1)*AP89</f>
        <v/>
      </c>
      <c r="AW89" s="13">
        <f>IF(ISERROR(VLOOKUP(AF89,CF:CF,1,FALSE)),0,1)*IF(ISERROR(VLOOKUP(AH89,CF:CF,1,FALSE)),0,1)*AQ89</f>
        <v/>
      </c>
      <c r="AX89" s="13">
        <f>IF(ISERROR(VLOOKUP(AF89,CF:CF,1,FALSE)),0,1)*IF(ISERROR(VLOOKUP(AH89,CF:CF,1,FALSE)),0,1)*AR89</f>
        <v/>
      </c>
      <c r="AY89" s="13">
        <f>IF(ISERROR(VLOOKUP(AF89,CF:CF,1,FALSE)),0,1)*IF(ISERROR(VLOOKUP(AH89,CF:CF,1,FALSE)),0,1)*AS89</f>
        <v/>
      </c>
      <c r="AZ89" s="13">
        <f>IF(ISERROR(VLOOKUP(AF89,CZ:CZ,1,FALSE)),0,1)*IF(ISERROR(VLOOKUP(AH89,CZ:CZ,1,FALSE)),0,1)*AN89</f>
        <v/>
      </c>
      <c r="BA89" s="13">
        <f>IF(ISERROR(VLOOKUP(AF89,CZ:CZ,1,FALSE)),0,1)*IF(ISERROR(VLOOKUP(AH89,CZ:CZ,1,FALSE)),0,1)*AO89</f>
        <v/>
      </c>
      <c r="BB89" s="13">
        <f>IF(ISERROR(VLOOKUP(AF89,CZ:CZ,1,FALSE)),0,1)*IF(ISERROR(VLOOKUP(AH89,CZ:CZ,1,FALSE)),0,1)*AP89</f>
        <v/>
      </c>
      <c r="BC89" s="13">
        <f>IF(ISERROR(VLOOKUP(AF89,CZ:CZ,1,FALSE)),0,1)*IF(ISERROR(VLOOKUP(AH89,CZ:CZ,1,FALSE)),0,1)*AQ89</f>
        <v/>
      </c>
      <c r="BD89" s="13">
        <f>IF(ISERROR(VLOOKUP(AF89,CZ:CZ,1,FALSE)),0,1)*IF(ISERROR(VLOOKUP(AH89,CZ:CZ,1,FALSE)),0,1)*AR89</f>
        <v/>
      </c>
      <c r="BE89" s="13">
        <f>IF(ISERROR(VLOOKUP(AF89,CZ:CZ,1,FALSE)),0,1)*IF(ISERROR(VLOOKUP(AH89,CZ:CZ,1,FALSE)),0,1)*AS89</f>
        <v/>
      </c>
      <c r="BF89" s="13">
        <f>IF(ISERROR(VLOOKUP(AF89,DT:DT,1,FALSE)),0,1)*IF(ISERROR(VLOOKUP(AH89,DT:DT,1,FALSE)),0,1)*AN89</f>
        <v/>
      </c>
      <c r="BG89" s="13">
        <f>IF(ISERROR(VLOOKUP(AF89,DT:DT,1,FALSE)),0,1)*IF(ISERROR(VLOOKUP(AH89,DT:DT,1,FALSE)),0,1)*AO89</f>
        <v/>
      </c>
      <c r="BH89" s="13">
        <f>IF(ISERROR(VLOOKUP(AF89,DT:DT,1,FALSE)),0,1)*IF(ISERROR(VLOOKUP(AH89,DT:DT,1,FALSE)),0,1)*AP89</f>
        <v/>
      </c>
      <c r="BI89" s="13">
        <f>IF(ISERROR(VLOOKUP(AF89,DT:DT,1,FALSE)),0,1)*IF(ISERROR(VLOOKUP(AH89,DT:DT,1,FALSE)),0,1)*AQ89</f>
        <v/>
      </c>
      <c r="BJ89" s="13">
        <f>IF(ISERROR(VLOOKUP(AF89,DT:DT,1,FALSE)),0,1)*IF(ISERROR(VLOOKUP(AH89,DT:DT,1,FALSE)),0,1)*AR89</f>
        <v/>
      </c>
      <c r="BK89" s="13">
        <f>IF(ISERROR(VLOOKUP(AF89,DT:DT,1,FALSE)),0,1)*IF(ISERROR(VLOOKUP(AH89,DT:DT,1,FALSE)),0,1)*AS89</f>
        <v/>
      </c>
      <c r="BL89" s="13">
        <f>IF(ISERROR(VLOOKUP(AF89,EN:EN,1,FALSE)),0,1)*IF(ISERROR(VLOOKUP(AH89,EN:EN,1,FALSE)),0,1)*AN89</f>
        <v/>
      </c>
      <c r="BM89" s="13">
        <f>IF(ISERROR(VLOOKUP(AF89,EN:EN,1,FALSE)),0,1)*IF(ISERROR(VLOOKUP(AH89,EN:EN,1,FALSE)),0,1)*AO89</f>
        <v/>
      </c>
      <c r="BN89" s="13">
        <f>IF(ISERROR(VLOOKUP(AF89,EN:EN,1,FALSE)),0,1)*IF(ISERROR(VLOOKUP(AH89,EN:EN,1,FALSE)),0,1)*AP89</f>
        <v/>
      </c>
      <c r="BO89" s="13">
        <f>IF(ISERROR(VLOOKUP(AF89,EN:EN,1,FALSE)),0,1)*IF(ISERROR(VLOOKUP(AH89,EN:EN,1,FALSE)),0,1)*AQ89</f>
        <v/>
      </c>
      <c r="BP89" s="13">
        <f>IF(ISERROR(VLOOKUP(AF89,EN:EN,1,FALSE)),0,1)*IF(ISERROR(VLOOKUP(AH89,EN:EN,1,FALSE)),0,1)*AR89</f>
        <v/>
      </c>
      <c r="BQ89" s="13">
        <f>IF(ISERROR(VLOOKUP(AF89,EN:EN,1,FALSE)),0,1)*IF(ISERROR(VLOOKUP(AH89,EN:EN,1,FALSE)),0,1)*AS89</f>
        <v/>
      </c>
      <c r="FZ89" s="79" t="n">
        <v>87</v>
      </c>
      <c r="GA89" s="3">
        <f>GB89&amp;GC89&amp;GD89&amp;GE89&amp;GF89&amp;GG89&amp;GH89&amp;GI89</f>
        <v/>
      </c>
      <c r="GB89" s="3" t="inlineStr">
        <is>
          <t>H</t>
        </is>
      </c>
      <c r="GC89" s="3" t="inlineStr">
        <is>
          <t>G</t>
        </is>
      </c>
      <c r="GD89" s="3" t="inlineStr">
        <is>
          <t>B</t>
        </is>
      </c>
      <c r="GE89" s="3" t="inlineStr">
        <is>
          <t>C</t>
        </is>
      </c>
      <c r="GF89" s="3" t="inlineStr">
        <is>
          <t>I</t>
        </is>
      </c>
      <c r="GG89" s="3" t="inlineStr">
        <is>
          <t>F</t>
        </is>
      </c>
      <c r="GH89" s="3" t="inlineStr">
        <is>
          <t>L</t>
        </is>
      </c>
      <c r="GI89" s="3" t="inlineStr">
        <is>
          <t>K</t>
        </is>
      </c>
      <c r="GJ89" s="9">
        <f>VLOOKUP(GB89,$FM$3:$FN$15,2,FALSE)</f>
        <v/>
      </c>
      <c r="GK89" s="9">
        <f>VLOOKUP(GC89,$FM$3:$FN$15,2,FALSE)</f>
        <v/>
      </c>
      <c r="GL89" s="9">
        <f>VLOOKUP(GD89,$FM$3:$FN$15,2,FALSE)</f>
        <v/>
      </c>
      <c r="GM89" s="9">
        <f>VLOOKUP(GE89,$FM$3:$FN$15,2,FALSE)</f>
        <v/>
      </c>
      <c r="GN89" s="9">
        <f>VLOOKUP(GF89,$FM$3:$FN$15,2,FALSE)</f>
        <v/>
      </c>
      <c r="GO89" s="9">
        <f>VLOOKUP(GG89,$FM$3:$FN$15,2,FALSE)</f>
        <v/>
      </c>
      <c r="GP89" s="9">
        <f>VLOOKUP(GH89,$FM$3:$FN$15,2,FALSE)</f>
        <v/>
      </c>
      <c r="GQ89" s="9">
        <f>VLOOKUP(GI89,$FM$3:$FN$15,2,FALSE)</f>
        <v/>
      </c>
      <c r="GR89" s="9">
        <f>IFERROR(IF(AND(VLOOKUP(GB89,$FX$4:$FX$15,1,FALSE)=GB89,VLOOKUP(GC89,$FX$4:$FX$15,1,FALSE)=GC89,VLOOKUP(GD89,$FX$4:$FX$15,1,FALSE)=GD89,VLOOKUP(GE89,$FX$4:$FX$15,1,FALSE)=GE89,VLOOKUP(GF89,$FX$4:$FX$15,1,FALSE)=GF89,VLOOKUP(GG89,$FX$4:$FX$15,1,FALSE)=GG89,VLOOKUP(GH89,$FX$4:$FX$15,1,FALSE)=GH89,VLOOKUP(GI89,$FX$4:$FX$15,1,FALSE)=GI89),FZ89,""),"")</f>
        <v/>
      </c>
      <c r="GX89" s="142" t="n"/>
    </row>
    <row r="90" ht="14.25" customHeight="1">
      <c r="B90" s="58" t="n">
        <v>70</v>
      </c>
      <c r="C90" s="59" t="n">
        <v>46201</v>
      </c>
      <c r="D90" s="60" t="inlineStr">
        <is>
          <t>Jordanien</t>
        </is>
      </c>
      <c r="E90" s="61" t="inlineStr">
        <is>
          <t>-</t>
        </is>
      </c>
      <c r="F90" s="62" t="inlineStr">
        <is>
          <t>Argentina</t>
        </is>
      </c>
      <c r="G90" s="63" t="n">
        <v>0</v>
      </c>
      <c r="H90" s="64" t="inlineStr">
        <is>
          <t>-</t>
        </is>
      </c>
      <c r="I90" s="63" t="n">
        <v>3</v>
      </c>
      <c r="J90" s="65">
        <f>IF(OR(ISBLANK(G90),ISBLANK(I90)),"",IF(G90&gt;I90,1,IF(G90&lt;I90,2,"X")))</f>
        <v/>
      </c>
      <c r="K90" s="66">
        <f>IF(OR(G90="",I90="",'[1]Resultat &amp; tabell'!G90="",'[1]Resultat &amp; tabell'!I90=""),0,IF(G90='[1]Resultat &amp; tabell'!G90,2,0)+IF(I90='[1]Resultat &amp; tabell'!I90,2,0)+IF(J90='[1]Resultat &amp; tabell'!J90,2,0))</f>
        <v/>
      </c>
      <c r="L90" s="67" t="n"/>
      <c r="M90" s="29">
        <f>IF(VLOOKUP(D90,$BT$84:$CC$88,10,FALSE)=VLOOKUP(F90,$BT$84:$CC$88,10,FALSE),VLOOKUP(D90,$BT$84:$CC$88,10,FALSE),"-")</f>
        <v/>
      </c>
      <c r="X90" s="1" t="n"/>
      <c r="AE90" s="72">
        <f>C90</f>
        <v/>
      </c>
      <c r="AF90" s="72">
        <f>D90</f>
        <v/>
      </c>
      <c r="AG90" s="72">
        <f>E90</f>
        <v/>
      </c>
      <c r="AH90" s="72">
        <f>F90</f>
        <v/>
      </c>
      <c r="AI90" s="63">
        <f>IF(G90="","",G90)</f>
        <v/>
      </c>
      <c r="AJ90" s="58">
        <f>H90</f>
        <v/>
      </c>
      <c r="AK90" s="63">
        <f>IF(I90="","",I90)</f>
        <v/>
      </c>
      <c r="AL90" s="65">
        <f>J90</f>
        <v/>
      </c>
      <c r="AM90" s="73" t="n"/>
      <c r="AN90" s="13">
        <f>IF(AI90&gt;AK90,1,0)</f>
        <v/>
      </c>
      <c r="AO90" s="13">
        <f>IF(AK90&gt;AI90,1,0)</f>
        <v/>
      </c>
      <c r="AP90" s="13">
        <f>IF(AND(AI90=AK90,AI90&lt;&gt;""),1,0)</f>
        <v/>
      </c>
      <c r="AQ90" s="13">
        <f>IF(AND(AI90=AK90,AI90&lt;&gt;""),1,0)</f>
        <v/>
      </c>
      <c r="AR90" s="13">
        <f>IF(AI90&lt;AK90,1,0)</f>
        <v/>
      </c>
      <c r="AS90" s="13">
        <f>IF(AK90&lt;AI90,1,)</f>
        <v/>
      </c>
      <c r="AT90" s="13">
        <f>IF(ISERROR(VLOOKUP(AF90,CF:CF,1,FALSE)),0,1)*IF(ISERROR(VLOOKUP(AH90,CF:CF,1,FALSE)),0,1)*AN90</f>
        <v/>
      </c>
      <c r="AU90" s="13">
        <f>IF(ISERROR(VLOOKUP(AF90,CF:CF,1,FALSE)),0,1)*IF(ISERROR(VLOOKUP(AH90,CF:CF,1,FALSE)),0,1)*AO90</f>
        <v/>
      </c>
      <c r="AV90" s="13">
        <f>IF(ISERROR(VLOOKUP(AF90,CF:CF,1,FALSE)),0,1)*IF(ISERROR(VLOOKUP(AH90,CF:CF,1,FALSE)),0,1)*AP90</f>
        <v/>
      </c>
      <c r="AW90" s="13">
        <f>IF(ISERROR(VLOOKUP(AF90,CF:CF,1,FALSE)),0,1)*IF(ISERROR(VLOOKUP(AH90,CF:CF,1,FALSE)),0,1)*AQ90</f>
        <v/>
      </c>
      <c r="AX90" s="13">
        <f>IF(ISERROR(VLOOKUP(AF90,CF:CF,1,FALSE)),0,1)*IF(ISERROR(VLOOKUP(AH90,CF:CF,1,FALSE)),0,1)*AR90</f>
        <v/>
      </c>
      <c r="AY90" s="13">
        <f>IF(ISERROR(VLOOKUP(AF90,CF:CF,1,FALSE)),0,1)*IF(ISERROR(VLOOKUP(AH90,CF:CF,1,FALSE)),0,1)*AS90</f>
        <v/>
      </c>
      <c r="AZ90" s="13">
        <f>IF(ISERROR(VLOOKUP(AF90,CZ:CZ,1,FALSE)),0,1)*IF(ISERROR(VLOOKUP(AH90,CZ:CZ,1,FALSE)),0,1)*AN90</f>
        <v/>
      </c>
      <c r="BA90" s="13">
        <f>IF(ISERROR(VLOOKUP(AF90,CZ:CZ,1,FALSE)),0,1)*IF(ISERROR(VLOOKUP(AH90,CZ:CZ,1,FALSE)),0,1)*AO90</f>
        <v/>
      </c>
      <c r="BB90" s="13">
        <f>IF(ISERROR(VLOOKUP(AF90,CZ:CZ,1,FALSE)),0,1)*IF(ISERROR(VLOOKUP(AH90,CZ:CZ,1,FALSE)),0,1)*AP90</f>
        <v/>
      </c>
      <c r="BC90" s="13">
        <f>IF(ISERROR(VLOOKUP(AF90,CZ:CZ,1,FALSE)),0,1)*IF(ISERROR(VLOOKUP(AH90,CZ:CZ,1,FALSE)),0,1)*AQ90</f>
        <v/>
      </c>
      <c r="BD90" s="13">
        <f>IF(ISERROR(VLOOKUP(AF90,CZ:CZ,1,FALSE)),0,1)*IF(ISERROR(VLOOKUP(AH90,CZ:CZ,1,FALSE)),0,1)*AR90</f>
        <v/>
      </c>
      <c r="BE90" s="13">
        <f>IF(ISERROR(VLOOKUP(AF90,CZ:CZ,1,FALSE)),0,1)*IF(ISERROR(VLOOKUP(AH90,CZ:CZ,1,FALSE)),0,1)*AS90</f>
        <v/>
      </c>
      <c r="BF90" s="13">
        <f>IF(ISERROR(VLOOKUP(AF90,DT:DT,1,FALSE)),0,1)*IF(ISERROR(VLOOKUP(AH90,DT:DT,1,FALSE)),0,1)*AN90</f>
        <v/>
      </c>
      <c r="BG90" s="13">
        <f>IF(ISERROR(VLOOKUP(AF90,DT:DT,1,FALSE)),0,1)*IF(ISERROR(VLOOKUP(AH90,DT:DT,1,FALSE)),0,1)*AO90</f>
        <v/>
      </c>
      <c r="BH90" s="13">
        <f>IF(ISERROR(VLOOKUP(AF90,DT:DT,1,FALSE)),0,1)*IF(ISERROR(VLOOKUP(AH90,DT:DT,1,FALSE)),0,1)*AP90</f>
        <v/>
      </c>
      <c r="BI90" s="13">
        <f>IF(ISERROR(VLOOKUP(AF90,DT:DT,1,FALSE)),0,1)*IF(ISERROR(VLOOKUP(AH90,DT:DT,1,FALSE)),0,1)*AQ90</f>
        <v/>
      </c>
      <c r="BJ90" s="13">
        <f>IF(ISERROR(VLOOKUP(AF90,DT:DT,1,FALSE)),0,1)*IF(ISERROR(VLOOKUP(AH90,DT:DT,1,FALSE)),0,1)*AR90</f>
        <v/>
      </c>
      <c r="BK90" s="13">
        <f>IF(ISERROR(VLOOKUP(AF90,DT:DT,1,FALSE)),0,1)*IF(ISERROR(VLOOKUP(AH90,DT:DT,1,FALSE)),0,1)*AS90</f>
        <v/>
      </c>
      <c r="BL90" s="13">
        <f>IF(ISERROR(VLOOKUP(AF90,EN:EN,1,FALSE)),0,1)*IF(ISERROR(VLOOKUP(AH90,EN:EN,1,FALSE)),0,1)*AN90</f>
        <v/>
      </c>
      <c r="BM90" s="13">
        <f>IF(ISERROR(VLOOKUP(AF90,EN:EN,1,FALSE)),0,1)*IF(ISERROR(VLOOKUP(AH90,EN:EN,1,FALSE)),0,1)*AO90</f>
        <v/>
      </c>
      <c r="BN90" s="13">
        <f>IF(ISERROR(VLOOKUP(AF90,EN:EN,1,FALSE)),0,1)*IF(ISERROR(VLOOKUP(AH90,EN:EN,1,FALSE)),0,1)*AP90</f>
        <v/>
      </c>
      <c r="BO90" s="13">
        <f>IF(ISERROR(VLOOKUP(AF90,EN:EN,1,FALSE)),0,1)*IF(ISERROR(VLOOKUP(AH90,EN:EN,1,FALSE)),0,1)*AQ90</f>
        <v/>
      </c>
      <c r="BP90" s="13">
        <f>IF(ISERROR(VLOOKUP(AF90,EN:EN,1,FALSE)),0,1)*IF(ISERROR(VLOOKUP(AH90,EN:EN,1,FALSE)),0,1)*AR90</f>
        <v/>
      </c>
      <c r="BQ90" s="13">
        <f>IF(ISERROR(VLOOKUP(AF90,EN:EN,1,FALSE)),0,1)*IF(ISERROR(VLOOKUP(AH90,EN:EN,1,FALSE)),0,1)*AS90</f>
        <v/>
      </c>
      <c r="FZ90" s="79" t="n">
        <v>88</v>
      </c>
      <c r="GA90" s="3">
        <f>GB90&amp;GC90&amp;GD90&amp;GE90&amp;GF90&amp;GG90&amp;GH90&amp;GI90</f>
        <v/>
      </c>
      <c r="GB90" s="3" t="inlineStr">
        <is>
          <t>H</t>
        </is>
      </c>
      <c r="GC90" s="3" t="inlineStr">
        <is>
          <t>G</t>
        </is>
      </c>
      <c r="GD90" s="3" t="inlineStr">
        <is>
          <t>B</t>
        </is>
      </c>
      <c r="GE90" s="3" t="inlineStr">
        <is>
          <t>C</t>
        </is>
      </c>
      <c r="GF90" s="3" t="inlineStr">
        <is>
          <t>J</t>
        </is>
      </c>
      <c r="GG90" s="3" t="inlineStr">
        <is>
          <t>F</t>
        </is>
      </c>
      <c r="GH90" s="3" t="inlineStr">
        <is>
          <t>L</t>
        </is>
      </c>
      <c r="GI90" s="3" t="inlineStr">
        <is>
          <t>I</t>
        </is>
      </c>
      <c r="GJ90" s="9">
        <f>VLOOKUP(GB90,$FM$3:$FN$15,2,FALSE)</f>
        <v/>
      </c>
      <c r="GK90" s="9">
        <f>VLOOKUP(GC90,$FM$3:$FN$15,2,FALSE)</f>
        <v/>
      </c>
      <c r="GL90" s="9">
        <f>VLOOKUP(GD90,$FM$3:$FN$15,2,FALSE)</f>
        <v/>
      </c>
      <c r="GM90" s="9">
        <f>VLOOKUP(GE90,$FM$3:$FN$15,2,FALSE)</f>
        <v/>
      </c>
      <c r="GN90" s="9">
        <f>VLOOKUP(GF90,$FM$3:$FN$15,2,FALSE)</f>
        <v/>
      </c>
      <c r="GO90" s="9">
        <f>VLOOKUP(GG90,$FM$3:$FN$15,2,FALSE)</f>
        <v/>
      </c>
      <c r="GP90" s="9">
        <f>VLOOKUP(GH90,$FM$3:$FN$15,2,FALSE)</f>
        <v/>
      </c>
      <c r="GQ90" s="9">
        <f>VLOOKUP(GI90,$FM$3:$FN$15,2,FALSE)</f>
        <v/>
      </c>
      <c r="GR90" s="9">
        <f>IFERROR(IF(AND(VLOOKUP(GB90,$FX$4:$FX$15,1,FALSE)=GB90,VLOOKUP(GC90,$FX$4:$FX$15,1,FALSE)=GC90,VLOOKUP(GD90,$FX$4:$FX$15,1,FALSE)=GD90,VLOOKUP(GE90,$FX$4:$FX$15,1,FALSE)=GE90,VLOOKUP(GF90,$FX$4:$FX$15,1,FALSE)=GF90,VLOOKUP(GG90,$FX$4:$FX$15,1,FALSE)=GG90,VLOOKUP(GH90,$FX$4:$FX$15,1,FALSE)=GH90,VLOOKUP(GI90,$FX$4:$FX$15,1,FALSE)=GI90),FZ90,""),"")</f>
        <v/>
      </c>
      <c r="GX90" s="142" t="n"/>
    </row>
    <row r="91" ht="14.25" customHeight="1">
      <c r="B91" s="3" t="n"/>
      <c r="C91" s="94" t="n"/>
      <c r="D91" s="143" t="n"/>
      <c r="F91" s="143" t="n"/>
      <c r="G91" s="139" t="n"/>
      <c r="H91" s="100" t="n"/>
      <c r="I91" s="139" t="n"/>
      <c r="J91" s="79" t="n"/>
      <c r="K91" s="73" t="n"/>
      <c r="L91" s="67" t="n"/>
      <c r="X91" s="1" t="n"/>
      <c r="AE91" s="94" t="n"/>
      <c r="AF91" s="143" t="n"/>
      <c r="AG91" s="3" t="n"/>
      <c r="AH91" s="143" t="n"/>
      <c r="AI91" s="139" t="n"/>
      <c r="AJ91" s="105" t="n"/>
      <c r="AK91" s="139" t="n"/>
      <c r="AL91" s="79" t="n"/>
      <c r="AM91" s="73" t="n"/>
      <c r="FZ91" s="79" t="n">
        <v>89</v>
      </c>
      <c r="GA91" s="3">
        <f>GB91&amp;GC91&amp;GD91&amp;GE91&amp;GF91&amp;GG91&amp;GH91&amp;GI91</f>
        <v/>
      </c>
      <c r="GB91" s="3" t="inlineStr">
        <is>
          <t>H</t>
        </is>
      </c>
      <c r="GC91" s="3" t="inlineStr">
        <is>
          <t>G</t>
        </is>
      </c>
      <c r="GD91" s="3" t="inlineStr">
        <is>
          <t>B</t>
        </is>
      </c>
      <c r="GE91" s="3" t="inlineStr">
        <is>
          <t>C</t>
        </is>
      </c>
      <c r="GF91" s="3" t="inlineStr">
        <is>
          <t>J</t>
        </is>
      </c>
      <c r="GG91" s="3" t="inlineStr">
        <is>
          <t>F</t>
        </is>
      </c>
      <c r="GH91" s="3" t="inlineStr">
        <is>
          <t>I</t>
        </is>
      </c>
      <c r="GI91" s="3" t="inlineStr">
        <is>
          <t>K</t>
        </is>
      </c>
      <c r="GJ91" s="9">
        <f>VLOOKUP(GB91,$FM$3:$FN$15,2,FALSE)</f>
        <v/>
      </c>
      <c r="GK91" s="9">
        <f>VLOOKUP(GC91,$FM$3:$FN$15,2,FALSE)</f>
        <v/>
      </c>
      <c r="GL91" s="9">
        <f>VLOOKUP(GD91,$FM$3:$FN$15,2,FALSE)</f>
        <v/>
      </c>
      <c r="GM91" s="9">
        <f>VLOOKUP(GE91,$FM$3:$FN$15,2,FALSE)</f>
        <v/>
      </c>
      <c r="GN91" s="9">
        <f>VLOOKUP(GF91,$FM$3:$FN$15,2,FALSE)</f>
        <v/>
      </c>
      <c r="GO91" s="9">
        <f>VLOOKUP(GG91,$FM$3:$FN$15,2,FALSE)</f>
        <v/>
      </c>
      <c r="GP91" s="9">
        <f>VLOOKUP(GH91,$FM$3:$FN$15,2,FALSE)</f>
        <v/>
      </c>
      <c r="GQ91" s="9">
        <f>VLOOKUP(GI91,$FM$3:$FN$15,2,FALSE)</f>
        <v/>
      </c>
      <c r="GR91" s="9">
        <f>IFERROR(IF(AND(VLOOKUP(GB91,$FX$4:$FX$15,1,FALSE)=GB91,VLOOKUP(GC91,$FX$4:$FX$15,1,FALSE)=GC91,VLOOKUP(GD91,$FX$4:$FX$15,1,FALSE)=GD91,VLOOKUP(GE91,$FX$4:$FX$15,1,FALSE)=GE91,VLOOKUP(GF91,$FX$4:$FX$15,1,FALSE)=GF91,VLOOKUP(GG91,$FX$4:$FX$15,1,FALSE)=GG91,VLOOKUP(GH91,$FX$4:$FX$15,1,FALSE)=GH91,VLOOKUP(GI91,$FX$4:$FX$15,1,FALSE)=GI91),FZ91,""),"")</f>
        <v/>
      </c>
      <c r="GX91" s="142" t="n"/>
    </row>
    <row r="92" ht="14.25" customHeight="1">
      <c r="B92" s="19" t="inlineStr">
        <is>
          <t>Grupp K</t>
        </is>
      </c>
      <c r="C92" s="97" t="n"/>
      <c r="D92" s="126" t="n"/>
      <c r="E92" s="33" t="n"/>
      <c r="F92" s="126" t="n"/>
      <c r="G92" s="25" t="n"/>
      <c r="H92" s="25" t="n"/>
      <c r="I92" s="25" t="n"/>
      <c r="J92" s="23" t="n"/>
      <c r="K92" s="16" t="n"/>
      <c r="L92" s="49" t="n"/>
      <c r="O92" s="19" t="inlineStr">
        <is>
          <t>Grupp K</t>
        </is>
      </c>
      <c r="X92" s="1" t="n"/>
      <c r="AE92" s="19" t="inlineStr">
        <is>
          <t>Grupp K</t>
        </is>
      </c>
      <c r="AF92" s="126" t="n"/>
      <c r="AG92" s="33" t="n"/>
      <c r="AH92" s="126" t="n"/>
      <c r="AI92" s="33" t="n"/>
      <c r="AJ92" s="33" t="n"/>
      <c r="AK92" s="33" t="n"/>
      <c r="AL92" s="23" t="n"/>
      <c r="AM92" s="16" t="n"/>
      <c r="AN92" s="16" t="n"/>
      <c r="BT92" s="39" t="inlineStr">
        <is>
          <t>Rank 0</t>
        </is>
      </c>
      <c r="BU92" s="34" t="n"/>
      <c r="BV92" s="34" t="n"/>
      <c r="BW92" s="34" t="n"/>
      <c r="BX92" s="34" t="n"/>
      <c r="BY92" s="34" t="n"/>
      <c r="BZ92" s="34" t="n"/>
      <c r="CA92" s="34" t="n"/>
      <c r="CB92" s="39" t="n"/>
      <c r="CC92" s="34" t="n"/>
      <c r="CD92" s="34" t="n"/>
      <c r="CF92" s="40" t="inlineStr">
        <is>
          <t>Rank 1</t>
        </is>
      </c>
      <c r="CG92" s="35">
        <f>COUNTIF(CC94:CC97,1)</f>
        <v/>
      </c>
      <c r="CH92" s="35" t="n"/>
      <c r="CI92" s="35" t="n"/>
      <c r="CJ92" s="35" t="n"/>
      <c r="CK92" s="35" t="n"/>
      <c r="CL92" s="35" t="n"/>
      <c r="CM92" s="35" t="n"/>
      <c r="CN92" s="35" t="n"/>
      <c r="CO92" s="35" t="n"/>
      <c r="CP92" s="35" t="n"/>
      <c r="CZ92" s="41" t="inlineStr">
        <is>
          <t>Rank 2</t>
        </is>
      </c>
      <c r="DA92" s="36">
        <f>COUNTIF(CC94:CC97,2)</f>
        <v/>
      </c>
      <c r="DB92" s="36" t="n"/>
      <c r="DC92" s="36" t="n"/>
      <c r="DD92" s="36" t="n"/>
      <c r="DE92" s="36" t="n"/>
      <c r="DF92" s="36" t="n"/>
      <c r="DG92" s="36" t="n"/>
      <c r="DH92" s="36" t="n"/>
      <c r="DI92" s="36" t="n"/>
      <c r="DJ92" s="41" t="n"/>
      <c r="DT92" s="37" t="inlineStr">
        <is>
          <t>Rank 3</t>
        </is>
      </c>
      <c r="DU92" s="37">
        <f>COUNTIF(CC94:CC97,3)</f>
        <v/>
      </c>
      <c r="DV92" s="37" t="n"/>
      <c r="DW92" s="37" t="n"/>
      <c r="DX92" s="37" t="n"/>
      <c r="DY92" s="37" t="n"/>
      <c r="DZ92" s="37" t="n"/>
      <c r="EA92" s="37" t="n"/>
      <c r="EB92" s="37" t="n"/>
      <c r="EC92" s="37" t="n"/>
      <c r="ED92" s="37" t="n"/>
      <c r="EN92" s="38" t="inlineStr">
        <is>
          <t>Rank 4</t>
        </is>
      </c>
      <c r="EO92" s="38">
        <f>COUNTIF(CC94:CC97,4)</f>
        <v/>
      </c>
      <c r="EP92" s="38" t="n"/>
      <c r="EQ92" s="38" t="n"/>
      <c r="ER92" s="38" t="n"/>
      <c r="ES92" s="38" t="n"/>
      <c r="ET92" s="38" t="n"/>
      <c r="EU92" s="38" t="n"/>
      <c r="EV92" s="38" t="n"/>
      <c r="EW92" s="38" t="n"/>
      <c r="EX92" s="38" t="n"/>
      <c r="FZ92" s="79" t="n">
        <v>90</v>
      </c>
      <c r="GA92" s="3">
        <f>GB92&amp;GC92&amp;GD92&amp;GE92&amp;GF92&amp;GG92&amp;GH92&amp;GI92</f>
        <v/>
      </c>
      <c r="GB92" s="3" t="inlineStr">
        <is>
          <t>E</t>
        </is>
      </c>
      <c r="GC92" s="3" t="inlineStr">
        <is>
          <t>J</t>
        </is>
      </c>
      <c r="GD92" s="3" t="inlineStr">
        <is>
          <t>B</t>
        </is>
      </c>
      <c r="GE92" s="3" t="inlineStr">
        <is>
          <t>C</t>
        </is>
      </c>
      <c r="GF92" s="3" t="inlineStr">
        <is>
          <t>I</t>
        </is>
      </c>
      <c r="GG92" s="3" t="inlineStr">
        <is>
          <t>H</t>
        </is>
      </c>
      <c r="GH92" s="3" t="inlineStr">
        <is>
          <t>L</t>
        </is>
      </c>
      <c r="GI92" s="3" t="inlineStr">
        <is>
          <t>K</t>
        </is>
      </c>
      <c r="GJ92" s="9">
        <f>VLOOKUP(GB92,$FM$3:$FN$15,2,FALSE)</f>
        <v/>
      </c>
      <c r="GK92" s="9">
        <f>VLOOKUP(GC92,$FM$3:$FN$15,2,FALSE)</f>
        <v/>
      </c>
      <c r="GL92" s="9">
        <f>VLOOKUP(GD92,$FM$3:$FN$15,2,FALSE)</f>
        <v/>
      </c>
      <c r="GM92" s="9">
        <f>VLOOKUP(GE92,$FM$3:$FN$15,2,FALSE)</f>
        <v/>
      </c>
      <c r="GN92" s="9">
        <f>VLOOKUP(GF92,$FM$3:$FN$15,2,FALSE)</f>
        <v/>
      </c>
      <c r="GO92" s="9">
        <f>VLOOKUP(GG92,$FM$3:$FN$15,2,FALSE)</f>
        <v/>
      </c>
      <c r="GP92" s="9">
        <f>VLOOKUP(GH92,$FM$3:$FN$15,2,FALSE)</f>
        <v/>
      </c>
      <c r="GQ92" s="9">
        <f>VLOOKUP(GI92,$FM$3:$FN$15,2,FALSE)</f>
        <v/>
      </c>
      <c r="GR92" s="9">
        <f>IFERROR(IF(AND(VLOOKUP(GB92,$FX$4:$FX$15,1,FALSE)=GB92,VLOOKUP(GC92,$FX$4:$FX$15,1,FALSE)=GC92,VLOOKUP(GD92,$FX$4:$FX$15,1,FALSE)=GD92,VLOOKUP(GE92,$FX$4:$FX$15,1,FALSE)=GE92,VLOOKUP(GF92,$FX$4:$FX$15,1,FALSE)=GF92,VLOOKUP(GG92,$FX$4:$FX$15,1,FALSE)=GG92,VLOOKUP(GH92,$FX$4:$FX$15,1,FALSE)=GH92,VLOOKUP(GI92,$FX$4:$FX$15,1,FALSE)=GI92),FZ92,""),"")</f>
        <v/>
      </c>
      <c r="GX92" s="142" t="n"/>
    </row>
    <row r="93" ht="14.25" customHeight="1">
      <c r="B93" s="117" t="inlineStr">
        <is>
          <t>Match</t>
        </is>
      </c>
      <c r="C93" s="107" t="inlineStr">
        <is>
          <t>Datum</t>
        </is>
      </c>
      <c r="D93" s="210" t="inlineStr">
        <is>
          <t>Match</t>
        </is>
      </c>
      <c r="E93" s="211" t="n"/>
      <c r="F93" s="212" t="n"/>
      <c r="G93" s="184" t="inlineStr">
        <is>
          <t>Resultat</t>
        </is>
      </c>
      <c r="H93" s="217" t="n"/>
      <c r="I93" s="217" t="n"/>
      <c r="J93" s="47" t="inlineStr">
        <is>
          <t>1X2</t>
        </is>
      </c>
      <c r="K93" s="48" t="inlineStr">
        <is>
          <t>Poäng</t>
        </is>
      </c>
      <c r="L93" s="49" t="n"/>
      <c r="O93" s="51" t="inlineStr">
        <is>
          <t>Lag</t>
        </is>
      </c>
      <c r="P93" s="186" t="inlineStr">
        <is>
          <t>V</t>
        </is>
      </c>
      <c r="Q93" s="186" t="inlineStr">
        <is>
          <t>O</t>
        </is>
      </c>
      <c r="R93" s="186" t="inlineStr">
        <is>
          <t>F</t>
        </is>
      </c>
      <c r="S93" s="186" t="inlineStr">
        <is>
          <t>GM</t>
        </is>
      </c>
      <c r="T93" s="186" t="inlineStr">
        <is>
          <t>IM</t>
        </is>
      </c>
      <c r="U93" s="186" t="inlineStr">
        <is>
          <t>+/-</t>
        </is>
      </c>
      <c r="V93" s="187" t="inlineStr">
        <is>
          <t>P</t>
        </is>
      </c>
      <c r="X93" s="1" t="n"/>
      <c r="AE93" s="107" t="inlineStr">
        <is>
          <t>Datum</t>
        </is>
      </c>
      <c r="AF93" s="210" t="inlineStr">
        <is>
          <t>Match</t>
        </is>
      </c>
      <c r="AG93" s="211" t="n"/>
      <c r="AH93" s="212" t="n"/>
      <c r="AI93" s="182" t="inlineStr">
        <is>
          <t>Resultat</t>
        </is>
      </c>
      <c r="AJ93" s="211" t="n"/>
      <c r="AK93" s="211" t="n"/>
      <c r="AL93" s="47" t="inlineStr">
        <is>
          <t>Tecken</t>
        </is>
      </c>
      <c r="AM93" s="16" t="n"/>
      <c r="AN93" s="34" t="inlineStr">
        <is>
          <t>V1</t>
        </is>
      </c>
      <c r="AO93" s="34" t="inlineStr">
        <is>
          <t>V2</t>
        </is>
      </c>
      <c r="AP93" s="34" t="inlineStr">
        <is>
          <t>O1</t>
        </is>
      </c>
      <c r="AQ93" s="34" t="inlineStr">
        <is>
          <t>O2</t>
        </is>
      </c>
      <c r="AR93" s="34" t="inlineStr">
        <is>
          <t>F1</t>
        </is>
      </c>
      <c r="AS93" s="34" t="inlineStr">
        <is>
          <t>F2</t>
        </is>
      </c>
      <c r="AT93" s="35" t="inlineStr">
        <is>
          <t>V1</t>
        </is>
      </c>
      <c r="AU93" s="35" t="inlineStr">
        <is>
          <t>V2</t>
        </is>
      </c>
      <c r="AV93" s="35" t="inlineStr">
        <is>
          <t>O1</t>
        </is>
      </c>
      <c r="AW93" s="35" t="inlineStr">
        <is>
          <t>O2</t>
        </is>
      </c>
      <c r="AX93" s="35" t="inlineStr">
        <is>
          <t>F1</t>
        </is>
      </c>
      <c r="AY93" s="35" t="inlineStr">
        <is>
          <t>F2</t>
        </is>
      </c>
      <c r="AZ93" s="36" t="inlineStr">
        <is>
          <t>V1</t>
        </is>
      </c>
      <c r="BA93" s="36" t="inlineStr">
        <is>
          <t>V2</t>
        </is>
      </c>
      <c r="BB93" s="36" t="inlineStr">
        <is>
          <t>O1</t>
        </is>
      </c>
      <c r="BC93" s="36" t="inlineStr">
        <is>
          <t>O2</t>
        </is>
      </c>
      <c r="BD93" s="36" t="inlineStr">
        <is>
          <t>F1</t>
        </is>
      </c>
      <c r="BE93" s="36" t="inlineStr">
        <is>
          <t>F2</t>
        </is>
      </c>
      <c r="BF93" s="37" t="inlineStr">
        <is>
          <t>V1</t>
        </is>
      </c>
      <c r="BG93" s="37" t="inlineStr">
        <is>
          <t>V2</t>
        </is>
      </c>
      <c r="BH93" s="37" t="inlineStr">
        <is>
          <t>O1</t>
        </is>
      </c>
      <c r="BI93" s="37" t="inlineStr">
        <is>
          <t>O2</t>
        </is>
      </c>
      <c r="BJ93" s="37" t="inlineStr">
        <is>
          <t>F1</t>
        </is>
      </c>
      <c r="BK93" s="37" t="inlineStr">
        <is>
          <t>F2</t>
        </is>
      </c>
      <c r="BL93" s="38" t="inlineStr">
        <is>
          <t>V1</t>
        </is>
      </c>
      <c r="BM93" s="38" t="inlineStr">
        <is>
          <t>V2</t>
        </is>
      </c>
      <c r="BN93" s="38" t="inlineStr">
        <is>
          <t>O1</t>
        </is>
      </c>
      <c r="BO93" s="38" t="inlineStr">
        <is>
          <t>O2</t>
        </is>
      </c>
      <c r="BP93" s="38" t="inlineStr">
        <is>
          <t>F1</t>
        </is>
      </c>
      <c r="BQ93" s="38" t="inlineStr">
        <is>
          <t>F2</t>
        </is>
      </c>
      <c r="BT93" s="39" t="inlineStr">
        <is>
          <t>Lag</t>
        </is>
      </c>
      <c r="BU93" s="34" t="inlineStr">
        <is>
          <t>V</t>
        </is>
      </c>
      <c r="BV93" s="34" t="inlineStr">
        <is>
          <t>O</t>
        </is>
      </c>
      <c r="BW93" s="34" t="inlineStr">
        <is>
          <t>F</t>
        </is>
      </c>
      <c r="BX93" s="34" t="inlineStr">
        <is>
          <t>GM</t>
        </is>
      </c>
      <c r="BY93" s="34" t="inlineStr">
        <is>
          <t>IM</t>
        </is>
      </c>
      <c r="BZ93" s="34" t="inlineStr">
        <is>
          <t>+/-</t>
        </is>
      </c>
      <c r="CA93" s="34" t="inlineStr">
        <is>
          <t>P</t>
        </is>
      </c>
      <c r="CB93" s="39" t="inlineStr">
        <is>
          <t>Grupp</t>
        </is>
      </c>
      <c r="CC93" s="34" t="inlineStr">
        <is>
          <t>Rank P</t>
        </is>
      </c>
      <c r="CD93" s="34" t="inlineStr">
        <is>
          <t>Rank +/-</t>
        </is>
      </c>
      <c r="CF93" s="40" t="inlineStr">
        <is>
          <t>Lag</t>
        </is>
      </c>
      <c r="CG93" s="35" t="inlineStr">
        <is>
          <t>V</t>
        </is>
      </c>
      <c r="CH93" s="35" t="inlineStr">
        <is>
          <t>O</t>
        </is>
      </c>
      <c r="CI93" s="35" t="inlineStr">
        <is>
          <t>F</t>
        </is>
      </c>
      <c r="CJ93" s="35" t="inlineStr">
        <is>
          <t>P</t>
        </is>
      </c>
      <c r="CK93" s="35" t="inlineStr">
        <is>
          <t>Grupp</t>
        </is>
      </c>
      <c r="CL93" s="35" t="inlineStr">
        <is>
          <t>Rank P</t>
        </is>
      </c>
      <c r="CM93" s="56" t="inlineStr">
        <is>
          <t>+/-</t>
        </is>
      </c>
      <c r="CN93" s="56" t="inlineStr">
        <is>
          <t>+/- rank</t>
        </is>
      </c>
      <c r="CO93" s="56" t="inlineStr">
        <is>
          <t>GM</t>
        </is>
      </c>
      <c r="CP93" s="56" t="inlineStr">
        <is>
          <t>GM rank</t>
        </is>
      </c>
      <c r="CQ93" s="35" t="inlineStr">
        <is>
          <t>Rank internal</t>
        </is>
      </c>
      <c r="CR93" s="56" t="inlineStr">
        <is>
          <t>+/- all</t>
        </is>
      </c>
      <c r="CS93" s="56" t="inlineStr">
        <is>
          <t>+/- rank all</t>
        </is>
      </c>
      <c r="CT93" s="56" t="inlineStr">
        <is>
          <t>GM all</t>
        </is>
      </c>
      <c r="CU93" s="56" t="inlineStr">
        <is>
          <t>GM rank all</t>
        </is>
      </c>
      <c r="CV93" s="56" t="inlineStr">
        <is>
          <t>V all</t>
        </is>
      </c>
      <c r="CW93" s="56" t="inlineStr">
        <is>
          <t>V rank all</t>
        </is>
      </c>
      <c r="CX93" s="35" t="inlineStr">
        <is>
          <t>Rank all</t>
        </is>
      </c>
      <c r="CZ93" s="41" t="inlineStr">
        <is>
          <t>Lag</t>
        </is>
      </c>
      <c r="DA93" s="36" t="inlineStr">
        <is>
          <t>V</t>
        </is>
      </c>
      <c r="DB93" s="36" t="inlineStr">
        <is>
          <t>O</t>
        </is>
      </c>
      <c r="DC93" s="36" t="inlineStr">
        <is>
          <t>F</t>
        </is>
      </c>
      <c r="DD93" s="36" t="inlineStr">
        <is>
          <t>P</t>
        </is>
      </c>
      <c r="DE93" s="36" t="inlineStr">
        <is>
          <t>Grupp</t>
        </is>
      </c>
      <c r="DF93" s="36" t="inlineStr">
        <is>
          <t>Rank P</t>
        </is>
      </c>
      <c r="DG93" s="36" t="inlineStr">
        <is>
          <t>+/-</t>
        </is>
      </c>
      <c r="DH93" s="36" t="inlineStr">
        <is>
          <t>+/- rank</t>
        </is>
      </c>
      <c r="DI93" s="36" t="inlineStr">
        <is>
          <t>GM</t>
        </is>
      </c>
      <c r="DJ93" s="41" t="inlineStr">
        <is>
          <t>GM rank</t>
        </is>
      </c>
      <c r="DK93" s="41" t="inlineStr">
        <is>
          <t>Rank internal</t>
        </is>
      </c>
      <c r="DL93" s="41" t="inlineStr">
        <is>
          <t>+/- all</t>
        </is>
      </c>
      <c r="DM93" s="41" t="inlineStr">
        <is>
          <t>+/- rank all</t>
        </is>
      </c>
      <c r="DN93" s="41" t="inlineStr">
        <is>
          <t>GM all</t>
        </is>
      </c>
      <c r="DO93" s="41" t="inlineStr">
        <is>
          <t>GM rank all</t>
        </is>
      </c>
      <c r="DP93" s="41" t="inlineStr">
        <is>
          <t>V all</t>
        </is>
      </c>
      <c r="DQ93" s="41" t="inlineStr">
        <is>
          <t>V rank all</t>
        </is>
      </c>
      <c r="DR93" s="41" t="inlineStr">
        <is>
          <t>Rank all</t>
        </is>
      </c>
      <c r="DT93" s="37" t="inlineStr">
        <is>
          <t>Lag</t>
        </is>
      </c>
      <c r="DU93" s="37" t="inlineStr">
        <is>
          <t>V</t>
        </is>
      </c>
      <c r="DV93" s="37" t="inlineStr">
        <is>
          <t>O</t>
        </is>
      </c>
      <c r="DW93" s="37" t="inlineStr">
        <is>
          <t>F</t>
        </is>
      </c>
      <c r="DX93" s="37" t="inlineStr">
        <is>
          <t>P</t>
        </is>
      </c>
      <c r="DY93" s="37" t="inlineStr">
        <is>
          <t>Grupp</t>
        </is>
      </c>
      <c r="DZ93" s="37" t="inlineStr">
        <is>
          <t>Rank P</t>
        </is>
      </c>
      <c r="EA93" s="37" t="inlineStr">
        <is>
          <t>+/-</t>
        </is>
      </c>
      <c r="EB93" s="37" t="inlineStr">
        <is>
          <t>+/- rank</t>
        </is>
      </c>
      <c r="EC93" s="37" t="inlineStr">
        <is>
          <t>GM</t>
        </is>
      </c>
      <c r="ED93" s="37" t="inlineStr">
        <is>
          <t>GM rank</t>
        </is>
      </c>
      <c r="EE93" s="37" t="inlineStr">
        <is>
          <t>Rank internal</t>
        </is>
      </c>
      <c r="EF93" s="37" t="inlineStr">
        <is>
          <t>+/- all</t>
        </is>
      </c>
      <c r="EG93" s="37" t="inlineStr">
        <is>
          <t>+/- rank all</t>
        </is>
      </c>
      <c r="EH93" s="37" t="inlineStr">
        <is>
          <t>GM all</t>
        </is>
      </c>
      <c r="EI93" s="37" t="inlineStr">
        <is>
          <t>GM rank all</t>
        </is>
      </c>
      <c r="EJ93" s="37" t="inlineStr">
        <is>
          <t>V all</t>
        </is>
      </c>
      <c r="EK93" s="37" t="inlineStr">
        <is>
          <t>V rank all</t>
        </is>
      </c>
      <c r="EL93" s="37" t="inlineStr">
        <is>
          <t>Rank all</t>
        </is>
      </c>
      <c r="EN93" s="38" t="inlineStr">
        <is>
          <t>Lag</t>
        </is>
      </c>
      <c r="EO93" s="38" t="inlineStr">
        <is>
          <t>V</t>
        </is>
      </c>
      <c r="EP93" s="38" t="inlineStr">
        <is>
          <t>O</t>
        </is>
      </c>
      <c r="EQ93" s="38" t="inlineStr">
        <is>
          <t>F</t>
        </is>
      </c>
      <c r="ER93" s="38" t="inlineStr">
        <is>
          <t>P</t>
        </is>
      </c>
      <c r="ES93" s="38" t="inlineStr">
        <is>
          <t>Grupp</t>
        </is>
      </c>
      <c r="ET93" s="38" t="inlineStr">
        <is>
          <t>Rank P</t>
        </is>
      </c>
      <c r="EU93" s="38" t="inlineStr">
        <is>
          <t>+/-</t>
        </is>
      </c>
      <c r="EV93" s="38" t="inlineStr">
        <is>
          <t>+/- rank</t>
        </is>
      </c>
      <c r="EW93" s="38" t="inlineStr">
        <is>
          <t>GM</t>
        </is>
      </c>
      <c r="EX93" s="38" t="inlineStr">
        <is>
          <t>GM rank</t>
        </is>
      </c>
      <c r="EY93" s="38" t="inlineStr">
        <is>
          <t>Rank internal</t>
        </is>
      </c>
      <c r="EZ93" s="38" t="inlineStr">
        <is>
          <t>+/- all</t>
        </is>
      </c>
      <c r="FA93" s="38" t="inlineStr">
        <is>
          <t>+/- rank all</t>
        </is>
      </c>
      <c r="FB93" s="38" t="inlineStr">
        <is>
          <t>GM all</t>
        </is>
      </c>
      <c r="FC93" s="38" t="inlineStr">
        <is>
          <t>GM rank all</t>
        </is>
      </c>
      <c r="FD93" s="38" t="inlineStr">
        <is>
          <t>V all</t>
        </is>
      </c>
      <c r="FE93" s="38" t="inlineStr">
        <is>
          <t>V rank all</t>
        </is>
      </c>
      <c r="FF93" s="38" t="inlineStr">
        <is>
          <t>Rank all</t>
        </is>
      </c>
      <c r="FH93" s="38" t="inlineStr">
        <is>
          <t>Rank</t>
        </is>
      </c>
      <c r="FI93" s="38" t="inlineStr">
        <is>
          <t>Rank Ties</t>
        </is>
      </c>
      <c r="FZ93" s="79" t="n">
        <v>91</v>
      </c>
      <c r="GA93" s="3">
        <f>GB93&amp;GC93&amp;GD93&amp;GE93&amp;GF93&amp;GG93&amp;GH93&amp;GI93</f>
        <v/>
      </c>
      <c r="GB93" s="3" t="inlineStr">
        <is>
          <t>E</t>
        </is>
      </c>
      <c r="GC93" s="3" t="inlineStr">
        <is>
          <t>J</t>
        </is>
      </c>
      <c r="GD93" s="3" t="inlineStr">
        <is>
          <t>B</t>
        </is>
      </c>
      <c r="GE93" s="3" t="inlineStr">
        <is>
          <t>C</t>
        </is>
      </c>
      <c r="GF93" s="3" t="inlineStr">
        <is>
          <t>I</t>
        </is>
      </c>
      <c r="GG93" s="3" t="inlineStr">
        <is>
          <t>G</t>
        </is>
      </c>
      <c r="GH93" s="3" t="inlineStr">
        <is>
          <t>L</t>
        </is>
      </c>
      <c r="GI93" s="3" t="inlineStr">
        <is>
          <t>K</t>
        </is>
      </c>
      <c r="GJ93" s="9">
        <f>VLOOKUP(GB93,$FM$3:$FN$15,2,FALSE)</f>
        <v/>
      </c>
      <c r="GK93" s="9">
        <f>VLOOKUP(GC93,$FM$3:$FN$15,2,FALSE)</f>
        <v/>
      </c>
      <c r="GL93" s="9">
        <f>VLOOKUP(GD93,$FM$3:$FN$15,2,FALSE)</f>
        <v/>
      </c>
      <c r="GM93" s="9">
        <f>VLOOKUP(GE93,$FM$3:$FN$15,2,FALSE)</f>
        <v/>
      </c>
      <c r="GN93" s="9">
        <f>VLOOKUP(GF93,$FM$3:$FN$15,2,FALSE)</f>
        <v/>
      </c>
      <c r="GO93" s="9">
        <f>VLOOKUP(GG93,$FM$3:$FN$15,2,FALSE)</f>
        <v/>
      </c>
      <c r="GP93" s="9">
        <f>VLOOKUP(GH93,$FM$3:$FN$15,2,FALSE)</f>
        <v/>
      </c>
      <c r="GQ93" s="9">
        <f>VLOOKUP(GI93,$FM$3:$FN$15,2,FALSE)</f>
        <v/>
      </c>
      <c r="GR93" s="9">
        <f>IFERROR(IF(AND(VLOOKUP(GB93,$FX$4:$FX$15,1,FALSE)=GB93,VLOOKUP(GC93,$FX$4:$FX$15,1,FALSE)=GC93,VLOOKUP(GD93,$FX$4:$FX$15,1,FALSE)=GD93,VLOOKUP(GE93,$FX$4:$FX$15,1,FALSE)=GE93,VLOOKUP(GF93,$FX$4:$FX$15,1,FALSE)=GF93,VLOOKUP(GG93,$FX$4:$FX$15,1,FALSE)=GG93,VLOOKUP(GH93,$FX$4:$FX$15,1,FALSE)=GH93,VLOOKUP(GI93,$FX$4:$FX$15,1,FALSE)=GI93),FZ93,""),"")</f>
        <v/>
      </c>
      <c r="GX93" s="142" t="n"/>
    </row>
    <row r="94" ht="14.25" customHeight="1">
      <c r="B94" s="58" t="n">
        <v>23</v>
      </c>
      <c r="C94" s="59" t="n">
        <v>46190</v>
      </c>
      <c r="D94" s="60" t="inlineStr">
        <is>
          <t>Portugal</t>
        </is>
      </c>
      <c r="E94" s="61" t="inlineStr">
        <is>
          <t>-</t>
        </is>
      </c>
      <c r="F94" s="62" t="inlineStr">
        <is>
          <t>Kongo</t>
        </is>
      </c>
      <c r="G94" s="63" t="n">
        <v>3</v>
      </c>
      <c r="H94" s="64" t="inlineStr">
        <is>
          <t>-</t>
        </is>
      </c>
      <c r="I94" s="63" t="n">
        <v>0</v>
      </c>
      <c r="J94" s="65">
        <f>IF(OR(ISBLANK(G94),ISBLANK(I94)),"",IF(G94&gt;I94,1,IF(G94&lt;I94,2,"X")))</f>
        <v/>
      </c>
      <c r="K94" s="66">
        <f>IF(OR(G94="",I94="",'[1]Resultat &amp; tabell'!G94="",'[1]Resultat &amp; tabell'!I94=""),0,IF(G94='[1]Resultat &amp; tabell'!G94,2,0)+IF(I94='[1]Resultat &amp; tabell'!I94,2,0)+IF(J94='[1]Resultat &amp; tabell'!J94,2,0))</f>
        <v/>
      </c>
      <c r="L94" s="67" t="n"/>
      <c r="M94" s="29">
        <f>IF(VLOOKUP(D94,$BT$93:$CC$97,10,FALSE)=VLOOKUP(F94,$BT$93:$CC$97,10,FALSE),VLOOKUP(D94,$BT$93:$CC$97,10,FALSE),"-")</f>
        <v/>
      </c>
      <c r="N94" s="30" t="n">
        <v>1</v>
      </c>
      <c r="O94" s="68">
        <f>VLOOKUP(N94,FI94:FJ97,2,FALSE)</f>
        <v/>
      </c>
      <c r="P94" s="69">
        <f>VLOOKUP($O94,$BT$94:$CA$97,2,FALSE)</f>
        <v/>
      </c>
      <c r="Q94" s="69">
        <f>VLOOKUP($O94,$BT$94:$CA$97,3,FALSE)</f>
        <v/>
      </c>
      <c r="R94" s="69">
        <f>VLOOKUP($O94,$BT$94:$CA$97,4,FALSE)</f>
        <v/>
      </c>
      <c r="S94" s="69">
        <f>VLOOKUP($O94,$BT$94:$CA$97,5,FALSE)</f>
        <v/>
      </c>
      <c r="T94" s="69">
        <f>VLOOKUP($O94,$BT$94:$CA$97,6,FALSE)</f>
        <v/>
      </c>
      <c r="U94" s="69">
        <f>VLOOKUP($O94,$BT$94:$CA$97,7,FALSE)</f>
        <v/>
      </c>
      <c r="V94" s="70">
        <f>VLOOKUP($O94,$BT$94:$CA$97,8,FALSE)</f>
        <v/>
      </c>
      <c r="X94" s="1" t="n"/>
      <c r="AE94" s="72">
        <f>C94</f>
        <v/>
      </c>
      <c r="AF94" s="72">
        <f>D94</f>
        <v/>
      </c>
      <c r="AG94" s="72">
        <f>E94</f>
        <v/>
      </c>
      <c r="AH94" s="72">
        <f>F94</f>
        <v/>
      </c>
      <c r="AI94" s="63">
        <f>IF(G94="","",G94)</f>
        <v/>
      </c>
      <c r="AJ94" s="58">
        <f>H94</f>
        <v/>
      </c>
      <c r="AK94" s="63">
        <f>IF(I94="","",I94)</f>
        <v/>
      </c>
      <c r="AL94" s="65">
        <f>J94</f>
        <v/>
      </c>
      <c r="AM94" s="73" t="n"/>
      <c r="AN94" s="13">
        <f>IF(AI94&gt;AK94,1,0)</f>
        <v/>
      </c>
      <c r="AO94" s="13">
        <f>IF(AK94&gt;AI94,1,0)</f>
        <v/>
      </c>
      <c r="AP94" s="13">
        <f>IF(AND(AI94=AK94,AI94&lt;&gt;""),1,0)</f>
        <v/>
      </c>
      <c r="AQ94" s="13">
        <f>IF(AND(AI94=AK94,AI94&lt;&gt;""),1,0)</f>
        <v/>
      </c>
      <c r="AR94" s="13">
        <f>IF(AI94&lt;AK94,1,0)</f>
        <v/>
      </c>
      <c r="AS94" s="13">
        <f>IF(AK94&lt;AI94,1,)</f>
        <v/>
      </c>
      <c r="AT94" s="13">
        <f>IF(ISERROR(VLOOKUP(AF94,CF:CF,1,FALSE)),0,1)*IF(ISERROR(VLOOKUP(AH94,CF:CF,1,FALSE)),0,1)*AN94</f>
        <v/>
      </c>
      <c r="AU94" s="13">
        <f>IF(ISERROR(VLOOKUP(AF94,CF:CF,1,FALSE)),0,1)*IF(ISERROR(VLOOKUP(AH94,CF:CF,1,FALSE)),0,1)*AO94</f>
        <v/>
      </c>
      <c r="AV94" s="13">
        <f>IF(ISERROR(VLOOKUP(AF94,CF:CF,1,FALSE)),0,1)*IF(ISERROR(VLOOKUP(AH94,CF:CF,1,FALSE)),0,1)*AP94</f>
        <v/>
      </c>
      <c r="AW94" s="13">
        <f>IF(ISERROR(VLOOKUP(AF94,CF:CF,1,FALSE)),0,1)*IF(ISERROR(VLOOKUP(AH94,CF:CF,1,FALSE)),0,1)*AQ94</f>
        <v/>
      </c>
      <c r="AX94" s="13">
        <f>IF(ISERROR(VLOOKUP(AF94,CF:CF,1,FALSE)),0,1)*IF(ISERROR(VLOOKUP(AH94,CF:CF,1,FALSE)),0,1)*AR94</f>
        <v/>
      </c>
      <c r="AY94" s="13">
        <f>IF(ISERROR(VLOOKUP(AF94,CF:CF,1,FALSE)),0,1)*IF(ISERROR(VLOOKUP(AH94,CF:CF,1,FALSE)),0,1)*AS94</f>
        <v/>
      </c>
      <c r="AZ94" s="13">
        <f>IF(ISERROR(VLOOKUP(AF94,CZ:CZ,1,FALSE)),0,1)*IF(ISERROR(VLOOKUP(AH94,CZ:CZ,1,FALSE)),0,1)*AN94</f>
        <v/>
      </c>
      <c r="BA94" s="13">
        <f>IF(ISERROR(VLOOKUP(AF94,CZ:CZ,1,FALSE)),0,1)*IF(ISERROR(VLOOKUP(AH94,CZ:CZ,1,FALSE)),0,1)*AO94</f>
        <v/>
      </c>
      <c r="BB94" s="13">
        <f>IF(ISERROR(VLOOKUP(AF94,CZ:CZ,1,FALSE)),0,1)*IF(ISERROR(VLOOKUP(AH94,CZ:CZ,1,FALSE)),0,1)*AP94</f>
        <v/>
      </c>
      <c r="BC94" s="13">
        <f>IF(ISERROR(VLOOKUP(AF94,CZ:CZ,1,FALSE)),0,1)*IF(ISERROR(VLOOKUP(AH94,CZ:CZ,1,FALSE)),0,1)*AQ94</f>
        <v/>
      </c>
      <c r="BD94" s="13">
        <f>IF(ISERROR(VLOOKUP(AF94,CZ:CZ,1,FALSE)),0,1)*IF(ISERROR(VLOOKUP(AH94,CZ:CZ,1,FALSE)),0,1)*AR94</f>
        <v/>
      </c>
      <c r="BE94" s="13">
        <f>IF(ISERROR(VLOOKUP(AF94,CZ:CZ,1,FALSE)),0,1)*IF(ISERROR(VLOOKUP(AH94,CZ:CZ,1,FALSE)),0,1)*AS94</f>
        <v/>
      </c>
      <c r="BF94" s="13">
        <f>IF(ISERROR(VLOOKUP(AF94,DT:DT,1,FALSE)),0,1)*IF(ISERROR(VLOOKUP(AH94,DT:DT,1,FALSE)),0,1)*AN94</f>
        <v/>
      </c>
      <c r="BG94" s="13">
        <f>IF(ISERROR(VLOOKUP(AF94,DT:DT,1,FALSE)),0,1)*IF(ISERROR(VLOOKUP(AH94,DT:DT,1,FALSE)),0,1)*AO94</f>
        <v/>
      </c>
      <c r="BH94" s="13">
        <f>IF(ISERROR(VLOOKUP(AF94,DT:DT,1,FALSE)),0,1)*IF(ISERROR(VLOOKUP(AH94,DT:DT,1,FALSE)),0,1)*AP94</f>
        <v/>
      </c>
      <c r="BI94" s="13">
        <f>IF(ISERROR(VLOOKUP(AF94,DT:DT,1,FALSE)),0,1)*IF(ISERROR(VLOOKUP(AH94,DT:DT,1,FALSE)),0,1)*AQ94</f>
        <v/>
      </c>
      <c r="BJ94" s="13">
        <f>IF(ISERROR(VLOOKUP(AF94,DT:DT,1,FALSE)),0,1)*IF(ISERROR(VLOOKUP(AH94,DT:DT,1,FALSE)),0,1)*AR94</f>
        <v/>
      </c>
      <c r="BK94" s="13">
        <f>IF(ISERROR(VLOOKUP(AF94,DT:DT,1,FALSE)),0,1)*IF(ISERROR(VLOOKUP(AH94,DT:DT,1,FALSE)),0,1)*AS94</f>
        <v/>
      </c>
      <c r="BL94" s="13">
        <f>IF(ISERROR(VLOOKUP(AF94,EN:EN,1,FALSE)),0,1)*IF(ISERROR(VLOOKUP(AH94,EN:EN,1,FALSE)),0,1)*AN94</f>
        <v/>
      </c>
      <c r="BM94" s="13">
        <f>IF(ISERROR(VLOOKUP(AF94,EN:EN,1,FALSE)),0,1)*IF(ISERROR(VLOOKUP(AH94,EN:EN,1,FALSE)),0,1)*AO94</f>
        <v/>
      </c>
      <c r="BN94" s="13">
        <f>IF(ISERROR(VLOOKUP(AF94,EN:EN,1,FALSE)),0,1)*IF(ISERROR(VLOOKUP(AH94,EN:EN,1,FALSE)),0,1)*AP94</f>
        <v/>
      </c>
      <c r="BO94" s="13">
        <f>IF(ISERROR(VLOOKUP(AF94,EN:EN,1,FALSE)),0,1)*IF(ISERROR(VLOOKUP(AH94,EN:EN,1,FALSE)),0,1)*AQ94</f>
        <v/>
      </c>
      <c r="BP94" s="13">
        <f>IF(ISERROR(VLOOKUP(AF94,EN:EN,1,FALSE)),0,1)*IF(ISERROR(VLOOKUP(AH94,EN:EN,1,FALSE)),0,1)*AR94</f>
        <v/>
      </c>
      <c r="BQ94" s="13">
        <f>IF(ISERROR(VLOOKUP(AF94,EN:EN,1,FALSE)),0,1)*IF(ISERROR(VLOOKUP(AH94,EN:EN,1,FALSE)),0,1)*AS94</f>
        <v/>
      </c>
      <c r="BT94" s="12" t="inlineStr">
        <is>
          <t>Portugal</t>
        </is>
      </c>
      <c r="BU94" s="13">
        <f>(SUMIF(AF$4:AF$108,BT94,AN$4:AN$108)+SUMIF(AH$4:AH$108,BT94,AO$4:AO$108))</f>
        <v/>
      </c>
      <c r="BV94" s="13">
        <f>(SUMIF(AF$4:AF$108,BT94,AP$4:AP$108)+SUMIF(AH$4:AH$108,BT94,AQ$4:AQ$108))</f>
        <v/>
      </c>
      <c r="BW94" s="13">
        <f>(SUMIF(AF$4:AF$108,BT94,AR$4:AR$108)+SUMIF(AH$4:AH$108,BT94,AS$4:AS$108))</f>
        <v/>
      </c>
      <c r="BX94" s="13">
        <f>SUMIF($AF$4:$AF$108,BT94,$AI$4:$AI$108)+SUMIF($AH$4:$AH$108,BT94,$AK$4:$AK$108)</f>
        <v/>
      </c>
      <c r="BY94" s="13">
        <f>SUMIF($AF$4:$AF$108,BT94,$AK$4:$AK$108)+SUMIF($AH$4:$AH$108,BT94,$AI$4:$AI$108)</f>
        <v/>
      </c>
      <c r="BZ94" s="13">
        <f>BX94-BY94</f>
        <v/>
      </c>
      <c r="CA94" s="13">
        <f>IFERROR(BU94*3+BV94*1,0)</f>
        <v/>
      </c>
      <c r="CB94" s="13" t="inlineStr">
        <is>
          <t>K</t>
        </is>
      </c>
      <c r="CC94" s="74">
        <f>RANK(CA94,CA94:CA97)</f>
        <v/>
      </c>
      <c r="CD94" s="13">
        <f>SUMPRODUCT((CA94:CA97=CA94)*(BZ94:BZ97&gt;BZ94))</f>
        <v/>
      </c>
      <c r="CF94" s="12">
        <f>IF(CC94=1,BT94,)</f>
        <v/>
      </c>
      <c r="CG94" s="13">
        <f>(SUMIF($AF$4:$AF$108,$BT94,$AT$4:$AT$108)+SUMIF($AH$4:$AH$108,$BT94,$AU$4:$AU$108))</f>
        <v/>
      </c>
      <c r="CH94" s="13">
        <f>(SUMIF($AF$4:$AF$108,$BT94,$AV$4:$AV$108)+SUMIF($AH$4:$AH$108,$BT94,$AW$4:$AW$108))</f>
        <v/>
      </c>
      <c r="CI94" s="13">
        <f>(SUMIF($AF$4:$AF$108,$BT94,$AX$4:$AX$108)+SUMIF($AH$4:$AH$108,$BT94,$AY$4:$AY$108))</f>
        <v/>
      </c>
      <c r="CJ94" s="13">
        <f>IFERROR(CG94*3+CH94*1,0)</f>
        <v/>
      </c>
      <c r="CK94" s="13">
        <f>CB94</f>
        <v/>
      </c>
      <c r="CL94" s="13">
        <f>IF(CF94&gt;0,RANK(CJ94,CJ94:CJ97),)</f>
        <v/>
      </c>
      <c r="CM94" s="13">
        <f>IF(AND(CF94&gt;0,COUNTIF(CL94:CL97,CL94)&gt;1),SUMIFS($AI$4:$AI$108,$AF$4:$AF$108,$BT94,$M$4:$M$108,1)+SUMIFS($AK$4:$AK$108,$AH$4:$AH$108,$BT94,$M$4:$M$108,1)-SUMIFS($AK$4:$AK$108,$AF$4:$AF$108,$BT94,$M$4:$M$108,1)-SUMIFS($AI$4:$AI$108,$AH$4:$AH$108,$BT94,$M$4:$M$108,1),)</f>
        <v/>
      </c>
      <c r="CN94" s="13">
        <f>IF(AND(CF94&gt;0,COUNTIF(CL94:CL97,CL94)&gt;1),CL94+RANK(CM94,CM94:CM97)-1,CL94)</f>
        <v/>
      </c>
      <c r="CO94" s="13">
        <f>IF(AND(CF94&gt;0,COUNTIF(CN94:CN97,CN94)&gt;1),SUMIFS($AI$4:$AI$108,$AF$4:$AF$108,$BT94,$M$4:$M$108,1)+SUMIFS($AK$4:$AK$108,$AH$4:$AH$108,$BT94,$M$4:$M$108,1),)</f>
        <v/>
      </c>
      <c r="CP94" s="13">
        <f>IF(AND(CF94&gt;0,COUNTIF(CN94:CN97,CN94)&gt;1),CN94+RANK(CO94,CO94:CO97)-1,CN94)</f>
        <v/>
      </c>
      <c r="CQ94" s="13">
        <f>IF(CP94=0,"",CP94)</f>
        <v/>
      </c>
      <c r="CR94" s="13">
        <f>IF(OR(CQ94="",COUNTIF(CQ94:CQ97,CQ94)=1),"",$BZ94)</f>
        <v/>
      </c>
      <c r="CS94" s="13">
        <f>IF(CQ94="","",IF(COUNTIF(CQ94:CQ97,CQ94)=1,CQ94,CQ94+RANK(CR94,CR94:CR97,0)-1))</f>
        <v/>
      </c>
      <c r="CT94" s="13">
        <f>IF(OR(CS94="",COUNTIF(CS94:CS97,CS94)=1),"",$BX94)</f>
        <v/>
      </c>
      <c r="CU94" s="13">
        <f>IF(CQ94="","",IF(COUNTIF(CS94:CS97,CS94)=1,CS94,CS94+RANK(CT94,CT94:CT97,0)-1))</f>
        <v/>
      </c>
      <c r="CV94" s="13">
        <f>IF(OR(CU94="",COUNTIF(CU94:CU97,CU94)=1),"",$BU94)</f>
        <v/>
      </c>
      <c r="CW94" s="13">
        <f>IF(CQ94="","",IF(COUNTIF(CU94:CU97,CU94)=1,CU94,CU94+RANK(CV94,CV94:CV97,0)-1))</f>
        <v/>
      </c>
      <c r="CX94" s="13">
        <f>IF(CF94&gt;0,BM92+RANK(CW94,CW94:CW97,1),)</f>
        <v/>
      </c>
      <c r="CZ94" s="12">
        <f>IF(CC94=2,BT94,)</f>
        <v/>
      </c>
      <c r="DA94" s="13">
        <f>(SUMIF($AF$4:$AF$108,$BT94,$AZ$4:$AZ$108)+SUMIF($AH$4:$AH$108,$BT94,$BA$4:$BA$108))</f>
        <v/>
      </c>
      <c r="DB94" s="13">
        <f>(SUMIF($AF$4:$AF$108,$BT94,$BB$4:$BB$108)+SUMIF($AH$4:$AH$108,$BT94,$BC$4:$BC$108))</f>
        <v/>
      </c>
      <c r="DC94" s="13">
        <f>(SUMIF($AF$4:$AF$108,$BT94,$BD$4:$BD$108)+SUMIF($AH$4:$AH$108,$BT94,$BE$4:$BE$108))</f>
        <v/>
      </c>
      <c r="DD94" s="13">
        <f>IFERROR(DA94*3+DB94*1,0)</f>
        <v/>
      </c>
      <c r="DE94" s="13">
        <f>$CB94</f>
        <v/>
      </c>
      <c r="DF94" s="13">
        <f>IF(CZ94&gt;0,RANK(DD94,DD94:DD97)+CG92,)</f>
        <v/>
      </c>
      <c r="DG94" s="13">
        <f>IF(AND(CZ94&gt;0,COUNTIF(DF94:DF97,DF94)&gt;1),SUMIFS($AI$4:$AI$108,$AF$4:$AF$108,$BT94,$M$4:$M$108,2)+SUMIFS($AK$4:$AK$108,$AH$4:$AH108,$BT94,$M$4:$M$108,2)-SUMIFS($AK$4:$AK$108,$AF$4:$AF$108,$BT94,$M$4:$M$108,2)-SUMIFS($AI$4:$AI$108,$AH$4:$AH$108,$BT94,$M$4:$M$108,2),)</f>
        <v/>
      </c>
      <c r="DH94" s="13">
        <f>IF(AND(CZ94&gt;0,COUNTIF(DF94:DF97,DF94)&gt;1),DF94+RANK(DG94,DG94:DG97)-1,DF94)</f>
        <v/>
      </c>
      <c r="DI94" s="13">
        <f>IF(AND(CZ94&gt;0,COUNTIF(DH94:DH97,DH94)&gt;1),SUMIFS($AI$4:$AI$108,$AF$4:$AF$108,$BT94,$M$4:$M$108,2)+SUMIFS($AK$4:$AK$108,$AH$4:$AH$108,$BT94,$M$4:$M$108,2),)</f>
        <v/>
      </c>
      <c r="DJ94" s="13">
        <f>IF(AND(CZ94&gt;0,COUNTIF(DH94:DH97,DH94)&gt;1),DH94+RANK(DI94,DI94:DI97)-1,DH94)</f>
        <v/>
      </c>
      <c r="DK94" s="75">
        <f>IF(DJ94=0,"",DJ94)</f>
        <v/>
      </c>
      <c r="DL94" s="75">
        <f>IF(OR(DK94="",COUNTIF(DK94:DK97,DK94)=1),"",$BZ94)</f>
        <v/>
      </c>
      <c r="DM94" s="75">
        <f>IF(DK94="","",IF(COUNTIF(DK94:DK97,DK94)=1,DK94,DK94+RANK(DL94,DL94:DL97,0)-1))</f>
        <v/>
      </c>
      <c r="DN94" s="75">
        <f>IF(OR(DM94="",COUNTIF(DM94:DM97,DM94)=1),"",$BX94)</f>
        <v/>
      </c>
      <c r="DO94" s="75">
        <f>IF(DK94="","",IF(COUNTIF(DM94:DM97,DM94)=1,DM94,DM94+RANK(DN94,DN94:DN97,0)-1))</f>
        <v/>
      </c>
      <c r="DP94" s="75">
        <f>IF(OR(DO94="",COUNTIF(DO94:DO97,DO94)=1),"",$BU94)</f>
        <v/>
      </c>
      <c r="DQ94" s="75">
        <f>IF(DK94="","",IF(COUNTIF(DO94:DO97,DO94)=1,DO94,DO94+RANK(DP94,DP94:DP97,0)-1))</f>
        <v/>
      </c>
      <c r="DR94" s="13">
        <f>IF(CZ94&gt;0,CG92+RANK(DQ94,DQ94:DQ97,1),)</f>
        <v/>
      </c>
      <c r="DT94" s="13">
        <f>IF(CC94=3,BT94,)</f>
        <v/>
      </c>
      <c r="DU94" s="13">
        <f>(SUMIF($AF$4:$AF$108,BT94,$BF$4:$BF$108)+SUMIF($AH$4:$AH$108,BT94,$BG$4:$BG$108))</f>
        <v/>
      </c>
      <c r="DV94" s="13">
        <f>(SUMIF($AF$4:$AF$108,BT94,$BH$4:$BH$108)+SUMIF($AH$4:$AH$108,BT94,$BI$4:$BI$108))</f>
        <v/>
      </c>
      <c r="DW94" s="13">
        <f>(SUMIF($AF$4:$AF$108,BT94,$BJ$4:$BJ$108)+SUMIF($AH$4:$AH$108,BT94,$BK$4:$BK$108))</f>
        <v/>
      </c>
      <c r="DX94" s="13">
        <f>IFERROR(DU94*3+DV94*1,0)</f>
        <v/>
      </c>
      <c r="DY94" s="13">
        <f>CB94</f>
        <v/>
      </c>
      <c r="DZ94" s="13">
        <f>IF(DT94&gt;0,RANK(DX94,DX94:DX97)+CG92+DA92,)</f>
        <v/>
      </c>
      <c r="EA94" s="13">
        <f>IF(AND(DT94&gt;0,COUNTIF(DZ94:DZ97,DZ94)&gt;1),SUMIFS($AI$4:$AI$108,$AF$4:$AF$108,$BT94,$M$4:$M$108,3)+SUMIFS($AK$4:$AK$108,$AH$4:$AH$108,$BT94,$M$4:$M$108,3)-SUMIFS($AK$4:$AK$108,$AF$4:$AF$108,$BT94,$M$4:$M$108,3)-SUMIFS($AI$4:$AI$108,$AH$4:$AH$108,$BT94,$M$4:$M$108,3),)</f>
        <v/>
      </c>
      <c r="EB94" s="13">
        <f>IF(AND(DT94&gt;0,COUNTIF(DZ94:DZ97,DZ94)&gt;1),DZ94+RANK(EA94,EA94:EA97)-1,DZ94)</f>
        <v/>
      </c>
      <c r="EC94" s="13">
        <f>IF(AND(DT94&gt;0,COUNTIF(EB94:EB97,EB94)&gt;1),SUMIFS($AI$4:$AI$108,$AF$4:$AF$108,$BT94,$M$4:$M$108,3)+SUMIFS($AK$4:$AK$108,$AH$4:$AH$108,$BT94,$M$4:$M$108,3),)</f>
        <v/>
      </c>
      <c r="ED94" s="13">
        <f>IF(AND(DT94&gt;0,COUNTIF(EB94:EB97,EB94)&gt;1),EB94+RANK(EC94,EC94:EC97)-1,EB94)</f>
        <v/>
      </c>
      <c r="EE94" s="13">
        <f>IF(ED94=0,"",ED94)</f>
        <v/>
      </c>
      <c r="EF94" s="13">
        <f>IF(OR(EE94="",COUNTIF(EE94:EE97,EE94)=1),"",$BZ94)</f>
        <v/>
      </c>
      <c r="EG94" s="13">
        <f>IF(EE94="","",IF(COUNTIF(EE94:EE97,EE94)=1,EE94,EE94+RANK(EF94,EF94:EF97,0)-1))</f>
        <v/>
      </c>
      <c r="EH94" s="13">
        <f>IF(OR(EG94="",COUNTIF(EG94:EG97,EG94)=1),"",$BX94)</f>
        <v/>
      </c>
      <c r="EI94" s="13">
        <f>IF(EE94="","",IF(COUNTIF(EG94:EG97,EG94)=1,EG94,EG94+RANK(EH94,EH94:EH97,0)-1))</f>
        <v/>
      </c>
      <c r="EJ94" s="13">
        <f>IF(OR(EI94="",COUNTIF(EI94:EI97,EI94)=1),"",$BU94)</f>
        <v/>
      </c>
      <c r="EK94" s="13">
        <f>IF(EE94="","",IF(COUNTIF(EI94:EI97,EI94)=1,EI94,EI94+RANK(EJ94,EJ94:EJ97,0)-1))</f>
        <v/>
      </c>
      <c r="EL94" s="13">
        <f>IF(DT94&gt;0,CG92+DA92+RANK(EK94,EK94:EK97,1),)</f>
        <v/>
      </c>
      <c r="EN94" s="13">
        <f>IF(CC94=4,BT94,)</f>
        <v/>
      </c>
      <c r="EO94" s="13">
        <f>(SUMIF($AF$4:$AF$108,$BT94,$BL$4:$BL$108)+SUMIF($AH$4:$AH$108,$BT94,$BM$4:$BM$108))</f>
        <v/>
      </c>
      <c r="EP94" s="13">
        <f>(SUMIF($AF$4:$AF$108,$BT94,$BN$4:$BN$108)+SUMIF($AH$4:$AH$108,$BT94,$BO$4:$BO$108))</f>
        <v/>
      </c>
      <c r="EQ94" s="13">
        <f>(SUMIF($AF$4:$AF$108,$BT94,$BP$4:$BP$108)+SUMIF($AH$4:$AH$108,$BT94,$BQ$4:$BQ$108))</f>
        <v/>
      </c>
      <c r="ER94" s="13">
        <f>IFERROR(EO94*3+EP94*1,0)</f>
        <v/>
      </c>
      <c r="ES94" s="13">
        <f>$CB94</f>
        <v/>
      </c>
      <c r="ET94" s="13">
        <f>IF(EN94&gt;0,RANK(ER94,ER94:ER97)+CG92+DA92+DU92,)</f>
        <v/>
      </c>
      <c r="EU94" s="13">
        <f>IF(AND(EN94&gt;0,COUNTIF(ET94:ET97,ET94)&gt;1),SUMIFS($AI$4:$AI$108,$AF$4:$AF$108,$BT94,$M$4:$M$108,4)+SUMIFS($AK$4:$AK$108,$AH$4:$AH$108,$BT94,$M$4:$M$108,4)-SUMIFS($AK$4:$AK$108,$AF$4:$AF$108,$BT94,$M$4:$M$108,4)-SUMIFS($AI$4:$AI$108,$AH$4:$AH$108,$BT94,$M$4:$M$108,4),)</f>
        <v/>
      </c>
      <c r="EV94" s="13">
        <f>IF(AND(EN94&gt;0,COUNTIF(ET94:ET97,ET94)&gt;1),ET94+RANK(EU94,EU94:EU97)-1,ET94)</f>
        <v/>
      </c>
      <c r="EW94" s="13">
        <f>IF(AND(EN94&gt;0,COUNTIF(EV94:EV97,EV94)&gt;1),SUMIFS($AI$4:$AI$108,$AF$4:$AF$108,$BT94,$M$4:$M$108,4)+SUMIFS($AK$4:$AK$108,$AH$4:$AH$108,$BT94,$M$4:$M$108,4),)</f>
        <v/>
      </c>
      <c r="EX94" s="13">
        <f>IF(AND(EN94&gt;0,COUNTIF(EV94:EV97,EV94)&gt;1),EV94+RANK(EW94,EW94:EW97)-1,EV94)</f>
        <v/>
      </c>
      <c r="EY94" s="13">
        <f>IF(EX94=0,"",EX94)</f>
        <v/>
      </c>
      <c r="EZ94" s="13">
        <f>IF(OR(EY94="",COUNTIF(EY94:EY97,EY94)=1),"",$BZ94)</f>
        <v/>
      </c>
      <c r="FA94" s="13">
        <f>IF(EY94="","",IF(COUNTIF(EY94:EY97,EY94)=1,EY94,EY94+RANK(EZ94,EZ94:EZ97,0)-1))</f>
        <v/>
      </c>
      <c r="FB94" s="13">
        <f>IF(OR(FA94="",COUNTIF(FA94:FA97,FA94)=1),"",$BX94)</f>
        <v/>
      </c>
      <c r="FC94" s="13">
        <f>IF(EY94="","",IF(COUNTIF(FA94:FA97,FA94)=1,FA94,FA94+RANK(FB94,FB94:FB97,0)-1))</f>
        <v/>
      </c>
      <c r="FD94" s="13">
        <f>IF(OR(FC94="",COUNTIF(FC94:FC97,FC94)=1),"",$BU94)</f>
        <v/>
      </c>
      <c r="FE94" s="13">
        <f>IF(EY94="","",IF(COUNTIF(FC94:FC97,FC94)=1,FC94,FC94+RANK(FD94,FD94:FD97,0)-1))</f>
        <v/>
      </c>
      <c r="FF94" s="13">
        <f>IF(EN94&gt;0,CG92+DA92+DU92+RANK(FE94,FE94:FE97,1),)</f>
        <v/>
      </c>
      <c r="FH94" s="13">
        <f>IFERROR(VLOOKUP(FJ94,CF93:CX97,19,FALSE),IFERROR(VLOOKUP(FJ94,CZ93:DR97,19,FALSE),IFERROR(VLOOKUP(FJ94,DT93:EL97,19,FALSE),VLOOKUP(FJ94,EN93:FF97,19,FALSE))))</f>
        <v/>
      </c>
      <c r="FI94" s="13">
        <f>RANK(FH94,FH94:FH97,1)+COUNTIF(FH94:FH94,FH94)-1</f>
        <v/>
      </c>
      <c r="FJ94" s="12">
        <f>BT94</f>
        <v/>
      </c>
      <c r="FZ94" s="79" t="n">
        <v>92</v>
      </c>
      <c r="GA94" s="3">
        <f>GB94&amp;GC94&amp;GD94&amp;GE94&amp;GF94&amp;GG94&amp;GH94&amp;GI94</f>
        <v/>
      </c>
      <c r="GB94" s="3" t="inlineStr">
        <is>
          <t>E</t>
        </is>
      </c>
      <c r="GC94" s="3" t="inlineStr">
        <is>
          <t>J</t>
        </is>
      </c>
      <c r="GD94" s="3" t="inlineStr">
        <is>
          <t>B</t>
        </is>
      </c>
      <c r="GE94" s="3" t="inlineStr">
        <is>
          <t>C</t>
        </is>
      </c>
      <c r="GF94" s="3" t="inlineStr">
        <is>
          <t>H</t>
        </is>
      </c>
      <c r="GG94" s="3" t="inlineStr">
        <is>
          <t>G</t>
        </is>
      </c>
      <c r="GH94" s="3" t="inlineStr">
        <is>
          <t>L</t>
        </is>
      </c>
      <c r="GI94" s="3" t="inlineStr">
        <is>
          <t>K</t>
        </is>
      </c>
      <c r="GJ94" s="9">
        <f>VLOOKUP(GB94,$FM$3:$FN$15,2,FALSE)</f>
        <v/>
      </c>
      <c r="GK94" s="9">
        <f>VLOOKUP(GC94,$FM$3:$FN$15,2,FALSE)</f>
        <v/>
      </c>
      <c r="GL94" s="9">
        <f>VLOOKUP(GD94,$FM$3:$FN$15,2,FALSE)</f>
        <v/>
      </c>
      <c r="GM94" s="9">
        <f>VLOOKUP(GE94,$FM$3:$FN$15,2,FALSE)</f>
        <v/>
      </c>
      <c r="GN94" s="9">
        <f>VLOOKUP(GF94,$FM$3:$FN$15,2,FALSE)</f>
        <v/>
      </c>
      <c r="GO94" s="9">
        <f>VLOOKUP(GG94,$FM$3:$FN$15,2,FALSE)</f>
        <v/>
      </c>
      <c r="GP94" s="9">
        <f>VLOOKUP(GH94,$FM$3:$FN$15,2,FALSE)</f>
        <v/>
      </c>
      <c r="GQ94" s="9">
        <f>VLOOKUP(GI94,$FM$3:$FN$15,2,FALSE)</f>
        <v/>
      </c>
      <c r="GR94" s="9">
        <f>IFERROR(IF(AND(VLOOKUP(GB94,$FX$4:$FX$15,1,FALSE)=GB94,VLOOKUP(GC94,$FX$4:$FX$15,1,FALSE)=GC94,VLOOKUP(GD94,$FX$4:$FX$15,1,FALSE)=GD94,VLOOKUP(GE94,$FX$4:$FX$15,1,FALSE)=GE94,VLOOKUP(GF94,$FX$4:$FX$15,1,FALSE)=GF94,VLOOKUP(GG94,$FX$4:$FX$15,1,FALSE)=GG94,VLOOKUP(GH94,$FX$4:$FX$15,1,FALSE)=GH94,VLOOKUP(GI94,$FX$4:$FX$15,1,FALSE)=GI94),FZ94,""),"")</f>
        <v/>
      </c>
      <c r="GX94" s="142" t="n"/>
    </row>
    <row r="95" ht="14.25" customHeight="1">
      <c r="B95" s="58" t="n">
        <v>24</v>
      </c>
      <c r="C95" s="59" t="n">
        <v>46191</v>
      </c>
      <c r="D95" s="60" t="inlineStr">
        <is>
          <t>Uzbekistan</t>
        </is>
      </c>
      <c r="E95" s="61" t="inlineStr">
        <is>
          <t>-</t>
        </is>
      </c>
      <c r="F95" s="62" t="inlineStr">
        <is>
          <t>Colombia</t>
        </is>
      </c>
      <c r="G95" s="63" t="n">
        <v>1</v>
      </c>
      <c r="H95" s="64" t="inlineStr">
        <is>
          <t>-</t>
        </is>
      </c>
      <c r="I95" s="63" t="n">
        <v>1</v>
      </c>
      <c r="J95" s="65">
        <f>IF(OR(ISBLANK(G95),ISBLANK(I95)),"",IF(G95&gt;I95,1,IF(G95&lt;I95,2,"X")))</f>
        <v/>
      </c>
      <c r="K95" s="66">
        <f>IF(OR(G95="",I95="",'[1]Resultat &amp; tabell'!G95="",'[1]Resultat &amp; tabell'!I95=""),0,IF(G95='[1]Resultat &amp; tabell'!G95,2,0)+IF(I95='[1]Resultat &amp; tabell'!I95,2,0)+IF(J95='[1]Resultat &amp; tabell'!J95,2,0))</f>
        <v/>
      </c>
      <c r="L95" s="67" t="n"/>
      <c r="M95" s="29">
        <f>IF(VLOOKUP(D95,$BT$93:$CC$97,10,FALSE)=VLOOKUP(F95,$BT$93:$CC$97,10,FALSE),VLOOKUP(D95,$BT$93:$CC$97,10,FALSE),"-")</f>
        <v/>
      </c>
      <c r="N95" s="30" t="n">
        <v>2</v>
      </c>
      <c r="O95" s="80">
        <f>VLOOKUP(N95,FI94:FJ97,2,FALSE)</f>
        <v/>
      </c>
      <c r="P95" s="81">
        <f>VLOOKUP($O95,$BT$94:$CA$97,2,FALSE)</f>
        <v/>
      </c>
      <c r="Q95" s="81">
        <f>VLOOKUP($O95,$BT$94:$CA$97,3,FALSE)</f>
        <v/>
      </c>
      <c r="R95" s="81">
        <f>VLOOKUP($O95,$BT$94:$CA$97,4,FALSE)</f>
        <v/>
      </c>
      <c r="S95" s="81">
        <f>VLOOKUP($O95,$BT$94:$CA$97,5,FALSE)</f>
        <v/>
      </c>
      <c r="T95" s="81">
        <f>VLOOKUP($O95,$BT$94:$CA$97,6,FALSE)</f>
        <v/>
      </c>
      <c r="U95" s="81">
        <f>VLOOKUP($O95,$BT$94:$CA$97,7,FALSE)</f>
        <v/>
      </c>
      <c r="V95" s="82">
        <f>VLOOKUP($O95,$BT$94:$CA$97,8,FALSE)</f>
        <v/>
      </c>
      <c r="X95" s="1" t="n"/>
      <c r="AE95" s="72">
        <f>C95</f>
        <v/>
      </c>
      <c r="AF95" s="72">
        <f>D95</f>
        <v/>
      </c>
      <c r="AG95" s="72">
        <f>E95</f>
        <v/>
      </c>
      <c r="AH95" s="72">
        <f>F95</f>
        <v/>
      </c>
      <c r="AI95" s="63">
        <f>IF(G95="","",G95)</f>
        <v/>
      </c>
      <c r="AJ95" s="58">
        <f>H95</f>
        <v/>
      </c>
      <c r="AK95" s="63">
        <f>IF(I95="","",I95)</f>
        <v/>
      </c>
      <c r="AL95" s="65">
        <f>J95</f>
        <v/>
      </c>
      <c r="AM95" s="73" t="n"/>
      <c r="AN95" s="13">
        <f>IF(AI95&gt;AK95,1,0)</f>
        <v/>
      </c>
      <c r="AO95" s="13">
        <f>IF(AK95&gt;AI95,1,0)</f>
        <v/>
      </c>
      <c r="AP95" s="13">
        <f>IF(AND(AI95=AK95,AI95&lt;&gt;""),1,0)</f>
        <v/>
      </c>
      <c r="AQ95" s="13">
        <f>IF(AND(AI95=AK95,AI95&lt;&gt;""),1,0)</f>
        <v/>
      </c>
      <c r="AR95" s="13">
        <f>IF(AI95&lt;AK95,1,0)</f>
        <v/>
      </c>
      <c r="AS95" s="13">
        <f>IF(AK95&lt;AI95,1,)</f>
        <v/>
      </c>
      <c r="AT95" s="13">
        <f>IF(ISERROR(VLOOKUP(AF95,CF:CF,1,FALSE)),0,1)*IF(ISERROR(VLOOKUP(AH95,CF:CF,1,FALSE)),0,1)*AN95</f>
        <v/>
      </c>
      <c r="AU95" s="13">
        <f>IF(ISERROR(VLOOKUP(AF95,CF:CF,1,FALSE)),0,1)*IF(ISERROR(VLOOKUP(AH95,CF:CF,1,FALSE)),0,1)*AO95</f>
        <v/>
      </c>
      <c r="AV95" s="13">
        <f>IF(ISERROR(VLOOKUP(AF95,CF:CF,1,FALSE)),0,1)*IF(ISERROR(VLOOKUP(AH95,CF:CF,1,FALSE)),0,1)*AP95</f>
        <v/>
      </c>
      <c r="AW95" s="13">
        <f>IF(ISERROR(VLOOKUP(AF95,CF:CF,1,FALSE)),0,1)*IF(ISERROR(VLOOKUP(AH95,CF:CF,1,FALSE)),0,1)*AQ95</f>
        <v/>
      </c>
      <c r="AX95" s="13">
        <f>IF(ISERROR(VLOOKUP(AF95,CF:CF,1,FALSE)),0,1)*IF(ISERROR(VLOOKUP(AH95,CF:CF,1,FALSE)),0,1)*AR95</f>
        <v/>
      </c>
      <c r="AY95" s="13">
        <f>IF(ISERROR(VLOOKUP(AF95,CF:CF,1,FALSE)),0,1)*IF(ISERROR(VLOOKUP(AH95,CF:CF,1,FALSE)),0,1)*AS95</f>
        <v/>
      </c>
      <c r="AZ95" s="13">
        <f>IF(ISERROR(VLOOKUP(AF95,CZ:CZ,1,FALSE)),0,1)*IF(ISERROR(VLOOKUP(AH95,CZ:CZ,1,FALSE)),0,1)*AN95</f>
        <v/>
      </c>
      <c r="BA95" s="13">
        <f>IF(ISERROR(VLOOKUP(AF95,CZ:CZ,1,FALSE)),0,1)*IF(ISERROR(VLOOKUP(AH95,CZ:CZ,1,FALSE)),0,1)*AO95</f>
        <v/>
      </c>
      <c r="BB95" s="13">
        <f>IF(ISERROR(VLOOKUP(AF95,CZ:CZ,1,FALSE)),0,1)*IF(ISERROR(VLOOKUP(AH95,CZ:CZ,1,FALSE)),0,1)*AP95</f>
        <v/>
      </c>
      <c r="BC95" s="13">
        <f>IF(ISERROR(VLOOKUP(AF95,CZ:CZ,1,FALSE)),0,1)*IF(ISERROR(VLOOKUP(AH95,CZ:CZ,1,FALSE)),0,1)*AQ95</f>
        <v/>
      </c>
      <c r="BD95" s="13">
        <f>IF(ISERROR(VLOOKUP(AF95,CZ:CZ,1,FALSE)),0,1)*IF(ISERROR(VLOOKUP(AH95,CZ:CZ,1,FALSE)),0,1)*AR95</f>
        <v/>
      </c>
      <c r="BE95" s="13">
        <f>IF(ISERROR(VLOOKUP(AF95,CZ:CZ,1,FALSE)),0,1)*IF(ISERROR(VLOOKUP(AH95,CZ:CZ,1,FALSE)),0,1)*AS95</f>
        <v/>
      </c>
      <c r="BF95" s="13">
        <f>IF(ISERROR(VLOOKUP(AF95,DT:DT,1,FALSE)),0,1)*IF(ISERROR(VLOOKUP(AH95,DT:DT,1,FALSE)),0,1)*AN95</f>
        <v/>
      </c>
      <c r="BG95" s="13">
        <f>IF(ISERROR(VLOOKUP(AF95,DT:DT,1,FALSE)),0,1)*IF(ISERROR(VLOOKUP(AH95,DT:DT,1,FALSE)),0,1)*AO95</f>
        <v/>
      </c>
      <c r="BH95" s="13">
        <f>IF(ISERROR(VLOOKUP(AF95,DT:DT,1,FALSE)),0,1)*IF(ISERROR(VLOOKUP(AH95,DT:DT,1,FALSE)),0,1)*AP95</f>
        <v/>
      </c>
      <c r="BI95" s="13">
        <f>IF(ISERROR(VLOOKUP(AF95,DT:DT,1,FALSE)),0,1)*IF(ISERROR(VLOOKUP(AH95,DT:DT,1,FALSE)),0,1)*AQ95</f>
        <v/>
      </c>
      <c r="BJ95" s="13">
        <f>IF(ISERROR(VLOOKUP(AF95,DT:DT,1,FALSE)),0,1)*IF(ISERROR(VLOOKUP(AH95,DT:DT,1,FALSE)),0,1)*AR95</f>
        <v/>
      </c>
      <c r="BK95" s="13">
        <f>IF(ISERROR(VLOOKUP(AF95,DT:DT,1,FALSE)),0,1)*IF(ISERROR(VLOOKUP(AH95,DT:DT,1,FALSE)),0,1)*AS95</f>
        <v/>
      </c>
      <c r="BL95" s="13">
        <f>IF(ISERROR(VLOOKUP(AF95,EN:EN,1,FALSE)),0,1)*IF(ISERROR(VLOOKUP(AH95,EN:EN,1,FALSE)),0,1)*AN95</f>
        <v/>
      </c>
      <c r="BM95" s="13">
        <f>IF(ISERROR(VLOOKUP(AF95,EN:EN,1,FALSE)),0,1)*IF(ISERROR(VLOOKUP(AH95,EN:EN,1,FALSE)),0,1)*AO95</f>
        <v/>
      </c>
      <c r="BN95" s="13">
        <f>IF(ISERROR(VLOOKUP(AF95,EN:EN,1,FALSE)),0,1)*IF(ISERROR(VLOOKUP(AH95,EN:EN,1,FALSE)),0,1)*AP95</f>
        <v/>
      </c>
      <c r="BO95" s="13">
        <f>IF(ISERROR(VLOOKUP(AF95,EN:EN,1,FALSE)),0,1)*IF(ISERROR(VLOOKUP(AH95,EN:EN,1,FALSE)),0,1)*AQ95</f>
        <v/>
      </c>
      <c r="BP95" s="13">
        <f>IF(ISERROR(VLOOKUP(AF95,EN:EN,1,FALSE)),0,1)*IF(ISERROR(VLOOKUP(AH95,EN:EN,1,FALSE)),0,1)*AR95</f>
        <v/>
      </c>
      <c r="BQ95" s="13">
        <f>IF(ISERROR(VLOOKUP(AF95,EN:EN,1,FALSE)),0,1)*IF(ISERROR(VLOOKUP(AH95,EN:EN,1,FALSE)),0,1)*AS95</f>
        <v/>
      </c>
      <c r="BT95" s="12" t="inlineStr">
        <is>
          <t>Kongo</t>
        </is>
      </c>
      <c r="BU95" s="13">
        <f>(SUMIF(AF$4:AF$108,BT95,AN$4:AN$108)+SUMIF(AH$4:AH$108,BT95,AO$4:AO$108))</f>
        <v/>
      </c>
      <c r="BV95" s="13">
        <f>(SUMIF(AF$4:AF$108,BT95,AP$4:AP$108)+SUMIF(AH$4:AH$108,BT95,AQ$4:AQ$108))</f>
        <v/>
      </c>
      <c r="BW95" s="13">
        <f>(SUMIF(AF$4:AF$108,BT95,AR$4:AR$108)+SUMIF(AH$4:AH$108,BT95,AS$4:AS$108))</f>
        <v/>
      </c>
      <c r="BX95" s="13">
        <f>SUMIF($AF$4:$AF$108,BT95,$AI$4:$AI$108)+SUMIF($AH$4:$AH$108,BT95,$AK$4:$AK$108)</f>
        <v/>
      </c>
      <c r="BY95" s="13">
        <f>SUMIF($AF$4:$AF$108,BT95,$AK$4:$AK$108)+SUMIF($AH$4:$AH$108,BT95,$AI$4:$AI$108)</f>
        <v/>
      </c>
      <c r="BZ95" s="13">
        <f>BX95-BY95</f>
        <v/>
      </c>
      <c r="CA95" s="13">
        <f>IFERROR(BU95*3+BV95*1,0)</f>
        <v/>
      </c>
      <c r="CB95" s="13" t="inlineStr">
        <is>
          <t>K</t>
        </is>
      </c>
      <c r="CC95" s="74">
        <f>RANK(CA95,CA94:CA97)</f>
        <v/>
      </c>
      <c r="CD95" s="13">
        <f>SUMPRODUCT((CA94:CA97=CA95)*(BZ94:BZ97&gt;BZ95))</f>
        <v/>
      </c>
      <c r="CF95" s="12">
        <f>IF(CC95=1,BT95,)</f>
        <v/>
      </c>
      <c r="CG95" s="13">
        <f>(SUMIF($AF$4:$AF$108,$BT95,$AT$4:$AT$108)+SUMIF($AH$4:$AH$108,$BT95,$AU$4:$AU$108))</f>
        <v/>
      </c>
      <c r="CH95" s="13">
        <f>(SUMIF($AF$4:$AF$108,$BT95,$AV$4:$AV$108)+SUMIF($AH$4:$AH$108,$BT95,$AW$4:$AW$108))</f>
        <v/>
      </c>
      <c r="CI95" s="13">
        <f>(SUMIF($AF$4:$AF$108,$BT95,$AX$4:$AX$108)+SUMIF($AH$4:$AH$108,$BT95,$AY$4:$AY$108))</f>
        <v/>
      </c>
      <c r="CJ95" s="13">
        <f>IFERROR(CG95*3+CH95*1,0)</f>
        <v/>
      </c>
      <c r="CK95" s="13">
        <f>CB95</f>
        <v/>
      </c>
      <c r="CL95" s="13">
        <f>IF(CF95&gt;0,RANK(CJ95,CJ94:CJ97),)</f>
        <v/>
      </c>
      <c r="CM95" s="13">
        <f>IF(AND(CF95&gt;0,COUNTIF(CL94:CL97,CL95)&gt;1),SUMIFS($AI$4:$AI$108,$AF$4:$AF$108,$BT95,$M$4:$M$108,1)+SUMIFS($AK$4:$AK$108,$AH$4:$AH$108,$BT95,$M$4:$M$108,1)-SUMIFS($AK$4:$AK$108,$AF$4:$AF$108,$BT95,$M$4:$M$108,1)-SUMIFS($AI$4:$AI$108,$AH$4:$AH$108,$BT95,$M$4:$M$108,1),)</f>
        <v/>
      </c>
      <c r="CN95" s="13">
        <f>IF(AND(CF95&gt;0,COUNTIF(CL94:CL97,CL95)&gt;1),CL95+RANK(CM95,CM94:CM97)-1,CL95)</f>
        <v/>
      </c>
      <c r="CO95" s="13">
        <f>IF(AND(CF95&gt;0,COUNTIF(CN94:CN97,CN95)&gt;1),SUMIFS($AI$4:$AI$108,$AF$4:$AF$108,$BT95,$M$4:$M$108,1)+SUMIFS($AK$4:$AK$108,$AH$4:$AH$108,$BT95,$M$4:$M$108,1),)</f>
        <v/>
      </c>
      <c r="CP95" s="13">
        <f>IF(AND(CF95&gt;0,COUNTIF(CN94:CN97,CN95)&gt;1),CN95+RANK(CO95,CO94:CO97)-1,CN95)</f>
        <v/>
      </c>
      <c r="CQ95" s="13">
        <f>IF(CP95=0,"",CP95)</f>
        <v/>
      </c>
      <c r="CR95" s="13">
        <f>IF(OR(CQ95="",COUNTIF(CQ94:CQ97,CQ95)=1),"",$BZ95)</f>
        <v/>
      </c>
      <c r="CS95" s="13">
        <f>IF(CQ95="","",IF(COUNTIF(CQ94:CQ97,CQ95)=1,CQ95,CQ95+RANK(CR95,CR94:CR97,0)-1))</f>
        <v/>
      </c>
      <c r="CT95" s="13">
        <f>IF(OR(CS95="",COUNTIF(CS94:CS97,CS95)=1),"",$BX95)</f>
        <v/>
      </c>
      <c r="CU95" s="13">
        <f>IF(CQ95="","",IF(COUNTIF(CS94:CS97,CS95)=1,CS95,CS95+RANK(CT95,CT94:CT97,0)-1))</f>
        <v/>
      </c>
      <c r="CV95" s="13">
        <f>IF(OR(CU95="",COUNTIF(CU94:CU97,CU95)=1),"",$BU95)</f>
        <v/>
      </c>
      <c r="CW95" s="13">
        <f>IF(CQ95="","",IF(COUNTIF(CU94:CU97,CU95)=1,CU95,CU95+RANK(CV95,CV94:CV97,0)-1))</f>
        <v/>
      </c>
      <c r="CX95" s="13">
        <f>IF(CF95&gt;0,BM92+RANK(CW95,CW94:CW97,1),)</f>
        <v/>
      </c>
      <c r="CZ95" s="12">
        <f>IF(CC95=2,BT95,)</f>
        <v/>
      </c>
      <c r="DA95" s="13">
        <f>(SUMIF($AF$4:$AF$108,$BT95,$AZ$4:$AZ$108)+SUMIF($AH$4:$AH$108,$BT95,$BA$4:$BA$108))</f>
        <v/>
      </c>
      <c r="DB95" s="13">
        <f>(SUMIF($AF$4:$AF$108,$BT95,$BB$4:$BB$108)+SUMIF($AH$4:$AH$108,$BT95,$BC$4:$BC$108))</f>
        <v/>
      </c>
      <c r="DC95" s="13">
        <f>(SUMIF($AF$4:$AF$108,$BT95,$BD$4:$BD$108)+SUMIF($AH$4:$AH$108,$BT95,$BE$4:$BE$108))</f>
        <v/>
      </c>
      <c r="DD95" s="13">
        <f>IFERROR(DA95*3+DB95*1,0)</f>
        <v/>
      </c>
      <c r="DE95" s="13">
        <f>$CB95</f>
        <v/>
      </c>
      <c r="DF95" s="13">
        <f>IF(CZ95&gt;0,RANK(DD95,DD94:DD97)+CG92,)</f>
        <v/>
      </c>
      <c r="DG95" s="13">
        <f>IF(AND(CZ95&gt;0,COUNTIF(DF94:DF97,DF95)&gt;1),SUMIFS($AI$4:$AI$108,$AF$4:$AF$108,$BT95,$M$4:$M$108,2)+SUMIFS($AK$4:$AK$108,$AH$4:$AH108,$BT95,$M$4:$M$108,2)-SUMIFS($AK$4:$AK$108,$AF$4:$AF$108,$BT95,$M$4:$M$108,2)-SUMIFS($AI$4:$AI$108,$AH$4:$AH$108,$BT95,$M$4:$M$108,2),)</f>
        <v/>
      </c>
      <c r="DH95" s="13">
        <f>IF(AND(CZ95&gt;0,COUNTIF(DF94:DF97,DF95)&gt;1),DF95+RANK(DG95,DG94:DG97)-1,DF95)</f>
        <v/>
      </c>
      <c r="DI95" s="13">
        <f>IF(AND(CZ95&gt;0,COUNTIF(DH94:DH97,DH95)&gt;1),SUMIFS($AI$4:$AI$108,$AF$4:$AF$108,$BT95,$M$4:$M$108,2)+SUMIFS($AK$4:$AK$108,$AH$4:$AH$108,$BT95,$M$4:$M$108,2),)</f>
        <v/>
      </c>
      <c r="DJ95" s="13">
        <f>IF(AND(CZ95&gt;0,COUNTIF(DH94:DH97,DH95)&gt;1),DH95+RANK(DI95,DI94:DI97)-1,DH95)</f>
        <v/>
      </c>
      <c r="DK95" s="75">
        <f>IF(DJ95=0,"",DJ95)</f>
        <v/>
      </c>
      <c r="DL95" s="75">
        <f>IF(OR(DK95="",COUNTIF(DK94:DK97,DK95)=1),"",$BZ95)</f>
        <v/>
      </c>
      <c r="DM95" s="75">
        <f>IF(DK95="","",IF(COUNTIF(DK94:DK97,DK95)=1,DK95,DK95+RANK(DL95,DL94:DL97,0)-1))</f>
        <v/>
      </c>
      <c r="DN95" s="75">
        <f>IF(OR(DM95="",COUNTIF(DM94:DM97,DM95)=1),"",$BX95)</f>
        <v/>
      </c>
      <c r="DO95" s="75">
        <f>IF(DK95="","",IF(COUNTIF(DM94:DM97,DM95)=1,DM95,DM95+RANK(DN95,DN94:DN97,0)-1))</f>
        <v/>
      </c>
      <c r="DP95" s="75">
        <f>IF(OR(DO95="",COUNTIF(DO94:DO97,DO95)=1),"",$BU95)</f>
        <v/>
      </c>
      <c r="DQ95" s="75">
        <f>IF(DK95="","",IF(COUNTIF(DO94:DO97,DO95)=1,DO95,DO95+RANK(DP95,DP94:DP97,0)-1))</f>
        <v/>
      </c>
      <c r="DR95" s="13">
        <f>IF(CZ95&gt;0,CG92+RANK(DQ95,DQ94:DQ97,1),)</f>
        <v/>
      </c>
      <c r="DT95" s="13">
        <f>IF(CC95=3,BT95,)</f>
        <v/>
      </c>
      <c r="DU95" s="13">
        <f>(SUMIF($AF$4:$AF$108,BT95,$BF$4:$BF$108)+SUMIF($AH$4:$AH$108,BT95,$BG$4:$BG$108))</f>
        <v/>
      </c>
      <c r="DV95" s="13">
        <f>(SUMIF($AF$4:$AF$108,BT95,$BH$4:$BH$108)+SUMIF($AH$4:$AH$108,BT95,$BI$4:$BI$108))</f>
        <v/>
      </c>
      <c r="DW95" s="13">
        <f>(SUMIF($AF$4:$AF$108,BT95,$BJ$4:$BJ$108)+SUMIF($AH$4:$AH$108,BT95,$BK$4:$BK$108))</f>
        <v/>
      </c>
      <c r="DX95" s="13">
        <f>IFERROR(DU95*3+DV95*1,0)</f>
        <v/>
      </c>
      <c r="DY95" s="13">
        <f>CB95</f>
        <v/>
      </c>
      <c r="DZ95" s="13">
        <f>IF(DT95&gt;0,RANK(DX95,DX94:DX97)+CG92+DA92,)</f>
        <v/>
      </c>
      <c r="EA95" s="13">
        <f>IF(AND(DT95&gt;0,COUNTIF(DZ94:DZ97,DZ95)&gt;1),SUMIFS($AI$4:$AI$108,$AF$4:$AF$108,$BT95,$M$4:$M$108,3)+SUMIFS($AK$4:$AK$108,$AH$4:$AH$108,$BT95,$M$4:$M$108,3)-SUMIFS($AK$4:$AK$108,$AF$4:$AF$108,$BT95,$M$4:$M$108,3)-SUMIFS($AI$4:$AI$108,$AH$4:$AH$108,$BT95,$M$4:$M$108,3),)</f>
        <v/>
      </c>
      <c r="EB95" s="13">
        <f>IF(AND(DT95&gt;0,COUNTIF(DZ94:DZ97,DZ95)&gt;1),DZ95+RANK(EA95,EA94:EA97)-1,DZ95)</f>
        <v/>
      </c>
      <c r="EC95" s="13">
        <f>IF(AND(DT95&gt;0,COUNTIF(EB94:EB97,EB95)&gt;1),SUMIFS($AI$4:$AI$108,$AF$4:$AF$108,$BT95,$M$4:$M$108,3)+SUMIFS($AK$4:$AK$108,$AH$4:$AH$108,$BT95,$M$4:$M$108,3),)</f>
        <v/>
      </c>
      <c r="ED95" s="13">
        <f>IF(AND(DT95&gt;0,COUNTIF(EB94:EB97,EB95)&gt;1),EB95+RANK(EC95,EC94:EC97)-1,EB95)</f>
        <v/>
      </c>
      <c r="EE95" s="13">
        <f>IF(ED95=0,"",ED95)</f>
        <v/>
      </c>
      <c r="EF95" s="13">
        <f>IF(OR(EE95="",COUNTIF(EE94:EE97,EE95)=1),"",$BZ95)</f>
        <v/>
      </c>
      <c r="EG95" s="13">
        <f>IF(EE95="","",IF(COUNTIF(EE94:EE97,EE95)=1,EE95,EE95+RANK(EF95,EF94:EF97,0)-1))</f>
        <v/>
      </c>
      <c r="EH95" s="13">
        <f>IF(OR(EG95="",COUNTIF(EG94:EG97,EG95)=1),"",$BX95)</f>
        <v/>
      </c>
      <c r="EI95" s="13">
        <f>IF(EE95="","",IF(COUNTIF(EG94:EG97,EG95)=1,EG95,EG95+RANK(EH95,EH94:EH97,0)-1))</f>
        <v/>
      </c>
      <c r="EJ95" s="13">
        <f>IF(OR(EI95="",COUNTIF(EI94:EI97,EI95)=1),"",$BU95)</f>
        <v/>
      </c>
      <c r="EK95" s="13">
        <f>IF(EE95="","",IF(COUNTIF(EI94:EI97,EI95)=1,EI95,EI95+RANK(EJ95,EJ94:EJ97,0)-1))</f>
        <v/>
      </c>
      <c r="EL95" s="13">
        <f>IF(DT95&gt;0,CG92+DA92+RANK(EK95,EK94:EK97,1),)</f>
        <v/>
      </c>
      <c r="EN95" s="13">
        <f>IF(CC95=4,BT95,)</f>
        <v/>
      </c>
      <c r="EO95" s="13">
        <f>(SUMIF($AF$4:$AF$108,$BT95,$BL$4:$BL$108)+SUMIF($AH$4:$AH$108,$BT95,$BM$4:$BM$108))</f>
        <v/>
      </c>
      <c r="EP95" s="13">
        <f>(SUMIF($AF$4:$AF$108,$BT95,$BN$4:$BN$108)+SUMIF($AH$4:$AH$108,$BT95,$BO$4:$BO$108))</f>
        <v/>
      </c>
      <c r="EQ95" s="13">
        <f>(SUMIF($AF$4:$AF$108,$BT95,$BP$4:$BP$108)+SUMIF($AH$4:$AH$108,$BT95,$BQ$4:$BQ$108))</f>
        <v/>
      </c>
      <c r="ER95" s="13">
        <f>IFERROR(EO95*3+EP95*1,0)</f>
        <v/>
      </c>
      <c r="ES95" s="13">
        <f>$CB95</f>
        <v/>
      </c>
      <c r="ET95" s="13">
        <f>IF(EN95&gt;0,RANK(ER95,ER94:ER97)+CG92+DA92+DU92,)</f>
        <v/>
      </c>
      <c r="EU95" s="13">
        <f>IF(AND(EN95&gt;0,COUNTIF(ET94:ET97,ET95)&gt;1),SUMIFS($AI$4:$AI$108,$AF$4:$AF$108,$BT95,$M$4:$M$108,4)+SUMIFS($AK$4:$AK$108,$AH$4:$AH$108,$BT95,$M$4:$M$108,4)-SUMIFS($AK$4:$AK$108,$AF$4:$AF$108,$BT95,$M$4:$M$108,4)-SUMIFS($AI$4:$AI$108,$AH$4:$AH$108,$BT95,$M$4:$M$108,4),)</f>
        <v/>
      </c>
      <c r="EV95" s="13">
        <f>IF(AND(EN95&gt;0,COUNTIF(ET94:ET97,ET95)&gt;1),ET95+RANK(EU95,EU94:EU97)-1,ET95)</f>
        <v/>
      </c>
      <c r="EW95" s="13">
        <f>IF(AND(EN95&gt;0,COUNTIF(EV95:EV98,EV95)&gt;1),SUMIFS($AI$4:$AI$108,$AF$4:$AF$108,$BT95,$M$4:$M$108,4)+SUMIFS($AK$4:$AK$108,$AH$4:$AH$108,$BT95,$M$4:$M$108,4),)</f>
        <v/>
      </c>
      <c r="EX95" s="13">
        <f>IF(AND(EN95&gt;0,COUNTIF(EV94:EV97,EV95)&gt;1),EV95+RANK(EW95,EW94:EW97)-1,EV95)</f>
        <v/>
      </c>
      <c r="EY95" s="13">
        <f>IF(EX95=0,"",EX95)</f>
        <v/>
      </c>
      <c r="EZ95" s="13">
        <f>IF(OR(EY95="",COUNTIF(EY94:EY97,EY95)=1),"",$BZ95)</f>
        <v/>
      </c>
      <c r="FA95" s="13">
        <f>IF(EY95="","",IF(COUNTIF(EY94:EY97,EY95)=1,EY95,EY95+RANK(EZ95,EZ94:EZ97,0)-1))</f>
        <v/>
      </c>
      <c r="FB95" s="13">
        <f>IF(OR(FA95="",COUNTIF(FA94:FA97,FA95)=1),"",$BX95)</f>
        <v/>
      </c>
      <c r="FC95" s="13">
        <f>IF(EY95="","",IF(COUNTIF(FA94:FA97,FA95)=1,FA95,FA95+RANK(FB95,FB94:FB97,0)-1))</f>
        <v/>
      </c>
      <c r="FD95" s="13">
        <f>IF(OR(FC95="",COUNTIF(FC94:FC97,FC95)=1),"",$BU95)</f>
        <v/>
      </c>
      <c r="FE95" s="13">
        <f>IF(EY95="","",IF(COUNTIF(FC94:FC97,FC95)=1,FC95,FC95+RANK(FD95,FD94:FD97,0)-1))</f>
        <v/>
      </c>
      <c r="FF95" s="13">
        <f>IF(EN95&gt;0,CG92+DA92+DU92+RANK(FE95,FE94:FE97,1),)</f>
        <v/>
      </c>
      <c r="FH95" s="13">
        <f>IFERROR(VLOOKUP(FJ95,CF93:CX97,19,FALSE),IFERROR(VLOOKUP(FJ95,CZ93:DR97,19,FALSE),IFERROR(VLOOKUP(FJ95,DT93:EL97,19,FALSE),VLOOKUP(FJ95,EN93:FF97,19,FALSE))))</f>
        <v/>
      </c>
      <c r="FI95" s="13">
        <f>RANK(FH95,FH94:FH97,1)+COUNTIF(FH94:FH95,FH95)-1</f>
        <v/>
      </c>
      <c r="FJ95" s="12">
        <f>BT95</f>
        <v/>
      </c>
      <c r="FZ95" s="79" t="n">
        <v>93</v>
      </c>
      <c r="GA95" s="3">
        <f>GB95&amp;GC95&amp;GD95&amp;GE95&amp;GF95&amp;GG95&amp;GH95&amp;GI95</f>
        <v/>
      </c>
      <c r="GB95" s="3" t="inlineStr">
        <is>
          <t>E</t>
        </is>
      </c>
      <c r="GC95" s="3" t="inlineStr">
        <is>
          <t>G</t>
        </is>
      </c>
      <c r="GD95" s="3" t="inlineStr">
        <is>
          <t>B</t>
        </is>
      </c>
      <c r="GE95" s="3" t="inlineStr">
        <is>
          <t>C</t>
        </is>
      </c>
      <c r="GF95" s="3" t="inlineStr">
        <is>
          <t>I</t>
        </is>
      </c>
      <c r="GG95" s="3" t="inlineStr">
        <is>
          <t>H</t>
        </is>
      </c>
      <c r="GH95" s="3" t="inlineStr">
        <is>
          <t>L</t>
        </is>
      </c>
      <c r="GI95" s="3" t="inlineStr">
        <is>
          <t>K</t>
        </is>
      </c>
      <c r="GJ95" s="9">
        <f>VLOOKUP(GB95,$FM$3:$FN$15,2,FALSE)</f>
        <v/>
      </c>
      <c r="GK95" s="9">
        <f>VLOOKUP(GC95,$FM$3:$FN$15,2,FALSE)</f>
        <v/>
      </c>
      <c r="GL95" s="9">
        <f>VLOOKUP(GD95,$FM$3:$FN$15,2,FALSE)</f>
        <v/>
      </c>
      <c r="GM95" s="9">
        <f>VLOOKUP(GE95,$FM$3:$FN$15,2,FALSE)</f>
        <v/>
      </c>
      <c r="GN95" s="9">
        <f>VLOOKUP(GF95,$FM$3:$FN$15,2,FALSE)</f>
        <v/>
      </c>
      <c r="GO95" s="9">
        <f>VLOOKUP(GG95,$FM$3:$FN$15,2,FALSE)</f>
        <v/>
      </c>
      <c r="GP95" s="9">
        <f>VLOOKUP(GH95,$FM$3:$FN$15,2,FALSE)</f>
        <v/>
      </c>
      <c r="GQ95" s="9">
        <f>VLOOKUP(GI95,$FM$3:$FN$15,2,FALSE)</f>
        <v/>
      </c>
      <c r="GR95" s="9">
        <f>IFERROR(IF(AND(VLOOKUP(GB95,$FX$4:$FX$15,1,FALSE)=GB95,VLOOKUP(GC95,$FX$4:$FX$15,1,FALSE)=GC95,VLOOKUP(GD95,$FX$4:$FX$15,1,FALSE)=GD95,VLOOKUP(GE95,$FX$4:$FX$15,1,FALSE)=GE95,VLOOKUP(GF95,$FX$4:$FX$15,1,FALSE)=GF95,VLOOKUP(GG95,$FX$4:$FX$15,1,FALSE)=GG95,VLOOKUP(GH95,$FX$4:$FX$15,1,FALSE)=GH95,VLOOKUP(GI95,$FX$4:$FX$15,1,FALSE)=GI95),FZ95,""),"")</f>
        <v/>
      </c>
      <c r="GX95" s="142" t="n"/>
    </row>
    <row r="96" ht="14.25" customHeight="1">
      <c r="B96" s="58" t="n">
        <v>47</v>
      </c>
      <c r="C96" s="59" t="n">
        <v>46196</v>
      </c>
      <c r="D96" s="60" t="inlineStr">
        <is>
          <t>Portugal</t>
        </is>
      </c>
      <c r="E96" s="61" t="inlineStr">
        <is>
          <t>-</t>
        </is>
      </c>
      <c r="F96" s="62" t="inlineStr">
        <is>
          <t>Uzbekistan</t>
        </is>
      </c>
      <c r="G96" s="63" t="n">
        <v>2</v>
      </c>
      <c r="H96" s="64" t="inlineStr">
        <is>
          <t>-</t>
        </is>
      </c>
      <c r="I96" s="63" t="n">
        <v>0</v>
      </c>
      <c r="J96" s="65">
        <f>IF(OR(ISBLANK(G96),ISBLANK(I96)),"",IF(G96&gt;I96,1,IF(G96&lt;I96,2,"X")))</f>
        <v/>
      </c>
      <c r="K96" s="66">
        <f>IF(OR(G96="",I96="",'[1]Resultat &amp; tabell'!G96="",'[1]Resultat &amp; tabell'!I96=""),0,IF(G96='[1]Resultat &amp; tabell'!G96,2,0)+IF(I96='[1]Resultat &amp; tabell'!I96,2,0)+IF(J96='[1]Resultat &amp; tabell'!J96,2,0))</f>
        <v/>
      </c>
      <c r="L96" s="67" t="n"/>
      <c r="M96" s="29">
        <f>IF(VLOOKUP(D96,$BT$93:$CC$97,10,FALSE)=VLOOKUP(F96,$BT$93:$CC$97,10,FALSE),VLOOKUP(D96,$BT$93:$CC$97,10,FALSE),"-")</f>
        <v/>
      </c>
      <c r="N96" s="30" t="n">
        <v>3</v>
      </c>
      <c r="O96" s="83">
        <f>VLOOKUP(N96,FI94:FJ97,2,FALSE)</f>
        <v/>
      </c>
      <c r="P96" s="84">
        <f>VLOOKUP($O96,$BT$94:$CA$97,2,FALSE)</f>
        <v/>
      </c>
      <c r="Q96" s="84">
        <f>VLOOKUP($O96,$BT$94:$CA$97,3,FALSE)</f>
        <v/>
      </c>
      <c r="R96" s="84">
        <f>VLOOKUP($O96,$BT$94:$CA$97,4,FALSE)</f>
        <v/>
      </c>
      <c r="S96" s="84">
        <f>VLOOKUP($O96,$BT$94:$CA$97,5,FALSE)</f>
        <v/>
      </c>
      <c r="T96" s="84">
        <f>VLOOKUP($O96,$BT$94:$CA$97,6,FALSE)</f>
        <v/>
      </c>
      <c r="U96" s="84">
        <f>VLOOKUP($O96,$BT$94:$CA$97,7,FALSE)</f>
        <v/>
      </c>
      <c r="V96" s="85">
        <f>VLOOKUP($O96,$BT$94:$CA$97,8,FALSE)</f>
        <v/>
      </c>
      <c r="X96" s="1" t="n"/>
      <c r="AE96" s="72">
        <f>C96</f>
        <v/>
      </c>
      <c r="AF96" s="72">
        <f>D96</f>
        <v/>
      </c>
      <c r="AG96" s="72">
        <f>E96</f>
        <v/>
      </c>
      <c r="AH96" s="72">
        <f>F96</f>
        <v/>
      </c>
      <c r="AI96" s="63">
        <f>IF(G96="","",G96)</f>
        <v/>
      </c>
      <c r="AJ96" s="58">
        <f>H96</f>
        <v/>
      </c>
      <c r="AK96" s="63">
        <f>IF(I96="","",I96)</f>
        <v/>
      </c>
      <c r="AL96" s="65">
        <f>J96</f>
        <v/>
      </c>
      <c r="AM96" s="73" t="n"/>
      <c r="AN96" s="13">
        <f>IF(AI96&gt;AK96,1,0)</f>
        <v/>
      </c>
      <c r="AO96" s="13">
        <f>IF(AK96&gt;AI96,1,0)</f>
        <v/>
      </c>
      <c r="AP96" s="13">
        <f>IF(AND(AI96=AK96,AI96&lt;&gt;""),1,0)</f>
        <v/>
      </c>
      <c r="AQ96" s="13">
        <f>IF(AND(AI96=AK96,AI96&lt;&gt;""),1,0)</f>
        <v/>
      </c>
      <c r="AR96" s="13">
        <f>IF(AI96&lt;AK96,1,0)</f>
        <v/>
      </c>
      <c r="AS96" s="13">
        <f>IF(AK96&lt;AI96,1,)</f>
        <v/>
      </c>
      <c r="AT96" s="13">
        <f>IF(ISERROR(VLOOKUP(AF96,CF:CF,1,FALSE)),0,1)*IF(ISERROR(VLOOKUP(AH96,CF:CF,1,FALSE)),0,1)*AN96</f>
        <v/>
      </c>
      <c r="AU96" s="13">
        <f>IF(ISERROR(VLOOKUP(AF96,CF:CF,1,FALSE)),0,1)*IF(ISERROR(VLOOKUP(AH96,CF:CF,1,FALSE)),0,1)*AO96</f>
        <v/>
      </c>
      <c r="AV96" s="13">
        <f>IF(ISERROR(VLOOKUP(AF96,CF:CF,1,FALSE)),0,1)*IF(ISERROR(VLOOKUP(AH96,CF:CF,1,FALSE)),0,1)*AP96</f>
        <v/>
      </c>
      <c r="AW96" s="13">
        <f>IF(ISERROR(VLOOKUP(AF96,CF:CF,1,FALSE)),0,1)*IF(ISERROR(VLOOKUP(AH96,CF:CF,1,FALSE)),0,1)*AQ96</f>
        <v/>
      </c>
      <c r="AX96" s="13">
        <f>IF(ISERROR(VLOOKUP(AF96,CF:CF,1,FALSE)),0,1)*IF(ISERROR(VLOOKUP(AH96,CF:CF,1,FALSE)),0,1)*AR96</f>
        <v/>
      </c>
      <c r="AY96" s="13">
        <f>IF(ISERROR(VLOOKUP(AF96,CF:CF,1,FALSE)),0,1)*IF(ISERROR(VLOOKUP(AH96,CF:CF,1,FALSE)),0,1)*AS96</f>
        <v/>
      </c>
      <c r="AZ96" s="13">
        <f>IF(ISERROR(VLOOKUP(AF96,CZ:CZ,1,FALSE)),0,1)*IF(ISERROR(VLOOKUP(AH96,CZ:CZ,1,FALSE)),0,1)*AN96</f>
        <v/>
      </c>
      <c r="BA96" s="13">
        <f>IF(ISERROR(VLOOKUP(AF96,CZ:CZ,1,FALSE)),0,1)*IF(ISERROR(VLOOKUP(AH96,CZ:CZ,1,FALSE)),0,1)*AO96</f>
        <v/>
      </c>
      <c r="BB96" s="13">
        <f>IF(ISERROR(VLOOKUP(AF96,CZ:CZ,1,FALSE)),0,1)*IF(ISERROR(VLOOKUP(AH96,CZ:CZ,1,FALSE)),0,1)*AP96</f>
        <v/>
      </c>
      <c r="BC96" s="13">
        <f>IF(ISERROR(VLOOKUP(AF96,CZ:CZ,1,FALSE)),0,1)*IF(ISERROR(VLOOKUP(AH96,CZ:CZ,1,FALSE)),0,1)*AQ96</f>
        <v/>
      </c>
      <c r="BD96" s="13">
        <f>IF(ISERROR(VLOOKUP(AF96,CZ:CZ,1,FALSE)),0,1)*IF(ISERROR(VLOOKUP(AH96,CZ:CZ,1,FALSE)),0,1)*AR96</f>
        <v/>
      </c>
      <c r="BE96" s="13">
        <f>IF(ISERROR(VLOOKUP(AF96,CZ:CZ,1,FALSE)),0,1)*IF(ISERROR(VLOOKUP(AH96,CZ:CZ,1,FALSE)),0,1)*AS96</f>
        <v/>
      </c>
      <c r="BF96" s="13">
        <f>IF(ISERROR(VLOOKUP(AF96,DT:DT,1,FALSE)),0,1)*IF(ISERROR(VLOOKUP(AH96,DT:DT,1,FALSE)),0,1)*AN96</f>
        <v/>
      </c>
      <c r="BG96" s="13">
        <f>IF(ISERROR(VLOOKUP(AF96,DT:DT,1,FALSE)),0,1)*IF(ISERROR(VLOOKUP(AH96,DT:DT,1,FALSE)),0,1)*AO96</f>
        <v/>
      </c>
      <c r="BH96" s="13">
        <f>IF(ISERROR(VLOOKUP(AF96,DT:DT,1,FALSE)),0,1)*IF(ISERROR(VLOOKUP(AH96,DT:DT,1,FALSE)),0,1)*AP96</f>
        <v/>
      </c>
      <c r="BI96" s="13">
        <f>IF(ISERROR(VLOOKUP(AF96,DT:DT,1,FALSE)),0,1)*IF(ISERROR(VLOOKUP(AH96,DT:DT,1,FALSE)),0,1)*AQ96</f>
        <v/>
      </c>
      <c r="BJ96" s="13">
        <f>IF(ISERROR(VLOOKUP(AF96,DT:DT,1,FALSE)),0,1)*IF(ISERROR(VLOOKUP(AH96,DT:DT,1,FALSE)),0,1)*AR96</f>
        <v/>
      </c>
      <c r="BK96" s="13">
        <f>IF(ISERROR(VLOOKUP(AF96,DT:DT,1,FALSE)),0,1)*IF(ISERROR(VLOOKUP(AH96,DT:DT,1,FALSE)),0,1)*AS96</f>
        <v/>
      </c>
      <c r="BL96" s="13">
        <f>IF(ISERROR(VLOOKUP(AF96,EN:EN,1,FALSE)),0,1)*IF(ISERROR(VLOOKUP(AH96,EN:EN,1,FALSE)),0,1)*AN96</f>
        <v/>
      </c>
      <c r="BM96" s="13">
        <f>IF(ISERROR(VLOOKUP(AF96,EN:EN,1,FALSE)),0,1)*IF(ISERROR(VLOOKUP(AH96,EN:EN,1,FALSE)),0,1)*AO96</f>
        <v/>
      </c>
      <c r="BN96" s="13">
        <f>IF(ISERROR(VLOOKUP(AF96,EN:EN,1,FALSE)),0,1)*IF(ISERROR(VLOOKUP(AH96,EN:EN,1,FALSE)),0,1)*AP96</f>
        <v/>
      </c>
      <c r="BO96" s="13">
        <f>IF(ISERROR(VLOOKUP(AF96,EN:EN,1,FALSE)),0,1)*IF(ISERROR(VLOOKUP(AH96,EN:EN,1,FALSE)),0,1)*AQ96</f>
        <v/>
      </c>
      <c r="BP96" s="13">
        <f>IF(ISERROR(VLOOKUP(AF96,EN:EN,1,FALSE)),0,1)*IF(ISERROR(VLOOKUP(AH96,EN:EN,1,FALSE)),0,1)*AR96</f>
        <v/>
      </c>
      <c r="BQ96" s="13">
        <f>IF(ISERROR(VLOOKUP(AF96,EN:EN,1,FALSE)),0,1)*IF(ISERROR(VLOOKUP(AH96,EN:EN,1,FALSE)),0,1)*AS96</f>
        <v/>
      </c>
      <c r="BT96" s="12" t="inlineStr">
        <is>
          <t>Uzbekistan</t>
        </is>
      </c>
      <c r="BU96" s="13">
        <f>(SUMIF(AF$4:AF$108,BT96,AN$4:AN$108)+SUMIF(AH$4:AH$108,BT96,AO$4:AO$108))</f>
        <v/>
      </c>
      <c r="BV96" s="13">
        <f>(SUMIF(AF$4:AF$108,BT96,AP$4:AP$108)+SUMIF(AH$4:AH$108,BT96,AQ$4:AQ$108))</f>
        <v/>
      </c>
      <c r="BW96" s="13">
        <f>(SUMIF(AF$4:AF$108,BT96,AR$4:AR$108)+SUMIF(AH$4:AH$108,BT96,AS$4:AS$108))</f>
        <v/>
      </c>
      <c r="BX96" s="13">
        <f>SUMIF($AF$4:$AF$108,BT96,$AI$4:$AI$108)+SUMIF($AH$4:$AH$108,BT96,$AK$4:$AK$108)</f>
        <v/>
      </c>
      <c r="BY96" s="13">
        <f>SUMIF($AF$4:$AF$108,BT96,$AK$4:$AK$108)+SUMIF($AH$4:$AH$108,BT96,$AI$4:$AI$108)</f>
        <v/>
      </c>
      <c r="BZ96" s="13">
        <f>BX96-BY96</f>
        <v/>
      </c>
      <c r="CA96" s="13">
        <f>IFERROR(BU96*3+BV96*1,0)</f>
        <v/>
      </c>
      <c r="CB96" s="13" t="inlineStr">
        <is>
          <t>K</t>
        </is>
      </c>
      <c r="CC96" s="74">
        <f>RANK(CA96,CA94:CA97)</f>
        <v/>
      </c>
      <c r="CD96" s="13">
        <f>SUMPRODUCT((CA94:CA97=CA96)*(BZ94:BZ97&gt;BZ96))</f>
        <v/>
      </c>
      <c r="CF96" s="12">
        <f>IF(CC96=1,BT96,)</f>
        <v/>
      </c>
      <c r="CG96" s="13">
        <f>(SUMIF($AF$4:$AF$108,$BT96,$AT$4:$AT$108)+SUMIF($AH$4:$AH$108,$BT96,$AU$4:$AU$108))</f>
        <v/>
      </c>
      <c r="CH96" s="13">
        <f>(SUMIF($AF$4:$AF$108,$BT96,$AV$4:$AV$108)+SUMIF($AH$4:$AH$108,$BT96,$AW$4:$AW$108))</f>
        <v/>
      </c>
      <c r="CI96" s="13">
        <f>(SUMIF($AF$4:$AF$108,$BT96,$AX$4:$AX$108)+SUMIF($AH$4:$AH$108,$BT96,$AY$4:$AY$108))</f>
        <v/>
      </c>
      <c r="CJ96" s="13">
        <f>IFERROR(CG96*3+CH96*1,0)</f>
        <v/>
      </c>
      <c r="CK96" s="13">
        <f>CB96</f>
        <v/>
      </c>
      <c r="CL96" s="13">
        <f>IF(CF96&gt;0,RANK(CJ96,CJ94:CJ97),)</f>
        <v/>
      </c>
      <c r="CM96" s="13">
        <f>IF(AND(CF96&gt;0,COUNTIF(CL94:CL97,CL96)&gt;1),SUMIFS($AI$4:$AI$108,$AF$4:$AF$108,$BT96,$M$4:$M$108,1)+SUMIFS($AK$4:$AK$108,$AH$4:$AH$108,$BT96,$M$4:$M$108,1)-SUMIFS($AK$4:$AK$108,$AF$4:$AF$108,$BT96,$M$4:$M$108,1)-SUMIFS($AI$4:$AI$108,$AH$4:$AH$108,$BT96,$M$4:$M$108,1),)</f>
        <v/>
      </c>
      <c r="CN96" s="13">
        <f>IF(AND(CF96&gt;0,COUNTIF(CL94:CL97,CL96)&gt;1),CL96+RANK(CM96,CM94:CM97)-1,CL96)</f>
        <v/>
      </c>
      <c r="CO96" s="13">
        <f>IF(AND(CF96&gt;0,COUNTIF(CN94:CN97,CN96)&gt;1),SUMIFS($AI$4:$AI$108,$AF$4:$AF$108,$BT96,$M$4:$M$108,1)+SUMIFS($AK$4:$AK$108,$AH$4:$AH$108,$BT96,$M$4:$M$108,1),)</f>
        <v/>
      </c>
      <c r="CP96" s="13">
        <f>IF(AND(CF96&gt;0,COUNTIF(CN94:CN97,CN96)&gt;1),CN96+RANK(CO96,CO94:CO97)-1,CN96)</f>
        <v/>
      </c>
      <c r="CQ96" s="13">
        <f>IF(CP96=0,"",CP96)</f>
        <v/>
      </c>
      <c r="CR96" s="13">
        <f>IF(OR(CQ96="",COUNTIF(CQ94:CQ97,CQ96)=1),"",$BZ96)</f>
        <v/>
      </c>
      <c r="CS96" s="13">
        <f>IF(CQ96="","",IF(COUNTIF(CQ94:CQ97,CQ96)=1,CQ96,CQ96+RANK(CR96,CR94:CR97,0)-1))</f>
        <v/>
      </c>
      <c r="CT96" s="13">
        <f>IF(OR(CS96="",COUNTIF(CS94:CS97,CS96)=1),"",$BX96)</f>
        <v/>
      </c>
      <c r="CU96" s="13">
        <f>IF(CQ96="","",IF(COUNTIF(CS94:CS97,CS96)=1,CS96,CS96+RANK(CT96,CT94:CT97,0)-1))</f>
        <v/>
      </c>
      <c r="CV96" s="13">
        <f>IF(OR(CU96="",COUNTIF(CU94:CU97,CU96)=1),"",$BU96)</f>
        <v/>
      </c>
      <c r="CW96" s="13">
        <f>IF(CQ96="","",IF(COUNTIF(CU94:CU97,CU96)=1,CU96,CU96+RANK(CV96,CV94:CV97,0)-1))</f>
        <v/>
      </c>
      <c r="CX96" s="13">
        <f>IF(CF96&gt;0,BM92+RANK(CW96,CW94:CW97,1),)</f>
        <v/>
      </c>
      <c r="CZ96" s="12">
        <f>IF(CC96=2,BT96,)</f>
        <v/>
      </c>
      <c r="DA96" s="13">
        <f>(SUMIF($AF$4:$AF$108,$BT96,$AZ$4:$AZ$108)+SUMIF($AH$4:$AH$108,$BT96,$BA$4:$BA$108))</f>
        <v/>
      </c>
      <c r="DB96" s="13">
        <f>(SUMIF($AF$4:$AF$108,$BT96,$BB$4:$BB$108)+SUMIF($AH$4:$AH$108,$BT96,$BC$4:$BC$108))</f>
        <v/>
      </c>
      <c r="DC96" s="13">
        <f>(SUMIF($AF$4:$AF$108,$BT96,$BD$4:$BD$108)+SUMIF($AH$4:$AH$108,$BT96,$BE$4:$BE$108))</f>
        <v/>
      </c>
      <c r="DD96" s="13">
        <f>IFERROR(DA96*3+DB96*1,0)</f>
        <v/>
      </c>
      <c r="DE96" s="13">
        <f>$CB96</f>
        <v/>
      </c>
      <c r="DF96" s="13">
        <f>IF(CZ96&gt;0,RANK(DD96,DD94:DD97)+CG92,)</f>
        <v/>
      </c>
      <c r="DG96" s="13">
        <f>IF(AND(CZ96&gt;0,COUNTIF(DF94:DF97,DF96)&gt;1),SUMIFS($AI$4:$AI$108,$AF$4:$AF$108,$BT96,$M$4:$M$108,2)+SUMIFS($AK$4:$AK$108,$AH$4:$AH108,$BT96,$M$4:$M$108,2)-SUMIFS($AK$4:$AK$108,$AF$4:$AF$108,$BT96,$M$4:$M$108,2)-SUMIFS($AI$4:$AI$108,$AH$4:$AH$108,$BT96,$M$4:$M$108,2),)</f>
        <v/>
      </c>
      <c r="DH96" s="13">
        <f>IF(AND(CZ96&gt;0,COUNTIF(DF94:DF97,DF96)&gt;1),DF96+RANK(DG96,DG94:DG97)-1,DF96)</f>
        <v/>
      </c>
      <c r="DI96" s="13">
        <f>IF(AND(CZ96&gt;0,COUNTIF(DH94:DH97,DH96)&gt;1),SUMIFS($AI$4:$AI$108,$AF$4:$AF$108,$BT96,$M$4:$M$108,2)+SUMIFS($AK$4:$AK$108,$AH$4:$AH$108,$BT96,$M$4:$M$108,2),)</f>
        <v/>
      </c>
      <c r="DJ96" s="13">
        <f>IF(AND(CZ96&gt;0,COUNTIF(DH94:DH97,DH96)&gt;1),DH96+RANK(DI96,DI94:DI97)-1,DH96)</f>
        <v/>
      </c>
      <c r="DK96" s="75">
        <f>IF(DJ96=0,"",DJ96)</f>
        <v/>
      </c>
      <c r="DL96" s="75">
        <f>IF(OR(DK96="",COUNTIF(DK94:DK97,DK96)=1),"",$BZ96)</f>
        <v/>
      </c>
      <c r="DM96" s="75">
        <f>IF(DK96="","",IF(COUNTIF(DK94:DK97,DK96)=1,DK96,DK96+RANK(DL96,DL94:DL97,0)-1))</f>
        <v/>
      </c>
      <c r="DN96" s="75">
        <f>IF(OR(DM96="",COUNTIF(DM94:DM97,DM96)=1),"",$BX96)</f>
        <v/>
      </c>
      <c r="DO96" s="75">
        <f>IF(DK96="","",IF(COUNTIF(DM94:DM97,DM96)=1,DM96,DM96+RANK(DN96,DN94:DN97,0)-1))</f>
        <v/>
      </c>
      <c r="DP96" s="75">
        <f>IF(OR(DO96="",COUNTIF(DO94:DO97,DO96)=1),"",$BU96)</f>
        <v/>
      </c>
      <c r="DQ96" s="75">
        <f>IF(DK96="","",IF(COUNTIF(DO94:DO97,DO96)=1,DO96,DO96+RANK(DP96,DP94:DP97,0)-1))</f>
        <v/>
      </c>
      <c r="DR96" s="13">
        <f>IF(CZ96&gt;0,CG92+RANK(DQ96,DQ94:DQ97,1),)</f>
        <v/>
      </c>
      <c r="DT96" s="13">
        <f>IF(CC96=3,BT96,)</f>
        <v/>
      </c>
      <c r="DU96" s="13">
        <f>(SUMIF($AF$4:$AF$108,BT96,$BF$4:$BF$108)+SUMIF($AH$4:$AH$108,BT96,$BG$4:$BG$108))</f>
        <v/>
      </c>
      <c r="DV96" s="13">
        <f>(SUMIF($AF$4:$AF$108,BT96,$BH$4:$BH$108)+SUMIF($AH$4:$AH$108,BT96,$BI$4:$BI$108))</f>
        <v/>
      </c>
      <c r="DW96" s="13">
        <f>(SUMIF($AF$4:$AF$108,BT96,$BJ$4:$BJ$108)+SUMIF($AH$4:$AH$108,BT96,$BK$4:$BK$108))</f>
        <v/>
      </c>
      <c r="DX96" s="13">
        <f>IFERROR(DU96*3+DV96*1,0)</f>
        <v/>
      </c>
      <c r="DY96" s="13">
        <f>CB96</f>
        <v/>
      </c>
      <c r="DZ96" s="13">
        <f>IF(DT96&gt;0,RANK(DX96,DX94:DX97)+CG92+DA92,)</f>
        <v/>
      </c>
      <c r="EA96" s="13">
        <f>IF(AND(DT96&gt;0,COUNTIF(DZ94:DZ97,DZ96)&gt;1),SUMIFS($AI$4:$AI$108,$AF$4:$AF$108,$BT96,$M$4:$M$108,3)+SUMIFS($AK$4:$AK$108,$AH$4:$AH$108,$BT96,$M$4:$M$108,3)-SUMIFS($AK$4:$AK$108,$AF$4:$AF$108,$BT96,$M$4:$M$108,3)-SUMIFS($AI$4:$AI$108,$AH$4:$AH$108,$BT96,$M$4:$M$108,3),)</f>
        <v/>
      </c>
      <c r="EB96" s="13">
        <f>IF(AND(DT96&gt;0,COUNTIF(DZ94:DZ97,DZ96)&gt;1),DZ96+RANK(EA96,EA94:EA97)-1,DZ96)</f>
        <v/>
      </c>
      <c r="EC96" s="13">
        <f>IF(AND(DT96&gt;0,COUNTIF(EB94:EB97,EB96)&gt;1),SUMIFS($AI$4:$AI$108,$AF$4:$AF$108,$BT96,$M$4:$M$108,3)+SUMIFS($AK$4:$AK$108,$AH$4:$AH$108,$BT96,$M$4:$M$108,3),)</f>
        <v/>
      </c>
      <c r="ED96" s="13">
        <f>IF(AND(DT96&gt;0,COUNTIF(EB94:EB97,EB96)&gt;1),EB96+RANK(EC96,EC94:EC97)-1,EB96)</f>
        <v/>
      </c>
      <c r="EE96" s="13">
        <f>IF(ED96=0,"",ED96)</f>
        <v/>
      </c>
      <c r="EF96" s="13">
        <f>IF(OR(EE96="",COUNTIF(EE94:EE97,EE96)=1),"",$BZ96)</f>
        <v/>
      </c>
      <c r="EG96" s="13">
        <f>IF(EE96="","",IF(COUNTIF(EE94:EE97,EE96)=1,EE96,EE96+RANK(EF96,EF94:EF97,0)-1))</f>
        <v/>
      </c>
      <c r="EH96" s="13">
        <f>IF(OR(EG96="",COUNTIF(EG94:EG97,EG96)=1),"",$BX96)</f>
        <v/>
      </c>
      <c r="EI96" s="13">
        <f>IF(EE96="","",IF(COUNTIF(EG94:EG97,EG96)=1,EG96,EG96+RANK(EH96,EH94:EH97,0)-1))</f>
        <v/>
      </c>
      <c r="EJ96" s="13">
        <f>IF(OR(EI96="",COUNTIF(EI94:EI97,EI96)=1),"",$BU96)</f>
        <v/>
      </c>
      <c r="EK96" s="13">
        <f>IF(EE96="","",IF(COUNTIF(EI94:EI97,EI96)=1,EI96,EI96+RANK(EJ96,EJ94:EJ97,0)-1))</f>
        <v/>
      </c>
      <c r="EL96" s="13">
        <f>IF(DT96&gt;0,CG92+DA92+RANK(EK96,EK94:EK97,1),)</f>
        <v/>
      </c>
      <c r="EN96" s="13">
        <f>IF(CC96=4,BT96,)</f>
        <v/>
      </c>
      <c r="EO96" s="13">
        <f>(SUMIF($AF$4:$AF$108,$BT96,$BL$4:$BL$108)+SUMIF($AH$4:$AH$108,$BT96,$BM$4:$BM$108))</f>
        <v/>
      </c>
      <c r="EP96" s="13">
        <f>(SUMIF($AF$4:$AF$108,$BT96,$BN$4:$BN$108)+SUMIF($AH$4:$AH$108,$BT96,$BO$4:$BO$108))</f>
        <v/>
      </c>
      <c r="EQ96" s="13">
        <f>(SUMIF($AF$4:$AF$108,$BT96,$BP$4:$BP$108)+SUMIF($AH$4:$AH$108,$BT96,$BQ$4:$BQ$108))</f>
        <v/>
      </c>
      <c r="ER96" s="13">
        <f>IFERROR(EO96*3+EP96*1,0)</f>
        <v/>
      </c>
      <c r="ES96" s="13">
        <f>$CB96</f>
        <v/>
      </c>
      <c r="ET96" s="13">
        <f>IF(EN96&gt;0,RANK(ER96,ER94:ER97)+CG92+DA92+DU92,)</f>
        <v/>
      </c>
      <c r="EU96" s="13">
        <f>IF(AND(EN96&gt;0,COUNTIF(ET94:ET97,ET96)&gt;1),SUMIFS($AI$4:$AI$108,$AF$4:$AF$108,$BT96,$M$4:$M$108,4)+SUMIFS($AK$4:$AK$108,$AH$4:$AH$108,$BT96,$M$4:$M$108,4)-SUMIFS($AK$4:$AK$108,$AF$4:$AF$108,$BT96,$M$4:$M$108,4)-SUMIFS($AI$4:$AI$108,$AH$4:$AH$108,$BT96,$M$4:$M$108,4),)</f>
        <v/>
      </c>
      <c r="EV96" s="13">
        <f>IF(AND(EN96&gt;0,COUNTIF(ET94:ET97,ET96)&gt;1),ET96+RANK(EU96,EU94:EU97)-1,ET96)</f>
        <v/>
      </c>
      <c r="EW96" s="13">
        <f>IF(AND(EN96&gt;0,COUNTIF(EV96:EV99,EV96)&gt;1),SUMIFS($AI$4:$AI$108,$AF$4:$AF$108,$BT96,$M$4:$M$108,4)+SUMIFS($AK$4:$AK$108,$AH$4:$AH$108,$BT96,$M$4:$M$108,4),)</f>
        <v/>
      </c>
      <c r="EX96" s="13">
        <f>IF(AND(EN96&gt;0,COUNTIF(EV94:EV97,EV96)&gt;1),EV96+RANK(EW96,EW94:EW97)-1,EV96)</f>
        <v/>
      </c>
      <c r="EY96" s="13">
        <f>IF(EX96=0,"",EX96)</f>
        <v/>
      </c>
      <c r="EZ96" s="13">
        <f>IF(OR(EY96="",COUNTIF(EY94:EY97,EY96)=1),"",$BZ96)</f>
        <v/>
      </c>
      <c r="FA96" s="13">
        <f>IF(EY96="","",IF(COUNTIF(EY94:EY97,EY96)=1,EY96,EY96+RANK(EZ96,EZ94:EZ97,0)-1))</f>
        <v/>
      </c>
      <c r="FB96" s="13">
        <f>IF(OR(FA96="",COUNTIF(FA94:FA97,FA96)=1),"",$BX96)</f>
        <v/>
      </c>
      <c r="FC96" s="13">
        <f>IF(EY96="","",IF(COUNTIF(FA94:FA97,FA96)=1,FA96,FA96+RANK(FB96,FB94:FB97,0)-1))</f>
        <v/>
      </c>
      <c r="FD96" s="13">
        <f>IF(OR(FC96="",COUNTIF(FC94:FC97,FC96)=1),"",$BU96)</f>
        <v/>
      </c>
      <c r="FE96" s="13">
        <f>IF(EY96="","",IF(COUNTIF(FC94:FC97,FC96)=1,FC96,FC96+RANK(FD96,FD94:FD97,0)-1))</f>
        <v/>
      </c>
      <c r="FF96" s="13">
        <f>IF(EN96&gt;0,CG92+DA92+DU92+RANK(FE96,FE94:FE97,1),)</f>
        <v/>
      </c>
      <c r="FH96" s="13">
        <f>IFERROR(VLOOKUP(FJ96,CF93:CX97,19,FALSE),IFERROR(VLOOKUP(FJ96,CZ93:DR97,19,FALSE),IFERROR(VLOOKUP(FJ96,DT93:EL97,19,FALSE),VLOOKUP(FJ96,EN93:FF97,19,FALSE))))</f>
        <v/>
      </c>
      <c r="FI96" s="13">
        <f>RANK(FH96,FH94:FH97,1)+COUNTIF(FH94:FH96,FH96)-1</f>
        <v/>
      </c>
      <c r="FJ96" s="12">
        <f>BT96</f>
        <v/>
      </c>
      <c r="FZ96" s="79" t="n">
        <v>94</v>
      </c>
      <c r="GA96" s="3">
        <f>GB96&amp;GC96&amp;GD96&amp;GE96&amp;GF96&amp;GG96&amp;GH96&amp;GI96</f>
        <v/>
      </c>
      <c r="GB96" s="3" t="inlineStr">
        <is>
          <t>E</t>
        </is>
      </c>
      <c r="GC96" s="3" t="inlineStr">
        <is>
          <t>J</t>
        </is>
      </c>
      <c r="GD96" s="3" t="inlineStr">
        <is>
          <t>B</t>
        </is>
      </c>
      <c r="GE96" s="3" t="inlineStr">
        <is>
          <t>C</t>
        </is>
      </c>
      <c r="GF96" s="3" t="inlineStr">
        <is>
          <t>H</t>
        </is>
      </c>
      <c r="GG96" s="3" t="inlineStr">
        <is>
          <t>G</t>
        </is>
      </c>
      <c r="GH96" s="3" t="inlineStr">
        <is>
          <t>L</t>
        </is>
      </c>
      <c r="GI96" s="3" t="inlineStr">
        <is>
          <t>I</t>
        </is>
      </c>
      <c r="GJ96" s="9">
        <f>VLOOKUP(GB96,$FM$3:$FN$15,2,FALSE)</f>
        <v/>
      </c>
      <c r="GK96" s="9">
        <f>VLOOKUP(GC96,$FM$3:$FN$15,2,FALSE)</f>
        <v/>
      </c>
      <c r="GL96" s="9">
        <f>VLOOKUP(GD96,$FM$3:$FN$15,2,FALSE)</f>
        <v/>
      </c>
      <c r="GM96" s="9">
        <f>VLOOKUP(GE96,$FM$3:$FN$15,2,FALSE)</f>
        <v/>
      </c>
      <c r="GN96" s="9">
        <f>VLOOKUP(GF96,$FM$3:$FN$15,2,FALSE)</f>
        <v/>
      </c>
      <c r="GO96" s="9">
        <f>VLOOKUP(GG96,$FM$3:$FN$15,2,FALSE)</f>
        <v/>
      </c>
      <c r="GP96" s="9">
        <f>VLOOKUP(GH96,$FM$3:$FN$15,2,FALSE)</f>
        <v/>
      </c>
      <c r="GQ96" s="9">
        <f>VLOOKUP(GI96,$FM$3:$FN$15,2,FALSE)</f>
        <v/>
      </c>
      <c r="GR96" s="9">
        <f>IFERROR(IF(AND(VLOOKUP(GB96,$FX$4:$FX$15,1,FALSE)=GB96,VLOOKUP(GC96,$FX$4:$FX$15,1,FALSE)=GC96,VLOOKUP(GD96,$FX$4:$FX$15,1,FALSE)=GD96,VLOOKUP(GE96,$FX$4:$FX$15,1,FALSE)=GE96,VLOOKUP(GF96,$FX$4:$FX$15,1,FALSE)=GF96,VLOOKUP(GG96,$FX$4:$FX$15,1,FALSE)=GG96,VLOOKUP(GH96,$FX$4:$FX$15,1,FALSE)=GH96,VLOOKUP(GI96,$FX$4:$FX$15,1,FALSE)=GI96),FZ96,""),"")</f>
        <v/>
      </c>
      <c r="GX96" s="142" t="n"/>
    </row>
    <row r="97" ht="14.25" customHeight="1">
      <c r="B97" s="58" t="n">
        <v>48</v>
      </c>
      <c r="C97" s="59" t="n">
        <v>46197</v>
      </c>
      <c r="D97" s="60" t="inlineStr">
        <is>
          <t>Colombia</t>
        </is>
      </c>
      <c r="E97" s="61" t="inlineStr">
        <is>
          <t>-</t>
        </is>
      </c>
      <c r="F97" s="62" t="inlineStr">
        <is>
          <t>Kongo</t>
        </is>
      </c>
      <c r="G97" s="63" t="n">
        <v>2</v>
      </c>
      <c r="H97" s="64" t="inlineStr">
        <is>
          <t>-</t>
        </is>
      </c>
      <c r="I97" s="63" t="n">
        <v>0</v>
      </c>
      <c r="J97" s="65">
        <f>IF(OR(ISBLANK(G97),ISBLANK(I97)),"",IF(G97&gt;I97,1,IF(G97&lt;I97,2,"X")))</f>
        <v/>
      </c>
      <c r="K97" s="66">
        <f>IF(OR(G97="",I97="",'[1]Resultat &amp; tabell'!G97="",'[1]Resultat &amp; tabell'!I97=""),0,IF(G97='[1]Resultat &amp; tabell'!G97,2,0)+IF(I97='[1]Resultat &amp; tabell'!I97,2,0)+IF(J97='[1]Resultat &amp; tabell'!J97,2,0))</f>
        <v/>
      </c>
      <c r="L97" s="67" t="n"/>
      <c r="M97" s="29">
        <f>IF(VLOOKUP(D97,$BT$93:$CC$97,10,FALSE)=VLOOKUP(F97,$BT$93:$CC$97,10,FALSE),VLOOKUP(D97,$BT$93:$CC$97,10,FALSE),"-")</f>
        <v/>
      </c>
      <c r="N97" s="30" t="n">
        <v>4</v>
      </c>
      <c r="O97" s="86">
        <f>VLOOKUP(N97,FI94:FJ97,2,FALSE)</f>
        <v/>
      </c>
      <c r="P97" s="87">
        <f>VLOOKUP($O97,$BT$94:$CA$97,2,FALSE)</f>
        <v/>
      </c>
      <c r="Q97" s="87">
        <f>VLOOKUP($O97,$BT$94:$CA$97,3,FALSE)</f>
        <v/>
      </c>
      <c r="R97" s="87">
        <f>VLOOKUP($O97,$BT$94:$CA$97,4,FALSE)</f>
        <v/>
      </c>
      <c r="S97" s="87">
        <f>VLOOKUP($O97,$BT$94:$CA$97,5,FALSE)</f>
        <v/>
      </c>
      <c r="T97" s="87">
        <f>VLOOKUP($O97,$BT$94:$CA$97,6,FALSE)</f>
        <v/>
      </c>
      <c r="U97" s="87">
        <f>VLOOKUP($O97,$BT$94:$CA$97,7,FALSE)</f>
        <v/>
      </c>
      <c r="V97" s="82">
        <f>VLOOKUP($O97,$BT$94:$CA$97,8,FALSE)</f>
        <v/>
      </c>
      <c r="X97" s="1" t="n"/>
      <c r="AE97" s="72">
        <f>C97</f>
        <v/>
      </c>
      <c r="AF97" s="72">
        <f>D97</f>
        <v/>
      </c>
      <c r="AG97" s="72">
        <f>E97</f>
        <v/>
      </c>
      <c r="AH97" s="72">
        <f>F97</f>
        <v/>
      </c>
      <c r="AI97" s="63">
        <f>IF(G97="","",G97)</f>
        <v/>
      </c>
      <c r="AJ97" s="58">
        <f>H97</f>
        <v/>
      </c>
      <c r="AK97" s="63">
        <f>IF(I97="","",I97)</f>
        <v/>
      </c>
      <c r="AL97" s="65">
        <f>J97</f>
        <v/>
      </c>
      <c r="AM97" s="73" t="n"/>
      <c r="AN97" s="13">
        <f>IF(AI97&gt;AK97,1,0)</f>
        <v/>
      </c>
      <c r="AO97" s="13">
        <f>IF(AK97&gt;AI97,1,0)</f>
        <v/>
      </c>
      <c r="AP97" s="13">
        <f>IF(AND(AI97=AK97,AI97&lt;&gt;""),1,0)</f>
        <v/>
      </c>
      <c r="AQ97" s="13">
        <f>IF(AND(AI97=AK97,AI97&lt;&gt;""),1,0)</f>
        <v/>
      </c>
      <c r="AR97" s="13">
        <f>IF(AI97&lt;AK97,1,0)</f>
        <v/>
      </c>
      <c r="AS97" s="13">
        <f>IF(AK97&lt;AI97,1,)</f>
        <v/>
      </c>
      <c r="AT97" s="13">
        <f>IF(ISERROR(VLOOKUP(AF97,CF:CF,1,FALSE)),0,1)*IF(ISERROR(VLOOKUP(AH97,CF:CF,1,FALSE)),0,1)*AN97</f>
        <v/>
      </c>
      <c r="AU97" s="13">
        <f>IF(ISERROR(VLOOKUP(AF97,CF:CF,1,FALSE)),0,1)*IF(ISERROR(VLOOKUP(AH97,CF:CF,1,FALSE)),0,1)*AO97</f>
        <v/>
      </c>
      <c r="AV97" s="13">
        <f>IF(ISERROR(VLOOKUP(AF97,CF:CF,1,FALSE)),0,1)*IF(ISERROR(VLOOKUP(AH97,CF:CF,1,FALSE)),0,1)*AP97</f>
        <v/>
      </c>
      <c r="AW97" s="13">
        <f>IF(ISERROR(VLOOKUP(AF97,CF:CF,1,FALSE)),0,1)*IF(ISERROR(VLOOKUP(AH97,CF:CF,1,FALSE)),0,1)*AQ97</f>
        <v/>
      </c>
      <c r="AX97" s="13">
        <f>IF(ISERROR(VLOOKUP(AF97,CF:CF,1,FALSE)),0,1)*IF(ISERROR(VLOOKUP(AH97,CF:CF,1,FALSE)),0,1)*AR97</f>
        <v/>
      </c>
      <c r="AY97" s="13">
        <f>IF(ISERROR(VLOOKUP(AF97,CF:CF,1,FALSE)),0,1)*IF(ISERROR(VLOOKUP(AH97,CF:CF,1,FALSE)),0,1)*AS97</f>
        <v/>
      </c>
      <c r="AZ97" s="13">
        <f>IF(ISERROR(VLOOKUP(AF97,CZ:CZ,1,FALSE)),0,1)*IF(ISERROR(VLOOKUP(AH97,CZ:CZ,1,FALSE)),0,1)*AN97</f>
        <v/>
      </c>
      <c r="BA97" s="13">
        <f>IF(ISERROR(VLOOKUP(AF97,CZ:CZ,1,FALSE)),0,1)*IF(ISERROR(VLOOKUP(AH97,CZ:CZ,1,FALSE)),0,1)*AO97</f>
        <v/>
      </c>
      <c r="BB97" s="13">
        <f>IF(ISERROR(VLOOKUP(AF97,CZ:CZ,1,FALSE)),0,1)*IF(ISERROR(VLOOKUP(AH97,CZ:CZ,1,FALSE)),0,1)*AP97</f>
        <v/>
      </c>
      <c r="BC97" s="13">
        <f>IF(ISERROR(VLOOKUP(AF97,CZ:CZ,1,FALSE)),0,1)*IF(ISERROR(VLOOKUP(AH97,CZ:CZ,1,FALSE)),0,1)*AQ97</f>
        <v/>
      </c>
      <c r="BD97" s="13">
        <f>IF(ISERROR(VLOOKUP(AF97,CZ:CZ,1,FALSE)),0,1)*IF(ISERROR(VLOOKUP(AH97,CZ:CZ,1,FALSE)),0,1)*AR97</f>
        <v/>
      </c>
      <c r="BE97" s="13">
        <f>IF(ISERROR(VLOOKUP(AF97,CZ:CZ,1,FALSE)),0,1)*IF(ISERROR(VLOOKUP(AH97,CZ:CZ,1,FALSE)),0,1)*AS97</f>
        <v/>
      </c>
      <c r="BF97" s="13">
        <f>IF(ISERROR(VLOOKUP(AF97,DT:DT,1,FALSE)),0,1)*IF(ISERROR(VLOOKUP(AH97,DT:DT,1,FALSE)),0,1)*AN97</f>
        <v/>
      </c>
      <c r="BG97" s="13">
        <f>IF(ISERROR(VLOOKUP(AF97,DT:DT,1,FALSE)),0,1)*IF(ISERROR(VLOOKUP(AH97,DT:DT,1,FALSE)),0,1)*AO97</f>
        <v/>
      </c>
      <c r="BH97" s="13">
        <f>IF(ISERROR(VLOOKUP(AF97,DT:DT,1,FALSE)),0,1)*IF(ISERROR(VLOOKUP(AH97,DT:DT,1,FALSE)),0,1)*AP97</f>
        <v/>
      </c>
      <c r="BI97" s="13">
        <f>IF(ISERROR(VLOOKUP(AF97,DT:DT,1,FALSE)),0,1)*IF(ISERROR(VLOOKUP(AH97,DT:DT,1,FALSE)),0,1)*AQ97</f>
        <v/>
      </c>
      <c r="BJ97" s="13">
        <f>IF(ISERROR(VLOOKUP(AF97,DT:DT,1,FALSE)),0,1)*IF(ISERROR(VLOOKUP(AH97,DT:DT,1,FALSE)),0,1)*AR97</f>
        <v/>
      </c>
      <c r="BK97" s="13">
        <f>IF(ISERROR(VLOOKUP(AF97,DT:DT,1,FALSE)),0,1)*IF(ISERROR(VLOOKUP(AH97,DT:DT,1,FALSE)),0,1)*AS97</f>
        <v/>
      </c>
      <c r="BL97" s="13">
        <f>IF(ISERROR(VLOOKUP(AF97,EN:EN,1,FALSE)),0,1)*IF(ISERROR(VLOOKUP(AH97,EN:EN,1,FALSE)),0,1)*AN97</f>
        <v/>
      </c>
      <c r="BM97" s="13">
        <f>IF(ISERROR(VLOOKUP(AF97,EN:EN,1,FALSE)),0,1)*IF(ISERROR(VLOOKUP(AH97,EN:EN,1,FALSE)),0,1)*AO97</f>
        <v/>
      </c>
      <c r="BN97" s="13">
        <f>IF(ISERROR(VLOOKUP(AF97,EN:EN,1,FALSE)),0,1)*IF(ISERROR(VLOOKUP(AH97,EN:EN,1,FALSE)),0,1)*AP97</f>
        <v/>
      </c>
      <c r="BO97" s="13">
        <f>IF(ISERROR(VLOOKUP(AF97,EN:EN,1,FALSE)),0,1)*IF(ISERROR(VLOOKUP(AH97,EN:EN,1,FALSE)),0,1)*AQ97</f>
        <v/>
      </c>
      <c r="BP97" s="13">
        <f>IF(ISERROR(VLOOKUP(AF97,EN:EN,1,FALSE)),0,1)*IF(ISERROR(VLOOKUP(AH97,EN:EN,1,FALSE)),0,1)*AR97</f>
        <v/>
      </c>
      <c r="BQ97" s="13">
        <f>IF(ISERROR(VLOOKUP(AF97,EN:EN,1,FALSE)),0,1)*IF(ISERROR(VLOOKUP(AH97,EN:EN,1,FALSE)),0,1)*AS97</f>
        <v/>
      </c>
      <c r="BT97" s="88" t="inlineStr">
        <is>
          <t>Colombia</t>
        </is>
      </c>
      <c r="BU97" s="13">
        <f>(SUMIF(AF$4:AF$108,BT97,AN$4:AN$108)+SUMIF(AH$4:AH$108,BT97,AO$4:AO$108))</f>
        <v/>
      </c>
      <c r="BV97" s="13">
        <f>(SUMIF(AF$4:AF$108,BT97,AP$4:AP$108)+SUMIF(AH$4:AH$108,BT97,AQ$4:AQ$108))</f>
        <v/>
      </c>
      <c r="BW97" s="13">
        <f>(SUMIF(AF$4:AF$108,BT97,AR$4:AR$108)+SUMIF(AH$4:AH$108,BT97,AS$4:AS$108))</f>
        <v/>
      </c>
      <c r="BX97" s="13">
        <f>SUMIF($AF$4:$AF$108,BT97,$AI$4:$AI$108)+SUMIF($AH$4:$AH$108,BT97,$AK$4:$AK$108)</f>
        <v/>
      </c>
      <c r="BY97" s="13">
        <f>SUMIF($AF$4:$AF$108,BT97,$AK$4:$AK$108)+SUMIF($AH$4:$AH$108,BT97,$AI$4:$AI$108)</f>
        <v/>
      </c>
      <c r="BZ97" s="13">
        <f>BX97-BY97</f>
        <v/>
      </c>
      <c r="CA97" s="13">
        <f>IFERROR(BU97*3+BV97*1,0)</f>
        <v/>
      </c>
      <c r="CB97" s="89" t="inlineStr">
        <is>
          <t>K</t>
        </is>
      </c>
      <c r="CC97" s="74">
        <f>RANK(CA97,CA94:CA97)</f>
        <v/>
      </c>
      <c r="CD97" s="13">
        <f>SUMPRODUCT((CA94:CA97=CA97)*(BZ94:BZ97&gt;BZ97))</f>
        <v/>
      </c>
      <c r="CF97" s="88">
        <f>IF(CC97=1,BT97,)</f>
        <v/>
      </c>
      <c r="CG97" s="13">
        <f>(SUMIF($AF$4:$AF$108,$BT97,$AT$4:$AT$108)+SUMIF($AH$4:$AH$108,$BT97,$AU$4:$AU$108))</f>
        <v/>
      </c>
      <c r="CH97" s="13">
        <f>(SUMIF($AF$4:$AF$108,$BT97,$AV$4:$AV$108)+SUMIF($AH$4:$AH$108,$BT97,$AW$4:$AW$108))</f>
        <v/>
      </c>
      <c r="CI97" s="13">
        <f>(SUMIF($AF$4:$AF$108,$BT97,$AX$4:$AX$108)+SUMIF($AH$4:$AH$108,$BT97,$AY$4:$AY$108))</f>
        <v/>
      </c>
      <c r="CJ97" s="13">
        <f>IFERROR(CG97*3+CH97*1,0)</f>
        <v/>
      </c>
      <c r="CK97" s="13">
        <f>CB97</f>
        <v/>
      </c>
      <c r="CL97" s="13">
        <f>IF(CF97&gt;0,RANK(CJ97,CJ94:CJ97),)</f>
        <v/>
      </c>
      <c r="CM97" s="13">
        <f>IF(AND(CF97&gt;0,COUNTIF(CL94:CL97,CL97)&gt;1),SUMIFS($AI$4:$AI$108,$AF$4:$AF$108,$BT97,$M$4:$M$108,1)+SUMIFS($AK$4:$AK$108,$AH$4:$AH$108,$BT97,$M$4:$M$108,1)-SUMIFS($AK$4:$AK$108,$AF$4:$AF$108,$BT97,$M$4:$M$108,1)-SUMIFS($AI$4:$AI$108,$AH$4:$AH$108,$BT97,$M$4:$M$108,1),)</f>
        <v/>
      </c>
      <c r="CN97" s="13">
        <f>IF(AND(CF97&gt;0,COUNTIF(CL94:CL97,CL97)&gt;1),CL97+RANK(CM97,CM94:CM97)-1,CL97)</f>
        <v/>
      </c>
      <c r="CO97" s="13">
        <f>IF(AND(CF97&gt;0,COUNTIF(CN94:CN97,CN97)&gt;1),SUMIFS($AI$4:$AI$108,$AF$4:$AF$108,$BT97,$M$4:$M$108,1)+SUMIFS($AK$4:$AK$108,$AH$4:$AH$108,$BT97,$M$4:$M$108,1),)</f>
        <v/>
      </c>
      <c r="CP97" s="13">
        <f>IF(AND(CF97&gt;0,COUNTIF(CN94:CN97,CN97)&gt;1),CN97+RANK(CO97,CO94:CO97)-1,CN97)</f>
        <v/>
      </c>
      <c r="CQ97" s="13">
        <f>IF(CP97=0,"",CP97)</f>
        <v/>
      </c>
      <c r="CR97" s="13">
        <f>IF(OR(CQ97="",COUNTIF(CQ94:CQ97,CQ97)=1),"",$BZ97)</f>
        <v/>
      </c>
      <c r="CS97" s="13">
        <f>IF(CQ97="","",IF(COUNTIF(CQ94:CQ97,CQ97)=1,CQ97,CQ97+RANK(CR97,CR94:CR97,0)-1))</f>
        <v/>
      </c>
      <c r="CT97" s="13">
        <f>IF(OR(CS97="",COUNTIF(CS94:CS97,CS97)=1),"",$BX97)</f>
        <v/>
      </c>
      <c r="CU97" s="13">
        <f>IF(CQ97="","",IF(COUNTIF(CS94:CS97,CS97)=1,CS97,CS97+RANK(CT97,CT94:CT97,0)-1))</f>
        <v/>
      </c>
      <c r="CV97" s="13">
        <f>IF(OR(CU97="",COUNTIF(CU94:CU97,CU97)=1),"",$BU97)</f>
        <v/>
      </c>
      <c r="CW97" s="13">
        <f>IF(CQ97="","",IF(COUNTIF(CU94:CU97,CU97)=1,CU97,CU97+RANK(CV97,CV94:CV97,0)-1))</f>
        <v/>
      </c>
      <c r="CX97" s="13">
        <f>IF(CF97&gt;0,BM92+RANK(CW97,CW94:CW97,1),)</f>
        <v/>
      </c>
      <c r="CZ97" s="88">
        <f>IF(CC97=2,BT97,)</f>
        <v/>
      </c>
      <c r="DA97" s="13">
        <f>(SUMIF($AF$4:$AF$108,$BT97,$AZ$4:$AZ$108)+SUMIF($AH$4:$AH$108,$BT97,$BA$4:$BA$108))</f>
        <v/>
      </c>
      <c r="DB97" s="13">
        <f>(SUMIF($AF$4:$AF$108,$BT97,$BB$4:$BB$108)+SUMIF($AH$4:$AH$108,$BT97,$BC$4:$BC$108))</f>
        <v/>
      </c>
      <c r="DC97" s="13">
        <f>(SUMIF($AF$4:$AF$108,$BT97,$BD$4:$BD$108)+SUMIF($AH$4:$AH$108,$BT97,$BE$4:$BE$108))</f>
        <v/>
      </c>
      <c r="DD97" s="13">
        <f>IFERROR(DA97*3+DB97*1,0)</f>
        <v/>
      </c>
      <c r="DE97" s="13">
        <f>$CB97</f>
        <v/>
      </c>
      <c r="DF97" s="13">
        <f>IF(CZ97&gt;0,RANK(DD97,DD94:DD97)+CG92,)</f>
        <v/>
      </c>
      <c r="DG97" s="13">
        <f>IF(AND(CZ97&gt;0,COUNTIF(DF94:DF97,DF97)&gt;1),SUMIFS($AI$4:$AI$108,$AF$4:$AF$108,$BT97,$M$4:$M$108,2)+SUMIFS($AK$4:$AK$108,$AH$4:$AH108,$BT97,$M$4:$M$108,2)-SUMIFS($AK$4:$AK$108,$AF$4:$AF$108,$BT97,$M$4:$M$108,2)-SUMIFS($AI$4:$AI$108,$AH$4:$AH$108,$BT97,$M$4:$M$108,2),)</f>
        <v/>
      </c>
      <c r="DH97" s="13">
        <f>IF(AND(CZ97&gt;0,COUNTIF(DF94:DF97,DF97)&gt;1),DF97+RANK(DG97,DG94:DG97)-1,DF97)</f>
        <v/>
      </c>
      <c r="DI97" s="13">
        <f>IF(AND(CZ97&gt;0,COUNTIF(DH94:DH97,DH97)&gt;1),SUMIFS($AI$4:$AI$108,$AF$4:$AF$108,$BT97,$M$4:$M$108,2)+SUMIFS($AK$4:$AK$108,$AH$4:$AH$108,$BT97,$M$4:$M$108,2),)</f>
        <v/>
      </c>
      <c r="DJ97" s="13">
        <f>IF(AND(CZ97&gt;0,COUNTIF(DH94:DH97,DH97)&gt;1),DH97+RANK(DI97,DI94:DI97)-1,DH97)</f>
        <v/>
      </c>
      <c r="DK97" s="75">
        <f>IF(DJ97=0,"",DJ97)</f>
        <v/>
      </c>
      <c r="DL97" s="75">
        <f>IF(OR(DK97="",COUNTIF(DK94:DK97,DK97)=1),"",$BZ97)</f>
        <v/>
      </c>
      <c r="DM97" s="75">
        <f>IF(DK97="","",IF(COUNTIF(DK94:DK97,DK97)=1,DK97,DK97+RANK(DL97,DL94:DL97,0)-1))</f>
        <v/>
      </c>
      <c r="DN97" s="75">
        <f>IF(OR(DM97="",COUNTIF(DM94:DM97,DM97)=1),"",$BX97)</f>
        <v/>
      </c>
      <c r="DO97" s="75">
        <f>IF(DK97="","",IF(COUNTIF(DM94:DM97,DM97)=1,DM97,DM97+RANK(DN97,DN94:DN97,0)-1))</f>
        <v/>
      </c>
      <c r="DP97" s="75">
        <f>IF(OR(DO97="",COUNTIF(DO94:DO97,DO97)=1),"",$BU97)</f>
        <v/>
      </c>
      <c r="DQ97" s="75">
        <f>IF(DK97="","",IF(COUNTIF(DO94:DO97,DO97)=1,DO97,DO97+RANK(DP97,DP94:DP97,0)-1))</f>
        <v/>
      </c>
      <c r="DR97" s="13">
        <f>IF(CZ97&gt;0,CG92+RANK(DQ97,DQ94:DQ97,1),)</f>
        <v/>
      </c>
      <c r="DT97" s="89">
        <f>IF(CC97=3,BT97,)</f>
        <v/>
      </c>
      <c r="DU97" s="13">
        <f>(SUMIF($AF$4:$AF$108,BT97,$BF$4:$BF$108)+SUMIF($AH$4:$AH$108,BT97,$BG$4:$BG$108))</f>
        <v/>
      </c>
      <c r="DV97" s="13">
        <f>(SUMIF($AF$4:$AF$108,BT97,$BH$4:$BH$108)+SUMIF($AH$4:$AH$108,BT97,$BI$4:$BI$108))</f>
        <v/>
      </c>
      <c r="DW97" s="13">
        <f>(SUMIF($AF$4:$AF$108,BT97,$BJ$4:$BJ$108)+SUMIF($AH$4:$AH$108,BT97,$BK$4:$BK$108))</f>
        <v/>
      </c>
      <c r="DX97" s="13">
        <f>IFERROR(DU97*3+DV97*1,0)</f>
        <v/>
      </c>
      <c r="DY97" s="13">
        <f>CB97</f>
        <v/>
      </c>
      <c r="DZ97" s="13">
        <f>IF(DT97&gt;0,RANK(DX97,DX94:DX97)+CG92+DA92,)</f>
        <v/>
      </c>
      <c r="EA97" s="13">
        <f>IF(AND(DT97&gt;0,COUNTIF(DZ94:DZ97,DZ97)&gt;1),SUMIFS($AI$4:$AI$108,$AF$4:$AF$108,$BT97,$M$4:$M$108,3)+SUMIFS($AK$4:$AK$108,$AH$4:$AH$108,$BT97,$M$4:$M$108,3)-SUMIFS($AK$4:$AK$108,$AF$4:$AF$108,$BT97,$M$4:$M$108,3)-SUMIFS($AI$4:$AI$108,$AH$4:$AH$108,$BT97,$M$4:$M$108,3),)</f>
        <v/>
      </c>
      <c r="EB97" s="13">
        <f>IF(AND(DT97&gt;0,COUNTIF(DZ94:DZ97,DZ97)&gt;1),DZ97+RANK(EA97,EA94:EA97)-1,DZ97)</f>
        <v/>
      </c>
      <c r="EC97" s="13">
        <f>IF(AND(DT97&gt;0,COUNTIF(EB94:EB97,EB97)&gt;1),SUMIFS($AI$4:$AI$108,$AF$4:$AF$108,$BT97,$M$4:$M$108,3)+SUMIFS($AK$4:$AK$108,$AH$4:$AH$108,$BT97,$M$4:$M$108,3),)</f>
        <v/>
      </c>
      <c r="ED97" s="13">
        <f>IF(AND(DT97&gt;0,COUNTIF(EB94:EB97,EB97)&gt;1),EB97+RANK(EC97,EC94:EC97)-1,EB97)</f>
        <v/>
      </c>
      <c r="EE97" s="13">
        <f>IF(ED97=0,"",ED97)</f>
        <v/>
      </c>
      <c r="EF97" s="13">
        <f>IF(OR(EE97="",COUNTIF(EE94:EE97,EE97)=1),"",$BZ97)</f>
        <v/>
      </c>
      <c r="EG97" s="13">
        <f>IF(EE97="","",IF(COUNTIF(EE94:EE97,EE97)=1,EE97,EE97+RANK(EF97,EF94:EF97,0)-1))</f>
        <v/>
      </c>
      <c r="EH97" s="13">
        <f>IF(OR(EG97="",COUNTIF(EG94:EG97,EG97)=1),"",$BX97)</f>
        <v/>
      </c>
      <c r="EI97" s="13">
        <f>IF(EE97="","",IF(COUNTIF(EG94:EG97,EG97)=1,EG97,EG97+RANK(EH97,EH94:EH97,0)-1))</f>
        <v/>
      </c>
      <c r="EJ97" s="13">
        <f>IF(OR(EI97="",COUNTIF(EI94:EI97,EI97)=1),"",$BU97)</f>
        <v/>
      </c>
      <c r="EK97" s="13">
        <f>IF(EE97="","",IF(COUNTIF(EI94:EI97,EI97)=1,EI97,EI97+RANK(EJ97,EJ94:EJ97,0)-1))</f>
        <v/>
      </c>
      <c r="EL97" s="13">
        <f>IF(DT97&gt;0,CG92+DA92+RANK(EK97,EK94:EK97,1),)</f>
        <v/>
      </c>
      <c r="EN97" s="13">
        <f>IF(CC97=4,BT97,)</f>
        <v/>
      </c>
      <c r="EO97" s="13">
        <f>(SUMIF($AF$4:$AF$108,$BT97,$BL$4:$BL$108)+SUMIF($AH$4:$AH$108,$BT97,$BM$4:$BM$108))</f>
        <v/>
      </c>
      <c r="EP97" s="13">
        <f>(SUMIF($AF$4:$AF$108,$BT97,$BN$4:$BN$108)+SUMIF($AH$4:$AH$108,$BT97,$BO$4:$BO$108))</f>
        <v/>
      </c>
      <c r="EQ97" s="13">
        <f>(SUMIF($AF$4:$AF$108,$BT97,$BP$4:$BP$108)+SUMIF($AH$4:$AH$108,$BT97,$BQ$4:$BQ$108))</f>
        <v/>
      </c>
      <c r="ER97" s="13">
        <f>IFERROR(EO97*3+EP97*1,0)</f>
        <v/>
      </c>
      <c r="ES97" s="13">
        <f>$CB97</f>
        <v/>
      </c>
      <c r="ET97" s="13">
        <f>IF(EN97&gt;0,RANK(ER97,ER94:ER97)+CG92+DA92+DU92,)</f>
        <v/>
      </c>
      <c r="EU97" s="13">
        <f>IF(AND(EN97&gt;0,COUNTIF(ET94:ET97,ET97)&gt;1),SUMIFS($AI$4:$AI$108,$AF$4:$AF$108,$BT97,$M$4:$M$108,4)+SUMIFS($AK$4:$AK$108,$AH$4:$AH$108,$BT97,$M$4:$M$108,4)-SUMIFS($AK$4:$AK$108,$AF$4:$AF$108,$BT97,$M$4:$M$108,4)-SUMIFS($AI$4:$AI$108,$AH$4:$AH$108,$BT97,$M$4:$M$108,4),)</f>
        <v/>
      </c>
      <c r="EV97" s="13">
        <f>IF(AND(EN97&gt;0,COUNTIF(ET94:ET97,ET97)&gt;1),ET97+RANK(EU97,EU94:EU97)-1,ET97)</f>
        <v/>
      </c>
      <c r="EW97" s="13">
        <f>IF(AND(EN97&gt;0,COUNTIF(EV97:EV100,EV97)&gt;1),SUMIFS($AI$4:$AI$108,$AF$4:$AF$108,$BT97,$M$4:$M$108,4)+SUMIFS($AK$4:$AK$108,$AH$4:$AH$108,$BT97,$M$4:$M$108,4),)</f>
        <v/>
      </c>
      <c r="EX97" s="13">
        <f>IF(AND(EN97&gt;0,COUNTIF(EV94:EV97,EV97)&gt;1),EV97+RANK(EW97,EW94:EW97)-1,EV97)</f>
        <v/>
      </c>
      <c r="EY97" s="13">
        <f>IF(EX97=0,"",EX97)</f>
        <v/>
      </c>
      <c r="EZ97" s="13">
        <f>IF(OR(EY97="",COUNTIF(EY94:EY97,EY97)=1),"",$BZ97)</f>
        <v/>
      </c>
      <c r="FA97" s="13">
        <f>IF(EY97="","",IF(COUNTIF(EY94:EY97,EY97)=1,EY97,EY97+RANK(EZ97,EZ94:EZ97,0)-1))</f>
        <v/>
      </c>
      <c r="FB97" s="13">
        <f>IF(OR(FA97="",COUNTIF(FA94:FA97,FA97)=1),"",$BX97)</f>
        <v/>
      </c>
      <c r="FC97" s="13">
        <f>IF(EY97="","",IF(COUNTIF(FA94:FA97,FA97)=1,FA97,FA97+RANK(FB97,FB94:FB97,0)-1))</f>
        <v/>
      </c>
      <c r="FD97" s="13">
        <f>IF(OR(FC97="",COUNTIF(FC94:FC97,FC97)=1),"",$BU97)</f>
        <v/>
      </c>
      <c r="FE97" s="13">
        <f>IF(EY97="","",IF(COUNTIF(FC94:FC97,FC97)=1,FC97,FC97+RANK(FD97,FD94:FD97,0)-1))</f>
        <v/>
      </c>
      <c r="FF97" s="13">
        <f>IF(EN97&gt;0,CG92+DA92+DU92+RANK(FE97,FE94:FE97,1),)</f>
        <v/>
      </c>
      <c r="FH97" s="13">
        <f>IFERROR(VLOOKUP(FJ97,CF93:CX97,19,FALSE),IFERROR(VLOOKUP(FJ97,CZ93:DR97,19,FALSE),IFERROR(VLOOKUP(FJ97,DT93:EL97,19,FALSE),VLOOKUP(FJ97,EN93:FF97,19,FALSE))))</f>
        <v/>
      </c>
      <c r="FI97" s="13">
        <f>RANK(FH97,FH94:FH97,1)+COUNTIF(FH94:FH97,FH97)-1</f>
        <v/>
      </c>
      <c r="FJ97" s="12">
        <f>BT97</f>
        <v/>
      </c>
      <c r="FZ97" s="79" t="n">
        <v>95</v>
      </c>
      <c r="GA97" s="3">
        <f>GB97&amp;GC97&amp;GD97&amp;GE97&amp;GF97&amp;GG97&amp;GH97&amp;GI97</f>
        <v/>
      </c>
      <c r="GB97" s="3" t="inlineStr">
        <is>
          <t>E</t>
        </is>
      </c>
      <c r="GC97" s="3" t="inlineStr">
        <is>
          <t>J</t>
        </is>
      </c>
      <c r="GD97" s="3" t="inlineStr">
        <is>
          <t>B</t>
        </is>
      </c>
      <c r="GE97" s="3" t="inlineStr">
        <is>
          <t>C</t>
        </is>
      </c>
      <c r="GF97" s="3" t="inlineStr">
        <is>
          <t>H</t>
        </is>
      </c>
      <c r="GG97" s="3" t="inlineStr">
        <is>
          <t>G</t>
        </is>
      </c>
      <c r="GH97" s="3" t="inlineStr">
        <is>
          <t>I</t>
        </is>
      </c>
      <c r="GI97" s="3" t="inlineStr">
        <is>
          <t>K</t>
        </is>
      </c>
      <c r="GJ97" s="9">
        <f>VLOOKUP(GB97,$FM$3:$FN$15,2,FALSE)</f>
        <v/>
      </c>
      <c r="GK97" s="9">
        <f>VLOOKUP(GC97,$FM$3:$FN$15,2,FALSE)</f>
        <v/>
      </c>
      <c r="GL97" s="9">
        <f>VLOOKUP(GD97,$FM$3:$FN$15,2,FALSE)</f>
        <v/>
      </c>
      <c r="GM97" s="9">
        <f>VLOOKUP(GE97,$FM$3:$FN$15,2,FALSE)</f>
        <v/>
      </c>
      <c r="GN97" s="9">
        <f>VLOOKUP(GF97,$FM$3:$FN$15,2,FALSE)</f>
        <v/>
      </c>
      <c r="GO97" s="9">
        <f>VLOOKUP(GG97,$FM$3:$FN$15,2,FALSE)</f>
        <v/>
      </c>
      <c r="GP97" s="9">
        <f>VLOOKUP(GH97,$FM$3:$FN$15,2,FALSE)</f>
        <v/>
      </c>
      <c r="GQ97" s="9">
        <f>VLOOKUP(GI97,$FM$3:$FN$15,2,FALSE)</f>
        <v/>
      </c>
      <c r="GR97" s="9">
        <f>IFERROR(IF(AND(VLOOKUP(GB97,$FX$4:$FX$15,1,FALSE)=GB97,VLOOKUP(GC97,$FX$4:$FX$15,1,FALSE)=GC97,VLOOKUP(GD97,$FX$4:$FX$15,1,FALSE)=GD97,VLOOKUP(GE97,$FX$4:$FX$15,1,FALSE)=GE97,VLOOKUP(GF97,$FX$4:$FX$15,1,FALSE)=GF97,VLOOKUP(GG97,$FX$4:$FX$15,1,FALSE)=GG97,VLOOKUP(GH97,$FX$4:$FX$15,1,FALSE)=GH97,VLOOKUP(GI97,$FX$4:$FX$15,1,FALSE)=GI97),FZ97,""),"")</f>
        <v/>
      </c>
      <c r="GX97" s="142" t="n"/>
    </row>
    <row r="98" ht="14.25" customHeight="1">
      <c r="B98" s="58" t="n">
        <v>71</v>
      </c>
      <c r="C98" s="59" t="n">
        <v>46201</v>
      </c>
      <c r="D98" s="60" t="inlineStr">
        <is>
          <t>Colombia</t>
        </is>
      </c>
      <c r="E98" s="61" t="inlineStr">
        <is>
          <t>-</t>
        </is>
      </c>
      <c r="F98" s="62" t="inlineStr">
        <is>
          <t>Portugal</t>
        </is>
      </c>
      <c r="G98" s="63" t="n">
        <v>1</v>
      </c>
      <c r="H98" s="64" t="inlineStr">
        <is>
          <t>-</t>
        </is>
      </c>
      <c r="I98" s="63" t="n">
        <v>2</v>
      </c>
      <c r="J98" s="65">
        <f>IF(OR(ISBLANK(G98),ISBLANK(I98)),"",IF(G98&gt;I98,1,IF(G98&lt;I98,2,"X")))</f>
        <v/>
      </c>
      <c r="K98" s="66">
        <f>IF(OR(G98="",I98="",'[1]Resultat &amp; tabell'!G98="",'[1]Resultat &amp; tabell'!I98=""),0,IF(G98='[1]Resultat &amp; tabell'!G98,2,0)+IF(I98='[1]Resultat &amp; tabell'!I98,2,0)+IF(J98='[1]Resultat &amp; tabell'!J98,2,0))</f>
        <v/>
      </c>
      <c r="L98" s="67" t="n"/>
      <c r="M98" s="29">
        <f>IF(VLOOKUP(D98,$BT$93:$CC$97,10,FALSE)=VLOOKUP(F98,$BT$93:$CC$97,10,FALSE),VLOOKUP(D98,$BT$93:$CC$97,10,FALSE),"-")</f>
        <v/>
      </c>
      <c r="O98" s="91">
        <f>IF(COUNTBLANK(G94:G99)+COUNTBLANK(I94:I99)=0,"Resultat OK","Fyll i resultat")</f>
        <v/>
      </c>
      <c r="P98" s="92" t="n"/>
      <c r="Q98" s="92" t="n"/>
      <c r="R98" s="92" t="n"/>
      <c r="S98" s="92" t="n"/>
      <c r="T98" s="92" t="n"/>
      <c r="U98" s="92" t="n"/>
      <c r="X98" s="1" t="n"/>
      <c r="AE98" s="72">
        <f>C98</f>
        <v/>
      </c>
      <c r="AF98" s="72">
        <f>D98</f>
        <v/>
      </c>
      <c r="AG98" s="72">
        <f>E98</f>
        <v/>
      </c>
      <c r="AH98" s="72">
        <f>F98</f>
        <v/>
      </c>
      <c r="AI98" s="63">
        <f>IF(G98="","",G98)</f>
        <v/>
      </c>
      <c r="AJ98" s="58">
        <f>H98</f>
        <v/>
      </c>
      <c r="AK98" s="63">
        <f>IF(I98="","",I98)</f>
        <v/>
      </c>
      <c r="AL98" s="65">
        <f>J98</f>
        <v/>
      </c>
      <c r="AM98" s="73" t="n"/>
      <c r="AN98" s="13">
        <f>IF(AI98&gt;AK98,1,0)</f>
        <v/>
      </c>
      <c r="AO98" s="13">
        <f>IF(AK98&gt;AI98,1,0)</f>
        <v/>
      </c>
      <c r="AP98" s="13">
        <f>IF(AND(AI98=AK98,AI98&lt;&gt;""),1,0)</f>
        <v/>
      </c>
      <c r="AQ98" s="13">
        <f>IF(AND(AI98=AK98,AI98&lt;&gt;""),1,0)</f>
        <v/>
      </c>
      <c r="AR98" s="13">
        <f>IF(AI98&lt;AK98,1,0)</f>
        <v/>
      </c>
      <c r="AS98" s="13">
        <f>IF(AK98&lt;AI98,1,)</f>
        <v/>
      </c>
      <c r="AT98" s="13">
        <f>IF(ISERROR(VLOOKUP(AF98,CF:CF,1,FALSE)),0,1)*IF(ISERROR(VLOOKUP(AH98,CF:CF,1,FALSE)),0,1)*AN98</f>
        <v/>
      </c>
      <c r="AU98" s="13">
        <f>IF(ISERROR(VLOOKUP(AF98,CF:CF,1,FALSE)),0,1)*IF(ISERROR(VLOOKUP(AH98,CF:CF,1,FALSE)),0,1)*AO98</f>
        <v/>
      </c>
      <c r="AV98" s="13">
        <f>IF(ISERROR(VLOOKUP(AF98,CF:CF,1,FALSE)),0,1)*IF(ISERROR(VLOOKUP(AH98,CF:CF,1,FALSE)),0,1)*AP98</f>
        <v/>
      </c>
      <c r="AW98" s="13">
        <f>IF(ISERROR(VLOOKUP(AF98,CF:CF,1,FALSE)),0,1)*IF(ISERROR(VLOOKUP(AH98,CF:CF,1,FALSE)),0,1)*AQ98</f>
        <v/>
      </c>
      <c r="AX98" s="13">
        <f>IF(ISERROR(VLOOKUP(AF98,CF:CF,1,FALSE)),0,1)*IF(ISERROR(VLOOKUP(AH98,CF:CF,1,FALSE)),0,1)*AR98</f>
        <v/>
      </c>
      <c r="AY98" s="13">
        <f>IF(ISERROR(VLOOKUP(AF98,CF:CF,1,FALSE)),0,1)*IF(ISERROR(VLOOKUP(AH98,CF:CF,1,FALSE)),0,1)*AS98</f>
        <v/>
      </c>
      <c r="AZ98" s="13">
        <f>IF(ISERROR(VLOOKUP(AF98,CZ:CZ,1,FALSE)),0,1)*IF(ISERROR(VLOOKUP(AH98,CZ:CZ,1,FALSE)),0,1)*AN98</f>
        <v/>
      </c>
      <c r="BA98" s="13">
        <f>IF(ISERROR(VLOOKUP(AF98,CZ:CZ,1,FALSE)),0,1)*IF(ISERROR(VLOOKUP(AH98,CZ:CZ,1,FALSE)),0,1)*AO98</f>
        <v/>
      </c>
      <c r="BB98" s="13">
        <f>IF(ISERROR(VLOOKUP(AF98,CZ:CZ,1,FALSE)),0,1)*IF(ISERROR(VLOOKUP(AH98,CZ:CZ,1,FALSE)),0,1)*AP98</f>
        <v/>
      </c>
      <c r="BC98" s="13">
        <f>IF(ISERROR(VLOOKUP(AF98,CZ:CZ,1,FALSE)),0,1)*IF(ISERROR(VLOOKUP(AH98,CZ:CZ,1,FALSE)),0,1)*AQ98</f>
        <v/>
      </c>
      <c r="BD98" s="13">
        <f>IF(ISERROR(VLOOKUP(AF98,CZ:CZ,1,FALSE)),0,1)*IF(ISERROR(VLOOKUP(AH98,CZ:CZ,1,FALSE)),0,1)*AR98</f>
        <v/>
      </c>
      <c r="BE98" s="13">
        <f>IF(ISERROR(VLOOKUP(AF98,CZ:CZ,1,FALSE)),0,1)*IF(ISERROR(VLOOKUP(AH98,CZ:CZ,1,FALSE)),0,1)*AS98</f>
        <v/>
      </c>
      <c r="BF98" s="13">
        <f>IF(ISERROR(VLOOKUP(AF98,DT:DT,1,FALSE)),0,1)*IF(ISERROR(VLOOKUP(AH98,DT:DT,1,FALSE)),0,1)*AN98</f>
        <v/>
      </c>
      <c r="BG98" s="13">
        <f>IF(ISERROR(VLOOKUP(AF98,DT:DT,1,FALSE)),0,1)*IF(ISERROR(VLOOKUP(AH98,DT:DT,1,FALSE)),0,1)*AO98</f>
        <v/>
      </c>
      <c r="BH98" s="13">
        <f>IF(ISERROR(VLOOKUP(AF98,DT:DT,1,FALSE)),0,1)*IF(ISERROR(VLOOKUP(AH98,DT:DT,1,FALSE)),0,1)*AP98</f>
        <v/>
      </c>
      <c r="BI98" s="13">
        <f>IF(ISERROR(VLOOKUP(AF98,DT:DT,1,FALSE)),0,1)*IF(ISERROR(VLOOKUP(AH98,DT:DT,1,FALSE)),0,1)*AQ98</f>
        <v/>
      </c>
      <c r="BJ98" s="13">
        <f>IF(ISERROR(VLOOKUP(AF98,DT:DT,1,FALSE)),0,1)*IF(ISERROR(VLOOKUP(AH98,DT:DT,1,FALSE)),0,1)*AR98</f>
        <v/>
      </c>
      <c r="BK98" s="13">
        <f>IF(ISERROR(VLOOKUP(AF98,DT:DT,1,FALSE)),0,1)*IF(ISERROR(VLOOKUP(AH98,DT:DT,1,FALSE)),0,1)*AS98</f>
        <v/>
      </c>
      <c r="BL98" s="13">
        <f>IF(ISERROR(VLOOKUP(AF98,EN:EN,1,FALSE)),0,1)*IF(ISERROR(VLOOKUP(AH98,EN:EN,1,FALSE)),0,1)*AN98</f>
        <v/>
      </c>
      <c r="BM98" s="13">
        <f>IF(ISERROR(VLOOKUP(AF98,EN:EN,1,FALSE)),0,1)*IF(ISERROR(VLOOKUP(AH98,EN:EN,1,FALSE)),0,1)*AO98</f>
        <v/>
      </c>
      <c r="BN98" s="13">
        <f>IF(ISERROR(VLOOKUP(AF98,EN:EN,1,FALSE)),0,1)*IF(ISERROR(VLOOKUP(AH98,EN:EN,1,FALSE)),0,1)*AP98</f>
        <v/>
      </c>
      <c r="BO98" s="13">
        <f>IF(ISERROR(VLOOKUP(AF98,EN:EN,1,FALSE)),0,1)*IF(ISERROR(VLOOKUP(AH98,EN:EN,1,FALSE)),0,1)*AQ98</f>
        <v/>
      </c>
      <c r="BP98" s="13">
        <f>IF(ISERROR(VLOOKUP(AF98,EN:EN,1,FALSE)),0,1)*IF(ISERROR(VLOOKUP(AH98,EN:EN,1,FALSE)),0,1)*AR98</f>
        <v/>
      </c>
      <c r="BQ98" s="13">
        <f>IF(ISERROR(VLOOKUP(AF98,EN:EN,1,FALSE)),0,1)*IF(ISERROR(VLOOKUP(AH98,EN:EN,1,FALSE)),0,1)*AS98</f>
        <v/>
      </c>
      <c r="FZ98" s="79" t="n">
        <v>96</v>
      </c>
      <c r="GA98" s="3">
        <f>GB98&amp;GC98&amp;GD98&amp;GE98&amp;GF98&amp;GG98&amp;GH98&amp;GI98</f>
        <v/>
      </c>
      <c r="GB98" s="3" t="inlineStr">
        <is>
          <t>E</t>
        </is>
      </c>
      <c r="GC98" s="3" t="inlineStr">
        <is>
          <t>J</t>
        </is>
      </c>
      <c r="GD98" s="3" t="inlineStr">
        <is>
          <t>B</t>
        </is>
      </c>
      <c r="GE98" s="3" t="inlineStr">
        <is>
          <t>C</t>
        </is>
      </c>
      <c r="GF98" s="3" t="inlineStr">
        <is>
          <t>I</t>
        </is>
      </c>
      <c r="GG98" s="3" t="inlineStr">
        <is>
          <t>F</t>
        </is>
      </c>
      <c r="GH98" s="3" t="inlineStr">
        <is>
          <t>L</t>
        </is>
      </c>
      <c r="GI98" s="3" t="inlineStr">
        <is>
          <t>K</t>
        </is>
      </c>
      <c r="GJ98" s="9">
        <f>VLOOKUP(GB98,$FM$3:$FN$15,2,FALSE)</f>
        <v/>
      </c>
      <c r="GK98" s="9">
        <f>VLOOKUP(GC98,$FM$3:$FN$15,2,FALSE)</f>
        <v/>
      </c>
      <c r="GL98" s="9">
        <f>VLOOKUP(GD98,$FM$3:$FN$15,2,FALSE)</f>
        <v/>
      </c>
      <c r="GM98" s="9">
        <f>VLOOKUP(GE98,$FM$3:$FN$15,2,FALSE)</f>
        <v/>
      </c>
      <c r="GN98" s="9">
        <f>VLOOKUP(GF98,$FM$3:$FN$15,2,FALSE)</f>
        <v/>
      </c>
      <c r="GO98" s="9">
        <f>VLOOKUP(GG98,$FM$3:$FN$15,2,FALSE)</f>
        <v/>
      </c>
      <c r="GP98" s="9">
        <f>VLOOKUP(GH98,$FM$3:$FN$15,2,FALSE)</f>
        <v/>
      </c>
      <c r="GQ98" s="9">
        <f>VLOOKUP(GI98,$FM$3:$FN$15,2,FALSE)</f>
        <v/>
      </c>
      <c r="GR98" s="9">
        <f>IFERROR(IF(AND(VLOOKUP(GB98,$FX$4:$FX$15,1,FALSE)=GB98,VLOOKUP(GC98,$FX$4:$FX$15,1,FALSE)=GC98,VLOOKUP(GD98,$FX$4:$FX$15,1,FALSE)=GD98,VLOOKUP(GE98,$FX$4:$FX$15,1,FALSE)=GE98,VLOOKUP(GF98,$FX$4:$FX$15,1,FALSE)=GF98,VLOOKUP(GG98,$FX$4:$FX$15,1,FALSE)=GG98,VLOOKUP(GH98,$FX$4:$FX$15,1,FALSE)=GH98,VLOOKUP(GI98,$FX$4:$FX$15,1,FALSE)=GI98),FZ98,""),"")</f>
        <v/>
      </c>
      <c r="GX98" s="142" t="n"/>
    </row>
    <row r="99" ht="14.25" customHeight="1">
      <c r="B99" s="58" t="n">
        <v>72</v>
      </c>
      <c r="C99" s="59" t="n">
        <v>46201</v>
      </c>
      <c r="D99" s="60" t="inlineStr">
        <is>
          <t>Kongo</t>
        </is>
      </c>
      <c r="E99" s="61" t="inlineStr">
        <is>
          <t>-</t>
        </is>
      </c>
      <c r="F99" s="62" t="inlineStr">
        <is>
          <t>Uzbekistan</t>
        </is>
      </c>
      <c r="G99" s="63" t="n">
        <v>0</v>
      </c>
      <c r="H99" s="64" t="inlineStr">
        <is>
          <t>-</t>
        </is>
      </c>
      <c r="I99" s="63" t="n">
        <v>1</v>
      </c>
      <c r="J99" s="65">
        <f>IF(OR(ISBLANK(G99),ISBLANK(I99)),"",IF(G99&gt;I99,1,IF(G99&lt;I99,2,"X")))</f>
        <v/>
      </c>
      <c r="K99" s="66">
        <f>IF(OR(G99="",I99="",'[1]Resultat &amp; tabell'!G99="",'[1]Resultat &amp; tabell'!I99=""),0,IF(G99='[1]Resultat &amp; tabell'!G99,2,0)+IF(I99='[1]Resultat &amp; tabell'!I99,2,0)+IF(J99='[1]Resultat &amp; tabell'!J99,2,0))</f>
        <v/>
      </c>
      <c r="L99" s="67" t="n"/>
      <c r="M99" s="29">
        <f>IF(VLOOKUP(D99,$BT$93:$CC$97,10,FALSE)=VLOOKUP(F99,$BT$93:$CC$97,10,FALSE),VLOOKUP(D99,$BT$93:$CC$97,10,FALSE),"-")</f>
        <v/>
      </c>
      <c r="X99" s="1" t="n"/>
      <c r="AE99" s="72">
        <f>C99</f>
        <v/>
      </c>
      <c r="AF99" s="72">
        <f>D99</f>
        <v/>
      </c>
      <c r="AG99" s="72">
        <f>E99</f>
        <v/>
      </c>
      <c r="AH99" s="72">
        <f>F99</f>
        <v/>
      </c>
      <c r="AI99" s="63">
        <f>IF(G99="","",G99)</f>
        <v/>
      </c>
      <c r="AJ99" s="58">
        <f>H99</f>
        <v/>
      </c>
      <c r="AK99" s="63">
        <f>IF(I99="","",I99)</f>
        <v/>
      </c>
      <c r="AL99" s="65">
        <f>J99</f>
        <v/>
      </c>
      <c r="AM99" s="73" t="n"/>
      <c r="AN99" s="13">
        <f>IF(AI99&gt;AK99,1,0)</f>
        <v/>
      </c>
      <c r="AO99" s="13">
        <f>IF(AK99&gt;AI99,1,0)</f>
        <v/>
      </c>
      <c r="AP99" s="13">
        <f>IF(AND(AI99=AK99,AI99&lt;&gt;""),1,0)</f>
        <v/>
      </c>
      <c r="AQ99" s="13">
        <f>IF(AND(AI99=AK99,AI99&lt;&gt;""),1,0)</f>
        <v/>
      </c>
      <c r="AR99" s="13">
        <f>IF(AI99&lt;AK99,1,0)</f>
        <v/>
      </c>
      <c r="AS99" s="13">
        <f>IF(AK99&lt;AI99,1,)</f>
        <v/>
      </c>
      <c r="AT99" s="13">
        <f>IF(ISERROR(VLOOKUP(AF99,CF:CF,1,FALSE)),0,1)*IF(ISERROR(VLOOKUP(AH99,CF:CF,1,FALSE)),0,1)*AN99</f>
        <v/>
      </c>
      <c r="AU99" s="13">
        <f>IF(ISERROR(VLOOKUP(AF99,CF:CF,1,FALSE)),0,1)*IF(ISERROR(VLOOKUP(AH99,CF:CF,1,FALSE)),0,1)*AO99</f>
        <v/>
      </c>
      <c r="AV99" s="13">
        <f>IF(ISERROR(VLOOKUP(AF99,CF:CF,1,FALSE)),0,1)*IF(ISERROR(VLOOKUP(AH99,CF:CF,1,FALSE)),0,1)*AP99</f>
        <v/>
      </c>
      <c r="AW99" s="13">
        <f>IF(ISERROR(VLOOKUP(AF99,CF:CF,1,FALSE)),0,1)*IF(ISERROR(VLOOKUP(AH99,CF:CF,1,FALSE)),0,1)*AQ99</f>
        <v/>
      </c>
      <c r="AX99" s="13">
        <f>IF(ISERROR(VLOOKUP(AF99,CF:CF,1,FALSE)),0,1)*IF(ISERROR(VLOOKUP(AH99,CF:CF,1,FALSE)),0,1)*AR99</f>
        <v/>
      </c>
      <c r="AY99" s="13">
        <f>IF(ISERROR(VLOOKUP(AF99,CF:CF,1,FALSE)),0,1)*IF(ISERROR(VLOOKUP(AH99,CF:CF,1,FALSE)),0,1)*AS99</f>
        <v/>
      </c>
      <c r="AZ99" s="13">
        <f>IF(ISERROR(VLOOKUP(AF99,CZ:CZ,1,FALSE)),0,1)*IF(ISERROR(VLOOKUP(AH99,CZ:CZ,1,FALSE)),0,1)*AN99</f>
        <v/>
      </c>
      <c r="BA99" s="13">
        <f>IF(ISERROR(VLOOKUP(AF99,CZ:CZ,1,FALSE)),0,1)*IF(ISERROR(VLOOKUP(AH99,CZ:CZ,1,FALSE)),0,1)*AO99</f>
        <v/>
      </c>
      <c r="BB99" s="13">
        <f>IF(ISERROR(VLOOKUP(AF99,CZ:CZ,1,FALSE)),0,1)*IF(ISERROR(VLOOKUP(AH99,CZ:CZ,1,FALSE)),0,1)*AP99</f>
        <v/>
      </c>
      <c r="BC99" s="13">
        <f>IF(ISERROR(VLOOKUP(AF99,CZ:CZ,1,FALSE)),0,1)*IF(ISERROR(VLOOKUP(AH99,CZ:CZ,1,FALSE)),0,1)*AQ99</f>
        <v/>
      </c>
      <c r="BD99" s="13">
        <f>IF(ISERROR(VLOOKUP(AF99,CZ:CZ,1,FALSE)),0,1)*IF(ISERROR(VLOOKUP(AH99,CZ:CZ,1,FALSE)),0,1)*AR99</f>
        <v/>
      </c>
      <c r="BE99" s="13">
        <f>IF(ISERROR(VLOOKUP(AF99,CZ:CZ,1,FALSE)),0,1)*IF(ISERROR(VLOOKUP(AH99,CZ:CZ,1,FALSE)),0,1)*AS99</f>
        <v/>
      </c>
      <c r="BF99" s="13">
        <f>IF(ISERROR(VLOOKUP(AF99,DT:DT,1,FALSE)),0,1)*IF(ISERROR(VLOOKUP(AH99,DT:DT,1,FALSE)),0,1)*AN99</f>
        <v/>
      </c>
      <c r="BG99" s="13">
        <f>IF(ISERROR(VLOOKUP(AF99,DT:DT,1,FALSE)),0,1)*IF(ISERROR(VLOOKUP(AH99,DT:DT,1,FALSE)),0,1)*AO99</f>
        <v/>
      </c>
      <c r="BH99" s="13">
        <f>IF(ISERROR(VLOOKUP(AF99,DT:DT,1,FALSE)),0,1)*IF(ISERROR(VLOOKUP(AH99,DT:DT,1,FALSE)),0,1)*AP99</f>
        <v/>
      </c>
      <c r="BI99" s="13">
        <f>IF(ISERROR(VLOOKUP(AF99,DT:DT,1,FALSE)),0,1)*IF(ISERROR(VLOOKUP(AH99,DT:DT,1,FALSE)),0,1)*AQ99</f>
        <v/>
      </c>
      <c r="BJ99" s="13">
        <f>IF(ISERROR(VLOOKUP(AF99,DT:DT,1,FALSE)),0,1)*IF(ISERROR(VLOOKUP(AH99,DT:DT,1,FALSE)),0,1)*AR99</f>
        <v/>
      </c>
      <c r="BK99" s="13">
        <f>IF(ISERROR(VLOOKUP(AF99,DT:DT,1,FALSE)),0,1)*IF(ISERROR(VLOOKUP(AH99,DT:DT,1,FALSE)),0,1)*AS99</f>
        <v/>
      </c>
      <c r="BL99" s="13">
        <f>IF(ISERROR(VLOOKUP(AF99,EN:EN,1,FALSE)),0,1)*IF(ISERROR(VLOOKUP(AH99,EN:EN,1,FALSE)),0,1)*AN99</f>
        <v/>
      </c>
      <c r="BM99" s="13">
        <f>IF(ISERROR(VLOOKUP(AF99,EN:EN,1,FALSE)),0,1)*IF(ISERROR(VLOOKUP(AH99,EN:EN,1,FALSE)),0,1)*AO99</f>
        <v/>
      </c>
      <c r="BN99" s="13">
        <f>IF(ISERROR(VLOOKUP(AF99,EN:EN,1,FALSE)),0,1)*IF(ISERROR(VLOOKUP(AH99,EN:EN,1,FALSE)),0,1)*AP99</f>
        <v/>
      </c>
      <c r="BO99" s="13">
        <f>IF(ISERROR(VLOOKUP(AF99,EN:EN,1,FALSE)),0,1)*IF(ISERROR(VLOOKUP(AH99,EN:EN,1,FALSE)),0,1)*AQ99</f>
        <v/>
      </c>
      <c r="BP99" s="13">
        <f>IF(ISERROR(VLOOKUP(AF99,EN:EN,1,FALSE)),0,1)*IF(ISERROR(VLOOKUP(AH99,EN:EN,1,FALSE)),0,1)*AR99</f>
        <v/>
      </c>
      <c r="BQ99" s="13">
        <f>IF(ISERROR(VLOOKUP(AF99,EN:EN,1,FALSE)),0,1)*IF(ISERROR(VLOOKUP(AH99,EN:EN,1,FALSE)),0,1)*AS99</f>
        <v/>
      </c>
      <c r="FZ99" s="79" t="n">
        <v>97</v>
      </c>
      <c r="GA99" s="3">
        <f>GB99&amp;GC99&amp;GD99&amp;GE99&amp;GF99&amp;GG99&amp;GH99&amp;GI99</f>
        <v/>
      </c>
      <c r="GB99" s="3" t="inlineStr">
        <is>
          <t>E</t>
        </is>
      </c>
      <c r="GC99" s="3" t="inlineStr">
        <is>
          <t>J</t>
        </is>
      </c>
      <c r="GD99" s="3" t="inlineStr">
        <is>
          <t>B</t>
        </is>
      </c>
      <c r="GE99" s="3" t="inlineStr">
        <is>
          <t>C</t>
        </is>
      </c>
      <c r="GF99" s="3" t="inlineStr">
        <is>
          <t>H</t>
        </is>
      </c>
      <c r="GG99" s="3" t="inlineStr">
        <is>
          <t>F</t>
        </is>
      </c>
      <c r="GH99" s="3" t="inlineStr">
        <is>
          <t>L</t>
        </is>
      </c>
      <c r="GI99" s="3" t="inlineStr">
        <is>
          <t>K</t>
        </is>
      </c>
      <c r="GJ99" s="9">
        <f>VLOOKUP(GB99,$FM$3:$FN$15,2,FALSE)</f>
        <v/>
      </c>
      <c r="GK99" s="9">
        <f>VLOOKUP(GC99,$FM$3:$FN$15,2,FALSE)</f>
        <v/>
      </c>
      <c r="GL99" s="9">
        <f>VLOOKUP(GD99,$FM$3:$FN$15,2,FALSE)</f>
        <v/>
      </c>
      <c r="GM99" s="9">
        <f>VLOOKUP(GE99,$FM$3:$FN$15,2,FALSE)</f>
        <v/>
      </c>
      <c r="GN99" s="9">
        <f>VLOOKUP(GF99,$FM$3:$FN$15,2,FALSE)</f>
        <v/>
      </c>
      <c r="GO99" s="9">
        <f>VLOOKUP(GG99,$FM$3:$FN$15,2,FALSE)</f>
        <v/>
      </c>
      <c r="GP99" s="9">
        <f>VLOOKUP(GH99,$FM$3:$FN$15,2,FALSE)</f>
        <v/>
      </c>
      <c r="GQ99" s="9">
        <f>VLOOKUP(GI99,$FM$3:$FN$15,2,FALSE)</f>
        <v/>
      </c>
      <c r="GR99" s="9">
        <f>IFERROR(IF(AND(VLOOKUP(GB99,$FX$4:$FX$15,1,FALSE)=GB99,VLOOKUP(GC99,$FX$4:$FX$15,1,FALSE)=GC99,VLOOKUP(GD99,$FX$4:$FX$15,1,FALSE)=GD99,VLOOKUP(GE99,$FX$4:$FX$15,1,FALSE)=GE99,VLOOKUP(GF99,$FX$4:$FX$15,1,FALSE)=GF99,VLOOKUP(GG99,$FX$4:$FX$15,1,FALSE)=GG99,VLOOKUP(GH99,$FX$4:$FX$15,1,FALSE)=GH99,VLOOKUP(GI99,$FX$4:$FX$15,1,FALSE)=GI99),FZ99,""),"")</f>
        <v/>
      </c>
      <c r="GX99" s="142" t="n"/>
    </row>
    <row r="100" ht="14.25" customHeight="1">
      <c r="B100" s="3" t="n"/>
      <c r="C100" s="94" t="n"/>
      <c r="D100" s="143" t="n"/>
      <c r="F100" s="143" t="n"/>
      <c r="G100" s="139" t="n"/>
      <c r="H100" s="100" t="n"/>
      <c r="I100" s="139" t="n"/>
      <c r="J100" s="79" t="n"/>
      <c r="K100" s="73" t="n"/>
      <c r="L100" s="67" t="n"/>
      <c r="X100" s="1" t="n"/>
      <c r="AE100" s="94" t="n"/>
      <c r="AF100" s="143" t="n"/>
      <c r="AG100" s="3" t="n"/>
      <c r="AH100" s="143" t="n"/>
      <c r="AI100" s="139" t="n"/>
      <c r="AJ100" s="105" t="n"/>
      <c r="AK100" s="139" t="n"/>
      <c r="AL100" s="79" t="n"/>
      <c r="AM100" s="73" t="n"/>
      <c r="FZ100" s="79" t="n">
        <v>98</v>
      </c>
      <c r="GA100" s="3">
        <f>GB100&amp;GC100&amp;GD100&amp;GE100&amp;GF100&amp;GG100&amp;GH100&amp;GI100</f>
        <v/>
      </c>
      <c r="GB100" s="3" t="inlineStr">
        <is>
          <t>E</t>
        </is>
      </c>
      <c r="GC100" s="3" t="inlineStr">
        <is>
          <t>I</t>
        </is>
      </c>
      <c r="GD100" s="3" t="inlineStr">
        <is>
          <t>B</t>
        </is>
      </c>
      <c r="GE100" s="3" t="inlineStr">
        <is>
          <t>C</t>
        </is>
      </c>
      <c r="GF100" s="3" t="inlineStr">
        <is>
          <t>H</t>
        </is>
      </c>
      <c r="GG100" s="3" t="inlineStr">
        <is>
          <t>F</t>
        </is>
      </c>
      <c r="GH100" s="3" t="inlineStr">
        <is>
          <t>L</t>
        </is>
      </c>
      <c r="GI100" s="3" t="inlineStr">
        <is>
          <t>K</t>
        </is>
      </c>
      <c r="GJ100" s="9">
        <f>VLOOKUP(GB100,$FM$3:$FN$15,2,FALSE)</f>
        <v/>
      </c>
      <c r="GK100" s="9">
        <f>VLOOKUP(GC100,$FM$3:$FN$15,2,FALSE)</f>
        <v/>
      </c>
      <c r="GL100" s="9">
        <f>VLOOKUP(GD100,$FM$3:$FN$15,2,FALSE)</f>
        <v/>
      </c>
      <c r="GM100" s="9">
        <f>VLOOKUP(GE100,$FM$3:$FN$15,2,FALSE)</f>
        <v/>
      </c>
      <c r="GN100" s="9">
        <f>VLOOKUP(GF100,$FM$3:$FN$15,2,FALSE)</f>
        <v/>
      </c>
      <c r="GO100" s="9">
        <f>VLOOKUP(GG100,$FM$3:$FN$15,2,FALSE)</f>
        <v/>
      </c>
      <c r="GP100" s="9">
        <f>VLOOKUP(GH100,$FM$3:$FN$15,2,FALSE)</f>
        <v/>
      </c>
      <c r="GQ100" s="9">
        <f>VLOOKUP(GI100,$FM$3:$FN$15,2,FALSE)</f>
        <v/>
      </c>
      <c r="GR100" s="9">
        <f>IFERROR(IF(AND(VLOOKUP(GB100,$FX$4:$FX$15,1,FALSE)=GB100,VLOOKUP(GC100,$FX$4:$FX$15,1,FALSE)=GC100,VLOOKUP(GD100,$FX$4:$FX$15,1,FALSE)=GD100,VLOOKUP(GE100,$FX$4:$FX$15,1,FALSE)=GE100,VLOOKUP(GF100,$FX$4:$FX$15,1,FALSE)=GF100,VLOOKUP(GG100,$FX$4:$FX$15,1,FALSE)=GG100,VLOOKUP(GH100,$FX$4:$FX$15,1,FALSE)=GH100,VLOOKUP(GI100,$FX$4:$FX$15,1,FALSE)=GI100),FZ100,""),"")</f>
        <v/>
      </c>
      <c r="GX100" s="142" t="n"/>
    </row>
    <row r="101" ht="14.25" customHeight="1">
      <c r="B101" s="19" t="inlineStr">
        <is>
          <t>Grupp L</t>
        </is>
      </c>
      <c r="C101" s="97" t="n"/>
      <c r="D101" s="126" t="n"/>
      <c r="E101" s="33" t="n"/>
      <c r="F101" s="126" t="n"/>
      <c r="G101" s="25" t="n"/>
      <c r="H101" s="25" t="n"/>
      <c r="I101" s="25" t="n"/>
      <c r="J101" s="23" t="n"/>
      <c r="K101" s="16" t="n"/>
      <c r="L101" s="49" t="n"/>
      <c r="O101" s="19" t="inlineStr">
        <is>
          <t>Grupp L</t>
        </is>
      </c>
      <c r="X101" s="1" t="n"/>
      <c r="AE101" s="19" t="inlineStr">
        <is>
          <t>Grupp L</t>
        </is>
      </c>
      <c r="AF101" s="126" t="n"/>
      <c r="AG101" s="33" t="n"/>
      <c r="AH101" s="126" t="n"/>
      <c r="AI101" s="33" t="n"/>
      <c r="AJ101" s="33" t="n"/>
      <c r="AK101" s="33" t="n"/>
      <c r="AL101" s="23" t="n"/>
      <c r="AM101" s="16" t="n"/>
      <c r="AN101" s="16" t="n"/>
      <c r="BT101" s="39" t="inlineStr">
        <is>
          <t>Rank 0</t>
        </is>
      </c>
      <c r="BU101" s="34" t="n"/>
      <c r="BV101" s="34" t="n"/>
      <c r="BW101" s="34" t="n"/>
      <c r="BX101" s="34" t="n"/>
      <c r="BY101" s="34" t="n"/>
      <c r="BZ101" s="34" t="n"/>
      <c r="CA101" s="34" t="n"/>
      <c r="CB101" s="39" t="n"/>
      <c r="CC101" s="34" t="n"/>
      <c r="CD101" s="34" t="n"/>
      <c r="CF101" s="40" t="inlineStr">
        <is>
          <t>Rank 1</t>
        </is>
      </c>
      <c r="CG101" s="35">
        <f>COUNTIF(CC103:CC106,1)</f>
        <v/>
      </c>
      <c r="CH101" s="35" t="n"/>
      <c r="CI101" s="35" t="n"/>
      <c r="CJ101" s="35" t="n"/>
      <c r="CK101" s="35" t="n"/>
      <c r="CL101" s="35" t="n"/>
      <c r="CM101" s="35" t="n"/>
      <c r="CN101" s="35" t="n"/>
      <c r="CO101" s="35" t="n"/>
      <c r="CP101" s="35" t="n"/>
      <c r="CZ101" s="41" t="inlineStr">
        <is>
          <t>Rank 2</t>
        </is>
      </c>
      <c r="DA101" s="36">
        <f>COUNTIF(CC103:CC106,2)</f>
        <v/>
      </c>
      <c r="DB101" s="36" t="n"/>
      <c r="DC101" s="36" t="n"/>
      <c r="DD101" s="36" t="n"/>
      <c r="DE101" s="36" t="n"/>
      <c r="DF101" s="36" t="n"/>
      <c r="DG101" s="36" t="n"/>
      <c r="DH101" s="36" t="n"/>
      <c r="DI101" s="36" t="n"/>
      <c r="DJ101" s="41" t="n"/>
      <c r="DT101" s="37" t="inlineStr">
        <is>
          <t>Rank 3</t>
        </is>
      </c>
      <c r="DU101" s="37">
        <f>COUNTIF(CC103:CC106,3)</f>
        <v/>
      </c>
      <c r="DV101" s="37" t="n"/>
      <c r="DW101" s="37" t="n"/>
      <c r="DX101" s="37" t="n"/>
      <c r="DY101" s="37" t="n"/>
      <c r="DZ101" s="37" t="n"/>
      <c r="EA101" s="37" t="n"/>
      <c r="EB101" s="37" t="n"/>
      <c r="EC101" s="37" t="n"/>
      <c r="ED101" s="37" t="n"/>
      <c r="EN101" s="38" t="inlineStr">
        <is>
          <t>Rank 4</t>
        </is>
      </c>
      <c r="EO101" s="38">
        <f>COUNTIF(CC103:CC106,4)</f>
        <v/>
      </c>
      <c r="EP101" s="38" t="n"/>
      <c r="EQ101" s="38" t="n"/>
      <c r="ER101" s="38" t="n"/>
      <c r="ES101" s="38" t="n"/>
      <c r="ET101" s="38" t="n"/>
      <c r="EU101" s="38" t="n"/>
      <c r="EV101" s="38" t="n"/>
      <c r="EW101" s="38" t="n"/>
      <c r="EX101" s="38" t="n"/>
      <c r="FZ101" s="79" t="n">
        <v>99</v>
      </c>
      <c r="GA101" s="3">
        <f>GB101&amp;GC101&amp;GD101&amp;GE101&amp;GF101&amp;GG101&amp;GH101&amp;GI101</f>
        <v/>
      </c>
      <c r="GB101" s="3" t="inlineStr">
        <is>
          <t>E</t>
        </is>
      </c>
      <c r="GC101" s="3" t="inlineStr">
        <is>
          <t>J</t>
        </is>
      </c>
      <c r="GD101" s="3" t="inlineStr">
        <is>
          <t>B</t>
        </is>
      </c>
      <c r="GE101" s="3" t="inlineStr">
        <is>
          <t>C</t>
        </is>
      </c>
      <c r="GF101" s="3" t="inlineStr">
        <is>
          <t>H</t>
        </is>
      </c>
      <c r="GG101" s="3" t="inlineStr">
        <is>
          <t>F</t>
        </is>
      </c>
      <c r="GH101" s="3" t="inlineStr">
        <is>
          <t>L</t>
        </is>
      </c>
      <c r="GI101" s="3" t="inlineStr">
        <is>
          <t>I</t>
        </is>
      </c>
      <c r="GJ101" s="9">
        <f>VLOOKUP(GB101,$FM$3:$FN$15,2,FALSE)</f>
        <v/>
      </c>
      <c r="GK101" s="9">
        <f>VLOOKUP(GC101,$FM$3:$FN$15,2,FALSE)</f>
        <v/>
      </c>
      <c r="GL101" s="9">
        <f>VLOOKUP(GD101,$FM$3:$FN$15,2,FALSE)</f>
        <v/>
      </c>
      <c r="GM101" s="9">
        <f>VLOOKUP(GE101,$FM$3:$FN$15,2,FALSE)</f>
        <v/>
      </c>
      <c r="GN101" s="9">
        <f>VLOOKUP(GF101,$FM$3:$FN$15,2,FALSE)</f>
        <v/>
      </c>
      <c r="GO101" s="9">
        <f>VLOOKUP(GG101,$FM$3:$FN$15,2,FALSE)</f>
        <v/>
      </c>
      <c r="GP101" s="9">
        <f>VLOOKUP(GH101,$FM$3:$FN$15,2,FALSE)</f>
        <v/>
      </c>
      <c r="GQ101" s="9">
        <f>VLOOKUP(GI101,$FM$3:$FN$15,2,FALSE)</f>
        <v/>
      </c>
      <c r="GR101" s="9">
        <f>IFERROR(IF(AND(VLOOKUP(GB101,$FX$4:$FX$15,1,FALSE)=GB101,VLOOKUP(GC101,$FX$4:$FX$15,1,FALSE)=GC101,VLOOKUP(GD101,$FX$4:$FX$15,1,FALSE)=GD101,VLOOKUP(GE101,$FX$4:$FX$15,1,FALSE)=GE101,VLOOKUP(GF101,$FX$4:$FX$15,1,FALSE)=GF101,VLOOKUP(GG101,$FX$4:$FX$15,1,FALSE)=GG101,VLOOKUP(GH101,$FX$4:$FX$15,1,FALSE)=GH101,VLOOKUP(GI101,$FX$4:$FX$15,1,FALSE)=GI101),FZ101,""),"")</f>
        <v/>
      </c>
      <c r="GX101" s="142" t="n"/>
    </row>
    <row r="102" ht="14.25" customHeight="1">
      <c r="B102" s="117" t="inlineStr">
        <is>
          <t>Match</t>
        </is>
      </c>
      <c r="C102" s="107" t="inlineStr">
        <is>
          <t>Datum</t>
        </is>
      </c>
      <c r="D102" s="210" t="inlineStr">
        <is>
          <t>Match</t>
        </is>
      </c>
      <c r="E102" s="211" t="n"/>
      <c r="F102" s="212" t="n"/>
      <c r="G102" s="184" t="inlineStr">
        <is>
          <t>Resultat</t>
        </is>
      </c>
      <c r="H102" s="217" t="n"/>
      <c r="I102" s="217" t="n"/>
      <c r="J102" s="47" t="inlineStr">
        <is>
          <t>1X2</t>
        </is>
      </c>
      <c r="K102" s="48" t="inlineStr">
        <is>
          <t>Poäng</t>
        </is>
      </c>
      <c r="L102" s="49" t="n"/>
      <c r="O102" s="51" t="inlineStr">
        <is>
          <t>Lag</t>
        </is>
      </c>
      <c r="P102" s="186" t="inlineStr">
        <is>
          <t>V</t>
        </is>
      </c>
      <c r="Q102" s="186" t="inlineStr">
        <is>
          <t>O</t>
        </is>
      </c>
      <c r="R102" s="186" t="inlineStr">
        <is>
          <t>F</t>
        </is>
      </c>
      <c r="S102" s="186" t="inlineStr">
        <is>
          <t>GM</t>
        </is>
      </c>
      <c r="T102" s="186" t="inlineStr">
        <is>
          <t>IM</t>
        </is>
      </c>
      <c r="U102" s="186" t="inlineStr">
        <is>
          <t>+/-</t>
        </is>
      </c>
      <c r="V102" s="187" t="inlineStr">
        <is>
          <t>P</t>
        </is>
      </c>
      <c r="X102" s="1" t="n"/>
      <c r="AE102" s="107" t="inlineStr">
        <is>
          <t>Datum</t>
        </is>
      </c>
      <c r="AF102" s="210" t="inlineStr">
        <is>
          <t>Match</t>
        </is>
      </c>
      <c r="AG102" s="211" t="n"/>
      <c r="AH102" s="212" t="n"/>
      <c r="AI102" s="182" t="inlineStr">
        <is>
          <t>Resultat</t>
        </is>
      </c>
      <c r="AJ102" s="211" t="n"/>
      <c r="AK102" s="211" t="n"/>
      <c r="AL102" s="47" t="inlineStr">
        <is>
          <t>Tecken</t>
        </is>
      </c>
      <c r="AM102" s="16" t="n"/>
      <c r="AN102" s="34" t="inlineStr">
        <is>
          <t>V1</t>
        </is>
      </c>
      <c r="AO102" s="34" t="inlineStr">
        <is>
          <t>V2</t>
        </is>
      </c>
      <c r="AP102" s="34" t="inlineStr">
        <is>
          <t>O1</t>
        </is>
      </c>
      <c r="AQ102" s="34" t="inlineStr">
        <is>
          <t>O2</t>
        </is>
      </c>
      <c r="AR102" s="34" t="inlineStr">
        <is>
          <t>F1</t>
        </is>
      </c>
      <c r="AS102" s="34" t="inlineStr">
        <is>
          <t>F2</t>
        </is>
      </c>
      <c r="AT102" s="35" t="inlineStr">
        <is>
          <t>V1</t>
        </is>
      </c>
      <c r="AU102" s="35" t="inlineStr">
        <is>
          <t>V2</t>
        </is>
      </c>
      <c r="AV102" s="35" t="inlineStr">
        <is>
          <t>O1</t>
        </is>
      </c>
      <c r="AW102" s="35" t="inlineStr">
        <is>
          <t>O2</t>
        </is>
      </c>
      <c r="AX102" s="35" t="inlineStr">
        <is>
          <t>F1</t>
        </is>
      </c>
      <c r="AY102" s="35" t="inlineStr">
        <is>
          <t>F2</t>
        </is>
      </c>
      <c r="AZ102" s="36" t="inlineStr">
        <is>
          <t>V1</t>
        </is>
      </c>
      <c r="BA102" s="36" t="inlineStr">
        <is>
          <t>V2</t>
        </is>
      </c>
      <c r="BB102" s="36" t="inlineStr">
        <is>
          <t>O1</t>
        </is>
      </c>
      <c r="BC102" s="36" t="inlineStr">
        <is>
          <t>O2</t>
        </is>
      </c>
      <c r="BD102" s="36" t="inlineStr">
        <is>
          <t>F1</t>
        </is>
      </c>
      <c r="BE102" s="36" t="inlineStr">
        <is>
          <t>F2</t>
        </is>
      </c>
      <c r="BF102" s="37" t="inlineStr">
        <is>
          <t>V1</t>
        </is>
      </c>
      <c r="BG102" s="37" t="inlineStr">
        <is>
          <t>V2</t>
        </is>
      </c>
      <c r="BH102" s="37" t="inlineStr">
        <is>
          <t>O1</t>
        </is>
      </c>
      <c r="BI102" s="37" t="inlineStr">
        <is>
          <t>O2</t>
        </is>
      </c>
      <c r="BJ102" s="37" t="inlineStr">
        <is>
          <t>F1</t>
        </is>
      </c>
      <c r="BK102" s="37" t="inlineStr">
        <is>
          <t>F2</t>
        </is>
      </c>
      <c r="BL102" s="38" t="inlineStr">
        <is>
          <t>V1</t>
        </is>
      </c>
      <c r="BM102" s="38" t="inlineStr">
        <is>
          <t>V2</t>
        </is>
      </c>
      <c r="BN102" s="38" t="inlineStr">
        <is>
          <t>O1</t>
        </is>
      </c>
      <c r="BO102" s="38" t="inlineStr">
        <is>
          <t>O2</t>
        </is>
      </c>
      <c r="BP102" s="38" t="inlineStr">
        <is>
          <t>F1</t>
        </is>
      </c>
      <c r="BQ102" s="38" t="inlineStr">
        <is>
          <t>F2</t>
        </is>
      </c>
      <c r="BT102" s="39" t="inlineStr">
        <is>
          <t>Lag</t>
        </is>
      </c>
      <c r="BU102" s="34" t="inlineStr">
        <is>
          <t>V</t>
        </is>
      </c>
      <c r="BV102" s="34" t="inlineStr">
        <is>
          <t>O</t>
        </is>
      </c>
      <c r="BW102" s="34" t="inlineStr">
        <is>
          <t>F</t>
        </is>
      </c>
      <c r="BX102" s="34" t="inlineStr">
        <is>
          <t>GM</t>
        </is>
      </c>
      <c r="BY102" s="34" t="inlineStr">
        <is>
          <t>IM</t>
        </is>
      </c>
      <c r="BZ102" s="34" t="inlineStr">
        <is>
          <t>+/-</t>
        </is>
      </c>
      <c r="CA102" s="34" t="inlineStr">
        <is>
          <t>P</t>
        </is>
      </c>
      <c r="CB102" s="39" t="inlineStr">
        <is>
          <t>Grupp</t>
        </is>
      </c>
      <c r="CC102" s="34" t="inlineStr">
        <is>
          <t>Rank P</t>
        </is>
      </c>
      <c r="CD102" s="34" t="inlineStr">
        <is>
          <t>Rank +/-</t>
        </is>
      </c>
      <c r="CF102" s="40" t="inlineStr">
        <is>
          <t>Lag</t>
        </is>
      </c>
      <c r="CG102" s="35" t="inlineStr">
        <is>
          <t>V</t>
        </is>
      </c>
      <c r="CH102" s="35" t="inlineStr">
        <is>
          <t>O</t>
        </is>
      </c>
      <c r="CI102" s="35" t="inlineStr">
        <is>
          <t>F</t>
        </is>
      </c>
      <c r="CJ102" s="35" t="inlineStr">
        <is>
          <t>P</t>
        </is>
      </c>
      <c r="CK102" s="35" t="inlineStr">
        <is>
          <t>Grupp</t>
        </is>
      </c>
      <c r="CL102" s="35" t="inlineStr">
        <is>
          <t>Rank P</t>
        </is>
      </c>
      <c r="CM102" s="56" t="inlineStr">
        <is>
          <t>+/-</t>
        </is>
      </c>
      <c r="CN102" s="56" t="inlineStr">
        <is>
          <t>+/- rank</t>
        </is>
      </c>
      <c r="CO102" s="56" t="inlineStr">
        <is>
          <t>GM</t>
        </is>
      </c>
      <c r="CP102" s="56" t="inlineStr">
        <is>
          <t>GM rank</t>
        </is>
      </c>
      <c r="CQ102" s="35" t="inlineStr">
        <is>
          <t>Rank internal</t>
        </is>
      </c>
      <c r="CR102" s="56" t="inlineStr">
        <is>
          <t>+/- all</t>
        </is>
      </c>
      <c r="CS102" s="56" t="inlineStr">
        <is>
          <t>+/- rank all</t>
        </is>
      </c>
      <c r="CT102" s="56" t="inlineStr">
        <is>
          <t>GM all</t>
        </is>
      </c>
      <c r="CU102" s="56" t="inlineStr">
        <is>
          <t>GM rank all</t>
        </is>
      </c>
      <c r="CV102" s="56" t="inlineStr">
        <is>
          <t>V all</t>
        </is>
      </c>
      <c r="CW102" s="56" t="inlineStr">
        <is>
          <t>V rank all</t>
        </is>
      </c>
      <c r="CX102" s="35" t="inlineStr">
        <is>
          <t>Rank all</t>
        </is>
      </c>
      <c r="CZ102" s="41" t="inlineStr">
        <is>
          <t>Lag</t>
        </is>
      </c>
      <c r="DA102" s="36" t="inlineStr">
        <is>
          <t>V</t>
        </is>
      </c>
      <c r="DB102" s="36" t="inlineStr">
        <is>
          <t>O</t>
        </is>
      </c>
      <c r="DC102" s="36" t="inlineStr">
        <is>
          <t>F</t>
        </is>
      </c>
      <c r="DD102" s="36" t="inlineStr">
        <is>
          <t>P</t>
        </is>
      </c>
      <c r="DE102" s="36" t="inlineStr">
        <is>
          <t>Grupp</t>
        </is>
      </c>
      <c r="DF102" s="36" t="inlineStr">
        <is>
          <t>Rank P</t>
        </is>
      </c>
      <c r="DG102" s="36" t="inlineStr">
        <is>
          <t>+/-</t>
        </is>
      </c>
      <c r="DH102" s="36" t="inlineStr">
        <is>
          <t>+/- rank</t>
        </is>
      </c>
      <c r="DI102" s="36" t="inlineStr">
        <is>
          <t>GM</t>
        </is>
      </c>
      <c r="DJ102" s="41" t="inlineStr">
        <is>
          <t>GM rank</t>
        </is>
      </c>
      <c r="DK102" s="41" t="inlineStr">
        <is>
          <t>Rank internal</t>
        </is>
      </c>
      <c r="DL102" s="41" t="inlineStr">
        <is>
          <t>+/- all</t>
        </is>
      </c>
      <c r="DM102" s="41" t="inlineStr">
        <is>
          <t>+/- rank all</t>
        </is>
      </c>
      <c r="DN102" s="41" t="inlineStr">
        <is>
          <t>GM all</t>
        </is>
      </c>
      <c r="DO102" s="41" t="inlineStr">
        <is>
          <t>GM rank all</t>
        </is>
      </c>
      <c r="DP102" s="41" t="inlineStr">
        <is>
          <t>V all</t>
        </is>
      </c>
      <c r="DQ102" s="41" t="inlineStr">
        <is>
          <t>V rank all</t>
        </is>
      </c>
      <c r="DR102" s="41" t="inlineStr">
        <is>
          <t>Rank all</t>
        </is>
      </c>
      <c r="DT102" s="37" t="inlineStr">
        <is>
          <t>Lag</t>
        </is>
      </c>
      <c r="DU102" s="37" t="inlineStr">
        <is>
          <t>V</t>
        </is>
      </c>
      <c r="DV102" s="37" t="inlineStr">
        <is>
          <t>O</t>
        </is>
      </c>
      <c r="DW102" s="37" t="inlineStr">
        <is>
          <t>F</t>
        </is>
      </c>
      <c r="DX102" s="37" t="inlineStr">
        <is>
          <t>P</t>
        </is>
      </c>
      <c r="DY102" s="37" t="inlineStr">
        <is>
          <t>Grupp</t>
        </is>
      </c>
      <c r="DZ102" s="37" t="inlineStr">
        <is>
          <t>Rank P</t>
        </is>
      </c>
      <c r="EA102" s="37" t="inlineStr">
        <is>
          <t>+/-</t>
        </is>
      </c>
      <c r="EB102" s="37" t="inlineStr">
        <is>
          <t>+/- rank</t>
        </is>
      </c>
      <c r="EC102" s="37" t="inlineStr">
        <is>
          <t>GM</t>
        </is>
      </c>
      <c r="ED102" s="37" t="inlineStr">
        <is>
          <t>GM rank</t>
        </is>
      </c>
      <c r="EE102" s="37" t="inlineStr">
        <is>
          <t>Rank internal</t>
        </is>
      </c>
      <c r="EF102" s="37" t="inlineStr">
        <is>
          <t>+/- all</t>
        </is>
      </c>
      <c r="EG102" s="37" t="inlineStr">
        <is>
          <t>+/- rank all</t>
        </is>
      </c>
      <c r="EH102" s="37" t="inlineStr">
        <is>
          <t>GM all</t>
        </is>
      </c>
      <c r="EI102" s="37" t="inlineStr">
        <is>
          <t>GM rank all</t>
        </is>
      </c>
      <c r="EJ102" s="37" t="inlineStr">
        <is>
          <t>V all</t>
        </is>
      </c>
      <c r="EK102" s="37" t="inlineStr">
        <is>
          <t>V rank all</t>
        </is>
      </c>
      <c r="EL102" s="37" t="inlineStr">
        <is>
          <t>Rank all</t>
        </is>
      </c>
      <c r="EN102" s="38" t="inlineStr">
        <is>
          <t>Lag</t>
        </is>
      </c>
      <c r="EO102" s="38" t="inlineStr">
        <is>
          <t>V</t>
        </is>
      </c>
      <c r="EP102" s="38" t="inlineStr">
        <is>
          <t>O</t>
        </is>
      </c>
      <c r="EQ102" s="38" t="inlineStr">
        <is>
          <t>F</t>
        </is>
      </c>
      <c r="ER102" s="38" t="inlineStr">
        <is>
          <t>P</t>
        </is>
      </c>
      <c r="ES102" s="38" t="inlineStr">
        <is>
          <t>Grupp</t>
        </is>
      </c>
      <c r="ET102" s="38" t="inlineStr">
        <is>
          <t>Rank P</t>
        </is>
      </c>
      <c r="EU102" s="38" t="inlineStr">
        <is>
          <t>+/-</t>
        </is>
      </c>
      <c r="EV102" s="38" t="inlineStr">
        <is>
          <t>+/- rank</t>
        </is>
      </c>
      <c r="EW102" s="38" t="inlineStr">
        <is>
          <t>GM</t>
        </is>
      </c>
      <c r="EX102" s="38" t="inlineStr">
        <is>
          <t>GM rank</t>
        </is>
      </c>
      <c r="EY102" s="38" t="inlineStr">
        <is>
          <t>Rank internal</t>
        </is>
      </c>
      <c r="EZ102" s="38" t="inlineStr">
        <is>
          <t>+/- all</t>
        </is>
      </c>
      <c r="FA102" s="38" t="inlineStr">
        <is>
          <t>+/- rank all</t>
        </is>
      </c>
      <c r="FB102" s="38" t="inlineStr">
        <is>
          <t>GM all</t>
        </is>
      </c>
      <c r="FC102" s="38" t="inlineStr">
        <is>
          <t>GM rank all</t>
        </is>
      </c>
      <c r="FD102" s="38" t="inlineStr">
        <is>
          <t>V all</t>
        </is>
      </c>
      <c r="FE102" s="38" t="inlineStr">
        <is>
          <t>V rank all</t>
        </is>
      </c>
      <c r="FF102" s="38" t="inlineStr">
        <is>
          <t>Rank all</t>
        </is>
      </c>
      <c r="FH102" s="38" t="inlineStr">
        <is>
          <t>Rank</t>
        </is>
      </c>
      <c r="FI102" s="38" t="inlineStr">
        <is>
          <t>Rank Ties</t>
        </is>
      </c>
      <c r="FZ102" s="79" t="n">
        <v>100</v>
      </c>
      <c r="GA102" s="3">
        <f>GB102&amp;GC102&amp;GD102&amp;GE102&amp;GF102&amp;GG102&amp;GH102&amp;GI102</f>
        <v/>
      </c>
      <c r="GB102" s="3" t="inlineStr">
        <is>
          <t>E</t>
        </is>
      </c>
      <c r="GC102" s="3" t="inlineStr">
        <is>
          <t>J</t>
        </is>
      </c>
      <c r="GD102" s="3" t="inlineStr">
        <is>
          <t>B</t>
        </is>
      </c>
      <c r="GE102" s="3" t="inlineStr">
        <is>
          <t>C</t>
        </is>
      </c>
      <c r="GF102" s="3" t="inlineStr">
        <is>
          <t>H</t>
        </is>
      </c>
      <c r="GG102" s="3" t="inlineStr">
        <is>
          <t>F</t>
        </is>
      </c>
      <c r="GH102" s="3" t="inlineStr">
        <is>
          <t>I</t>
        </is>
      </c>
      <c r="GI102" s="3" t="inlineStr">
        <is>
          <t>K</t>
        </is>
      </c>
      <c r="GJ102" s="9">
        <f>VLOOKUP(GB102,$FM$3:$FN$15,2,FALSE)</f>
        <v/>
      </c>
      <c r="GK102" s="9">
        <f>VLOOKUP(GC102,$FM$3:$FN$15,2,FALSE)</f>
        <v/>
      </c>
      <c r="GL102" s="9">
        <f>VLOOKUP(GD102,$FM$3:$FN$15,2,FALSE)</f>
        <v/>
      </c>
      <c r="GM102" s="9">
        <f>VLOOKUP(GE102,$FM$3:$FN$15,2,FALSE)</f>
        <v/>
      </c>
      <c r="GN102" s="9">
        <f>VLOOKUP(GF102,$FM$3:$FN$15,2,FALSE)</f>
        <v/>
      </c>
      <c r="GO102" s="9">
        <f>VLOOKUP(GG102,$FM$3:$FN$15,2,FALSE)</f>
        <v/>
      </c>
      <c r="GP102" s="9">
        <f>VLOOKUP(GH102,$FM$3:$FN$15,2,FALSE)</f>
        <v/>
      </c>
      <c r="GQ102" s="9">
        <f>VLOOKUP(GI102,$FM$3:$FN$15,2,FALSE)</f>
        <v/>
      </c>
      <c r="GR102" s="9">
        <f>IFERROR(IF(AND(VLOOKUP(GB102,$FX$4:$FX$15,1,FALSE)=GB102,VLOOKUP(GC102,$FX$4:$FX$15,1,FALSE)=GC102,VLOOKUP(GD102,$FX$4:$FX$15,1,FALSE)=GD102,VLOOKUP(GE102,$FX$4:$FX$15,1,FALSE)=GE102,VLOOKUP(GF102,$FX$4:$FX$15,1,FALSE)=GF102,VLOOKUP(GG102,$FX$4:$FX$15,1,FALSE)=GG102,VLOOKUP(GH102,$FX$4:$FX$15,1,FALSE)=GH102,VLOOKUP(GI102,$FX$4:$FX$15,1,FALSE)=GI102),FZ102,""),"")</f>
        <v/>
      </c>
      <c r="GX102" s="142" t="n"/>
    </row>
    <row r="103" ht="14.25" customHeight="1">
      <c r="B103" s="58" t="n">
        <v>22</v>
      </c>
      <c r="C103" s="59" t="n">
        <v>46190</v>
      </c>
      <c r="D103" s="60" t="inlineStr">
        <is>
          <t>England</t>
        </is>
      </c>
      <c r="E103" s="61" t="inlineStr">
        <is>
          <t>-</t>
        </is>
      </c>
      <c r="F103" s="62" t="inlineStr">
        <is>
          <t>Kroatien</t>
        </is>
      </c>
      <c r="G103" s="63" t="n">
        <v>2</v>
      </c>
      <c r="H103" s="64" t="inlineStr">
        <is>
          <t>-</t>
        </is>
      </c>
      <c r="I103" s="63" t="n">
        <v>1</v>
      </c>
      <c r="J103" s="65">
        <f>IF(OR(ISBLANK(G103),ISBLANK(I103)),"",IF(G103&gt;I103,1,IF(G103&lt;I103,2,"X")))</f>
        <v/>
      </c>
      <c r="K103" s="66">
        <f>IF(OR(G103="",I103="",'[1]Resultat &amp; tabell'!G103="",'[1]Resultat &amp; tabell'!I103=""),0,IF(G103='[1]Resultat &amp; tabell'!G103,2,0)+IF(I103='[1]Resultat &amp; tabell'!I103,2,0)+IF(J103='[1]Resultat &amp; tabell'!J103,2,0))</f>
        <v/>
      </c>
      <c r="L103" s="67" t="n"/>
      <c r="M103" s="29">
        <f>IF(VLOOKUP(D103,$BT$102:$CC$106,10,FALSE)=VLOOKUP(F103,$BT$102:$CC$106,10,FALSE),VLOOKUP(D103,$BT$102:$CC$106,10,FALSE),"-")</f>
        <v/>
      </c>
      <c r="N103" s="30" t="n">
        <v>1</v>
      </c>
      <c r="O103" s="68">
        <f>VLOOKUP(N103,FI103:FJ106,2,FALSE)</f>
        <v/>
      </c>
      <c r="P103" s="69">
        <f>VLOOKUP($O103,$BT$103:$CA$106,2,FALSE)</f>
        <v/>
      </c>
      <c r="Q103" s="69">
        <f>VLOOKUP($O103,$BT$103:$CA$106,3,FALSE)</f>
        <v/>
      </c>
      <c r="R103" s="69">
        <f>VLOOKUP($O103,$BT$103:$CA$106,4,FALSE)</f>
        <v/>
      </c>
      <c r="S103" s="69">
        <f>VLOOKUP($O103,$BT$103:$CA$106,5,FALSE)</f>
        <v/>
      </c>
      <c r="T103" s="69">
        <f>VLOOKUP($O103,$BT$103:$CA$106,6,FALSE)</f>
        <v/>
      </c>
      <c r="U103" s="69">
        <f>VLOOKUP($O103,$BT$103:$CA$106,7,FALSE)</f>
        <v/>
      </c>
      <c r="V103" s="70">
        <f>VLOOKUP($O103,$BT$103:$CA$106,8,FALSE)</f>
        <v/>
      </c>
      <c r="X103" s="1" t="n"/>
      <c r="AE103" s="72">
        <f>C103</f>
        <v/>
      </c>
      <c r="AF103" s="72">
        <f>D103</f>
        <v/>
      </c>
      <c r="AG103" s="72">
        <f>E103</f>
        <v/>
      </c>
      <c r="AH103" s="72">
        <f>F103</f>
        <v/>
      </c>
      <c r="AI103" s="63">
        <f>IF(G103="","",G103)</f>
        <v/>
      </c>
      <c r="AJ103" s="58">
        <f>H103</f>
        <v/>
      </c>
      <c r="AK103" s="63">
        <f>IF(I103="","",I103)</f>
        <v/>
      </c>
      <c r="AL103" s="65">
        <f>J103</f>
        <v/>
      </c>
      <c r="AM103" s="73" t="n"/>
      <c r="AN103" s="13">
        <f>IF(AI103&gt;AK103,1,0)</f>
        <v/>
      </c>
      <c r="AO103" s="13">
        <f>IF(AK103&gt;AI103,1,0)</f>
        <v/>
      </c>
      <c r="AP103" s="13">
        <f>IF(AND(AI103=AK103,AI103&lt;&gt;""),1,0)</f>
        <v/>
      </c>
      <c r="AQ103" s="13">
        <f>IF(AND(AI103=AK103,AI103&lt;&gt;""),1,0)</f>
        <v/>
      </c>
      <c r="AR103" s="13">
        <f>IF(AI103&lt;AK103,1,0)</f>
        <v/>
      </c>
      <c r="AS103" s="13">
        <f>IF(AK103&lt;AI103,1,)</f>
        <v/>
      </c>
      <c r="AT103" s="13">
        <f>IF(ISERROR(VLOOKUP(AF103,CF:CF,1,FALSE)),0,1)*IF(ISERROR(VLOOKUP(AH103,CF:CF,1,FALSE)),0,1)*AN103</f>
        <v/>
      </c>
      <c r="AU103" s="13">
        <f>IF(ISERROR(VLOOKUP(AF103,CF:CF,1,FALSE)),0,1)*IF(ISERROR(VLOOKUP(AH103,CF:CF,1,FALSE)),0,1)*AO103</f>
        <v/>
      </c>
      <c r="AV103" s="13">
        <f>IF(ISERROR(VLOOKUP(AF103,CF:CF,1,FALSE)),0,1)*IF(ISERROR(VLOOKUP(AH103,CF:CF,1,FALSE)),0,1)*AP103</f>
        <v/>
      </c>
      <c r="AW103" s="13">
        <f>IF(ISERROR(VLOOKUP(AF103,CF:CF,1,FALSE)),0,1)*IF(ISERROR(VLOOKUP(AH103,CF:CF,1,FALSE)),0,1)*AQ103</f>
        <v/>
      </c>
      <c r="AX103" s="13">
        <f>IF(ISERROR(VLOOKUP(AF103,CF:CF,1,FALSE)),0,1)*IF(ISERROR(VLOOKUP(AH103,CF:CF,1,FALSE)),0,1)*AR103</f>
        <v/>
      </c>
      <c r="AY103" s="13">
        <f>IF(ISERROR(VLOOKUP(AF103,CF:CF,1,FALSE)),0,1)*IF(ISERROR(VLOOKUP(AH103,CF:CF,1,FALSE)),0,1)*AS103</f>
        <v/>
      </c>
      <c r="AZ103" s="13">
        <f>IF(ISERROR(VLOOKUP(AF103,CZ:CZ,1,FALSE)),0,1)*IF(ISERROR(VLOOKUP(AH103,CZ:CZ,1,FALSE)),0,1)*AN103</f>
        <v/>
      </c>
      <c r="BA103" s="13">
        <f>IF(ISERROR(VLOOKUP(AF103,CZ:CZ,1,FALSE)),0,1)*IF(ISERROR(VLOOKUP(AH103,CZ:CZ,1,FALSE)),0,1)*AO103</f>
        <v/>
      </c>
      <c r="BB103" s="13">
        <f>IF(ISERROR(VLOOKUP(AF103,CZ:CZ,1,FALSE)),0,1)*IF(ISERROR(VLOOKUP(AH103,CZ:CZ,1,FALSE)),0,1)*AP103</f>
        <v/>
      </c>
      <c r="BC103" s="13">
        <f>IF(ISERROR(VLOOKUP(AF103,CZ:CZ,1,FALSE)),0,1)*IF(ISERROR(VLOOKUP(AH103,CZ:CZ,1,FALSE)),0,1)*AQ103</f>
        <v/>
      </c>
      <c r="BD103" s="13">
        <f>IF(ISERROR(VLOOKUP(AF103,CZ:CZ,1,FALSE)),0,1)*IF(ISERROR(VLOOKUP(AH103,CZ:CZ,1,FALSE)),0,1)*AR103</f>
        <v/>
      </c>
      <c r="BE103" s="13">
        <f>IF(ISERROR(VLOOKUP(AF103,CZ:CZ,1,FALSE)),0,1)*IF(ISERROR(VLOOKUP(AH103,CZ:CZ,1,FALSE)),0,1)*AS103</f>
        <v/>
      </c>
      <c r="BF103" s="13">
        <f>IF(ISERROR(VLOOKUP(AF103,DT:DT,1,FALSE)),0,1)*IF(ISERROR(VLOOKUP(AH103,DT:DT,1,FALSE)),0,1)*AN103</f>
        <v/>
      </c>
      <c r="BG103" s="13">
        <f>IF(ISERROR(VLOOKUP(AF103,DT:DT,1,FALSE)),0,1)*IF(ISERROR(VLOOKUP(AH103,DT:DT,1,FALSE)),0,1)*AO103</f>
        <v/>
      </c>
      <c r="BH103" s="13">
        <f>IF(ISERROR(VLOOKUP(AF103,DT:DT,1,FALSE)),0,1)*IF(ISERROR(VLOOKUP(AH103,DT:DT,1,FALSE)),0,1)*AP103</f>
        <v/>
      </c>
      <c r="BI103" s="13">
        <f>IF(ISERROR(VLOOKUP(AF103,DT:DT,1,FALSE)),0,1)*IF(ISERROR(VLOOKUP(AH103,DT:DT,1,FALSE)),0,1)*AQ103</f>
        <v/>
      </c>
      <c r="BJ103" s="13">
        <f>IF(ISERROR(VLOOKUP(AF103,DT:DT,1,FALSE)),0,1)*IF(ISERROR(VLOOKUP(AH103,DT:DT,1,FALSE)),0,1)*AR103</f>
        <v/>
      </c>
      <c r="BK103" s="13">
        <f>IF(ISERROR(VLOOKUP(AF103,DT:DT,1,FALSE)),0,1)*IF(ISERROR(VLOOKUP(AH103,DT:DT,1,FALSE)),0,1)*AS103</f>
        <v/>
      </c>
      <c r="BL103" s="13">
        <f>IF(ISERROR(VLOOKUP(AF103,EN:EN,1,FALSE)),0,1)*IF(ISERROR(VLOOKUP(AH103,EN:EN,1,FALSE)),0,1)*AN103</f>
        <v/>
      </c>
      <c r="BM103" s="13">
        <f>IF(ISERROR(VLOOKUP(AF103,EN:EN,1,FALSE)),0,1)*IF(ISERROR(VLOOKUP(AH103,EN:EN,1,FALSE)),0,1)*AO103</f>
        <v/>
      </c>
      <c r="BN103" s="13">
        <f>IF(ISERROR(VLOOKUP(AF103,EN:EN,1,FALSE)),0,1)*IF(ISERROR(VLOOKUP(AH103,EN:EN,1,FALSE)),0,1)*AP103</f>
        <v/>
      </c>
      <c r="BO103" s="13">
        <f>IF(ISERROR(VLOOKUP(AF103,EN:EN,1,FALSE)),0,1)*IF(ISERROR(VLOOKUP(AH103,EN:EN,1,FALSE)),0,1)*AQ103</f>
        <v/>
      </c>
      <c r="BP103" s="13">
        <f>IF(ISERROR(VLOOKUP(AF103,EN:EN,1,FALSE)),0,1)*IF(ISERROR(VLOOKUP(AH103,EN:EN,1,FALSE)),0,1)*AR103</f>
        <v/>
      </c>
      <c r="BQ103" s="13">
        <f>IF(ISERROR(VLOOKUP(AF103,EN:EN,1,FALSE)),0,1)*IF(ISERROR(VLOOKUP(AH103,EN:EN,1,FALSE)),0,1)*AS103</f>
        <v/>
      </c>
      <c r="BT103" s="12" t="inlineStr">
        <is>
          <t>England</t>
        </is>
      </c>
      <c r="BU103" s="13">
        <f>(SUMIF(AF$4:AF$108,BT103,AN$4:AN$108)+SUMIF(AH$4:AH$108,BT103,AO$4:AO$108))</f>
        <v/>
      </c>
      <c r="BV103" s="13">
        <f>(SUMIF(AF$4:AF$108,BT103,AP$4:AP$108)+SUMIF(AH$4:AH$108,BT103,AQ$4:AQ$108))</f>
        <v/>
      </c>
      <c r="BW103" s="13">
        <f>(SUMIF(AF$4:AF$108,BT103,AR$4:AR$108)+SUMIF(AH$4:AH$108,BT103,AS$4:AS$108))</f>
        <v/>
      </c>
      <c r="BX103" s="13">
        <f>SUMIF($AF$4:$AF$108,BT103,$AI$4:$AI$108)+SUMIF($AH$4:$AH$108,BT103,$AK$4:$AK$108)</f>
        <v/>
      </c>
      <c r="BY103" s="13">
        <f>SUMIF($AF$4:$AF$108,BT103,$AK$4:$AK$108)+SUMIF($AH$4:$AH$108,BT103,$AI$4:$AI$108)</f>
        <v/>
      </c>
      <c r="BZ103" s="13">
        <f>BX103-BY103</f>
        <v/>
      </c>
      <c r="CA103" s="13">
        <f>IFERROR(BU103*3+BV103*1,0)</f>
        <v/>
      </c>
      <c r="CB103" s="13" t="inlineStr">
        <is>
          <t>L</t>
        </is>
      </c>
      <c r="CC103" s="74">
        <f>RANK(CA103,CA103:CA106)</f>
        <v/>
      </c>
      <c r="CD103" s="13">
        <f>SUMPRODUCT((CA103:CA106=CA103)*(BZ103:BZ106&gt;BZ103))</f>
        <v/>
      </c>
      <c r="CF103" s="12">
        <f>IF(CC103=1,BT103,)</f>
        <v/>
      </c>
      <c r="CG103" s="13">
        <f>(SUMIF($AF$4:$AF$108,$BT103,$AT$4:$AT$108)+SUMIF($AH$4:$AH$108,$BT103,$AU$4:$AU$108))</f>
        <v/>
      </c>
      <c r="CH103" s="13">
        <f>(SUMIF($AF$4:$AF$108,$BT103,$AV$4:$AV$108)+SUMIF($AH$4:$AH$108,$BT103,$AW$4:$AW$108))</f>
        <v/>
      </c>
      <c r="CI103" s="13">
        <f>(SUMIF($AF$4:$AF$108,$BT103,$AX$4:$AX$108)+SUMIF($AH$4:$AH$108,$BT103,$AY$4:$AY$108))</f>
        <v/>
      </c>
      <c r="CJ103" s="13">
        <f>IFERROR(CG103*3+CH103*1,0)</f>
        <v/>
      </c>
      <c r="CK103" s="13">
        <f>CB103</f>
        <v/>
      </c>
      <c r="CL103" s="13">
        <f>IF(CF103&gt;0,RANK(CJ103,CJ103:CJ106),)</f>
        <v/>
      </c>
      <c r="CM103" s="13">
        <f>IF(AND(CF103&gt;0,COUNTIF(CL103:CL106,CL103)&gt;1),SUMIFS($AI$4:$AI$108,$AF$4:$AF$108,$BT103,$M$4:$M$108,1)+SUMIFS($AK$4:$AK$108,$AH$4:$AH$108,$BT103,$M$4:$M$108,1)-SUMIFS($AK$4:$AK$108,$AF$4:$AF$108,$BT103,$M$4:$M$108,1)-SUMIFS($AI$4:$AI$108,$AH$4:$AH$108,$BT103,$M$4:$M$108,1),)</f>
        <v/>
      </c>
      <c r="CN103" s="13">
        <f>IF(AND(CF103&gt;0,COUNTIF(CL103:CL106,CL103)&gt;1),CL103+RANK(CM103,CM103:CM106)-1,CL103)</f>
        <v/>
      </c>
      <c r="CO103" s="13">
        <f>IF(AND(CF103&gt;0,COUNTIF(CN103:CN106,CN103)&gt;1),SUMIFS($AI$4:$AI$108,$AF$4:$AF$108,$BT103,$M$4:$M$108,1)+SUMIFS($AK$4:$AK$108,$AH$4:$AH$108,$BT103,$M$4:$M$108,1),)</f>
        <v/>
      </c>
      <c r="CP103" s="13">
        <f>IF(AND(CF103&gt;0,COUNTIF(CN103:CN106,CN103)&gt;1),CN103+RANK(CO103,CO103:CO106)-1,CN103)</f>
        <v/>
      </c>
      <c r="CQ103" s="13">
        <f>IF(CP103=0,"",CP103)</f>
        <v/>
      </c>
      <c r="CR103" s="13">
        <f>IF(OR(CQ103="",COUNTIF(CQ103:CQ106,CQ103)=1),"",$BZ103)</f>
        <v/>
      </c>
      <c r="CS103" s="13">
        <f>IF(CQ103="","",IF(COUNTIF(CQ103:CQ106,CQ103)=1,CQ103,CQ103+RANK(CR103,CR103:CR106,0)-1))</f>
        <v/>
      </c>
      <c r="CT103" s="13">
        <f>IF(OR(CS103="",COUNTIF(CS103:CS106,CS103)=1),"",$BX103)</f>
        <v/>
      </c>
      <c r="CU103" s="13">
        <f>IF(CQ103="","",IF(COUNTIF(CS103:CS106,CS103)=1,CS103,CS103+RANK(CT103,CT103:CT106,0)-1))</f>
        <v/>
      </c>
      <c r="CV103" s="13">
        <f>IF(OR(CU103="",COUNTIF(CU103:CU106,CU103)=1),"",$BU103)</f>
        <v/>
      </c>
      <c r="CW103" s="13">
        <f>IF(CQ103="","",IF(COUNTIF(CU103:CU106,CU103)=1,CU103,CU103+RANK(CV103,CV103:CV106,0)-1))</f>
        <v/>
      </c>
      <c r="CX103" s="13">
        <f>IF(CF103&gt;0,BM101+RANK(CW103,CW103:CW106,1),)</f>
        <v/>
      </c>
      <c r="CZ103" s="12">
        <f>IF(CC103=2,BT103,)</f>
        <v/>
      </c>
      <c r="DA103" s="13">
        <f>(SUMIF($AF$4:$AF$108,$BT103,$AZ$4:$AZ$108)+SUMIF($AH$4:$AH$108,$BT103,$BA$4:$BA$108))</f>
        <v/>
      </c>
      <c r="DB103" s="13">
        <f>(SUMIF($AF$4:$AF$108,$BT103,$BB$4:$BB$108)+SUMIF($AH$4:$AH$108,$BT103,$BC$4:$BC$108))</f>
        <v/>
      </c>
      <c r="DC103" s="13">
        <f>(SUMIF($AF$4:$AF$108,$BT103,$BD$4:$BD$108)+SUMIF($AH$4:$AH$108,$BT103,$BE$4:$BE$108))</f>
        <v/>
      </c>
      <c r="DD103" s="13">
        <f>IFERROR(DA103*3+DB103*1,0)</f>
        <v/>
      </c>
      <c r="DE103" s="13">
        <f>$CB103</f>
        <v/>
      </c>
      <c r="DF103" s="13">
        <f>IF(CZ103&gt;0,RANK(DD103,DD103:DD106)+CG101,)</f>
        <v/>
      </c>
      <c r="DG103" s="13">
        <f>IF(AND(CZ103&gt;0,COUNTIF(DF103:DF106,DF103)&gt;1),SUMIFS($AI$4:$AI$108,$AF$4:$AF$108,$BT103,$M$4:$M$108,2)+SUMIFS($AK$4:$AK$108,$AH$4:$AH108,$BT103,$M$4:$M$108,2)-SUMIFS($AK$4:$AK$108,$AF$4:$AF$108,$BT103,$M$4:$M$108,2)-SUMIFS($AI$4:$AI$108,$AH$4:$AH$108,$BT103,$M$4:$M$108,2),)</f>
        <v/>
      </c>
      <c r="DH103" s="13">
        <f>IF(AND(CZ103&gt;0,COUNTIF(DF103:DF106,DF103)&gt;1),DF103+RANK(DG103,DG103:DG106)-1,DF103)</f>
        <v/>
      </c>
      <c r="DI103" s="13">
        <f>IF(AND(CZ103&gt;0,COUNTIF(DH103:DH106,DH103)&gt;1),SUMIFS($AI$4:$AI$108,$AF$4:$AF$108,$BT103,$M$4:$M$108,2)+SUMIFS($AK$4:$AK$108,$AH$4:$AH$108,$BT103,$M$4:$M$108,2),)</f>
        <v/>
      </c>
      <c r="DJ103" s="13">
        <f>IF(AND(CZ103&gt;0,COUNTIF(DH103:DH106,DH103)&gt;1),DH103+RANK(DI103,DI103:DI106)-1,DH103)</f>
        <v/>
      </c>
      <c r="DK103" s="75">
        <f>IF(DJ103=0,"",DJ103)</f>
        <v/>
      </c>
      <c r="DL103" s="75">
        <f>IF(OR(DK103="",COUNTIF(DK103:DK106,DK103)=1),"",$BZ103)</f>
        <v/>
      </c>
      <c r="DM103" s="75">
        <f>IF(DK103="","",IF(COUNTIF(DK103:DK106,DK103)=1,DK103,DK103+RANK(DL103,DL103:DL106,0)-1))</f>
        <v/>
      </c>
      <c r="DN103" s="75">
        <f>IF(OR(DM103="",COUNTIF(DM103:DM106,DM103)=1),"",$BX103)</f>
        <v/>
      </c>
      <c r="DO103" s="75">
        <f>IF(DK103="","",IF(COUNTIF(DM103:DM106,DM103)=1,DM103,DM103+RANK(DN103,DN103:DN106,0)-1))</f>
        <v/>
      </c>
      <c r="DP103" s="75">
        <f>IF(OR(DO103="",COUNTIF(DO103:DO106,DO103)=1),"",$BU103)</f>
        <v/>
      </c>
      <c r="DQ103" s="75">
        <f>IF(DK103="","",IF(COUNTIF(DO103:DO106,DO103)=1,DO103,DO103+RANK(DP103,DP103:DP106,0)-1))</f>
        <v/>
      </c>
      <c r="DR103" s="13">
        <f>IF(CZ103&gt;0,CG101+RANK(DQ103,DQ103:DQ106,1),)</f>
        <v/>
      </c>
      <c r="DT103" s="13">
        <f>IF(CC103=3,BT103,)</f>
        <v/>
      </c>
      <c r="DU103" s="13">
        <f>(SUMIF($AF$4:$AF$108,BT103,$BF$4:$BF$108)+SUMIF($AH$4:$AH$108,BT103,$BG$4:$BG$108))</f>
        <v/>
      </c>
      <c r="DV103" s="13">
        <f>(SUMIF($AF$4:$AF$108,BT103,$BH$4:$BH$108)+SUMIF($AH$4:$AH$108,BT103,$BI$4:$BI$108))</f>
        <v/>
      </c>
      <c r="DW103" s="13">
        <f>(SUMIF($AF$4:$AF$108,BT103,$BJ$4:$BJ$108)+SUMIF($AH$4:$AH$108,BT103,$BK$4:$BK$108))</f>
        <v/>
      </c>
      <c r="DX103" s="13">
        <f>IFERROR(DU103*3+DV103*1,0)</f>
        <v/>
      </c>
      <c r="DY103" s="13">
        <f>CB103</f>
        <v/>
      </c>
      <c r="DZ103" s="13">
        <f>IF(DT103&gt;0,RANK(DX103,DX103:DX106)+CG101+DA101,)</f>
        <v/>
      </c>
      <c r="EA103" s="13">
        <f>IF(AND(DT103&gt;0,COUNTIF(DZ103:DZ106,DZ103)&gt;1),SUMIFS($AI$4:$AI$108,$AF$4:$AF$108,$BT103,$M$4:$M$108,3)+SUMIFS($AK$4:$AK$108,$AH$4:$AH$108,$BT103,$M$4:$M$108,3)-SUMIFS($AK$4:$AK$108,$AF$4:$AF$108,$BT103,$M$4:$M$108,3)-SUMIFS($AI$4:$AI$108,$AH$4:$AH$108,$BT103,$M$4:$M$108,3),)</f>
        <v/>
      </c>
      <c r="EB103" s="13">
        <f>IF(AND(DT103&gt;0,COUNTIF(DZ103:DZ106,DZ103)&gt;1),DZ103+RANK(EA103,EA103:EA106)-1,DZ103)</f>
        <v/>
      </c>
      <c r="EC103" s="13">
        <f>IF(AND(DT103&gt;0,COUNTIF(EB103:EB106,EB103)&gt;1),SUMIFS($AI$4:$AI$108,$AF$4:$AF$108,$BT103,$M$4:$M$108,3)+SUMIFS($AK$4:$AK$108,$AH$4:$AH$108,$BT103,$M$4:$M$108,3),)</f>
        <v/>
      </c>
      <c r="ED103" s="13">
        <f>IF(AND(DT103&gt;0,COUNTIF(EB103:EB106,EB103)&gt;1),EB103+RANK(EC103,EC103:EC106)-1,EB103)</f>
        <v/>
      </c>
      <c r="EE103" s="13">
        <f>IF(ED103=0,"",ED103)</f>
        <v/>
      </c>
      <c r="EF103" s="13">
        <f>IF(OR(EE103="",COUNTIF(EE103:EE106,EE103)=1),"",$BZ103)</f>
        <v/>
      </c>
      <c r="EG103" s="13">
        <f>IF(EE103="","",IF(COUNTIF(EE103:EE106,EE103)=1,EE103,EE103+RANK(EF103,EF103:EF106,0)-1))</f>
        <v/>
      </c>
      <c r="EH103" s="13">
        <f>IF(OR(EG103="",COUNTIF(EG103:EG106,EG103)=1),"",$BX103)</f>
        <v/>
      </c>
      <c r="EI103" s="13">
        <f>IF(EE103="","",IF(COUNTIF(EG103:EG106,EG103)=1,EG103,EG103+RANK(EH103,EH103:EH106,0)-1))</f>
        <v/>
      </c>
      <c r="EJ103" s="13">
        <f>IF(OR(EI103="",COUNTIF(EI103:EI106,EI103)=1),"",$BU103)</f>
        <v/>
      </c>
      <c r="EK103" s="13">
        <f>IF(EE103="","",IF(COUNTIF(EI103:EI106,EI103)=1,EI103,EI103+RANK(EJ103,EJ103:EJ106,0)-1))</f>
        <v/>
      </c>
      <c r="EL103" s="13">
        <f>IF(DT103&gt;0,CG101+DA101+RANK(EK103,EK103:EK106,1),)</f>
        <v/>
      </c>
      <c r="EN103" s="13">
        <f>IF(CC103=4,BT103,)</f>
        <v/>
      </c>
      <c r="EO103" s="13">
        <f>(SUMIF($AF$4:$AF$108,$BT103,$BL$4:$BL$108)+SUMIF($AH$4:$AH$108,$BT103,$BM$4:$BM$108))</f>
        <v/>
      </c>
      <c r="EP103" s="13">
        <f>(SUMIF($AF$4:$AF$108,$BT103,$BN$4:$BN$108)+SUMIF($AH$4:$AH$108,$BT103,$BO$4:$BO$108))</f>
        <v/>
      </c>
      <c r="EQ103" s="13">
        <f>(SUMIF($AF$4:$AF$108,$BT103,$BP$4:$BP$108)+SUMIF($AH$4:$AH$108,$BT103,$BQ$4:$BQ$108))</f>
        <v/>
      </c>
      <c r="ER103" s="13">
        <f>IFERROR(EO103*3+EP103*1,0)</f>
        <v/>
      </c>
      <c r="ES103" s="13">
        <f>$CB103</f>
        <v/>
      </c>
      <c r="ET103" s="13">
        <f>IF(EN103&gt;0,RANK(ER103,ER103:ER106)+CG101+DA101+DU101,)</f>
        <v/>
      </c>
      <c r="EU103" s="13">
        <f>IF(AND(EN103&gt;0,COUNTIF(ET103:ET106,ET103)&gt;1),SUMIFS($AI$4:$AI$108,$AF$4:$AF$108,$BT103,$M$4:$M$108,4)+SUMIFS($AK$4:$AK$108,$AH$4:$AH$108,$BT103,$M$4:$M$108,4)-SUMIFS($AK$4:$AK$108,$AF$4:$AF$108,$BT103,$M$4:$M$108,4)-SUMIFS($AI$4:$AI$108,$AH$4:$AH$108,$BT103,$M$4:$M$108,4),)</f>
        <v/>
      </c>
      <c r="EV103" s="13">
        <f>IF(AND(EN103&gt;0,COUNTIF(ET103:ET106,ET103)&gt;1),ET103+RANK(EU103,EU103:EU106)-1,ET103)</f>
        <v/>
      </c>
      <c r="EW103" s="13">
        <f>IF(AND(EN103&gt;0,COUNTIF(EV103:EV106,EV103)&gt;1),SUMIFS($AI$4:$AI$108,$AF$4:$AF$108,$BT103,$M$4:$M$108,4)+SUMIFS($AK$4:$AK$108,$AH$4:$AH$108,$BT103,$M$4:$M$108,4),)</f>
        <v/>
      </c>
      <c r="EX103" s="13">
        <f>IF(AND(EN103&gt;0,COUNTIF(EV103:EV106,EV103)&gt;1),EV103+RANK(EW103,EW103:EW106)-1,EV103)</f>
        <v/>
      </c>
      <c r="EY103" s="13">
        <f>IF(EX103=0,"",EX103)</f>
        <v/>
      </c>
      <c r="EZ103" s="13">
        <f>IF(OR(EY103="",COUNTIF(EY103:EY106,EY103)=1),"",$BZ103)</f>
        <v/>
      </c>
      <c r="FA103" s="13">
        <f>IF(EY103="","",IF(COUNTIF(EY103:EY106,EY103)=1,EY103,EY103+RANK(EZ103,EZ103:EZ106,0)-1))</f>
        <v/>
      </c>
      <c r="FB103" s="13">
        <f>IF(OR(FA103="",COUNTIF(FA103:FA106,FA103)=1),"",$BX103)</f>
        <v/>
      </c>
      <c r="FC103" s="13">
        <f>IF(EY103="","",IF(COUNTIF(FA103:FA106,FA103)=1,FA103,FA103+RANK(FB103,FB103:FB106,0)-1))</f>
        <v/>
      </c>
      <c r="FD103" s="13">
        <f>IF(OR(FC103="",COUNTIF(FC103:FC106,FC103)=1),"",$BU103)</f>
        <v/>
      </c>
      <c r="FE103" s="13">
        <f>IF(EY103="","",IF(COUNTIF(FC103:FC106,FC103)=1,FC103,FC103+RANK(FD103,FD103:FD106,0)-1))</f>
        <v/>
      </c>
      <c r="FF103" s="13">
        <f>IF(EN103&gt;0,CG101+DA101+DU101+RANK(FE103,FE103:FE106,1),)</f>
        <v/>
      </c>
      <c r="FH103" s="13">
        <f>IFERROR(VLOOKUP(FJ103,CF102:CX106,19,FALSE),IFERROR(VLOOKUP(FJ103,CZ102:DR106,19,FALSE),IFERROR(VLOOKUP(FJ103,DT102:EL106,19,FALSE),VLOOKUP(FJ103,EN102:FF106,19,FALSE))))</f>
        <v/>
      </c>
      <c r="FI103" s="13">
        <f>RANK(FH103,FH103:FH106,1)+COUNTIF(FH103:FH103,FH103)-1</f>
        <v/>
      </c>
      <c r="FJ103" s="12">
        <f>BT103</f>
        <v/>
      </c>
      <c r="FZ103" s="79" t="n">
        <v>101</v>
      </c>
      <c r="GA103" s="3">
        <f>GB103&amp;GC103&amp;GD103&amp;GE103&amp;GF103&amp;GG103&amp;GH103&amp;GI103</f>
        <v/>
      </c>
      <c r="GB103" s="3" t="inlineStr">
        <is>
          <t>E</t>
        </is>
      </c>
      <c r="GC103" s="3" t="inlineStr">
        <is>
          <t>G</t>
        </is>
      </c>
      <c r="GD103" s="3" t="inlineStr">
        <is>
          <t>B</t>
        </is>
      </c>
      <c r="GE103" s="3" t="inlineStr">
        <is>
          <t>C</t>
        </is>
      </c>
      <c r="GF103" s="3" t="inlineStr">
        <is>
          <t>J</t>
        </is>
      </c>
      <c r="GG103" s="3" t="inlineStr">
        <is>
          <t>F</t>
        </is>
      </c>
      <c r="GH103" s="3" t="inlineStr">
        <is>
          <t>L</t>
        </is>
      </c>
      <c r="GI103" s="3" t="inlineStr">
        <is>
          <t>K</t>
        </is>
      </c>
      <c r="GJ103" s="9">
        <f>VLOOKUP(GB103,$FM$3:$FN$15,2,FALSE)</f>
        <v/>
      </c>
      <c r="GK103" s="9">
        <f>VLOOKUP(GC103,$FM$3:$FN$15,2,FALSE)</f>
        <v/>
      </c>
      <c r="GL103" s="9">
        <f>VLOOKUP(GD103,$FM$3:$FN$15,2,FALSE)</f>
        <v/>
      </c>
      <c r="GM103" s="9">
        <f>VLOOKUP(GE103,$FM$3:$FN$15,2,FALSE)</f>
        <v/>
      </c>
      <c r="GN103" s="9">
        <f>VLOOKUP(GF103,$FM$3:$FN$15,2,FALSE)</f>
        <v/>
      </c>
      <c r="GO103" s="9">
        <f>VLOOKUP(GG103,$FM$3:$FN$15,2,FALSE)</f>
        <v/>
      </c>
      <c r="GP103" s="9">
        <f>VLOOKUP(GH103,$FM$3:$FN$15,2,FALSE)</f>
        <v/>
      </c>
      <c r="GQ103" s="9">
        <f>VLOOKUP(GI103,$FM$3:$FN$15,2,FALSE)</f>
        <v/>
      </c>
      <c r="GR103" s="9">
        <f>IFERROR(IF(AND(VLOOKUP(GB103,$FX$4:$FX$15,1,FALSE)=GB103,VLOOKUP(GC103,$FX$4:$FX$15,1,FALSE)=GC103,VLOOKUP(GD103,$FX$4:$FX$15,1,FALSE)=GD103,VLOOKUP(GE103,$FX$4:$FX$15,1,FALSE)=GE103,VLOOKUP(GF103,$FX$4:$FX$15,1,FALSE)=GF103,VLOOKUP(GG103,$FX$4:$FX$15,1,FALSE)=GG103,VLOOKUP(GH103,$FX$4:$FX$15,1,FALSE)=GH103,VLOOKUP(GI103,$FX$4:$FX$15,1,FALSE)=GI103),FZ103,""),"")</f>
        <v/>
      </c>
      <c r="GX103" s="142" t="n"/>
    </row>
    <row r="104" ht="14.25" customHeight="1">
      <c r="B104" s="58" t="n">
        <v>21</v>
      </c>
      <c r="C104" s="59" t="n">
        <v>46191</v>
      </c>
      <c r="D104" s="60" t="inlineStr">
        <is>
          <t>Ghana</t>
        </is>
      </c>
      <c r="E104" s="61" t="inlineStr">
        <is>
          <t>-</t>
        </is>
      </c>
      <c r="F104" s="62" t="inlineStr">
        <is>
          <t>Panama</t>
        </is>
      </c>
      <c r="G104" s="63" t="n">
        <v>2</v>
      </c>
      <c r="H104" s="64" t="inlineStr">
        <is>
          <t>-</t>
        </is>
      </c>
      <c r="I104" s="63" t="n">
        <v>0</v>
      </c>
      <c r="J104" s="65">
        <f>IF(OR(ISBLANK(G104),ISBLANK(I104)),"",IF(G104&gt;I104,1,IF(G104&lt;I104,2,"X")))</f>
        <v/>
      </c>
      <c r="K104" s="66">
        <f>IF(OR(G104="",I104="",'[1]Resultat &amp; tabell'!G104="",'[1]Resultat &amp; tabell'!I104=""),0,IF(G104='[1]Resultat &amp; tabell'!G104,2,0)+IF(I104='[1]Resultat &amp; tabell'!I104,2,0)+IF(J104='[1]Resultat &amp; tabell'!J104,2,0))</f>
        <v/>
      </c>
      <c r="L104" s="67" t="n"/>
      <c r="M104" s="29">
        <f>IF(VLOOKUP(D104,$BT$102:$CC$106,10,FALSE)=VLOOKUP(F104,$BT$102:$CC$106,10,FALSE),VLOOKUP(D104,$BT$102:$CC$106,10,FALSE),"-")</f>
        <v/>
      </c>
      <c r="N104" s="30" t="n">
        <v>2</v>
      </c>
      <c r="O104" s="80">
        <f>VLOOKUP(N104,FI103:FJ106,2,FALSE)</f>
        <v/>
      </c>
      <c r="P104" s="81">
        <f>VLOOKUP($O104,$BT$103:$CA$106,2,FALSE)</f>
        <v/>
      </c>
      <c r="Q104" s="81">
        <f>VLOOKUP($O104,$BT$103:$CA$106,3,FALSE)</f>
        <v/>
      </c>
      <c r="R104" s="81">
        <f>VLOOKUP($O104,$BT$103:$CA$106,4,FALSE)</f>
        <v/>
      </c>
      <c r="S104" s="81">
        <f>VLOOKUP($O104,$BT$103:$CA$106,5,FALSE)</f>
        <v/>
      </c>
      <c r="T104" s="81">
        <f>VLOOKUP($O104,$BT$103:$CA$106,6,FALSE)</f>
        <v/>
      </c>
      <c r="U104" s="81">
        <f>VLOOKUP($O104,$BT$103:$CA$106,7,FALSE)</f>
        <v/>
      </c>
      <c r="V104" s="82">
        <f>VLOOKUP($O104,$BT$103:$CA$106,8,FALSE)</f>
        <v/>
      </c>
      <c r="X104" s="1" t="n"/>
      <c r="AE104" s="72">
        <f>C104</f>
        <v/>
      </c>
      <c r="AF104" s="72">
        <f>D104</f>
        <v/>
      </c>
      <c r="AG104" s="72">
        <f>E104</f>
        <v/>
      </c>
      <c r="AH104" s="72">
        <f>F104</f>
        <v/>
      </c>
      <c r="AI104" s="63">
        <f>IF(G104="","",G104)</f>
        <v/>
      </c>
      <c r="AJ104" s="58">
        <f>H104</f>
        <v/>
      </c>
      <c r="AK104" s="63">
        <f>IF(I104="","",I104)</f>
        <v/>
      </c>
      <c r="AL104" s="65">
        <f>J104</f>
        <v/>
      </c>
      <c r="AM104" s="73" t="n"/>
      <c r="AN104" s="13">
        <f>IF(AI104&gt;AK104,1,0)</f>
        <v/>
      </c>
      <c r="AO104" s="13">
        <f>IF(AK104&gt;AI104,1,0)</f>
        <v/>
      </c>
      <c r="AP104" s="13">
        <f>IF(AND(AI104=AK104,AI104&lt;&gt;""),1,0)</f>
        <v/>
      </c>
      <c r="AQ104" s="13">
        <f>IF(AND(AI104=AK104,AI104&lt;&gt;""),1,0)</f>
        <v/>
      </c>
      <c r="AR104" s="13">
        <f>IF(AI104&lt;AK104,1,0)</f>
        <v/>
      </c>
      <c r="AS104" s="13">
        <f>IF(AK104&lt;AI104,1,)</f>
        <v/>
      </c>
      <c r="AT104" s="13">
        <f>IF(ISERROR(VLOOKUP(AF104,CF:CF,1,FALSE)),0,1)*IF(ISERROR(VLOOKUP(AH104,CF:CF,1,FALSE)),0,1)*AN104</f>
        <v/>
      </c>
      <c r="AU104" s="13">
        <f>IF(ISERROR(VLOOKUP(AF104,CF:CF,1,FALSE)),0,1)*IF(ISERROR(VLOOKUP(AH104,CF:CF,1,FALSE)),0,1)*AO104</f>
        <v/>
      </c>
      <c r="AV104" s="13">
        <f>IF(ISERROR(VLOOKUP(AF104,CF:CF,1,FALSE)),0,1)*IF(ISERROR(VLOOKUP(AH104,CF:CF,1,FALSE)),0,1)*AP104</f>
        <v/>
      </c>
      <c r="AW104" s="13">
        <f>IF(ISERROR(VLOOKUP(AF104,CF:CF,1,FALSE)),0,1)*IF(ISERROR(VLOOKUP(AH104,CF:CF,1,FALSE)),0,1)*AQ104</f>
        <v/>
      </c>
      <c r="AX104" s="13">
        <f>IF(ISERROR(VLOOKUP(AF104,CF:CF,1,FALSE)),0,1)*IF(ISERROR(VLOOKUP(AH104,CF:CF,1,FALSE)),0,1)*AR104</f>
        <v/>
      </c>
      <c r="AY104" s="13">
        <f>IF(ISERROR(VLOOKUP(AF104,CF:CF,1,FALSE)),0,1)*IF(ISERROR(VLOOKUP(AH104,CF:CF,1,FALSE)),0,1)*AS104</f>
        <v/>
      </c>
      <c r="AZ104" s="13">
        <f>IF(ISERROR(VLOOKUP(AF104,CZ:CZ,1,FALSE)),0,1)*IF(ISERROR(VLOOKUP(AH104,CZ:CZ,1,FALSE)),0,1)*AN104</f>
        <v/>
      </c>
      <c r="BA104" s="13">
        <f>IF(ISERROR(VLOOKUP(AF104,CZ:CZ,1,FALSE)),0,1)*IF(ISERROR(VLOOKUP(AH104,CZ:CZ,1,FALSE)),0,1)*AO104</f>
        <v/>
      </c>
      <c r="BB104" s="13">
        <f>IF(ISERROR(VLOOKUP(AF104,CZ:CZ,1,FALSE)),0,1)*IF(ISERROR(VLOOKUP(AH104,CZ:CZ,1,FALSE)),0,1)*AP104</f>
        <v/>
      </c>
      <c r="BC104" s="13">
        <f>IF(ISERROR(VLOOKUP(AF104,CZ:CZ,1,FALSE)),0,1)*IF(ISERROR(VLOOKUP(AH104,CZ:CZ,1,FALSE)),0,1)*AQ104</f>
        <v/>
      </c>
      <c r="BD104" s="13">
        <f>IF(ISERROR(VLOOKUP(AF104,CZ:CZ,1,FALSE)),0,1)*IF(ISERROR(VLOOKUP(AH104,CZ:CZ,1,FALSE)),0,1)*AR104</f>
        <v/>
      </c>
      <c r="BE104" s="13">
        <f>IF(ISERROR(VLOOKUP(AF104,CZ:CZ,1,FALSE)),0,1)*IF(ISERROR(VLOOKUP(AH104,CZ:CZ,1,FALSE)),0,1)*AS104</f>
        <v/>
      </c>
      <c r="BF104" s="13">
        <f>IF(ISERROR(VLOOKUP(AF104,DT:DT,1,FALSE)),0,1)*IF(ISERROR(VLOOKUP(AH104,DT:DT,1,FALSE)),0,1)*AN104</f>
        <v/>
      </c>
      <c r="BG104" s="13">
        <f>IF(ISERROR(VLOOKUP(AF104,DT:DT,1,FALSE)),0,1)*IF(ISERROR(VLOOKUP(AH104,DT:DT,1,FALSE)),0,1)*AO104</f>
        <v/>
      </c>
      <c r="BH104" s="13">
        <f>IF(ISERROR(VLOOKUP(AF104,DT:DT,1,FALSE)),0,1)*IF(ISERROR(VLOOKUP(AH104,DT:DT,1,FALSE)),0,1)*AP104</f>
        <v/>
      </c>
      <c r="BI104" s="13">
        <f>IF(ISERROR(VLOOKUP(AF104,DT:DT,1,FALSE)),0,1)*IF(ISERROR(VLOOKUP(AH104,DT:DT,1,FALSE)),0,1)*AQ104</f>
        <v/>
      </c>
      <c r="BJ104" s="13">
        <f>IF(ISERROR(VLOOKUP(AF104,DT:DT,1,FALSE)),0,1)*IF(ISERROR(VLOOKUP(AH104,DT:DT,1,FALSE)),0,1)*AR104</f>
        <v/>
      </c>
      <c r="BK104" s="13">
        <f>IF(ISERROR(VLOOKUP(AF104,DT:DT,1,FALSE)),0,1)*IF(ISERROR(VLOOKUP(AH104,DT:DT,1,FALSE)),0,1)*AS104</f>
        <v/>
      </c>
      <c r="BL104" s="13">
        <f>IF(ISERROR(VLOOKUP(AF104,EN:EN,1,FALSE)),0,1)*IF(ISERROR(VLOOKUP(AH104,EN:EN,1,FALSE)),0,1)*AN104</f>
        <v/>
      </c>
      <c r="BM104" s="13">
        <f>IF(ISERROR(VLOOKUP(AF104,EN:EN,1,FALSE)),0,1)*IF(ISERROR(VLOOKUP(AH104,EN:EN,1,FALSE)),0,1)*AO104</f>
        <v/>
      </c>
      <c r="BN104" s="13">
        <f>IF(ISERROR(VLOOKUP(AF104,EN:EN,1,FALSE)),0,1)*IF(ISERROR(VLOOKUP(AH104,EN:EN,1,FALSE)),0,1)*AP104</f>
        <v/>
      </c>
      <c r="BO104" s="13">
        <f>IF(ISERROR(VLOOKUP(AF104,EN:EN,1,FALSE)),0,1)*IF(ISERROR(VLOOKUP(AH104,EN:EN,1,FALSE)),0,1)*AQ104</f>
        <v/>
      </c>
      <c r="BP104" s="13">
        <f>IF(ISERROR(VLOOKUP(AF104,EN:EN,1,FALSE)),0,1)*IF(ISERROR(VLOOKUP(AH104,EN:EN,1,FALSE)),0,1)*AR104</f>
        <v/>
      </c>
      <c r="BQ104" s="13">
        <f>IF(ISERROR(VLOOKUP(AF104,EN:EN,1,FALSE)),0,1)*IF(ISERROR(VLOOKUP(AH104,EN:EN,1,FALSE)),0,1)*AS104</f>
        <v/>
      </c>
      <c r="BT104" s="12" t="inlineStr">
        <is>
          <t>Kroatien</t>
        </is>
      </c>
      <c r="BU104" s="13">
        <f>(SUMIF(AF$4:AF$108,BT104,AN$4:AN$108)+SUMIF(AH$4:AH$108,BT104,AO$4:AO$108))</f>
        <v/>
      </c>
      <c r="BV104" s="13">
        <f>(SUMIF(AF$4:AF$108,BT104,AP$4:AP$108)+SUMIF(AH$4:AH$108,BT104,AQ$4:AQ$108))</f>
        <v/>
      </c>
      <c r="BW104" s="13">
        <f>(SUMIF(AF$4:AF$108,BT104,AR$4:AR$108)+SUMIF(AH$4:AH$108,BT104,AS$4:AS$108))</f>
        <v/>
      </c>
      <c r="BX104" s="13">
        <f>SUMIF($AF$4:$AF$108,BT104,$AI$4:$AI$108)+SUMIF($AH$4:$AH$108,BT104,$AK$4:$AK$108)</f>
        <v/>
      </c>
      <c r="BY104" s="13">
        <f>SUMIF($AF$4:$AF$108,BT104,$AK$4:$AK$108)+SUMIF($AH$4:$AH$108,BT104,$AI$4:$AI$108)</f>
        <v/>
      </c>
      <c r="BZ104" s="13">
        <f>BX104-BY104</f>
        <v/>
      </c>
      <c r="CA104" s="13">
        <f>IFERROR(BU104*3+BV104*1,0)</f>
        <v/>
      </c>
      <c r="CB104" s="13" t="inlineStr">
        <is>
          <t>L</t>
        </is>
      </c>
      <c r="CC104" s="74">
        <f>RANK(CA104,CA103:CA106)</f>
        <v/>
      </c>
      <c r="CD104" s="13">
        <f>SUMPRODUCT((CA103:CA106=CA104)*(BZ103:BZ106&gt;BZ104))</f>
        <v/>
      </c>
      <c r="CF104" s="12">
        <f>IF(CC104=1,BT104,)</f>
        <v/>
      </c>
      <c r="CG104" s="13">
        <f>(SUMIF($AF$4:$AF$108,$BT104,$AT$4:$AT$108)+SUMIF($AH$4:$AH$108,$BT104,$AU$4:$AU$108))</f>
        <v/>
      </c>
      <c r="CH104" s="13">
        <f>(SUMIF($AF$4:$AF$108,$BT104,$AV$4:$AV$108)+SUMIF($AH$4:$AH$108,$BT104,$AW$4:$AW$108))</f>
        <v/>
      </c>
      <c r="CI104" s="13">
        <f>(SUMIF($AF$4:$AF$108,$BT104,$AX$4:$AX$108)+SUMIF($AH$4:$AH$108,$BT104,$AY$4:$AY$108))</f>
        <v/>
      </c>
      <c r="CJ104" s="13">
        <f>IFERROR(CG104*3+CH104*1,0)</f>
        <v/>
      </c>
      <c r="CK104" s="13">
        <f>CB104</f>
        <v/>
      </c>
      <c r="CL104" s="13">
        <f>IF(CF104&gt;0,RANK(CJ104,CJ103:CJ106),)</f>
        <v/>
      </c>
      <c r="CM104" s="13">
        <f>IF(AND(CF104&gt;0,COUNTIF(CL103:CL106,CL104)&gt;1),SUMIFS($AI$4:$AI$108,$AF$4:$AF$108,$BT104,$M$4:$M$108,1)+SUMIFS($AK$4:$AK$108,$AH$4:$AH$108,$BT104,$M$4:$M$108,1)-SUMIFS($AK$4:$AK$108,$AF$4:$AF$108,$BT104,$M$4:$M$108,1)-SUMIFS($AI$4:$AI$108,$AH$4:$AH$108,$BT104,$M$4:$M$108,1),)</f>
        <v/>
      </c>
      <c r="CN104" s="13">
        <f>IF(AND(CF104&gt;0,COUNTIF(CL103:CL106,CL104)&gt;1),CL104+RANK(CM104,CM103:CM106)-1,CL104)</f>
        <v/>
      </c>
      <c r="CO104" s="13">
        <f>IF(AND(CF104&gt;0,COUNTIF(CN103:CN106,CN104)&gt;1),SUMIFS($AI$4:$AI$108,$AF$4:$AF$108,$BT104,$M$4:$M$108,1)+SUMIFS($AK$4:$AK$108,$AH$4:$AH$108,$BT104,$M$4:$M$108,1),)</f>
        <v/>
      </c>
      <c r="CP104" s="13">
        <f>IF(AND(CF104&gt;0,COUNTIF(CN103:CN106,CN104)&gt;1),CN104+RANK(CO104,CO103:CO106)-1,CN104)</f>
        <v/>
      </c>
      <c r="CQ104" s="13">
        <f>IF(CP104=0,"",CP104)</f>
        <v/>
      </c>
      <c r="CR104" s="13">
        <f>IF(OR(CQ104="",COUNTIF(CQ103:CQ106,CQ104)=1),"",$BZ104)</f>
        <v/>
      </c>
      <c r="CS104" s="13">
        <f>IF(CQ104="","",IF(COUNTIF(CQ103:CQ106,CQ104)=1,CQ104,CQ104+RANK(CR104,CR103:CR106,0)-1))</f>
        <v/>
      </c>
      <c r="CT104" s="13">
        <f>IF(OR(CS104="",COUNTIF(CS103:CS106,CS104)=1),"",$BX104)</f>
        <v/>
      </c>
      <c r="CU104" s="13">
        <f>IF(CQ104="","",IF(COUNTIF(CS103:CS106,CS104)=1,CS104,CS104+RANK(CT104,CT103:CT106,0)-1))</f>
        <v/>
      </c>
      <c r="CV104" s="13">
        <f>IF(OR(CU104="",COUNTIF(CU103:CU106,CU104)=1),"",$BU104)</f>
        <v/>
      </c>
      <c r="CW104" s="13">
        <f>IF(CQ104="","",IF(COUNTIF(CU103:CU106,CU104)=1,CU104,CU104+RANK(CV104,CV103:CV106,0)-1))</f>
        <v/>
      </c>
      <c r="CX104" s="13">
        <f>IF(CF104&gt;0,BM101+RANK(CW104,CW103:CW106,1),)</f>
        <v/>
      </c>
      <c r="CZ104" s="12">
        <f>IF(CC104=2,BT104,)</f>
        <v/>
      </c>
      <c r="DA104" s="13">
        <f>(SUMIF($AF$4:$AF$108,$BT104,$AZ$4:$AZ$108)+SUMIF($AH$4:$AH$108,$BT104,$BA$4:$BA$108))</f>
        <v/>
      </c>
      <c r="DB104" s="13">
        <f>(SUMIF($AF$4:$AF$108,$BT104,$BB$4:$BB$108)+SUMIF($AH$4:$AH$108,$BT104,$BC$4:$BC$108))</f>
        <v/>
      </c>
      <c r="DC104" s="13">
        <f>(SUMIF($AF$4:$AF$108,$BT104,$BD$4:$BD$108)+SUMIF($AH$4:$AH$108,$BT104,$BE$4:$BE$108))</f>
        <v/>
      </c>
      <c r="DD104" s="13">
        <f>IFERROR(DA104*3+DB104*1,0)</f>
        <v/>
      </c>
      <c r="DE104" s="13">
        <f>$CB104</f>
        <v/>
      </c>
      <c r="DF104" s="13">
        <f>IF(CZ104&gt;0,RANK(DD104,DD103:DD106)+CG101,)</f>
        <v/>
      </c>
      <c r="DG104" s="13">
        <f>IF(AND(CZ104&gt;0,COUNTIF(DF103:DF106,DF104)&gt;1),SUMIFS($AI$4:$AI$108,$AF$4:$AF$108,$BT104,$M$4:$M$108,2)+SUMIFS($AK$4:$AK$108,$AH$4:$AH108,$BT104,$M$4:$M$108,2)-SUMIFS($AK$4:$AK$108,$AF$4:$AF$108,$BT104,$M$4:$M$108,2)-SUMIFS($AI$4:$AI$108,$AH$4:$AH$108,$BT104,$M$4:$M$108,2),)</f>
        <v/>
      </c>
      <c r="DH104" s="13">
        <f>IF(AND(CZ104&gt;0,COUNTIF(DF103:DF106,DF104)&gt;1),DF104+RANK(DG104,DG103:DG106)-1,DF104)</f>
        <v/>
      </c>
      <c r="DI104" s="13">
        <f>IF(AND(CZ104&gt;0,COUNTIF(DH103:DH106,DH104)&gt;1),SUMIFS($AI$4:$AI$108,$AF$4:$AF$108,$BT104,$M$4:$M$108,2)+SUMIFS($AK$4:$AK$108,$AH$4:$AH$108,$BT104,$M$4:$M$108,2),)</f>
        <v/>
      </c>
      <c r="DJ104" s="13">
        <f>IF(AND(CZ104&gt;0,COUNTIF(DH103:DH106,DH104)&gt;1),DH104+RANK(DI104,DI103:DI106)-1,DH104)</f>
        <v/>
      </c>
      <c r="DK104" s="75">
        <f>IF(DJ104=0,"",DJ104)</f>
        <v/>
      </c>
      <c r="DL104" s="75">
        <f>IF(OR(DK104="",COUNTIF(DK103:DK106,DK104)=1),"",$BZ104)</f>
        <v/>
      </c>
      <c r="DM104" s="75">
        <f>IF(DK104="","",IF(COUNTIF(DK103:DK106,DK104)=1,DK104,DK104+RANK(DL104,DL103:DL106,0)-1))</f>
        <v/>
      </c>
      <c r="DN104" s="75">
        <f>IF(OR(DM104="",COUNTIF(DM103:DM106,DM104)=1),"",$BX104)</f>
        <v/>
      </c>
      <c r="DO104" s="75">
        <f>IF(DK104="","",IF(COUNTIF(DM103:DM106,DM104)=1,DM104,DM104+RANK(DN104,DN103:DN106,0)-1))</f>
        <v/>
      </c>
      <c r="DP104" s="75">
        <f>IF(OR(DO104="",COUNTIF(DO103:DO106,DO104)=1),"",$BU104)</f>
        <v/>
      </c>
      <c r="DQ104" s="75">
        <f>IF(DK104="","",IF(COUNTIF(DO103:DO106,DO104)=1,DO104,DO104+RANK(DP104,DP103:DP106,0)-1))</f>
        <v/>
      </c>
      <c r="DR104" s="13">
        <f>IF(CZ104&gt;0,CG101+RANK(DQ104,DQ103:DQ106,1),)</f>
        <v/>
      </c>
      <c r="DT104" s="13">
        <f>IF(CC104=3,BT104,)</f>
        <v/>
      </c>
      <c r="DU104" s="13">
        <f>(SUMIF($AF$4:$AF$108,BT104,$BF$4:$BF$108)+SUMIF($AH$4:$AH$108,BT104,$BG$4:$BG$108))</f>
        <v/>
      </c>
      <c r="DV104" s="13">
        <f>(SUMIF($AF$4:$AF$108,BT104,$BH$4:$BH$108)+SUMIF($AH$4:$AH$108,BT104,$BI$4:$BI$108))</f>
        <v/>
      </c>
      <c r="DW104" s="13">
        <f>(SUMIF($AF$4:$AF$108,BT104,$BJ$4:$BJ$108)+SUMIF($AH$4:$AH$108,BT104,$BK$4:$BK$108))</f>
        <v/>
      </c>
      <c r="DX104" s="13">
        <f>IFERROR(DU104*3+DV104*1,0)</f>
        <v/>
      </c>
      <c r="DY104" s="13">
        <f>CB104</f>
        <v/>
      </c>
      <c r="DZ104" s="13">
        <f>IF(DT104&gt;0,RANK(DX104,DX103:DX106)+CG101+DA101,)</f>
        <v/>
      </c>
      <c r="EA104" s="13">
        <f>IF(AND(DT104&gt;0,COUNTIF(DZ103:DZ106,DZ104)&gt;1),SUMIFS($AI$4:$AI$108,$AF$4:$AF$108,$BT104,$M$4:$M$108,3)+SUMIFS($AK$4:$AK$108,$AH$4:$AH$108,$BT104,$M$4:$M$108,3)-SUMIFS($AK$4:$AK$108,$AF$4:$AF$108,$BT104,$M$4:$M$108,3)-SUMIFS($AI$4:$AI$108,$AH$4:$AH$108,$BT104,$M$4:$M$108,3),)</f>
        <v/>
      </c>
      <c r="EB104" s="13">
        <f>IF(AND(DT104&gt;0,COUNTIF(DZ103:DZ106,DZ104)&gt;1),DZ104+RANK(EA104,EA103:EA106)-1,DZ104)</f>
        <v/>
      </c>
      <c r="EC104" s="13">
        <f>IF(AND(DT104&gt;0,COUNTIF(EB103:EB106,EB104)&gt;1),SUMIFS($AI$4:$AI$108,$AF$4:$AF$108,$BT104,$M$4:$M$108,3)+SUMIFS($AK$4:$AK$108,$AH$4:$AH$108,$BT104,$M$4:$M$108,3),)</f>
        <v/>
      </c>
      <c r="ED104" s="13">
        <f>IF(AND(DT104&gt;0,COUNTIF(EB103:EB106,EB104)&gt;1),EB104+RANK(EC104,EC103:EC106)-1,EB104)</f>
        <v/>
      </c>
      <c r="EE104" s="13">
        <f>IF(ED104=0,"",ED104)</f>
        <v/>
      </c>
      <c r="EF104" s="13">
        <f>IF(OR(EE104="",COUNTIF(EE103:EE106,EE104)=1),"",$BZ104)</f>
        <v/>
      </c>
      <c r="EG104" s="13">
        <f>IF(EE104="","",IF(COUNTIF(EE103:EE106,EE104)=1,EE104,EE104+RANK(EF104,EF103:EF106,0)-1))</f>
        <v/>
      </c>
      <c r="EH104" s="13">
        <f>IF(OR(EG104="",COUNTIF(EG103:EG106,EG104)=1),"",$BX104)</f>
        <v/>
      </c>
      <c r="EI104" s="13">
        <f>IF(EE104="","",IF(COUNTIF(EG103:EG106,EG104)=1,EG104,EG104+RANK(EH104,EH103:EH106,0)-1))</f>
        <v/>
      </c>
      <c r="EJ104" s="13">
        <f>IF(OR(EI104="",COUNTIF(EI103:EI106,EI104)=1),"",$BU104)</f>
        <v/>
      </c>
      <c r="EK104" s="13">
        <f>IF(EE104="","",IF(COUNTIF(EI103:EI106,EI104)=1,EI104,EI104+RANK(EJ104,EJ103:EJ106,0)-1))</f>
        <v/>
      </c>
      <c r="EL104" s="13">
        <f>IF(DT104&gt;0,CG101+DA101+RANK(EK104,EK103:EK106,1),)</f>
        <v/>
      </c>
      <c r="EN104" s="13">
        <f>IF(CC104=4,BT104,)</f>
        <v/>
      </c>
      <c r="EO104" s="13">
        <f>(SUMIF($AF$4:$AF$108,$BT104,$BL$4:$BL$108)+SUMIF($AH$4:$AH$108,$BT104,$BM$4:$BM$108))</f>
        <v/>
      </c>
      <c r="EP104" s="13">
        <f>(SUMIF($AF$4:$AF$108,$BT104,$BN$4:$BN$108)+SUMIF($AH$4:$AH$108,$BT104,$BO$4:$BO$108))</f>
        <v/>
      </c>
      <c r="EQ104" s="13">
        <f>(SUMIF($AF$4:$AF$108,$BT104,$BP$4:$BP$108)+SUMIF($AH$4:$AH$108,$BT104,$BQ$4:$BQ$108))</f>
        <v/>
      </c>
      <c r="ER104" s="13">
        <f>IFERROR(EO104*3+EP104*1,0)</f>
        <v/>
      </c>
      <c r="ES104" s="13">
        <f>$CB104</f>
        <v/>
      </c>
      <c r="ET104" s="13">
        <f>IF(EN104&gt;0,RANK(ER104,ER103:ER106)+CG101+DA101+DU101,)</f>
        <v/>
      </c>
      <c r="EU104" s="13">
        <f>IF(AND(EN104&gt;0,COUNTIF(ET103:ET106,ET104)&gt;1),SUMIFS($AI$4:$AI$108,$AF$4:$AF$108,$BT104,$M$4:$M$108,4)+SUMIFS($AK$4:$AK$108,$AH$4:$AH$108,$BT104,$M$4:$M$108,4)-SUMIFS($AK$4:$AK$108,$AF$4:$AF$108,$BT104,$M$4:$M$108,4)-SUMIFS($AI$4:$AI$108,$AH$4:$AH$108,$BT104,$M$4:$M$108,4),)</f>
        <v/>
      </c>
      <c r="EV104" s="13">
        <f>IF(AND(EN104&gt;0,COUNTIF(ET103:ET106,ET104)&gt;1),ET104+RANK(EU104,EU103:EU106)-1,ET104)</f>
        <v/>
      </c>
      <c r="EW104" s="13">
        <f>IF(AND(EN104&gt;0,COUNTIF(EV104:EV107,EV104)&gt;1),SUMIFS($AI$4:$AI$108,$AF$4:$AF$108,$BT104,$M$4:$M$108,4)+SUMIFS($AK$4:$AK$108,$AH$4:$AH$108,$BT104,$M$4:$M$108,4),)</f>
        <v/>
      </c>
      <c r="EX104" s="13">
        <f>IF(AND(EN104&gt;0,COUNTIF(EV103:EV106,EV104)&gt;1),EV104+RANK(EW104,EW103:EW106)-1,EV104)</f>
        <v/>
      </c>
      <c r="EY104" s="13">
        <f>IF(EX104=0,"",EX104)</f>
        <v/>
      </c>
      <c r="EZ104" s="13">
        <f>IF(OR(EY104="",COUNTIF(EY103:EY106,EY104)=1),"",$BZ104)</f>
        <v/>
      </c>
      <c r="FA104" s="13">
        <f>IF(EY104="","",IF(COUNTIF(EY103:EY106,EY104)=1,EY104,EY104+RANK(EZ104,EZ103:EZ106,0)-1))</f>
        <v/>
      </c>
      <c r="FB104" s="13">
        <f>IF(OR(FA104="",COUNTIF(FA103:FA106,FA104)=1),"",$BX104)</f>
        <v/>
      </c>
      <c r="FC104" s="13">
        <f>IF(EY104="","",IF(COUNTIF(FA103:FA106,FA104)=1,FA104,FA104+RANK(FB104,FB103:FB106,0)-1))</f>
        <v/>
      </c>
      <c r="FD104" s="13">
        <f>IF(OR(FC104="",COUNTIF(FC103:FC106,FC104)=1),"",$BU104)</f>
        <v/>
      </c>
      <c r="FE104" s="13">
        <f>IF(EY104="","",IF(COUNTIF(FC103:FC106,FC104)=1,FC104,FC104+RANK(FD104,FD103:FD106,0)-1))</f>
        <v/>
      </c>
      <c r="FF104" s="13">
        <f>IF(EN104&gt;0,CG101+DA101+DU101+RANK(FE104,FE103:FE106,1),)</f>
        <v/>
      </c>
      <c r="FH104" s="13">
        <f>IFERROR(VLOOKUP(FJ104,CF102:CX106,19,FALSE),IFERROR(VLOOKUP(FJ104,CZ102:DR106,19,FALSE),IFERROR(VLOOKUP(FJ104,DT102:EL106,19,FALSE),VLOOKUP(FJ104,EN102:FF106,19,FALSE))))</f>
        <v/>
      </c>
      <c r="FI104" s="13">
        <f>RANK(FH104,FH103:FH106,1)+COUNTIF(FH103:FH104,FH104)-1</f>
        <v/>
      </c>
      <c r="FJ104" s="12">
        <f>BT104</f>
        <v/>
      </c>
      <c r="FZ104" s="79" t="n">
        <v>102</v>
      </c>
      <c r="GA104" s="3">
        <f>GB104&amp;GC104&amp;GD104&amp;GE104&amp;GF104&amp;GG104&amp;GH104&amp;GI104</f>
        <v/>
      </c>
      <c r="GB104" s="3" t="inlineStr">
        <is>
          <t>E</t>
        </is>
      </c>
      <c r="GC104" s="3" t="inlineStr">
        <is>
          <t>G</t>
        </is>
      </c>
      <c r="GD104" s="3" t="inlineStr">
        <is>
          <t>B</t>
        </is>
      </c>
      <c r="GE104" s="3" t="inlineStr">
        <is>
          <t>C</t>
        </is>
      </c>
      <c r="GF104" s="3" t="inlineStr">
        <is>
          <t>I</t>
        </is>
      </c>
      <c r="GG104" s="3" t="inlineStr">
        <is>
          <t>F</t>
        </is>
      </c>
      <c r="GH104" s="3" t="inlineStr">
        <is>
          <t>L</t>
        </is>
      </c>
      <c r="GI104" s="3" t="inlineStr">
        <is>
          <t>K</t>
        </is>
      </c>
      <c r="GJ104" s="9">
        <f>VLOOKUP(GB104,$FM$3:$FN$15,2,FALSE)</f>
        <v/>
      </c>
      <c r="GK104" s="9">
        <f>VLOOKUP(GC104,$FM$3:$FN$15,2,FALSE)</f>
        <v/>
      </c>
      <c r="GL104" s="9">
        <f>VLOOKUP(GD104,$FM$3:$FN$15,2,FALSE)</f>
        <v/>
      </c>
      <c r="GM104" s="9">
        <f>VLOOKUP(GE104,$FM$3:$FN$15,2,FALSE)</f>
        <v/>
      </c>
      <c r="GN104" s="9">
        <f>VLOOKUP(GF104,$FM$3:$FN$15,2,FALSE)</f>
        <v/>
      </c>
      <c r="GO104" s="9">
        <f>VLOOKUP(GG104,$FM$3:$FN$15,2,FALSE)</f>
        <v/>
      </c>
      <c r="GP104" s="9">
        <f>VLOOKUP(GH104,$FM$3:$FN$15,2,FALSE)</f>
        <v/>
      </c>
      <c r="GQ104" s="9">
        <f>VLOOKUP(GI104,$FM$3:$FN$15,2,FALSE)</f>
        <v/>
      </c>
      <c r="GR104" s="9">
        <f>IFERROR(IF(AND(VLOOKUP(GB104,$FX$4:$FX$15,1,FALSE)=GB104,VLOOKUP(GC104,$FX$4:$FX$15,1,FALSE)=GC104,VLOOKUP(GD104,$FX$4:$FX$15,1,FALSE)=GD104,VLOOKUP(GE104,$FX$4:$FX$15,1,FALSE)=GE104,VLOOKUP(GF104,$FX$4:$FX$15,1,FALSE)=GF104,VLOOKUP(GG104,$FX$4:$FX$15,1,FALSE)=GG104,VLOOKUP(GH104,$FX$4:$FX$15,1,FALSE)=GH104,VLOOKUP(GI104,$FX$4:$FX$15,1,FALSE)=GI104),FZ104,""),"")</f>
        <v/>
      </c>
      <c r="GX104" s="142" t="n"/>
    </row>
    <row r="105" ht="14.25" customHeight="1">
      <c r="B105" s="58" t="n">
        <v>45</v>
      </c>
      <c r="C105" s="59" t="n">
        <v>46196</v>
      </c>
      <c r="D105" s="60" t="inlineStr">
        <is>
          <t>England</t>
        </is>
      </c>
      <c r="E105" s="61" t="inlineStr">
        <is>
          <t>-</t>
        </is>
      </c>
      <c r="F105" s="62" t="inlineStr">
        <is>
          <t>Ghana</t>
        </is>
      </c>
      <c r="G105" s="63" t="n">
        <v>2</v>
      </c>
      <c r="H105" s="64" t="inlineStr">
        <is>
          <t>-</t>
        </is>
      </c>
      <c r="I105" s="63" t="n">
        <v>0</v>
      </c>
      <c r="J105" s="65">
        <f>IF(OR(ISBLANK(G105),ISBLANK(I105)),"",IF(G105&gt;I105,1,IF(G105&lt;I105,2,"X")))</f>
        <v/>
      </c>
      <c r="K105" s="66">
        <f>IF(OR(G105="",I105="",'[1]Resultat &amp; tabell'!G105="",'[1]Resultat &amp; tabell'!I105=""),0,IF(G105='[1]Resultat &amp; tabell'!G105,2,0)+IF(I105='[1]Resultat &amp; tabell'!I105,2,0)+IF(J105='[1]Resultat &amp; tabell'!J105,2,0))</f>
        <v/>
      </c>
      <c r="L105" s="67" t="n"/>
      <c r="M105" s="29">
        <f>IF(VLOOKUP(D105,$BT$102:$CC$106,10,FALSE)=VLOOKUP(F105,$BT$102:$CC$106,10,FALSE),VLOOKUP(D105,$BT$102:$CC$106,10,FALSE),"-")</f>
        <v/>
      </c>
      <c r="N105" s="30" t="n">
        <v>3</v>
      </c>
      <c r="O105" s="83">
        <f>VLOOKUP(N105,FI103:FJ106,2,FALSE)</f>
        <v/>
      </c>
      <c r="P105" s="84">
        <f>VLOOKUP($O105,$BT$103:$CA$106,2,FALSE)</f>
        <v/>
      </c>
      <c r="Q105" s="84">
        <f>VLOOKUP($O105,$BT$103:$CA$106,3,FALSE)</f>
        <v/>
      </c>
      <c r="R105" s="84">
        <f>VLOOKUP($O105,$BT$103:$CA$106,4,FALSE)</f>
        <v/>
      </c>
      <c r="S105" s="84">
        <f>VLOOKUP($O105,$BT$103:$CA$106,5,FALSE)</f>
        <v/>
      </c>
      <c r="T105" s="84">
        <f>VLOOKUP($O105,$BT$103:$CA$106,6,FALSE)</f>
        <v/>
      </c>
      <c r="U105" s="84">
        <f>VLOOKUP($O105,$BT$103:$CA$106,7,FALSE)</f>
        <v/>
      </c>
      <c r="V105" s="85">
        <f>VLOOKUP($O105,$BT$103:$CA$106,8,FALSE)</f>
        <v/>
      </c>
      <c r="X105" s="1" t="n"/>
      <c r="AE105" s="72">
        <f>C105</f>
        <v/>
      </c>
      <c r="AF105" s="72">
        <f>D105</f>
        <v/>
      </c>
      <c r="AG105" s="72">
        <f>E105</f>
        <v/>
      </c>
      <c r="AH105" s="72">
        <f>F105</f>
        <v/>
      </c>
      <c r="AI105" s="63">
        <f>IF(G105="","",G105)</f>
        <v/>
      </c>
      <c r="AJ105" s="58">
        <f>H105</f>
        <v/>
      </c>
      <c r="AK105" s="63">
        <f>IF(I105="","",I105)</f>
        <v/>
      </c>
      <c r="AL105" s="65">
        <f>J105</f>
        <v/>
      </c>
      <c r="AM105" s="73" t="n"/>
      <c r="AN105" s="13">
        <f>IF(AI105&gt;AK105,1,0)</f>
        <v/>
      </c>
      <c r="AO105" s="13">
        <f>IF(AK105&gt;AI105,1,0)</f>
        <v/>
      </c>
      <c r="AP105" s="13">
        <f>IF(AND(AI105=AK105,AI105&lt;&gt;""),1,0)</f>
        <v/>
      </c>
      <c r="AQ105" s="13">
        <f>IF(AND(AI105=AK105,AI105&lt;&gt;""),1,0)</f>
        <v/>
      </c>
      <c r="AR105" s="13">
        <f>IF(AI105&lt;AK105,1,0)</f>
        <v/>
      </c>
      <c r="AS105" s="13">
        <f>IF(AK105&lt;AI105,1,)</f>
        <v/>
      </c>
      <c r="AT105" s="13">
        <f>IF(ISERROR(VLOOKUP(AF105,CF:CF,1,FALSE)),0,1)*IF(ISERROR(VLOOKUP(AH105,CF:CF,1,FALSE)),0,1)*AN105</f>
        <v/>
      </c>
      <c r="AU105" s="13">
        <f>IF(ISERROR(VLOOKUP(AF105,CF:CF,1,FALSE)),0,1)*IF(ISERROR(VLOOKUP(AH105,CF:CF,1,FALSE)),0,1)*AO105</f>
        <v/>
      </c>
      <c r="AV105" s="13">
        <f>IF(ISERROR(VLOOKUP(AF105,CF:CF,1,FALSE)),0,1)*IF(ISERROR(VLOOKUP(AH105,CF:CF,1,FALSE)),0,1)*AP105</f>
        <v/>
      </c>
      <c r="AW105" s="13">
        <f>IF(ISERROR(VLOOKUP(AF105,CF:CF,1,FALSE)),0,1)*IF(ISERROR(VLOOKUP(AH105,CF:CF,1,FALSE)),0,1)*AQ105</f>
        <v/>
      </c>
      <c r="AX105" s="13">
        <f>IF(ISERROR(VLOOKUP(AF105,CF:CF,1,FALSE)),0,1)*IF(ISERROR(VLOOKUP(AH105,CF:CF,1,FALSE)),0,1)*AR105</f>
        <v/>
      </c>
      <c r="AY105" s="13">
        <f>IF(ISERROR(VLOOKUP(AF105,CF:CF,1,FALSE)),0,1)*IF(ISERROR(VLOOKUP(AH105,CF:CF,1,FALSE)),0,1)*AS105</f>
        <v/>
      </c>
      <c r="AZ105" s="13">
        <f>IF(ISERROR(VLOOKUP(AF105,CZ:CZ,1,FALSE)),0,1)*IF(ISERROR(VLOOKUP(AH105,CZ:CZ,1,FALSE)),0,1)*AN105</f>
        <v/>
      </c>
      <c r="BA105" s="13">
        <f>IF(ISERROR(VLOOKUP(AF105,CZ:CZ,1,FALSE)),0,1)*IF(ISERROR(VLOOKUP(AH105,CZ:CZ,1,FALSE)),0,1)*AO105</f>
        <v/>
      </c>
      <c r="BB105" s="13">
        <f>IF(ISERROR(VLOOKUP(AF105,CZ:CZ,1,FALSE)),0,1)*IF(ISERROR(VLOOKUP(AH105,CZ:CZ,1,FALSE)),0,1)*AP105</f>
        <v/>
      </c>
      <c r="BC105" s="13">
        <f>IF(ISERROR(VLOOKUP(AF105,CZ:CZ,1,FALSE)),0,1)*IF(ISERROR(VLOOKUP(AH105,CZ:CZ,1,FALSE)),0,1)*AQ105</f>
        <v/>
      </c>
      <c r="BD105" s="13">
        <f>IF(ISERROR(VLOOKUP(AF105,CZ:CZ,1,FALSE)),0,1)*IF(ISERROR(VLOOKUP(AH105,CZ:CZ,1,FALSE)),0,1)*AR105</f>
        <v/>
      </c>
      <c r="BE105" s="13">
        <f>IF(ISERROR(VLOOKUP(AF105,CZ:CZ,1,FALSE)),0,1)*IF(ISERROR(VLOOKUP(AH105,CZ:CZ,1,FALSE)),0,1)*AS105</f>
        <v/>
      </c>
      <c r="BF105" s="13">
        <f>IF(ISERROR(VLOOKUP(AF105,DT:DT,1,FALSE)),0,1)*IF(ISERROR(VLOOKUP(AH105,DT:DT,1,FALSE)),0,1)*AN105</f>
        <v/>
      </c>
      <c r="BG105" s="13">
        <f>IF(ISERROR(VLOOKUP(AF105,DT:DT,1,FALSE)),0,1)*IF(ISERROR(VLOOKUP(AH105,DT:DT,1,FALSE)),0,1)*AO105</f>
        <v/>
      </c>
      <c r="BH105" s="13">
        <f>IF(ISERROR(VLOOKUP(AF105,DT:DT,1,FALSE)),0,1)*IF(ISERROR(VLOOKUP(AH105,DT:DT,1,FALSE)),0,1)*AP105</f>
        <v/>
      </c>
      <c r="BI105" s="13">
        <f>IF(ISERROR(VLOOKUP(AF105,DT:DT,1,FALSE)),0,1)*IF(ISERROR(VLOOKUP(AH105,DT:DT,1,FALSE)),0,1)*AQ105</f>
        <v/>
      </c>
      <c r="BJ105" s="13">
        <f>IF(ISERROR(VLOOKUP(AF105,DT:DT,1,FALSE)),0,1)*IF(ISERROR(VLOOKUP(AH105,DT:DT,1,FALSE)),0,1)*AR105</f>
        <v/>
      </c>
      <c r="BK105" s="13">
        <f>IF(ISERROR(VLOOKUP(AF105,DT:DT,1,FALSE)),0,1)*IF(ISERROR(VLOOKUP(AH105,DT:DT,1,FALSE)),0,1)*AS105</f>
        <v/>
      </c>
      <c r="BL105" s="13">
        <f>IF(ISERROR(VLOOKUP(AF105,EN:EN,1,FALSE)),0,1)*IF(ISERROR(VLOOKUP(AH105,EN:EN,1,FALSE)),0,1)*AN105</f>
        <v/>
      </c>
      <c r="BM105" s="13">
        <f>IF(ISERROR(VLOOKUP(AF105,EN:EN,1,FALSE)),0,1)*IF(ISERROR(VLOOKUP(AH105,EN:EN,1,FALSE)),0,1)*AO105</f>
        <v/>
      </c>
      <c r="BN105" s="13">
        <f>IF(ISERROR(VLOOKUP(AF105,EN:EN,1,FALSE)),0,1)*IF(ISERROR(VLOOKUP(AH105,EN:EN,1,FALSE)),0,1)*AP105</f>
        <v/>
      </c>
      <c r="BO105" s="13">
        <f>IF(ISERROR(VLOOKUP(AF105,EN:EN,1,FALSE)),0,1)*IF(ISERROR(VLOOKUP(AH105,EN:EN,1,FALSE)),0,1)*AQ105</f>
        <v/>
      </c>
      <c r="BP105" s="13">
        <f>IF(ISERROR(VLOOKUP(AF105,EN:EN,1,FALSE)),0,1)*IF(ISERROR(VLOOKUP(AH105,EN:EN,1,FALSE)),0,1)*AR105</f>
        <v/>
      </c>
      <c r="BQ105" s="13">
        <f>IF(ISERROR(VLOOKUP(AF105,EN:EN,1,FALSE)),0,1)*IF(ISERROR(VLOOKUP(AH105,EN:EN,1,FALSE)),0,1)*AS105</f>
        <v/>
      </c>
      <c r="BT105" s="12" t="inlineStr">
        <is>
          <t>Ghana</t>
        </is>
      </c>
      <c r="BU105" s="13">
        <f>(SUMIF(AF$4:AF$108,BT105,AN$4:AN$108)+SUMIF(AH$4:AH$108,BT105,AO$4:AO$108))</f>
        <v/>
      </c>
      <c r="BV105" s="13">
        <f>(SUMIF(AF$4:AF$108,BT105,AP$4:AP$108)+SUMIF(AH$4:AH$108,BT105,AQ$4:AQ$108))</f>
        <v/>
      </c>
      <c r="BW105" s="13">
        <f>(SUMIF(AF$4:AF$108,BT105,AR$4:AR$108)+SUMIF(AH$4:AH$108,BT105,AS$4:AS$108))</f>
        <v/>
      </c>
      <c r="BX105" s="13">
        <f>SUMIF($AF$4:$AF$108,BT105,$AI$4:$AI$108)+SUMIF($AH$4:$AH$108,BT105,$AK$4:$AK$108)</f>
        <v/>
      </c>
      <c r="BY105" s="13">
        <f>SUMIF($AF$4:$AF$108,BT105,$AK$4:$AK$108)+SUMIF($AH$4:$AH$108,BT105,$AI$4:$AI$108)</f>
        <v/>
      </c>
      <c r="BZ105" s="13">
        <f>BX105-BY105</f>
        <v/>
      </c>
      <c r="CA105" s="13">
        <f>IFERROR(BU105*3+BV105*1,0)</f>
        <v/>
      </c>
      <c r="CB105" s="13" t="inlineStr">
        <is>
          <t>L</t>
        </is>
      </c>
      <c r="CC105" s="74">
        <f>RANK(CA105,CA103:CA106)</f>
        <v/>
      </c>
      <c r="CD105" s="13">
        <f>SUMPRODUCT((CA103:CA106=CA105)*(BZ103:BZ106&gt;BZ105))</f>
        <v/>
      </c>
      <c r="CF105" s="12">
        <f>IF(CC105=1,BT105,)</f>
        <v/>
      </c>
      <c r="CG105" s="13">
        <f>(SUMIF($AF$4:$AF$108,$BT105,$AT$4:$AT$108)+SUMIF($AH$4:$AH$108,$BT105,$AU$4:$AU$108))</f>
        <v/>
      </c>
      <c r="CH105" s="13">
        <f>(SUMIF($AF$4:$AF$108,$BT105,$AV$4:$AV$108)+SUMIF($AH$4:$AH$108,$BT105,$AW$4:$AW$108))</f>
        <v/>
      </c>
      <c r="CI105" s="13">
        <f>(SUMIF($AF$4:$AF$108,$BT105,$AX$4:$AX$108)+SUMIF($AH$4:$AH$108,$BT105,$AY$4:$AY$108))</f>
        <v/>
      </c>
      <c r="CJ105" s="13">
        <f>IFERROR(CG105*3+CH105*1,0)</f>
        <v/>
      </c>
      <c r="CK105" s="13">
        <f>CB105</f>
        <v/>
      </c>
      <c r="CL105" s="13">
        <f>IF(CF105&gt;0,RANK(CJ105,CJ103:CJ106),)</f>
        <v/>
      </c>
      <c r="CM105" s="13">
        <f>IF(AND(CF105&gt;0,COUNTIF(CL103:CL106,CL105)&gt;1),SUMIFS($AI$4:$AI$108,$AF$4:$AF$108,$BT105,$M$4:$M$108,1)+SUMIFS($AK$4:$AK$108,$AH$4:$AH$108,$BT105,$M$4:$M$108,1)-SUMIFS($AK$4:$AK$108,$AF$4:$AF$108,$BT105,$M$4:$M$108,1)-SUMIFS($AI$4:$AI$108,$AH$4:$AH$108,$BT105,$M$4:$M$108,1),)</f>
        <v/>
      </c>
      <c r="CN105" s="13">
        <f>IF(AND(CF105&gt;0,COUNTIF(CL103:CL106,CL105)&gt;1),CL105+RANK(CM105,CM103:CM106)-1,CL105)</f>
        <v/>
      </c>
      <c r="CO105" s="13">
        <f>IF(AND(CF105&gt;0,COUNTIF(CN103:CN106,CN105)&gt;1),SUMIFS($AI$4:$AI$108,$AF$4:$AF$108,$BT105,$M$4:$M$108,1)+SUMIFS($AK$4:$AK$108,$AH$4:$AH$108,$BT105,$M$4:$M$108,1),)</f>
        <v/>
      </c>
      <c r="CP105" s="13">
        <f>IF(AND(CF105&gt;0,COUNTIF(CN103:CN106,CN105)&gt;1),CN105+RANK(CO105,CO103:CO106)-1,CN105)</f>
        <v/>
      </c>
      <c r="CQ105" s="13">
        <f>IF(CP105=0,"",CP105)</f>
        <v/>
      </c>
      <c r="CR105" s="13">
        <f>IF(OR(CQ105="",COUNTIF(CQ103:CQ106,CQ105)=1),"",$BZ105)</f>
        <v/>
      </c>
      <c r="CS105" s="13">
        <f>IF(CQ105="","",IF(COUNTIF(CQ103:CQ106,CQ105)=1,CQ105,CQ105+RANK(CR105,CR103:CR106,0)-1))</f>
        <v/>
      </c>
      <c r="CT105" s="13">
        <f>IF(OR(CS105="",COUNTIF(CS103:CS106,CS105)=1),"",$BX105)</f>
        <v/>
      </c>
      <c r="CU105" s="13">
        <f>IF(CQ105="","",IF(COUNTIF(CS103:CS106,CS105)=1,CS105,CS105+RANK(CT105,CT103:CT106,0)-1))</f>
        <v/>
      </c>
      <c r="CV105" s="13">
        <f>IF(OR(CU105="",COUNTIF(CU103:CU106,CU105)=1),"",$BU105)</f>
        <v/>
      </c>
      <c r="CW105" s="13">
        <f>IF(CQ105="","",IF(COUNTIF(CU103:CU106,CU105)=1,CU105,CU105+RANK(CV105,CV103:CV106,0)-1))</f>
        <v/>
      </c>
      <c r="CX105" s="13">
        <f>IF(CF105&gt;0,BM101+RANK(CW105,CW103:CW106,1),)</f>
        <v/>
      </c>
      <c r="CZ105" s="12">
        <f>IF(CC105=2,BT105,)</f>
        <v/>
      </c>
      <c r="DA105" s="13">
        <f>(SUMIF($AF$4:$AF$108,$BT105,$AZ$4:$AZ$108)+SUMIF($AH$4:$AH$108,$BT105,$BA$4:$BA$108))</f>
        <v/>
      </c>
      <c r="DB105" s="13">
        <f>(SUMIF($AF$4:$AF$108,$BT105,$BB$4:$BB$108)+SUMIF($AH$4:$AH$108,$BT105,$BC$4:$BC$108))</f>
        <v/>
      </c>
      <c r="DC105" s="13">
        <f>(SUMIF($AF$4:$AF$108,$BT105,$BD$4:$BD$108)+SUMIF($AH$4:$AH$108,$BT105,$BE$4:$BE$108))</f>
        <v/>
      </c>
      <c r="DD105" s="13">
        <f>IFERROR(DA105*3+DB105*1,0)</f>
        <v/>
      </c>
      <c r="DE105" s="13">
        <f>$CB105</f>
        <v/>
      </c>
      <c r="DF105" s="13">
        <f>IF(CZ105&gt;0,RANK(DD105,DD103:DD106)+CG101,)</f>
        <v/>
      </c>
      <c r="DG105" s="13">
        <f>IF(AND(CZ105&gt;0,COUNTIF(DF103:DF106,DF105)&gt;1),SUMIFS($AI$4:$AI$108,$AF$4:$AF$108,$BT105,$M$4:$M$108,2)+SUMIFS($AK$4:$AK$108,$AH$4:$AH108,$BT105,$M$4:$M$108,2)-SUMIFS($AK$4:$AK$108,$AF$4:$AF$108,$BT105,$M$4:$M$108,2)-SUMIFS($AI$4:$AI$108,$AH$4:$AH$108,$BT105,$M$4:$M$108,2),)</f>
        <v/>
      </c>
      <c r="DH105" s="13">
        <f>IF(AND(CZ105&gt;0,COUNTIF(DF103:DF106,DF105)&gt;1),DF105+RANK(DG105,DG103:DG106)-1,DF105)</f>
        <v/>
      </c>
      <c r="DI105" s="13">
        <f>IF(AND(CZ105&gt;0,COUNTIF(DH103:DH106,DH105)&gt;1),SUMIFS($AI$4:$AI$108,$AF$4:$AF$108,$BT105,$M$4:$M$108,2)+SUMIFS($AK$4:$AK$108,$AH$4:$AH$108,$BT105,$M$4:$M$108,2),)</f>
        <v/>
      </c>
      <c r="DJ105" s="13">
        <f>IF(AND(CZ105&gt;0,COUNTIF(DH103:DH106,DH105)&gt;1),DH105+RANK(DI105,DI103:DI106)-1,DH105)</f>
        <v/>
      </c>
      <c r="DK105" s="75">
        <f>IF(DJ105=0,"",DJ105)</f>
        <v/>
      </c>
      <c r="DL105" s="75">
        <f>IF(OR(DK105="",COUNTIF(DK103:DK106,DK105)=1),"",$BZ105)</f>
        <v/>
      </c>
      <c r="DM105" s="75">
        <f>IF(DK105="","",IF(COUNTIF(DK103:DK106,DK105)=1,DK105,DK105+RANK(DL105,DL103:DL106,0)-1))</f>
        <v/>
      </c>
      <c r="DN105" s="75">
        <f>IF(OR(DM105="",COUNTIF(DM103:DM106,DM105)=1),"",$BX105)</f>
        <v/>
      </c>
      <c r="DO105" s="75">
        <f>IF(DK105="","",IF(COUNTIF(DM103:DM106,DM105)=1,DM105,DM105+RANK(DN105,DN103:DN106,0)-1))</f>
        <v/>
      </c>
      <c r="DP105" s="75">
        <f>IF(OR(DO105="",COUNTIF(DO103:DO106,DO105)=1),"",$BU105)</f>
        <v/>
      </c>
      <c r="DQ105" s="75">
        <f>IF(DK105="","",IF(COUNTIF(DO103:DO106,DO105)=1,DO105,DO105+RANK(DP105,DP103:DP106,0)-1))</f>
        <v/>
      </c>
      <c r="DR105" s="13">
        <f>IF(CZ105&gt;0,CG101+RANK(DQ105,DQ103:DQ106,1),)</f>
        <v/>
      </c>
      <c r="DT105" s="13">
        <f>IF(CC105=3,BT105,)</f>
        <v/>
      </c>
      <c r="DU105" s="13">
        <f>(SUMIF($AF$4:$AF$108,BT105,$BF$4:$BF$108)+SUMIF($AH$4:$AH$108,BT105,$BG$4:$BG$108))</f>
        <v/>
      </c>
      <c r="DV105" s="13">
        <f>(SUMIF($AF$4:$AF$108,BT105,$BH$4:$BH$108)+SUMIF($AH$4:$AH$108,BT105,$BI$4:$BI$108))</f>
        <v/>
      </c>
      <c r="DW105" s="13">
        <f>(SUMIF($AF$4:$AF$108,BT105,$BJ$4:$BJ$108)+SUMIF($AH$4:$AH$108,BT105,$BK$4:$BK$108))</f>
        <v/>
      </c>
      <c r="DX105" s="13">
        <f>IFERROR(DU105*3+DV105*1,0)</f>
        <v/>
      </c>
      <c r="DY105" s="13">
        <f>CB105</f>
        <v/>
      </c>
      <c r="DZ105" s="13">
        <f>IF(DT105&gt;0,RANK(DX105,DX103:DX106)+CG101+DA101,)</f>
        <v/>
      </c>
      <c r="EA105" s="13">
        <f>IF(AND(DT105&gt;0,COUNTIF(DZ103:DZ106,DZ105)&gt;1),SUMIFS($AI$4:$AI$108,$AF$4:$AF$108,$BT105,$M$4:$M$108,3)+SUMIFS($AK$4:$AK$108,$AH$4:$AH$108,$BT105,$M$4:$M$108,3)-SUMIFS($AK$4:$AK$108,$AF$4:$AF$108,$BT105,$M$4:$M$108,3)-SUMIFS($AI$4:$AI$108,$AH$4:$AH$108,$BT105,$M$4:$M$108,3),)</f>
        <v/>
      </c>
      <c r="EB105" s="13">
        <f>IF(AND(DT105&gt;0,COUNTIF(DZ103:DZ106,DZ105)&gt;1),DZ105+RANK(EA105,EA103:EA106)-1,DZ105)</f>
        <v/>
      </c>
      <c r="EC105" s="13">
        <f>IF(AND(DT105&gt;0,COUNTIF(EB103:EB106,EB105)&gt;1),SUMIFS($AI$4:$AI$108,$AF$4:$AF$108,$BT105,$M$4:$M$108,3)+SUMIFS($AK$4:$AK$108,$AH$4:$AH$108,$BT105,$M$4:$M$108,3),)</f>
        <v/>
      </c>
      <c r="ED105" s="13">
        <f>IF(AND(DT105&gt;0,COUNTIF(EB103:EB106,EB105)&gt;1),EB105+RANK(EC105,EC103:EC106)-1,EB105)</f>
        <v/>
      </c>
      <c r="EE105" s="13">
        <f>IF(ED105=0,"",ED105)</f>
        <v/>
      </c>
      <c r="EF105" s="13">
        <f>IF(OR(EE105="",COUNTIF(EE103:EE106,EE105)=1),"",$BZ105)</f>
        <v/>
      </c>
      <c r="EG105" s="13">
        <f>IF(EE105="","",IF(COUNTIF(EE103:EE106,EE105)=1,EE105,EE105+RANK(EF105,EF103:EF106,0)-1))</f>
        <v/>
      </c>
      <c r="EH105" s="13">
        <f>IF(OR(EG105="",COUNTIF(EG103:EG106,EG105)=1),"",$BX105)</f>
        <v/>
      </c>
      <c r="EI105" s="13">
        <f>IF(EE105="","",IF(COUNTIF(EG103:EG106,EG105)=1,EG105,EG105+RANK(EH105,EH103:EH106,0)-1))</f>
        <v/>
      </c>
      <c r="EJ105" s="13">
        <f>IF(OR(EI105="",COUNTIF(EI103:EI106,EI105)=1),"",$BU105)</f>
        <v/>
      </c>
      <c r="EK105" s="13">
        <f>IF(EE105="","",IF(COUNTIF(EI103:EI106,EI105)=1,EI105,EI105+RANK(EJ105,EJ103:EJ106,0)-1))</f>
        <v/>
      </c>
      <c r="EL105" s="13">
        <f>IF(DT105&gt;0,CG101+DA101+RANK(EK105,EK103:EK106,1),)</f>
        <v/>
      </c>
      <c r="EN105" s="13">
        <f>IF(CC105=4,BT105,)</f>
        <v/>
      </c>
      <c r="EO105" s="13">
        <f>(SUMIF($AF$4:$AF$108,$BT105,$BL$4:$BL$108)+SUMIF($AH$4:$AH$108,$BT105,$BM$4:$BM$108))</f>
        <v/>
      </c>
      <c r="EP105" s="13">
        <f>(SUMIF($AF$4:$AF$108,$BT105,$BN$4:$BN$108)+SUMIF($AH$4:$AH$108,$BT105,$BO$4:$BO$108))</f>
        <v/>
      </c>
      <c r="EQ105" s="13">
        <f>(SUMIF($AF$4:$AF$108,$BT105,$BP$4:$BP$108)+SUMIF($AH$4:$AH$108,$BT105,$BQ$4:$BQ$108))</f>
        <v/>
      </c>
      <c r="ER105" s="13">
        <f>IFERROR(EO105*3+EP105*1,0)</f>
        <v/>
      </c>
      <c r="ES105" s="13">
        <f>$CB105</f>
        <v/>
      </c>
      <c r="ET105" s="13">
        <f>IF(EN105&gt;0,RANK(ER105,ER103:ER106)+CG101+DA101+DU101,)</f>
        <v/>
      </c>
      <c r="EU105" s="13">
        <f>IF(AND(EN105&gt;0,COUNTIF(ET103:ET106,ET105)&gt;1),SUMIFS($AI$4:$AI$108,$AF$4:$AF$108,$BT105,$M$4:$M$108,4)+SUMIFS($AK$4:$AK$108,$AH$4:$AH$108,$BT105,$M$4:$M$108,4)-SUMIFS($AK$4:$AK$108,$AF$4:$AF$108,$BT105,$M$4:$M$108,4)-SUMIFS($AI$4:$AI$108,$AH$4:$AH$108,$BT105,$M$4:$M$108,4),)</f>
        <v/>
      </c>
      <c r="EV105" s="13">
        <f>IF(AND(EN105&gt;0,COUNTIF(ET103:ET106,ET105)&gt;1),ET105+RANK(EU105,EU103:EU106)-1,ET105)</f>
        <v/>
      </c>
      <c r="EW105" s="13">
        <f>IF(AND(EN105&gt;0,COUNTIF(EV105:EV108,EV105)&gt;1),SUMIFS($AI$4:$AI$108,$AF$4:$AF$108,$BT105,$M$4:$M$108,4)+SUMIFS($AK$4:$AK$108,$AH$4:$AH$108,$BT105,$M$4:$M$108,4),)</f>
        <v/>
      </c>
      <c r="EX105" s="13">
        <f>IF(AND(EN105&gt;0,COUNTIF(EV103:EV106,EV105)&gt;1),EV105+RANK(EW105,EW103:EW106)-1,EV105)</f>
        <v/>
      </c>
      <c r="EY105" s="13">
        <f>IF(EX105=0,"",EX105)</f>
        <v/>
      </c>
      <c r="EZ105" s="13">
        <f>IF(OR(EY105="",COUNTIF(EY103:EY106,EY105)=1),"",$BZ105)</f>
        <v/>
      </c>
      <c r="FA105" s="13">
        <f>IF(EY105="","",IF(COUNTIF(EY103:EY106,EY105)=1,EY105,EY105+RANK(EZ105,EZ103:EZ106,0)-1))</f>
        <v/>
      </c>
      <c r="FB105" s="13">
        <f>IF(OR(FA105="",COUNTIF(FA103:FA106,FA105)=1),"",$BX105)</f>
        <v/>
      </c>
      <c r="FC105" s="13">
        <f>IF(EY105="","",IF(COUNTIF(FA103:FA106,FA105)=1,FA105,FA105+RANK(FB105,FB103:FB106,0)-1))</f>
        <v/>
      </c>
      <c r="FD105" s="13">
        <f>IF(OR(FC105="",COUNTIF(FC103:FC106,FC105)=1),"",$BU105)</f>
        <v/>
      </c>
      <c r="FE105" s="13">
        <f>IF(EY105="","",IF(COUNTIF(FC103:FC106,FC105)=1,FC105,FC105+RANK(FD105,FD103:FD106,0)-1))</f>
        <v/>
      </c>
      <c r="FF105" s="13">
        <f>IF(EN105&gt;0,CG101+DA101+DU101+RANK(FE105,FE103:FE106,1),)</f>
        <v/>
      </c>
      <c r="FH105" s="13">
        <f>IFERROR(VLOOKUP(FJ105,CF102:CX106,19,FALSE),IFERROR(VLOOKUP(FJ105,CZ102:DR106,19,FALSE),IFERROR(VLOOKUP(FJ105,DT102:EL106,19,FALSE),VLOOKUP(FJ105,EN102:FF106,19,FALSE))))</f>
        <v/>
      </c>
      <c r="FI105" s="13">
        <f>RANK(FH105,FH103:FH106,1)+COUNTIF(FH103:FH105,FH105)-1</f>
        <v/>
      </c>
      <c r="FJ105" s="12">
        <f>BT105</f>
        <v/>
      </c>
      <c r="FZ105" s="79" t="n">
        <v>103</v>
      </c>
      <c r="GA105" s="3">
        <f>GB105&amp;GC105&amp;GD105&amp;GE105&amp;GF105&amp;GG105&amp;GH105&amp;GI105</f>
        <v/>
      </c>
      <c r="GB105" s="3" t="inlineStr">
        <is>
          <t>E</t>
        </is>
      </c>
      <c r="GC105" s="3" t="inlineStr">
        <is>
          <t>G</t>
        </is>
      </c>
      <c r="GD105" s="3" t="inlineStr">
        <is>
          <t>B</t>
        </is>
      </c>
      <c r="GE105" s="3" t="inlineStr">
        <is>
          <t>C</t>
        </is>
      </c>
      <c r="GF105" s="3" t="inlineStr">
        <is>
          <t>J</t>
        </is>
      </c>
      <c r="GG105" s="3" t="inlineStr">
        <is>
          <t>F</t>
        </is>
      </c>
      <c r="GH105" s="3" t="inlineStr">
        <is>
          <t>L</t>
        </is>
      </c>
      <c r="GI105" s="3" t="inlineStr">
        <is>
          <t>I</t>
        </is>
      </c>
      <c r="GJ105" s="9">
        <f>VLOOKUP(GB105,$FM$3:$FN$15,2,FALSE)</f>
        <v/>
      </c>
      <c r="GK105" s="9">
        <f>VLOOKUP(GC105,$FM$3:$FN$15,2,FALSE)</f>
        <v/>
      </c>
      <c r="GL105" s="9">
        <f>VLOOKUP(GD105,$FM$3:$FN$15,2,FALSE)</f>
        <v/>
      </c>
      <c r="GM105" s="9">
        <f>VLOOKUP(GE105,$FM$3:$FN$15,2,FALSE)</f>
        <v/>
      </c>
      <c r="GN105" s="9">
        <f>VLOOKUP(GF105,$FM$3:$FN$15,2,FALSE)</f>
        <v/>
      </c>
      <c r="GO105" s="9">
        <f>VLOOKUP(GG105,$FM$3:$FN$15,2,FALSE)</f>
        <v/>
      </c>
      <c r="GP105" s="9">
        <f>VLOOKUP(GH105,$FM$3:$FN$15,2,FALSE)</f>
        <v/>
      </c>
      <c r="GQ105" s="9">
        <f>VLOOKUP(GI105,$FM$3:$FN$15,2,FALSE)</f>
        <v/>
      </c>
      <c r="GR105" s="9">
        <f>IFERROR(IF(AND(VLOOKUP(GB105,$FX$4:$FX$15,1,FALSE)=GB105,VLOOKUP(GC105,$FX$4:$FX$15,1,FALSE)=GC105,VLOOKUP(GD105,$FX$4:$FX$15,1,FALSE)=GD105,VLOOKUP(GE105,$FX$4:$FX$15,1,FALSE)=GE105,VLOOKUP(GF105,$FX$4:$FX$15,1,FALSE)=GF105,VLOOKUP(GG105,$FX$4:$FX$15,1,FALSE)=GG105,VLOOKUP(GH105,$FX$4:$FX$15,1,FALSE)=GH105,VLOOKUP(GI105,$FX$4:$FX$15,1,FALSE)=GI105),FZ105,""),"")</f>
        <v/>
      </c>
      <c r="GX105" s="142" t="n"/>
    </row>
    <row r="106" ht="14.25" customHeight="1">
      <c r="B106" s="58" t="n">
        <v>46</v>
      </c>
      <c r="C106" s="59" t="n">
        <v>46197</v>
      </c>
      <c r="D106" s="60" t="inlineStr">
        <is>
          <t>Panama</t>
        </is>
      </c>
      <c r="E106" s="61" t="inlineStr">
        <is>
          <t>-</t>
        </is>
      </c>
      <c r="F106" s="62" t="inlineStr">
        <is>
          <t>Kroatien</t>
        </is>
      </c>
      <c r="G106" s="63" t="n">
        <v>0</v>
      </c>
      <c r="H106" s="64" t="inlineStr">
        <is>
          <t>-</t>
        </is>
      </c>
      <c r="I106" s="63" t="n">
        <v>2</v>
      </c>
      <c r="J106" s="65">
        <f>IF(OR(ISBLANK(G106),ISBLANK(I106)),"",IF(G106&gt;I106,1,IF(G106&lt;I106,2,"X")))</f>
        <v/>
      </c>
      <c r="K106" s="66">
        <f>IF(OR(G106="",I106="",'[1]Resultat &amp; tabell'!G106="",'[1]Resultat &amp; tabell'!I106=""),0,IF(G106='[1]Resultat &amp; tabell'!G106,2,0)+IF(I106='[1]Resultat &amp; tabell'!I106,2,0)+IF(J106='[1]Resultat &amp; tabell'!J106,2,0))</f>
        <v/>
      </c>
      <c r="L106" s="67" t="n"/>
      <c r="M106" s="29">
        <f>IF(VLOOKUP(D106,$BT$102:$CC$106,10,FALSE)=VLOOKUP(F106,$BT$102:$CC$106,10,FALSE),VLOOKUP(D106,$BT$102:$CC$106,10,FALSE),"-")</f>
        <v/>
      </c>
      <c r="N106" s="30" t="n">
        <v>4</v>
      </c>
      <c r="O106" s="86">
        <f>VLOOKUP(N106,FI103:FJ106,2,FALSE)</f>
        <v/>
      </c>
      <c r="P106" s="87">
        <f>VLOOKUP($O106,$BT$103:$CA$106,2,FALSE)</f>
        <v/>
      </c>
      <c r="Q106" s="87">
        <f>VLOOKUP($O106,$BT$103:$CA$106,3,FALSE)</f>
        <v/>
      </c>
      <c r="R106" s="87">
        <f>VLOOKUP($O106,$BT$103:$CA$106,4,FALSE)</f>
        <v/>
      </c>
      <c r="S106" s="87">
        <f>VLOOKUP($O106,$BT$103:$CA$106,5,FALSE)</f>
        <v/>
      </c>
      <c r="T106" s="87">
        <f>VLOOKUP($O106,$BT$103:$CA$106,6,FALSE)</f>
        <v/>
      </c>
      <c r="U106" s="87">
        <f>VLOOKUP($O106,$BT$103:$CA$106,7,FALSE)</f>
        <v/>
      </c>
      <c r="V106" s="82">
        <f>VLOOKUP($O106,$BT$103:$CA$106,8,FALSE)</f>
        <v/>
      </c>
      <c r="X106" s="1" t="n"/>
      <c r="AE106" s="72">
        <f>C106</f>
        <v/>
      </c>
      <c r="AF106" s="72">
        <f>D106</f>
        <v/>
      </c>
      <c r="AG106" s="72">
        <f>E106</f>
        <v/>
      </c>
      <c r="AH106" s="72">
        <f>F106</f>
        <v/>
      </c>
      <c r="AI106" s="63">
        <f>IF(G106="","",G106)</f>
        <v/>
      </c>
      <c r="AJ106" s="58">
        <f>H106</f>
        <v/>
      </c>
      <c r="AK106" s="63">
        <f>IF(I106="","",I106)</f>
        <v/>
      </c>
      <c r="AL106" s="65">
        <f>J106</f>
        <v/>
      </c>
      <c r="AM106" s="73" t="n"/>
      <c r="AN106" s="13">
        <f>IF(AI106&gt;AK106,1,0)</f>
        <v/>
      </c>
      <c r="AO106" s="13">
        <f>IF(AK106&gt;AI106,1,0)</f>
        <v/>
      </c>
      <c r="AP106" s="13">
        <f>IF(AND(AI106=AK106,AI106&lt;&gt;""),1,0)</f>
        <v/>
      </c>
      <c r="AQ106" s="13">
        <f>IF(AND(AI106=AK106,AI106&lt;&gt;""),1,0)</f>
        <v/>
      </c>
      <c r="AR106" s="13">
        <f>IF(AI106&lt;AK106,1,0)</f>
        <v/>
      </c>
      <c r="AS106" s="13">
        <f>IF(AK106&lt;AI106,1,)</f>
        <v/>
      </c>
      <c r="AT106" s="13">
        <f>IF(ISERROR(VLOOKUP(AF106,CF:CF,1,FALSE)),0,1)*IF(ISERROR(VLOOKUP(AH106,CF:CF,1,FALSE)),0,1)*AN106</f>
        <v/>
      </c>
      <c r="AU106" s="13">
        <f>IF(ISERROR(VLOOKUP(AF106,CF:CF,1,FALSE)),0,1)*IF(ISERROR(VLOOKUP(AH106,CF:CF,1,FALSE)),0,1)*AO106</f>
        <v/>
      </c>
      <c r="AV106" s="13">
        <f>IF(ISERROR(VLOOKUP(AF106,CF:CF,1,FALSE)),0,1)*IF(ISERROR(VLOOKUP(AH106,CF:CF,1,FALSE)),0,1)*AP106</f>
        <v/>
      </c>
      <c r="AW106" s="13">
        <f>IF(ISERROR(VLOOKUP(AF106,CF:CF,1,FALSE)),0,1)*IF(ISERROR(VLOOKUP(AH106,CF:CF,1,FALSE)),0,1)*AQ106</f>
        <v/>
      </c>
      <c r="AX106" s="13">
        <f>IF(ISERROR(VLOOKUP(AF106,CF:CF,1,FALSE)),0,1)*IF(ISERROR(VLOOKUP(AH106,CF:CF,1,FALSE)),0,1)*AR106</f>
        <v/>
      </c>
      <c r="AY106" s="13">
        <f>IF(ISERROR(VLOOKUP(AF106,CF:CF,1,FALSE)),0,1)*IF(ISERROR(VLOOKUP(AH106,CF:CF,1,FALSE)),0,1)*AS106</f>
        <v/>
      </c>
      <c r="AZ106" s="13">
        <f>IF(ISERROR(VLOOKUP(AF106,CZ:CZ,1,FALSE)),0,1)*IF(ISERROR(VLOOKUP(AH106,CZ:CZ,1,FALSE)),0,1)*AN106</f>
        <v/>
      </c>
      <c r="BA106" s="13">
        <f>IF(ISERROR(VLOOKUP(AF106,CZ:CZ,1,FALSE)),0,1)*IF(ISERROR(VLOOKUP(AH106,CZ:CZ,1,FALSE)),0,1)*AO106</f>
        <v/>
      </c>
      <c r="BB106" s="13">
        <f>IF(ISERROR(VLOOKUP(AF106,CZ:CZ,1,FALSE)),0,1)*IF(ISERROR(VLOOKUP(AH106,CZ:CZ,1,FALSE)),0,1)*AP106</f>
        <v/>
      </c>
      <c r="BC106" s="13">
        <f>IF(ISERROR(VLOOKUP(AF106,CZ:CZ,1,FALSE)),0,1)*IF(ISERROR(VLOOKUP(AH106,CZ:CZ,1,FALSE)),0,1)*AQ106</f>
        <v/>
      </c>
      <c r="BD106" s="13">
        <f>IF(ISERROR(VLOOKUP(AF106,CZ:CZ,1,FALSE)),0,1)*IF(ISERROR(VLOOKUP(AH106,CZ:CZ,1,FALSE)),0,1)*AR106</f>
        <v/>
      </c>
      <c r="BE106" s="13">
        <f>IF(ISERROR(VLOOKUP(AF106,CZ:CZ,1,FALSE)),0,1)*IF(ISERROR(VLOOKUP(AH106,CZ:CZ,1,FALSE)),0,1)*AS106</f>
        <v/>
      </c>
      <c r="BF106" s="13">
        <f>IF(ISERROR(VLOOKUP(AF106,DT:DT,1,FALSE)),0,1)*IF(ISERROR(VLOOKUP(AH106,DT:DT,1,FALSE)),0,1)*AN106</f>
        <v/>
      </c>
      <c r="BG106" s="13">
        <f>IF(ISERROR(VLOOKUP(AF106,DT:DT,1,FALSE)),0,1)*IF(ISERROR(VLOOKUP(AH106,DT:DT,1,FALSE)),0,1)*AO106</f>
        <v/>
      </c>
      <c r="BH106" s="13">
        <f>IF(ISERROR(VLOOKUP(AF106,DT:DT,1,FALSE)),0,1)*IF(ISERROR(VLOOKUP(AH106,DT:DT,1,FALSE)),0,1)*AP106</f>
        <v/>
      </c>
      <c r="BI106" s="13">
        <f>IF(ISERROR(VLOOKUP(AF106,DT:DT,1,FALSE)),0,1)*IF(ISERROR(VLOOKUP(AH106,DT:DT,1,FALSE)),0,1)*AQ106</f>
        <v/>
      </c>
      <c r="BJ106" s="13">
        <f>IF(ISERROR(VLOOKUP(AF106,DT:DT,1,FALSE)),0,1)*IF(ISERROR(VLOOKUP(AH106,DT:DT,1,FALSE)),0,1)*AR106</f>
        <v/>
      </c>
      <c r="BK106" s="13">
        <f>IF(ISERROR(VLOOKUP(AF106,DT:DT,1,FALSE)),0,1)*IF(ISERROR(VLOOKUP(AH106,DT:DT,1,FALSE)),0,1)*AS106</f>
        <v/>
      </c>
      <c r="BL106" s="13">
        <f>IF(ISERROR(VLOOKUP(AF106,EN:EN,1,FALSE)),0,1)*IF(ISERROR(VLOOKUP(AH106,EN:EN,1,FALSE)),0,1)*AN106</f>
        <v/>
      </c>
      <c r="BM106" s="13">
        <f>IF(ISERROR(VLOOKUP(AF106,EN:EN,1,FALSE)),0,1)*IF(ISERROR(VLOOKUP(AH106,EN:EN,1,FALSE)),0,1)*AO106</f>
        <v/>
      </c>
      <c r="BN106" s="13">
        <f>IF(ISERROR(VLOOKUP(AF106,EN:EN,1,FALSE)),0,1)*IF(ISERROR(VLOOKUP(AH106,EN:EN,1,FALSE)),0,1)*AP106</f>
        <v/>
      </c>
      <c r="BO106" s="13">
        <f>IF(ISERROR(VLOOKUP(AF106,EN:EN,1,FALSE)),0,1)*IF(ISERROR(VLOOKUP(AH106,EN:EN,1,FALSE)),0,1)*AQ106</f>
        <v/>
      </c>
      <c r="BP106" s="13">
        <f>IF(ISERROR(VLOOKUP(AF106,EN:EN,1,FALSE)),0,1)*IF(ISERROR(VLOOKUP(AH106,EN:EN,1,FALSE)),0,1)*AR106</f>
        <v/>
      </c>
      <c r="BQ106" s="13">
        <f>IF(ISERROR(VLOOKUP(AF106,EN:EN,1,FALSE)),0,1)*IF(ISERROR(VLOOKUP(AH106,EN:EN,1,FALSE)),0,1)*AS106</f>
        <v/>
      </c>
      <c r="BT106" s="88" t="inlineStr">
        <is>
          <t>Panama</t>
        </is>
      </c>
      <c r="BU106" s="13">
        <f>(SUMIF(AF$4:AF$108,BT106,AN$4:AN$108)+SUMIF(AH$4:AH$108,BT106,AO$4:AO$108))</f>
        <v/>
      </c>
      <c r="BV106" s="13">
        <f>(SUMIF(AF$4:AF$108,BT106,AP$4:AP$108)+SUMIF(AH$4:AH$108,BT106,AQ$4:AQ$108))</f>
        <v/>
      </c>
      <c r="BW106" s="13">
        <f>(SUMIF(AF$4:AF$108,BT106,AR$4:AR$108)+SUMIF(AH$4:AH$108,BT106,AS$4:AS$108))</f>
        <v/>
      </c>
      <c r="BX106" s="13">
        <f>SUMIF($AF$4:$AF$108,BT106,$AI$4:$AI$108)+SUMIF($AH$4:$AH$108,BT106,$AK$4:$AK$108)</f>
        <v/>
      </c>
      <c r="BY106" s="13">
        <f>SUMIF($AF$4:$AF$108,BT106,$AK$4:$AK$108)+SUMIF($AH$4:$AH$108,BT106,$AI$4:$AI$108)</f>
        <v/>
      </c>
      <c r="BZ106" s="13">
        <f>BX106-BY106</f>
        <v/>
      </c>
      <c r="CA106" s="13">
        <f>IFERROR(BU106*3+BV106*1,0)</f>
        <v/>
      </c>
      <c r="CB106" s="89" t="inlineStr">
        <is>
          <t>L</t>
        </is>
      </c>
      <c r="CC106" s="74">
        <f>RANK(CA106,CA103:CA106)</f>
        <v/>
      </c>
      <c r="CD106" s="13">
        <f>SUMPRODUCT((CA103:CA106=CA106)*(BZ103:BZ106&gt;BZ106))</f>
        <v/>
      </c>
      <c r="CF106" s="88">
        <f>IF(CC106=1,BT106,)</f>
        <v/>
      </c>
      <c r="CG106" s="13">
        <f>(SUMIF($AF$4:$AF$108,$BT106,$AT$4:$AT$108)+SUMIF($AH$4:$AH$108,$BT106,$AU$4:$AU$108))</f>
        <v/>
      </c>
      <c r="CH106" s="13">
        <f>(SUMIF($AF$4:$AF$108,$BT106,$AV$4:$AV$108)+SUMIF($AH$4:$AH$108,$BT106,$AW$4:$AW$108))</f>
        <v/>
      </c>
      <c r="CI106" s="13">
        <f>(SUMIF($AF$4:$AF$108,$BT106,$AX$4:$AX$108)+SUMIF($AH$4:$AH$108,$BT106,$AY$4:$AY$108))</f>
        <v/>
      </c>
      <c r="CJ106" s="13">
        <f>IFERROR(CG106*3+CH106*1,0)</f>
        <v/>
      </c>
      <c r="CK106" s="13">
        <f>CB106</f>
        <v/>
      </c>
      <c r="CL106" s="13">
        <f>IF(CF106&gt;0,RANK(CJ106,CJ103:CJ106),)</f>
        <v/>
      </c>
      <c r="CM106" s="13">
        <f>IF(AND(CF106&gt;0,COUNTIF(CL103:CL106,CL106)&gt;1),SUMIFS($AI$4:$AI$108,$AF$4:$AF$108,$BT106,$M$4:$M$108,1)+SUMIFS($AK$4:$AK$108,$AH$4:$AH$108,$BT106,$M$4:$M$108,1)-SUMIFS($AK$4:$AK$108,$AF$4:$AF$108,$BT106,$M$4:$M$108,1)-SUMIFS($AI$4:$AI$108,$AH$4:$AH$108,$BT106,$M$4:$M$108,1),)</f>
        <v/>
      </c>
      <c r="CN106" s="13">
        <f>IF(AND(CF106&gt;0,COUNTIF(CL103:CL106,CL106)&gt;1),CL106+RANK(CM106,CM103:CM106)-1,CL106)</f>
        <v/>
      </c>
      <c r="CO106" s="13">
        <f>IF(AND(CF106&gt;0,COUNTIF(CN103:CN106,CN106)&gt;1),SUMIFS($AI$4:$AI$108,$AF$4:$AF$108,$BT106,$M$4:$M$108,1)+SUMIFS($AK$4:$AK$108,$AH$4:$AH$108,$BT106,$M$4:$M$108,1),)</f>
        <v/>
      </c>
      <c r="CP106" s="13">
        <f>IF(AND(CF106&gt;0,COUNTIF(CN103:CN106,CN106)&gt;1),CN106+RANK(CO106,CO103:CO106)-1,CN106)</f>
        <v/>
      </c>
      <c r="CQ106" s="13">
        <f>IF(CP106=0,"",CP106)</f>
        <v/>
      </c>
      <c r="CR106" s="13">
        <f>IF(OR(CQ106="",COUNTIF(CQ103:CQ106,CQ106)=1),"",$BZ106)</f>
        <v/>
      </c>
      <c r="CS106" s="13">
        <f>IF(CQ106="","",IF(COUNTIF(CQ103:CQ106,CQ106)=1,CQ106,CQ106+RANK(CR106,CR103:CR106,0)-1))</f>
        <v/>
      </c>
      <c r="CT106" s="13">
        <f>IF(OR(CS106="",COUNTIF(CS103:CS106,CS106)=1),"",$BX106)</f>
        <v/>
      </c>
      <c r="CU106" s="13">
        <f>IF(CQ106="","",IF(COUNTIF(CS103:CS106,CS106)=1,CS106,CS106+RANK(CT106,CT103:CT106,0)-1))</f>
        <v/>
      </c>
      <c r="CV106" s="13">
        <f>IF(OR(CU106="",COUNTIF(CU103:CU106,CU106)=1),"",$BU106)</f>
        <v/>
      </c>
      <c r="CW106" s="13">
        <f>IF(CQ106="","",IF(COUNTIF(CU103:CU106,CU106)=1,CU106,CU106+RANK(CV106,CV103:CV106,0)-1))</f>
        <v/>
      </c>
      <c r="CX106" s="13">
        <f>IF(CF106&gt;0,BM101+RANK(CW106,CW103:CW106,1),)</f>
        <v/>
      </c>
      <c r="CZ106" s="88">
        <f>IF(CC106=2,BT106,)</f>
        <v/>
      </c>
      <c r="DA106" s="13">
        <f>(SUMIF($AF$4:$AF$108,$BT106,$AZ$4:$AZ$108)+SUMIF($AH$4:$AH$108,$BT106,$BA$4:$BA$108))</f>
        <v/>
      </c>
      <c r="DB106" s="13">
        <f>(SUMIF($AF$4:$AF$108,$BT106,$BB$4:$BB$108)+SUMIF($AH$4:$AH$108,$BT106,$BC$4:$BC$108))</f>
        <v/>
      </c>
      <c r="DC106" s="13">
        <f>(SUMIF($AF$4:$AF$108,$BT106,$BD$4:$BD$108)+SUMIF($AH$4:$AH$108,$BT106,$BE$4:$BE$108))</f>
        <v/>
      </c>
      <c r="DD106" s="13">
        <f>IFERROR(DA106*3+DB106*1,0)</f>
        <v/>
      </c>
      <c r="DE106" s="13">
        <f>$CB106</f>
        <v/>
      </c>
      <c r="DF106" s="13">
        <f>IF(CZ106&gt;0,RANK(DD106,DD103:DD106)+CG101,)</f>
        <v/>
      </c>
      <c r="DG106" s="13">
        <f>IF(AND(CZ106&gt;0,COUNTIF(DF103:DF106,DF106)&gt;1),SUMIFS($AI$4:$AI$108,$AF$4:$AF$108,$BT106,$M$4:$M$108,2)+SUMIFS($AK$4:$AK$108,$AH$4:$AH108,$BT106,$M$4:$M$108,2)-SUMIFS($AK$4:$AK$108,$AF$4:$AF$108,$BT106,$M$4:$M$108,2)-SUMIFS($AI$4:$AI$108,$AH$4:$AH$108,$BT106,$M$4:$M$108,2),)</f>
        <v/>
      </c>
      <c r="DH106" s="13">
        <f>IF(AND(CZ106&gt;0,COUNTIF(DF103:DF106,DF106)&gt;1),DF106+RANK(DG106,DG103:DG106)-1,DF106)</f>
        <v/>
      </c>
      <c r="DI106" s="13">
        <f>IF(AND(CZ106&gt;0,COUNTIF(DH103:DH106,DH106)&gt;1),SUMIFS($AI$4:$AI$108,$AF$4:$AF$108,$BT106,$M$4:$M$108,2)+SUMIFS($AK$4:$AK$108,$AH$4:$AH$108,$BT106,$M$4:$M$108,2),)</f>
        <v/>
      </c>
      <c r="DJ106" s="13">
        <f>IF(AND(CZ106&gt;0,COUNTIF(DH103:DH106,DH106)&gt;1),DH106+RANK(DI106,DI103:DI106)-1,DH106)</f>
        <v/>
      </c>
      <c r="DK106" s="75">
        <f>IF(DJ106=0,"",DJ106)</f>
        <v/>
      </c>
      <c r="DL106" s="75">
        <f>IF(OR(DK106="",COUNTIF(DK103:DK106,DK106)=1),"",$BZ106)</f>
        <v/>
      </c>
      <c r="DM106" s="75">
        <f>IF(DK106="","",IF(COUNTIF(DK103:DK106,DK106)=1,DK106,DK106+RANK(DL106,DL103:DL106,0)-1))</f>
        <v/>
      </c>
      <c r="DN106" s="75">
        <f>IF(OR(DM106="",COUNTIF(DM103:DM106,DM106)=1),"",$BX106)</f>
        <v/>
      </c>
      <c r="DO106" s="75">
        <f>IF(DK106="","",IF(COUNTIF(DM103:DM106,DM106)=1,DM106,DM106+RANK(DN106,DN103:DN106,0)-1))</f>
        <v/>
      </c>
      <c r="DP106" s="75">
        <f>IF(OR(DO106="",COUNTIF(DO103:DO106,DO106)=1),"",$BU106)</f>
        <v/>
      </c>
      <c r="DQ106" s="75">
        <f>IF(DK106="","",IF(COUNTIF(DO103:DO106,DO106)=1,DO106,DO106+RANK(DP106,DP103:DP106,0)-1))</f>
        <v/>
      </c>
      <c r="DR106" s="13">
        <f>IF(CZ106&gt;0,CG101+RANK(DQ106,DQ103:DQ106,1),)</f>
        <v/>
      </c>
      <c r="DT106" s="89">
        <f>IF(CC106=3,BT106,)</f>
        <v/>
      </c>
      <c r="DU106" s="13">
        <f>(SUMIF($AF$4:$AF$108,BT106,$BF$4:$BF$108)+SUMIF($AH$4:$AH$108,BT106,$BG$4:$BG$108))</f>
        <v/>
      </c>
      <c r="DV106" s="13">
        <f>(SUMIF($AF$4:$AF$108,BT106,$BH$4:$BH$108)+SUMIF($AH$4:$AH$108,BT106,$BI$4:$BI$108))</f>
        <v/>
      </c>
      <c r="DW106" s="13">
        <f>(SUMIF($AF$4:$AF$108,BT106,$BJ$4:$BJ$108)+SUMIF($AH$4:$AH$108,BT106,$BK$4:$BK$108))</f>
        <v/>
      </c>
      <c r="DX106" s="13">
        <f>IFERROR(DU106*3+DV106*1,0)</f>
        <v/>
      </c>
      <c r="DY106" s="13">
        <f>CB106</f>
        <v/>
      </c>
      <c r="DZ106" s="13">
        <f>IF(DT106&gt;0,RANK(DX106,DX103:DX106)+CG101+DA101,)</f>
        <v/>
      </c>
      <c r="EA106" s="13">
        <f>IF(AND(DT106&gt;0,COUNTIF(DZ103:DZ106,DZ106)&gt;1),SUMIFS($AI$4:$AI$108,$AF$4:$AF$108,$BT106,$M$4:$M$108,3)+SUMIFS($AK$4:$AK$108,$AH$4:$AH$108,$BT106,$M$4:$M$108,3)-SUMIFS($AK$4:$AK$108,$AF$4:$AF$108,$BT106,$M$4:$M$108,3)-SUMIFS($AI$4:$AI$108,$AH$4:$AH$108,$BT106,$M$4:$M$108,3),)</f>
        <v/>
      </c>
      <c r="EB106" s="13">
        <f>IF(AND(DT106&gt;0,COUNTIF(DZ103:DZ106,DZ106)&gt;1),DZ106+RANK(EA106,EA103:EA106)-1,DZ106)</f>
        <v/>
      </c>
      <c r="EC106" s="13">
        <f>IF(AND(DT106&gt;0,COUNTIF(EB103:EB106,EB106)&gt;1),SUMIFS($AI$4:$AI$108,$AF$4:$AF$108,$BT106,$M$4:$M$108,3)+SUMIFS($AK$4:$AK$108,$AH$4:$AH$108,$BT106,$M$4:$M$108,3),)</f>
        <v/>
      </c>
      <c r="ED106" s="13">
        <f>IF(AND(DT106&gt;0,COUNTIF(EB103:EB106,EB106)&gt;1),EB106+RANK(EC106,EC103:EC106)-1,EB106)</f>
        <v/>
      </c>
      <c r="EE106" s="13">
        <f>IF(ED106=0,"",ED106)</f>
        <v/>
      </c>
      <c r="EF106" s="13">
        <f>IF(OR(EE106="",COUNTIF(EE103:EE106,EE106)=1),"",$BZ106)</f>
        <v/>
      </c>
      <c r="EG106" s="13">
        <f>IF(EE106="","",IF(COUNTIF(EE103:EE106,EE106)=1,EE106,EE106+RANK(EF106,EF103:EF106,0)-1))</f>
        <v/>
      </c>
      <c r="EH106" s="13">
        <f>IF(OR(EG106="",COUNTIF(EG103:EG106,EG106)=1),"",$BX106)</f>
        <v/>
      </c>
      <c r="EI106" s="13">
        <f>IF(EE106="","",IF(COUNTIF(EG103:EG106,EG106)=1,EG106,EG106+RANK(EH106,EH103:EH106,0)-1))</f>
        <v/>
      </c>
      <c r="EJ106" s="13">
        <f>IF(OR(EI106="",COUNTIF(EI103:EI106,EI106)=1),"",$BU106)</f>
        <v/>
      </c>
      <c r="EK106" s="13">
        <f>IF(EE106="","",IF(COUNTIF(EI103:EI106,EI106)=1,EI106,EI106+RANK(EJ106,EJ103:EJ106,0)-1))</f>
        <v/>
      </c>
      <c r="EL106" s="13">
        <f>IF(DT106&gt;0,CG101+DA101+RANK(EK106,EK103:EK106,1),)</f>
        <v/>
      </c>
      <c r="EN106" s="13">
        <f>IF(CC106=4,BT106,)</f>
        <v/>
      </c>
      <c r="EO106" s="13">
        <f>(SUMIF($AF$4:$AF$108,$BT106,$BL$4:$BL$108)+SUMIF($AH$4:$AH$108,$BT106,$BM$4:$BM$108))</f>
        <v/>
      </c>
      <c r="EP106" s="13">
        <f>(SUMIF($AF$4:$AF$108,$BT106,$BN$4:$BN$108)+SUMIF($AH$4:$AH$108,$BT106,$BO$4:$BO$108))</f>
        <v/>
      </c>
      <c r="EQ106" s="13">
        <f>(SUMIF($AF$4:$AF$108,$BT106,$BP$4:$BP$108)+SUMIF($AH$4:$AH$108,$BT106,$BQ$4:$BQ$108))</f>
        <v/>
      </c>
      <c r="ER106" s="13">
        <f>IFERROR(EO106*3+EP106*1,0)</f>
        <v/>
      </c>
      <c r="ES106" s="13">
        <f>$CB106</f>
        <v/>
      </c>
      <c r="ET106" s="13">
        <f>IF(EN106&gt;0,RANK(ER106,ER103:ER106)+CG101+DA101+DU101,)</f>
        <v/>
      </c>
      <c r="EU106" s="13">
        <f>IF(AND(EN106&gt;0,COUNTIF(ET103:ET106,ET106)&gt;1),SUMIFS($AI$4:$AI$108,$AF$4:$AF$108,$BT106,$M$4:$M$108,4)+SUMIFS($AK$4:$AK$108,$AH$4:$AH$108,$BT106,$M$4:$M$108,4)-SUMIFS($AK$4:$AK$108,$AF$4:$AF$108,$BT106,$M$4:$M$108,4)-SUMIFS($AI$4:$AI$108,$AH$4:$AH$108,$BT106,$M$4:$M$108,4),)</f>
        <v/>
      </c>
      <c r="EV106" s="13">
        <f>IF(AND(EN106&gt;0,COUNTIF(ET103:ET106,ET106)&gt;1),ET106+RANK(EU106,EU103:EU106)-1,ET106)</f>
        <v/>
      </c>
      <c r="EW106" s="13">
        <f>IF(AND(EN106&gt;0,COUNTIF(EV106:EV109,EV106)&gt;1),SUMIFS($AI$4:$AI$108,$AF$4:$AF$108,$BT106,$M$4:$M$108,4)+SUMIFS($AK$4:$AK$108,$AH$4:$AH$108,$BT106,$M$4:$M$108,4),)</f>
        <v/>
      </c>
      <c r="EX106" s="13">
        <f>IF(AND(EN106&gt;0,COUNTIF(EV103:EV106,EV106)&gt;1),EV106+RANK(EW106,EW103:EW106)-1,EV106)</f>
        <v/>
      </c>
      <c r="EY106" s="13">
        <f>IF(EX106=0,"",EX106)</f>
        <v/>
      </c>
      <c r="EZ106" s="13">
        <f>IF(OR(EY106="",COUNTIF(EY103:EY106,EY106)=1),"",$BZ106)</f>
        <v/>
      </c>
      <c r="FA106" s="13">
        <f>IF(EY106="","",IF(COUNTIF(EY103:EY106,EY106)=1,EY106,EY106+RANK(EZ106,EZ103:EZ106,0)-1))</f>
        <v/>
      </c>
      <c r="FB106" s="13">
        <f>IF(OR(FA106="",COUNTIF(FA103:FA106,FA106)=1),"",$BX106)</f>
        <v/>
      </c>
      <c r="FC106" s="13">
        <f>IF(EY106="","",IF(COUNTIF(FA103:FA106,FA106)=1,FA106,FA106+RANK(FB106,FB103:FB106,0)-1))</f>
        <v/>
      </c>
      <c r="FD106" s="13">
        <f>IF(OR(FC106="",COUNTIF(FC103:FC106,FC106)=1),"",$BU106)</f>
        <v/>
      </c>
      <c r="FE106" s="13">
        <f>IF(EY106="","",IF(COUNTIF(FC103:FC106,FC106)=1,FC106,FC106+RANK(FD106,FD103:FD106,0)-1))</f>
        <v/>
      </c>
      <c r="FF106" s="13">
        <f>IF(EN106&gt;0,CG101+DA101+DU101+RANK(FE106,FE103:FE106,1),)</f>
        <v/>
      </c>
      <c r="FH106" s="13">
        <f>IFERROR(VLOOKUP(FJ106,CF102:CX106,19,FALSE),IFERROR(VLOOKUP(FJ106,CZ102:DR106,19,FALSE),IFERROR(VLOOKUP(FJ106,DT102:EL106,19,FALSE),VLOOKUP(FJ106,EN102:FF106,19,FALSE))))</f>
        <v/>
      </c>
      <c r="FI106" s="13">
        <f>RANK(FH106,FH103:FH106,1)+COUNTIF(FH103:FH106,FH106)-1</f>
        <v/>
      </c>
      <c r="FJ106" s="12">
        <f>BT106</f>
        <v/>
      </c>
      <c r="FZ106" s="79" t="n">
        <v>104</v>
      </c>
      <c r="GA106" s="3">
        <f>GB106&amp;GC106&amp;GD106&amp;GE106&amp;GF106&amp;GG106&amp;GH106&amp;GI106</f>
        <v/>
      </c>
      <c r="GB106" s="3" t="inlineStr">
        <is>
          <t>E</t>
        </is>
      </c>
      <c r="GC106" s="3" t="inlineStr">
        <is>
          <t>G</t>
        </is>
      </c>
      <c r="GD106" s="3" t="inlineStr">
        <is>
          <t>B</t>
        </is>
      </c>
      <c r="GE106" s="3" t="inlineStr">
        <is>
          <t>C</t>
        </is>
      </c>
      <c r="GF106" s="3" t="inlineStr">
        <is>
          <t>J</t>
        </is>
      </c>
      <c r="GG106" s="3" t="inlineStr">
        <is>
          <t>F</t>
        </is>
      </c>
      <c r="GH106" s="3" t="inlineStr">
        <is>
          <t>I</t>
        </is>
      </c>
      <c r="GI106" s="3" t="inlineStr">
        <is>
          <t>K</t>
        </is>
      </c>
      <c r="GJ106" s="9">
        <f>VLOOKUP(GB106,$FM$3:$FN$15,2,FALSE)</f>
        <v/>
      </c>
      <c r="GK106" s="9">
        <f>VLOOKUP(GC106,$FM$3:$FN$15,2,FALSE)</f>
        <v/>
      </c>
      <c r="GL106" s="9">
        <f>VLOOKUP(GD106,$FM$3:$FN$15,2,FALSE)</f>
        <v/>
      </c>
      <c r="GM106" s="9">
        <f>VLOOKUP(GE106,$FM$3:$FN$15,2,FALSE)</f>
        <v/>
      </c>
      <c r="GN106" s="9">
        <f>VLOOKUP(GF106,$FM$3:$FN$15,2,FALSE)</f>
        <v/>
      </c>
      <c r="GO106" s="9">
        <f>VLOOKUP(GG106,$FM$3:$FN$15,2,FALSE)</f>
        <v/>
      </c>
      <c r="GP106" s="9">
        <f>VLOOKUP(GH106,$FM$3:$FN$15,2,FALSE)</f>
        <v/>
      </c>
      <c r="GQ106" s="9">
        <f>VLOOKUP(GI106,$FM$3:$FN$15,2,FALSE)</f>
        <v/>
      </c>
      <c r="GR106" s="9">
        <f>IFERROR(IF(AND(VLOOKUP(GB106,$FX$4:$FX$15,1,FALSE)=GB106,VLOOKUP(GC106,$FX$4:$FX$15,1,FALSE)=GC106,VLOOKUP(GD106,$FX$4:$FX$15,1,FALSE)=GD106,VLOOKUP(GE106,$FX$4:$FX$15,1,FALSE)=GE106,VLOOKUP(GF106,$FX$4:$FX$15,1,FALSE)=GF106,VLOOKUP(GG106,$FX$4:$FX$15,1,FALSE)=GG106,VLOOKUP(GH106,$FX$4:$FX$15,1,FALSE)=GH106,VLOOKUP(GI106,$FX$4:$FX$15,1,FALSE)=GI106),FZ106,""),"")</f>
        <v/>
      </c>
      <c r="GX106" s="142" t="n"/>
    </row>
    <row r="107" ht="14.25" customHeight="1">
      <c r="B107" s="58" t="n">
        <v>67</v>
      </c>
      <c r="C107" s="59" t="n">
        <v>46200</v>
      </c>
      <c r="D107" s="60" t="inlineStr">
        <is>
          <t>Panama</t>
        </is>
      </c>
      <c r="E107" s="61" t="inlineStr">
        <is>
          <t>-</t>
        </is>
      </c>
      <c r="F107" s="62" t="inlineStr">
        <is>
          <t>England</t>
        </is>
      </c>
      <c r="G107" s="63" t="n">
        <v>0</v>
      </c>
      <c r="H107" s="64" t="inlineStr">
        <is>
          <t>-</t>
        </is>
      </c>
      <c r="I107" s="63" t="n">
        <v>3</v>
      </c>
      <c r="J107" s="65">
        <f>IF(OR(ISBLANK(G107),ISBLANK(I107)),"",IF(G107&gt;I107,1,IF(G107&lt;I107,2,"X")))</f>
        <v/>
      </c>
      <c r="K107" s="66">
        <f>IF(OR(G107="",I107="",'[1]Resultat &amp; tabell'!G107="",'[1]Resultat &amp; tabell'!I107=""),0,IF(G107='[1]Resultat &amp; tabell'!G107,2,0)+IF(I107='[1]Resultat &amp; tabell'!I107,2,0)+IF(J107='[1]Resultat &amp; tabell'!J107,2,0))</f>
        <v/>
      </c>
      <c r="L107" s="67" t="n"/>
      <c r="M107" s="29">
        <f>IF(VLOOKUP(D107,$BT$102:$CC$106,10,FALSE)=VLOOKUP(F107,$BT$102:$CC$106,10,FALSE),VLOOKUP(D107,$BT$102:$CC$106,10,FALSE),"-")</f>
        <v/>
      </c>
      <c r="O107" s="91">
        <f>IF(COUNTBLANK(G103:G108)+COUNTBLANK(I103:I108)=0,"Resultat OK","Fyll i resultat")</f>
        <v/>
      </c>
      <c r="P107" s="92" t="n"/>
      <c r="Q107" s="92" t="n"/>
      <c r="R107" s="92" t="n"/>
      <c r="S107" s="92" t="n"/>
      <c r="T107" s="92" t="n"/>
      <c r="U107" s="92" t="n"/>
      <c r="AE107" s="72">
        <f>C107</f>
        <v/>
      </c>
      <c r="AF107" s="72">
        <f>D107</f>
        <v/>
      </c>
      <c r="AG107" s="72">
        <f>E107</f>
        <v/>
      </c>
      <c r="AH107" s="72">
        <f>F107</f>
        <v/>
      </c>
      <c r="AI107" s="63">
        <f>IF(G107="","",G107)</f>
        <v/>
      </c>
      <c r="AJ107" s="58">
        <f>H107</f>
        <v/>
      </c>
      <c r="AK107" s="63">
        <f>IF(I107="","",I107)</f>
        <v/>
      </c>
      <c r="AL107" s="65">
        <f>J107</f>
        <v/>
      </c>
      <c r="AM107" s="73" t="n"/>
      <c r="AN107" s="13">
        <f>IF(AI107&gt;AK107,1,0)</f>
        <v/>
      </c>
      <c r="AO107" s="13">
        <f>IF(AK107&gt;AI107,1,0)</f>
        <v/>
      </c>
      <c r="AP107" s="13">
        <f>IF(AND(AI107=AK107,AI107&lt;&gt;""),1,0)</f>
        <v/>
      </c>
      <c r="AQ107" s="13">
        <f>IF(AND(AI107=AK107,AI107&lt;&gt;""),1,0)</f>
        <v/>
      </c>
      <c r="AR107" s="13">
        <f>IF(AI107&lt;AK107,1,0)</f>
        <v/>
      </c>
      <c r="AS107" s="13">
        <f>IF(AK107&lt;AI107,1,)</f>
        <v/>
      </c>
      <c r="AT107" s="13">
        <f>IF(ISERROR(VLOOKUP(AF107,CF:CF,1,FALSE)),0,1)*IF(ISERROR(VLOOKUP(AH107,CF:CF,1,FALSE)),0,1)*AN107</f>
        <v/>
      </c>
      <c r="AU107" s="13">
        <f>IF(ISERROR(VLOOKUP(AF107,CF:CF,1,FALSE)),0,1)*IF(ISERROR(VLOOKUP(AH107,CF:CF,1,FALSE)),0,1)*AO107</f>
        <v/>
      </c>
      <c r="AV107" s="13">
        <f>IF(ISERROR(VLOOKUP(AF107,CF:CF,1,FALSE)),0,1)*IF(ISERROR(VLOOKUP(AH107,CF:CF,1,FALSE)),0,1)*AP107</f>
        <v/>
      </c>
      <c r="AW107" s="13">
        <f>IF(ISERROR(VLOOKUP(AF107,CF:CF,1,FALSE)),0,1)*IF(ISERROR(VLOOKUP(AH107,CF:CF,1,FALSE)),0,1)*AQ107</f>
        <v/>
      </c>
      <c r="AX107" s="13">
        <f>IF(ISERROR(VLOOKUP(AF107,CF:CF,1,FALSE)),0,1)*IF(ISERROR(VLOOKUP(AH107,CF:CF,1,FALSE)),0,1)*AR107</f>
        <v/>
      </c>
      <c r="AY107" s="13">
        <f>IF(ISERROR(VLOOKUP(AF107,CF:CF,1,FALSE)),0,1)*IF(ISERROR(VLOOKUP(AH107,CF:CF,1,FALSE)),0,1)*AS107</f>
        <v/>
      </c>
      <c r="AZ107" s="13">
        <f>IF(ISERROR(VLOOKUP(AF107,CZ:CZ,1,FALSE)),0,1)*IF(ISERROR(VLOOKUP(AH107,CZ:CZ,1,FALSE)),0,1)*AN107</f>
        <v/>
      </c>
      <c r="BA107" s="13">
        <f>IF(ISERROR(VLOOKUP(AF107,CZ:CZ,1,FALSE)),0,1)*IF(ISERROR(VLOOKUP(AH107,CZ:CZ,1,FALSE)),0,1)*AO107</f>
        <v/>
      </c>
      <c r="BB107" s="13">
        <f>IF(ISERROR(VLOOKUP(AF107,CZ:CZ,1,FALSE)),0,1)*IF(ISERROR(VLOOKUP(AH107,CZ:CZ,1,FALSE)),0,1)*AP107</f>
        <v/>
      </c>
      <c r="BC107" s="13">
        <f>IF(ISERROR(VLOOKUP(AF107,CZ:CZ,1,FALSE)),0,1)*IF(ISERROR(VLOOKUP(AH107,CZ:CZ,1,FALSE)),0,1)*AQ107</f>
        <v/>
      </c>
      <c r="BD107" s="13">
        <f>IF(ISERROR(VLOOKUP(AF107,CZ:CZ,1,FALSE)),0,1)*IF(ISERROR(VLOOKUP(AH107,CZ:CZ,1,FALSE)),0,1)*AR107</f>
        <v/>
      </c>
      <c r="BE107" s="13">
        <f>IF(ISERROR(VLOOKUP(AF107,CZ:CZ,1,FALSE)),0,1)*IF(ISERROR(VLOOKUP(AH107,CZ:CZ,1,FALSE)),0,1)*AS107</f>
        <v/>
      </c>
      <c r="BF107" s="13">
        <f>IF(ISERROR(VLOOKUP(AF107,DT:DT,1,FALSE)),0,1)*IF(ISERROR(VLOOKUP(AH107,DT:DT,1,FALSE)),0,1)*AN107</f>
        <v/>
      </c>
      <c r="BG107" s="13">
        <f>IF(ISERROR(VLOOKUP(AF107,DT:DT,1,FALSE)),0,1)*IF(ISERROR(VLOOKUP(AH107,DT:DT,1,FALSE)),0,1)*AO107</f>
        <v/>
      </c>
      <c r="BH107" s="13">
        <f>IF(ISERROR(VLOOKUP(AF107,DT:DT,1,FALSE)),0,1)*IF(ISERROR(VLOOKUP(AH107,DT:DT,1,FALSE)),0,1)*AP107</f>
        <v/>
      </c>
      <c r="BI107" s="13">
        <f>IF(ISERROR(VLOOKUP(AF107,DT:DT,1,FALSE)),0,1)*IF(ISERROR(VLOOKUP(AH107,DT:DT,1,FALSE)),0,1)*AQ107</f>
        <v/>
      </c>
      <c r="BJ107" s="13">
        <f>IF(ISERROR(VLOOKUP(AF107,DT:DT,1,FALSE)),0,1)*IF(ISERROR(VLOOKUP(AH107,DT:DT,1,FALSE)),0,1)*AR107</f>
        <v/>
      </c>
      <c r="BK107" s="13">
        <f>IF(ISERROR(VLOOKUP(AF107,DT:DT,1,FALSE)),0,1)*IF(ISERROR(VLOOKUP(AH107,DT:DT,1,FALSE)),0,1)*AS107</f>
        <v/>
      </c>
      <c r="BL107" s="13">
        <f>IF(ISERROR(VLOOKUP(AF107,EN:EN,1,FALSE)),0,1)*IF(ISERROR(VLOOKUP(AH107,EN:EN,1,FALSE)),0,1)*AN107</f>
        <v/>
      </c>
      <c r="BM107" s="13">
        <f>IF(ISERROR(VLOOKUP(AF107,EN:EN,1,FALSE)),0,1)*IF(ISERROR(VLOOKUP(AH107,EN:EN,1,FALSE)),0,1)*AO107</f>
        <v/>
      </c>
      <c r="BN107" s="13">
        <f>IF(ISERROR(VLOOKUP(AF107,EN:EN,1,FALSE)),0,1)*IF(ISERROR(VLOOKUP(AH107,EN:EN,1,FALSE)),0,1)*AP107</f>
        <v/>
      </c>
      <c r="BO107" s="13">
        <f>IF(ISERROR(VLOOKUP(AF107,EN:EN,1,FALSE)),0,1)*IF(ISERROR(VLOOKUP(AH107,EN:EN,1,FALSE)),0,1)*AQ107</f>
        <v/>
      </c>
      <c r="BP107" s="13">
        <f>IF(ISERROR(VLOOKUP(AF107,EN:EN,1,FALSE)),0,1)*IF(ISERROR(VLOOKUP(AH107,EN:EN,1,FALSE)),0,1)*AR107</f>
        <v/>
      </c>
      <c r="BQ107" s="13">
        <f>IF(ISERROR(VLOOKUP(AF107,EN:EN,1,FALSE)),0,1)*IF(ISERROR(VLOOKUP(AH107,EN:EN,1,FALSE)),0,1)*AS107</f>
        <v/>
      </c>
      <c r="FZ107" s="79" t="n">
        <v>105</v>
      </c>
      <c r="GA107" s="3">
        <f>GB107&amp;GC107&amp;GD107&amp;GE107&amp;GF107&amp;GG107&amp;GH107&amp;GI107</f>
        <v/>
      </c>
      <c r="GB107" s="3" t="inlineStr">
        <is>
          <t>E</t>
        </is>
      </c>
      <c r="GC107" s="3" t="inlineStr">
        <is>
          <t>G</t>
        </is>
      </c>
      <c r="GD107" s="3" t="inlineStr">
        <is>
          <t>B</t>
        </is>
      </c>
      <c r="GE107" s="3" t="inlineStr">
        <is>
          <t>C</t>
        </is>
      </c>
      <c r="GF107" s="3" t="inlineStr">
        <is>
          <t>H</t>
        </is>
      </c>
      <c r="GG107" s="3" t="inlineStr">
        <is>
          <t>F</t>
        </is>
      </c>
      <c r="GH107" s="3" t="inlineStr">
        <is>
          <t>L</t>
        </is>
      </c>
      <c r="GI107" s="3" t="inlineStr">
        <is>
          <t>K</t>
        </is>
      </c>
      <c r="GJ107" s="9">
        <f>VLOOKUP(GB107,$FM$3:$FN$15,2,FALSE)</f>
        <v/>
      </c>
      <c r="GK107" s="9">
        <f>VLOOKUP(GC107,$FM$3:$FN$15,2,FALSE)</f>
        <v/>
      </c>
      <c r="GL107" s="9">
        <f>VLOOKUP(GD107,$FM$3:$FN$15,2,FALSE)</f>
        <v/>
      </c>
      <c r="GM107" s="9">
        <f>VLOOKUP(GE107,$FM$3:$FN$15,2,FALSE)</f>
        <v/>
      </c>
      <c r="GN107" s="9">
        <f>VLOOKUP(GF107,$FM$3:$FN$15,2,FALSE)</f>
        <v/>
      </c>
      <c r="GO107" s="9">
        <f>VLOOKUP(GG107,$FM$3:$FN$15,2,FALSE)</f>
        <v/>
      </c>
      <c r="GP107" s="9">
        <f>VLOOKUP(GH107,$FM$3:$FN$15,2,FALSE)</f>
        <v/>
      </c>
      <c r="GQ107" s="9">
        <f>VLOOKUP(GI107,$FM$3:$FN$15,2,FALSE)</f>
        <v/>
      </c>
      <c r="GR107" s="9">
        <f>IFERROR(IF(AND(VLOOKUP(GB107,$FX$4:$FX$15,1,FALSE)=GB107,VLOOKUP(GC107,$FX$4:$FX$15,1,FALSE)=GC107,VLOOKUP(GD107,$FX$4:$FX$15,1,FALSE)=GD107,VLOOKUP(GE107,$FX$4:$FX$15,1,FALSE)=GE107,VLOOKUP(GF107,$FX$4:$FX$15,1,FALSE)=GF107,VLOOKUP(GG107,$FX$4:$FX$15,1,FALSE)=GG107,VLOOKUP(GH107,$FX$4:$FX$15,1,FALSE)=GH107,VLOOKUP(GI107,$FX$4:$FX$15,1,FALSE)=GI107),FZ107,""),"")</f>
        <v/>
      </c>
      <c r="GX107" s="142" t="n"/>
    </row>
    <row r="108" ht="14.25" customHeight="1">
      <c r="B108" s="58" t="n">
        <v>68</v>
      </c>
      <c r="C108" s="59" t="n">
        <v>46200</v>
      </c>
      <c r="D108" s="60" t="inlineStr">
        <is>
          <t>Kroatien</t>
        </is>
      </c>
      <c r="E108" s="61" t="inlineStr">
        <is>
          <t>-</t>
        </is>
      </c>
      <c r="F108" s="62" t="inlineStr">
        <is>
          <t>Ghana</t>
        </is>
      </c>
      <c r="G108" s="63" t="n">
        <v>1</v>
      </c>
      <c r="H108" s="64" t="inlineStr">
        <is>
          <t>-</t>
        </is>
      </c>
      <c r="I108" s="63" t="n">
        <v>1</v>
      </c>
      <c r="J108" s="65">
        <f>IF(OR(ISBLANK(G108),ISBLANK(I108)),"",IF(G108&gt;I108,1,IF(G108&lt;I108,2,"X")))</f>
        <v/>
      </c>
      <c r="K108" s="66">
        <f>IF(OR(G108="",I108="",'[1]Resultat &amp; tabell'!G108="",'[1]Resultat &amp; tabell'!I108=""),0,IF(G108='[1]Resultat &amp; tabell'!G108,2,0)+IF(I108='[1]Resultat &amp; tabell'!I108,2,0)+IF(J108='[1]Resultat &amp; tabell'!J108,2,0))</f>
        <v/>
      </c>
      <c r="L108" s="67" t="n"/>
      <c r="M108" s="29">
        <f>IF(VLOOKUP(D108,$BT$102:$CC$106,10,FALSE)=VLOOKUP(F108,$BT$102:$CC$106,10,FALSE),VLOOKUP(D108,$BT$102:$CC$106,10,FALSE),"-")</f>
        <v/>
      </c>
      <c r="AE108" s="72">
        <f>C108</f>
        <v/>
      </c>
      <c r="AF108" s="72">
        <f>D108</f>
        <v/>
      </c>
      <c r="AG108" s="72">
        <f>E108</f>
        <v/>
      </c>
      <c r="AH108" s="72">
        <f>F108</f>
        <v/>
      </c>
      <c r="AI108" s="63">
        <f>IF(G108="","",G108)</f>
        <v/>
      </c>
      <c r="AJ108" s="58">
        <f>H108</f>
        <v/>
      </c>
      <c r="AK108" s="63">
        <f>IF(I108="","",I108)</f>
        <v/>
      </c>
      <c r="AL108" s="65">
        <f>J108</f>
        <v/>
      </c>
      <c r="AM108" s="73" t="n"/>
      <c r="AN108" s="13">
        <f>IF(AI108&gt;AK108,1,0)</f>
        <v/>
      </c>
      <c r="AO108" s="13">
        <f>IF(AK108&gt;AI108,1,0)</f>
        <v/>
      </c>
      <c r="AP108" s="13">
        <f>IF(AND(AI108=AK108,AI108&lt;&gt;""),1,0)</f>
        <v/>
      </c>
      <c r="AQ108" s="13">
        <f>IF(AND(AI108=AK108,AI108&lt;&gt;""),1,0)</f>
        <v/>
      </c>
      <c r="AR108" s="13">
        <f>IF(AI108&lt;AK108,1,0)</f>
        <v/>
      </c>
      <c r="AS108" s="13">
        <f>IF(AK108&lt;AI108,1,)</f>
        <v/>
      </c>
      <c r="AT108" s="13">
        <f>IF(ISERROR(VLOOKUP(AF108,CF:CF,1,FALSE)),0,1)*IF(ISERROR(VLOOKUP(AH108,CF:CF,1,FALSE)),0,1)*AN108</f>
        <v/>
      </c>
      <c r="AU108" s="13">
        <f>IF(ISERROR(VLOOKUP(AF108,CF:CF,1,FALSE)),0,1)*IF(ISERROR(VLOOKUP(AH108,CF:CF,1,FALSE)),0,1)*AO108</f>
        <v/>
      </c>
      <c r="AV108" s="13">
        <f>IF(ISERROR(VLOOKUP(AF108,CF:CF,1,FALSE)),0,1)*IF(ISERROR(VLOOKUP(AH108,CF:CF,1,FALSE)),0,1)*AP108</f>
        <v/>
      </c>
      <c r="AW108" s="13">
        <f>IF(ISERROR(VLOOKUP(AF108,CF:CF,1,FALSE)),0,1)*IF(ISERROR(VLOOKUP(AH108,CF:CF,1,FALSE)),0,1)*AQ108</f>
        <v/>
      </c>
      <c r="AX108" s="13">
        <f>IF(ISERROR(VLOOKUP(AF108,CF:CF,1,FALSE)),0,1)*IF(ISERROR(VLOOKUP(AH108,CF:CF,1,FALSE)),0,1)*AR108</f>
        <v/>
      </c>
      <c r="AY108" s="13">
        <f>IF(ISERROR(VLOOKUP(AF108,CF:CF,1,FALSE)),0,1)*IF(ISERROR(VLOOKUP(AH108,CF:CF,1,FALSE)),0,1)*AS108</f>
        <v/>
      </c>
      <c r="AZ108" s="13">
        <f>IF(ISERROR(VLOOKUP(AF108,CZ:CZ,1,FALSE)),0,1)*IF(ISERROR(VLOOKUP(AH108,CZ:CZ,1,FALSE)),0,1)*AN108</f>
        <v/>
      </c>
      <c r="BA108" s="13">
        <f>IF(ISERROR(VLOOKUP(AF108,CZ:CZ,1,FALSE)),0,1)*IF(ISERROR(VLOOKUP(AH108,CZ:CZ,1,FALSE)),0,1)*AO108</f>
        <v/>
      </c>
      <c r="BB108" s="13">
        <f>IF(ISERROR(VLOOKUP(AF108,CZ:CZ,1,FALSE)),0,1)*IF(ISERROR(VLOOKUP(AH108,CZ:CZ,1,FALSE)),0,1)*AP108</f>
        <v/>
      </c>
      <c r="BC108" s="13">
        <f>IF(ISERROR(VLOOKUP(AF108,CZ:CZ,1,FALSE)),0,1)*IF(ISERROR(VLOOKUP(AH108,CZ:CZ,1,FALSE)),0,1)*AQ108</f>
        <v/>
      </c>
      <c r="BD108" s="13">
        <f>IF(ISERROR(VLOOKUP(AF108,CZ:CZ,1,FALSE)),0,1)*IF(ISERROR(VLOOKUP(AH108,CZ:CZ,1,FALSE)),0,1)*AR108</f>
        <v/>
      </c>
      <c r="BE108" s="13">
        <f>IF(ISERROR(VLOOKUP(AF108,CZ:CZ,1,FALSE)),0,1)*IF(ISERROR(VLOOKUP(AH108,CZ:CZ,1,FALSE)),0,1)*AS108</f>
        <v/>
      </c>
      <c r="BF108" s="13">
        <f>IF(ISERROR(VLOOKUP(AF108,DT:DT,1,FALSE)),0,1)*IF(ISERROR(VLOOKUP(AH108,DT:DT,1,FALSE)),0,1)*AN108</f>
        <v/>
      </c>
      <c r="BG108" s="13">
        <f>IF(ISERROR(VLOOKUP(AF108,DT:DT,1,FALSE)),0,1)*IF(ISERROR(VLOOKUP(AH108,DT:DT,1,FALSE)),0,1)*AO108</f>
        <v/>
      </c>
      <c r="BH108" s="13">
        <f>IF(ISERROR(VLOOKUP(AF108,DT:DT,1,FALSE)),0,1)*IF(ISERROR(VLOOKUP(AH108,DT:DT,1,FALSE)),0,1)*AP108</f>
        <v/>
      </c>
      <c r="BI108" s="13">
        <f>IF(ISERROR(VLOOKUP(AF108,DT:DT,1,FALSE)),0,1)*IF(ISERROR(VLOOKUP(AH108,DT:DT,1,FALSE)),0,1)*AQ108</f>
        <v/>
      </c>
      <c r="BJ108" s="13">
        <f>IF(ISERROR(VLOOKUP(AF108,DT:DT,1,FALSE)),0,1)*IF(ISERROR(VLOOKUP(AH108,DT:DT,1,FALSE)),0,1)*AR108</f>
        <v/>
      </c>
      <c r="BK108" s="13">
        <f>IF(ISERROR(VLOOKUP(AF108,DT:DT,1,FALSE)),0,1)*IF(ISERROR(VLOOKUP(AH108,DT:DT,1,FALSE)),0,1)*AS108</f>
        <v/>
      </c>
      <c r="BL108" s="13">
        <f>IF(ISERROR(VLOOKUP(AF108,EN:EN,1,FALSE)),0,1)*IF(ISERROR(VLOOKUP(AH108,EN:EN,1,FALSE)),0,1)*AN108</f>
        <v/>
      </c>
      <c r="BM108" s="13">
        <f>IF(ISERROR(VLOOKUP(AF108,EN:EN,1,FALSE)),0,1)*IF(ISERROR(VLOOKUP(AH108,EN:EN,1,FALSE)),0,1)*AO108</f>
        <v/>
      </c>
      <c r="BN108" s="13">
        <f>IF(ISERROR(VLOOKUP(AF108,EN:EN,1,FALSE)),0,1)*IF(ISERROR(VLOOKUP(AH108,EN:EN,1,FALSE)),0,1)*AP108</f>
        <v/>
      </c>
      <c r="BO108" s="13">
        <f>IF(ISERROR(VLOOKUP(AF108,EN:EN,1,FALSE)),0,1)*IF(ISERROR(VLOOKUP(AH108,EN:EN,1,FALSE)),0,1)*AQ108</f>
        <v/>
      </c>
      <c r="BP108" s="13">
        <f>IF(ISERROR(VLOOKUP(AF108,EN:EN,1,FALSE)),0,1)*IF(ISERROR(VLOOKUP(AH108,EN:EN,1,FALSE)),0,1)*AR108</f>
        <v/>
      </c>
      <c r="BQ108" s="13">
        <f>IF(ISERROR(VLOOKUP(AF108,EN:EN,1,FALSE)),0,1)*IF(ISERROR(VLOOKUP(AH108,EN:EN,1,FALSE)),0,1)*AS108</f>
        <v/>
      </c>
      <c r="FZ108" s="79" t="n">
        <v>106</v>
      </c>
      <c r="GA108" s="3">
        <f>GB108&amp;GC108&amp;GD108&amp;GE108&amp;GF108&amp;GG108&amp;GH108&amp;GI108</f>
        <v/>
      </c>
      <c r="GB108" s="3" t="inlineStr">
        <is>
          <t>H</t>
        </is>
      </c>
      <c r="GC108" s="3" t="inlineStr">
        <is>
          <t>G</t>
        </is>
      </c>
      <c r="GD108" s="3" t="inlineStr">
        <is>
          <t>B</t>
        </is>
      </c>
      <c r="GE108" s="3" t="inlineStr">
        <is>
          <t>C</t>
        </is>
      </c>
      <c r="GF108" s="3" t="inlineStr">
        <is>
          <t>J</t>
        </is>
      </c>
      <c r="GG108" s="3" t="inlineStr">
        <is>
          <t>F</t>
        </is>
      </c>
      <c r="GH108" s="3" t="inlineStr">
        <is>
          <t>L</t>
        </is>
      </c>
      <c r="GI108" s="3" t="inlineStr">
        <is>
          <t>E</t>
        </is>
      </c>
      <c r="GJ108" s="9">
        <f>VLOOKUP(GB108,$FM$3:$FN$15,2,FALSE)</f>
        <v/>
      </c>
      <c r="GK108" s="9">
        <f>VLOOKUP(GC108,$FM$3:$FN$15,2,FALSE)</f>
        <v/>
      </c>
      <c r="GL108" s="9">
        <f>VLOOKUP(GD108,$FM$3:$FN$15,2,FALSE)</f>
        <v/>
      </c>
      <c r="GM108" s="9">
        <f>VLOOKUP(GE108,$FM$3:$FN$15,2,FALSE)</f>
        <v/>
      </c>
      <c r="GN108" s="9">
        <f>VLOOKUP(GF108,$FM$3:$FN$15,2,FALSE)</f>
        <v/>
      </c>
      <c r="GO108" s="9">
        <f>VLOOKUP(GG108,$FM$3:$FN$15,2,FALSE)</f>
        <v/>
      </c>
      <c r="GP108" s="9">
        <f>VLOOKUP(GH108,$FM$3:$FN$15,2,FALSE)</f>
        <v/>
      </c>
      <c r="GQ108" s="9">
        <f>VLOOKUP(GI108,$FM$3:$FN$15,2,FALSE)</f>
        <v/>
      </c>
      <c r="GR108" s="9">
        <f>IFERROR(IF(AND(VLOOKUP(GB108,$FX$4:$FX$15,1,FALSE)=GB108,VLOOKUP(GC108,$FX$4:$FX$15,1,FALSE)=GC108,VLOOKUP(GD108,$FX$4:$FX$15,1,FALSE)=GD108,VLOOKUP(GE108,$FX$4:$FX$15,1,FALSE)=GE108,VLOOKUP(GF108,$FX$4:$FX$15,1,FALSE)=GF108,VLOOKUP(GG108,$FX$4:$FX$15,1,FALSE)=GG108,VLOOKUP(GH108,$FX$4:$FX$15,1,FALSE)=GH108,VLOOKUP(GI108,$FX$4:$FX$15,1,FALSE)=GI108),FZ108,""),"")</f>
        <v/>
      </c>
      <c r="GX108" s="142" t="n"/>
    </row>
    <row r="109" ht="14.25" customHeight="1">
      <c r="B109" s="3" t="n"/>
      <c r="C109" s="94" t="n"/>
      <c r="D109" s="143" t="n"/>
      <c r="F109" s="143" t="n"/>
      <c r="G109" s="139" t="n"/>
      <c r="H109" s="100" t="n"/>
      <c r="I109" s="139" t="n"/>
      <c r="J109" s="79" t="n"/>
      <c r="K109" s="73" t="n"/>
      <c r="L109" s="67" t="n"/>
      <c r="AI109" s="139" t="n"/>
      <c r="AJ109" s="105" t="n"/>
      <c r="AK109" s="139" t="n"/>
      <c r="AL109" s="73" t="n"/>
      <c r="AM109" s="73" t="n"/>
      <c r="FZ109" s="79" t="n">
        <v>107</v>
      </c>
      <c r="GA109" s="3">
        <f>GB109&amp;GC109&amp;GD109&amp;GE109&amp;GF109&amp;GG109&amp;GH109&amp;GI109</f>
        <v/>
      </c>
      <c r="GB109" s="3" t="inlineStr">
        <is>
          <t>H</t>
        </is>
      </c>
      <c r="GC109" s="3" t="inlineStr">
        <is>
          <t>G</t>
        </is>
      </c>
      <c r="GD109" s="3" t="inlineStr">
        <is>
          <t>B</t>
        </is>
      </c>
      <c r="GE109" s="3" t="inlineStr">
        <is>
          <t>C</t>
        </is>
      </c>
      <c r="GF109" s="3" t="inlineStr">
        <is>
          <t>J</t>
        </is>
      </c>
      <c r="GG109" s="3" t="inlineStr">
        <is>
          <t>F</t>
        </is>
      </c>
      <c r="GH109" s="3" t="inlineStr">
        <is>
          <t>E</t>
        </is>
      </c>
      <c r="GI109" s="3" t="inlineStr">
        <is>
          <t>K</t>
        </is>
      </c>
      <c r="GJ109" s="9">
        <f>VLOOKUP(GB109,$FM$3:$FN$15,2,FALSE)</f>
        <v/>
      </c>
      <c r="GK109" s="9">
        <f>VLOOKUP(GC109,$FM$3:$FN$15,2,FALSE)</f>
        <v/>
      </c>
      <c r="GL109" s="9">
        <f>VLOOKUP(GD109,$FM$3:$FN$15,2,FALSE)</f>
        <v/>
      </c>
      <c r="GM109" s="9">
        <f>VLOOKUP(GE109,$FM$3:$FN$15,2,FALSE)</f>
        <v/>
      </c>
      <c r="GN109" s="9">
        <f>VLOOKUP(GF109,$FM$3:$FN$15,2,FALSE)</f>
        <v/>
      </c>
      <c r="GO109" s="9">
        <f>VLOOKUP(GG109,$FM$3:$FN$15,2,FALSE)</f>
        <v/>
      </c>
      <c r="GP109" s="9">
        <f>VLOOKUP(GH109,$FM$3:$FN$15,2,FALSE)</f>
        <v/>
      </c>
      <c r="GQ109" s="9">
        <f>VLOOKUP(GI109,$FM$3:$FN$15,2,FALSE)</f>
        <v/>
      </c>
      <c r="GR109" s="9">
        <f>IFERROR(IF(AND(VLOOKUP(GB109,$FX$4:$FX$15,1,FALSE)=GB109,VLOOKUP(GC109,$FX$4:$FX$15,1,FALSE)=GC109,VLOOKUP(GD109,$FX$4:$FX$15,1,FALSE)=GD109,VLOOKUP(GE109,$FX$4:$FX$15,1,FALSE)=GE109,VLOOKUP(GF109,$FX$4:$FX$15,1,FALSE)=GF109,VLOOKUP(GG109,$FX$4:$FX$15,1,FALSE)=GG109,VLOOKUP(GH109,$FX$4:$FX$15,1,FALSE)=GH109,VLOOKUP(GI109,$FX$4:$FX$15,1,FALSE)=GI109),FZ109,""),"")</f>
        <v/>
      </c>
      <c r="GX109" s="142" t="n"/>
    </row>
    <row r="110" ht="14.25" customHeight="1">
      <c r="B110" s="19" t="inlineStr">
        <is>
          <t>Sextondelsfinal</t>
        </is>
      </c>
      <c r="C110" s="94" t="n"/>
      <c r="J110" s="23" t="n"/>
      <c r="K110" s="16" t="n"/>
      <c r="L110" s="49" t="n"/>
      <c r="V110" s="20" t="n"/>
      <c r="W110" s="108" t="n"/>
      <c r="AD110" s="19" t="inlineStr">
        <is>
          <t>Sextondelsfinaler</t>
        </is>
      </c>
      <c r="AE110" s="94" t="n"/>
      <c r="AF110" s="95" t="n"/>
      <c r="AG110" s="3" t="n"/>
      <c r="AH110" s="95" t="n"/>
      <c r="AL110" s="23" t="n"/>
      <c r="BQ110" s="19" t="inlineStr">
        <is>
          <t>Sextondelsfinaler</t>
        </is>
      </c>
      <c r="FZ110" s="79" t="n">
        <v>108</v>
      </c>
      <c r="GA110" s="3">
        <f>GB110&amp;GC110&amp;GD110&amp;GE110&amp;GF110&amp;GG110&amp;GH110&amp;GI110</f>
        <v/>
      </c>
      <c r="GB110" s="3" t="inlineStr">
        <is>
          <t>E</t>
        </is>
      </c>
      <c r="GC110" s="3" t="inlineStr">
        <is>
          <t>G</t>
        </is>
      </c>
      <c r="GD110" s="3" t="inlineStr">
        <is>
          <t>B</t>
        </is>
      </c>
      <c r="GE110" s="3" t="inlineStr">
        <is>
          <t>C</t>
        </is>
      </c>
      <c r="GF110" s="3" t="inlineStr">
        <is>
          <t>H</t>
        </is>
      </c>
      <c r="GG110" s="3" t="inlineStr">
        <is>
          <t>F</t>
        </is>
      </c>
      <c r="GH110" s="3" t="inlineStr">
        <is>
          <t>L</t>
        </is>
      </c>
      <c r="GI110" s="3" t="inlineStr">
        <is>
          <t>I</t>
        </is>
      </c>
      <c r="GJ110" s="9">
        <f>VLOOKUP(GB110,$FM$3:$FN$15,2,FALSE)</f>
        <v/>
      </c>
      <c r="GK110" s="9">
        <f>VLOOKUP(GC110,$FM$3:$FN$15,2,FALSE)</f>
        <v/>
      </c>
      <c r="GL110" s="9">
        <f>VLOOKUP(GD110,$FM$3:$FN$15,2,FALSE)</f>
        <v/>
      </c>
      <c r="GM110" s="9">
        <f>VLOOKUP(GE110,$FM$3:$FN$15,2,FALSE)</f>
        <v/>
      </c>
      <c r="GN110" s="9">
        <f>VLOOKUP(GF110,$FM$3:$FN$15,2,FALSE)</f>
        <v/>
      </c>
      <c r="GO110" s="9">
        <f>VLOOKUP(GG110,$FM$3:$FN$15,2,FALSE)</f>
        <v/>
      </c>
      <c r="GP110" s="9">
        <f>VLOOKUP(GH110,$FM$3:$FN$15,2,FALSE)</f>
        <v/>
      </c>
      <c r="GQ110" s="9">
        <f>VLOOKUP(GI110,$FM$3:$FN$15,2,FALSE)</f>
        <v/>
      </c>
      <c r="GR110" s="9">
        <f>IFERROR(IF(AND(VLOOKUP(GB110,$FX$4:$FX$15,1,FALSE)=GB110,VLOOKUP(GC110,$FX$4:$FX$15,1,FALSE)=GC110,VLOOKUP(GD110,$FX$4:$FX$15,1,FALSE)=GD110,VLOOKUP(GE110,$FX$4:$FX$15,1,FALSE)=GE110,VLOOKUP(GF110,$FX$4:$FX$15,1,FALSE)=GF110,VLOOKUP(GG110,$FX$4:$FX$15,1,FALSE)=GG110,VLOOKUP(GH110,$FX$4:$FX$15,1,FALSE)=GH110,VLOOKUP(GI110,$FX$4:$FX$15,1,FALSE)=GI110),FZ110,""),"")</f>
        <v/>
      </c>
      <c r="GX110" s="142" t="n"/>
    </row>
    <row r="111" ht="14.25" customHeight="1">
      <c r="B111" s="117" t="inlineStr">
        <is>
          <t>Match</t>
        </is>
      </c>
      <c r="C111" s="107" t="inlineStr">
        <is>
          <t>Datum</t>
        </is>
      </c>
      <c r="D111" s="210" t="inlineStr">
        <is>
          <t>Match</t>
        </is>
      </c>
      <c r="E111" s="211" t="n"/>
      <c r="F111" s="212" t="n"/>
      <c r="G111" s="184" t="inlineStr">
        <is>
          <t>Resultat</t>
        </is>
      </c>
      <c r="H111" s="217" t="n"/>
      <c r="I111" s="217" t="n"/>
      <c r="J111" s="47" t="inlineStr">
        <is>
          <t>1X2</t>
        </is>
      </c>
      <c r="K111" s="48" t="inlineStr">
        <is>
          <t>Poäng</t>
        </is>
      </c>
      <c r="L111" s="49" t="n"/>
      <c r="O111" s="145" t="inlineStr">
        <is>
          <t>Vinnare sextondelsfinal</t>
        </is>
      </c>
      <c r="P111" s="145" t="n"/>
      <c r="Q111" s="16" t="n"/>
      <c r="R111" s="191" t="inlineStr">
        <is>
          <t>Bonus sextondelsfinal</t>
        </is>
      </c>
      <c r="S111" s="12" t="n"/>
      <c r="T111" s="12" t="n"/>
      <c r="U111" s="12" t="n"/>
      <c r="V111" s="27" t="n"/>
      <c r="W111" s="27" t="n"/>
      <c r="AD111" s="117" t="inlineStr">
        <is>
          <t>Match</t>
        </is>
      </c>
      <c r="AE111" s="107" t="inlineStr">
        <is>
          <t>Datum</t>
        </is>
      </c>
      <c r="AF111" s="210" t="inlineStr">
        <is>
          <t>Match</t>
        </is>
      </c>
      <c r="AG111" s="211" t="n"/>
      <c r="AH111" s="212" t="n"/>
      <c r="AI111" s="182" t="inlineStr">
        <is>
          <t>Resultat</t>
        </is>
      </c>
      <c r="AJ111" s="211" t="n"/>
      <c r="AK111" s="211" t="n"/>
      <c r="AL111" s="47" t="inlineStr">
        <is>
          <t>1X2</t>
        </is>
      </c>
      <c r="BQ111" s="146" t="inlineStr">
        <is>
          <t>Match</t>
        </is>
      </c>
      <c r="BR111" s="26" t="inlineStr">
        <is>
          <t>Mitt tips</t>
        </is>
      </c>
      <c r="BS111" s="147" t="inlineStr">
        <is>
          <t>Resultat &amp; tabell</t>
        </is>
      </c>
      <c r="BT111" s="147" t="inlineStr">
        <is>
          <t>Utfall</t>
        </is>
      </c>
      <c r="BU111" s="147" t="inlineStr">
        <is>
          <t>Utfall likare</t>
        </is>
      </c>
      <c r="BV111" s="147" t="inlineStr">
        <is>
          <t>Poäng</t>
        </is>
      </c>
      <c r="FZ111" s="79" t="n">
        <v>109</v>
      </c>
      <c r="GA111" s="3">
        <f>GB111&amp;GC111&amp;GD111&amp;GE111&amp;GF111&amp;GG111&amp;GH111&amp;GI111</f>
        <v/>
      </c>
      <c r="GB111" s="3" t="inlineStr">
        <is>
          <t>E</t>
        </is>
      </c>
      <c r="GC111" s="3" t="inlineStr">
        <is>
          <t>G</t>
        </is>
      </c>
      <c r="GD111" s="3" t="inlineStr">
        <is>
          <t>B</t>
        </is>
      </c>
      <c r="GE111" s="3" t="inlineStr">
        <is>
          <t>C</t>
        </is>
      </c>
      <c r="GF111" s="3" t="inlineStr">
        <is>
          <t>H</t>
        </is>
      </c>
      <c r="GG111" s="3" t="inlineStr">
        <is>
          <t>F</t>
        </is>
      </c>
      <c r="GH111" s="3" t="inlineStr">
        <is>
          <t>I</t>
        </is>
      </c>
      <c r="GI111" s="3" t="inlineStr">
        <is>
          <t>K</t>
        </is>
      </c>
      <c r="GJ111" s="9">
        <f>VLOOKUP(GB111,$FM$3:$FN$15,2,FALSE)</f>
        <v/>
      </c>
      <c r="GK111" s="9">
        <f>VLOOKUP(GC111,$FM$3:$FN$15,2,FALSE)</f>
        <v/>
      </c>
      <c r="GL111" s="9">
        <f>VLOOKUP(GD111,$FM$3:$FN$15,2,FALSE)</f>
        <v/>
      </c>
      <c r="GM111" s="9">
        <f>VLOOKUP(GE111,$FM$3:$FN$15,2,FALSE)</f>
        <v/>
      </c>
      <c r="GN111" s="9">
        <f>VLOOKUP(GF111,$FM$3:$FN$15,2,FALSE)</f>
        <v/>
      </c>
      <c r="GO111" s="9">
        <f>VLOOKUP(GG111,$FM$3:$FN$15,2,FALSE)</f>
        <v/>
      </c>
      <c r="GP111" s="9">
        <f>VLOOKUP(GH111,$FM$3:$FN$15,2,FALSE)</f>
        <v/>
      </c>
      <c r="GQ111" s="9">
        <f>VLOOKUP(GI111,$FM$3:$FN$15,2,FALSE)</f>
        <v/>
      </c>
      <c r="GR111" s="9">
        <f>IFERROR(IF(AND(VLOOKUP(GB111,$FX$4:$FX$15,1,FALSE)=GB111,VLOOKUP(GC111,$FX$4:$FX$15,1,FALSE)=GC111,VLOOKUP(GD111,$FX$4:$FX$15,1,FALSE)=GD111,VLOOKUP(GE111,$FX$4:$FX$15,1,FALSE)=GE111,VLOOKUP(GF111,$FX$4:$FX$15,1,FALSE)=GF111,VLOOKUP(GG111,$FX$4:$FX$15,1,FALSE)=GG111,VLOOKUP(GH111,$FX$4:$FX$15,1,FALSE)=GH111,VLOOKUP(GI111,$FX$4:$FX$15,1,FALSE)=GI111),FZ111,""),"")</f>
        <v/>
      </c>
      <c r="GX111" s="142" t="n"/>
    </row>
    <row r="112" ht="14.25" customHeight="1">
      <c r="B112" s="58" t="n">
        <v>73</v>
      </c>
      <c r="C112" s="59" t="n">
        <v>46201</v>
      </c>
      <c r="D112" s="148">
        <f>IF($O$8="Resultat OK",$O$5,"Tvåa grupp A")</f>
        <v/>
      </c>
      <c r="E112" s="61" t="inlineStr">
        <is>
          <t>-</t>
        </is>
      </c>
      <c r="F112" s="149">
        <f>IF($O$17="Resultat OK",$O$14,"Tvåa grupp B")</f>
        <v/>
      </c>
      <c r="G112" s="63" t="n">
        <v>1</v>
      </c>
      <c r="H112" s="64" t="inlineStr">
        <is>
          <t>-</t>
        </is>
      </c>
      <c r="I112" s="63" t="n">
        <v>2</v>
      </c>
      <c r="J112" s="65">
        <f>IF(OR(ISBLANK(G112),ISBLANK(I112)),"",IF(G112&gt;I112,1,IF(G112&lt;I112,2,"X")))</f>
        <v/>
      </c>
      <c r="K112" s="66">
        <f>IF(OR(G112="",I112="",'[1]Resultat &amp; tabell'!G112="",'[1]Resultat &amp; tabell'!I112=""),0,IF(G112='[1]Resultat &amp; tabell'!G112,2,0)+IF(I112='[1]Resultat &amp; tabell'!I112,2,0)+IF(J112='[1]Resultat &amp; tabell'!J112,2,0))</f>
        <v/>
      </c>
      <c r="L112" s="67" t="n"/>
      <c r="O112" s="150" t="inlineStr">
        <is>
          <t>Kanada</t>
        </is>
      </c>
      <c r="P112" s="151">
        <f>IF(OR(ISBLANK(D112),ISBLANK(F112),J112="",O112=""),"",IF(OR(AND(J112=1,O112=D112),AND(J112=2,O112=F112),AND(J112="X",OR(O112=D112,O112=F112))),"","Ej OK"))</f>
        <v/>
      </c>
      <c r="R112" s="66">
        <f>BV144</f>
        <v/>
      </c>
      <c r="S112" s="211" t="n"/>
      <c r="T112" s="211" t="n"/>
      <c r="U112" s="214" t="n"/>
      <c r="V112" s="27" t="n"/>
      <c r="W112" s="152" t="n"/>
      <c r="X112" s="152" t="n"/>
      <c r="AD112" s="58" t="n">
        <v>73</v>
      </c>
      <c r="AE112" s="59" t="n">
        <v>46201</v>
      </c>
      <c r="AF112" s="153">
        <f>IF($O$8="Resultat OK",$O$5,"Tvåa grupp A")</f>
        <v/>
      </c>
      <c r="AG112" s="61" t="inlineStr">
        <is>
          <t>-</t>
        </is>
      </c>
      <c r="AH112" s="154">
        <f>IF($O$17="Resultat OK",$O$14,"Tvåa grupp B")</f>
        <v/>
      </c>
      <c r="AI112" s="63" t="n"/>
      <c r="AJ112" s="58" t="inlineStr">
        <is>
          <t>-</t>
        </is>
      </c>
      <c r="AK112" s="63" t="n"/>
      <c r="AL112" s="65">
        <f>IF(OR(ISBLANK(AI112),ISBLANK(AK112)),"",IF(AI112&gt;AK112,1,IF(AI112&lt;AK112,2,"X")))</f>
        <v/>
      </c>
      <c r="BQ112" s="13">
        <f>B112</f>
        <v/>
      </c>
      <c r="BR112" s="155">
        <f>D112</f>
        <v/>
      </c>
      <c r="BS112" s="156">
        <f>IF(OR('[1]Resultat &amp; tabell'!G112="",'[1]Resultat &amp; tabell'!I112=""),"",'[1]Resultat &amp; tabell'!D112)</f>
        <v/>
      </c>
      <c r="BT112" s="157">
        <f>IF(ISERROR(VLOOKUP(BR112,$BS$112:$BS$143,1,FALSE)),0,1)</f>
        <v/>
      </c>
      <c r="BU112" s="158">
        <f>BT112</f>
        <v/>
      </c>
      <c r="BV112" s="79">
        <f>BU112*1</f>
        <v/>
      </c>
      <c r="FZ112" s="79" t="n">
        <v>110</v>
      </c>
      <c r="GA112" s="3">
        <f>GB112&amp;GC112&amp;GD112&amp;GE112&amp;GF112&amp;GG112&amp;GH112&amp;GI112</f>
        <v/>
      </c>
      <c r="GB112" s="3" t="inlineStr">
        <is>
          <t>H</t>
        </is>
      </c>
      <c r="GC112" s="3" t="inlineStr">
        <is>
          <t>G</t>
        </is>
      </c>
      <c r="GD112" s="3" t="inlineStr">
        <is>
          <t>B</t>
        </is>
      </c>
      <c r="GE112" s="3" t="inlineStr">
        <is>
          <t>C</t>
        </is>
      </c>
      <c r="GF112" s="3" t="inlineStr">
        <is>
          <t>J</t>
        </is>
      </c>
      <c r="GG112" s="3" t="inlineStr">
        <is>
          <t>F</t>
        </is>
      </c>
      <c r="GH112" s="3" t="inlineStr">
        <is>
          <t>E</t>
        </is>
      </c>
      <c r="GI112" s="3" t="inlineStr">
        <is>
          <t>I</t>
        </is>
      </c>
      <c r="GJ112" s="9">
        <f>VLOOKUP(GB112,$FM$3:$FN$15,2,FALSE)</f>
        <v/>
      </c>
      <c r="GK112" s="9">
        <f>VLOOKUP(GC112,$FM$3:$FN$15,2,FALSE)</f>
        <v/>
      </c>
      <c r="GL112" s="9">
        <f>VLOOKUP(GD112,$FM$3:$FN$15,2,FALSE)</f>
        <v/>
      </c>
      <c r="GM112" s="9">
        <f>VLOOKUP(GE112,$FM$3:$FN$15,2,FALSE)</f>
        <v/>
      </c>
      <c r="GN112" s="9">
        <f>VLOOKUP(GF112,$FM$3:$FN$15,2,FALSE)</f>
        <v/>
      </c>
      <c r="GO112" s="9">
        <f>VLOOKUP(GG112,$FM$3:$FN$15,2,FALSE)</f>
        <v/>
      </c>
      <c r="GP112" s="9">
        <f>VLOOKUP(GH112,$FM$3:$FN$15,2,FALSE)</f>
        <v/>
      </c>
      <c r="GQ112" s="9">
        <f>VLOOKUP(GI112,$FM$3:$FN$15,2,FALSE)</f>
        <v/>
      </c>
      <c r="GR112" s="9">
        <f>IFERROR(IF(AND(VLOOKUP(GB112,$FX$4:$FX$15,1,FALSE)=GB112,VLOOKUP(GC112,$FX$4:$FX$15,1,FALSE)=GC112,VLOOKUP(GD112,$FX$4:$FX$15,1,FALSE)=GD112,VLOOKUP(GE112,$FX$4:$FX$15,1,FALSE)=GE112,VLOOKUP(GF112,$FX$4:$FX$15,1,FALSE)=GF112,VLOOKUP(GG112,$FX$4:$FX$15,1,FALSE)=GG112,VLOOKUP(GH112,$FX$4:$FX$15,1,FALSE)=GH112,VLOOKUP(GI112,$FX$4:$FX$15,1,FALSE)=GI112),FZ112,""),"")</f>
        <v/>
      </c>
      <c r="GX112" s="142" t="n"/>
    </row>
    <row r="113" ht="14.25" customHeight="1">
      <c r="B113" s="58" t="n">
        <v>74</v>
      </c>
      <c r="C113" s="59" t="n">
        <v>46202</v>
      </c>
      <c r="D113" s="148">
        <f>IF($O$44="Resultat OK",$O$40,"Vinnare grupp E")</f>
        <v/>
      </c>
      <c r="E113" s="61" t="inlineStr">
        <is>
          <t>-</t>
        </is>
      </c>
      <c r="F113" s="149">
        <f>IF($FN$19=TRUE,"Bästa trea ABCDF",HLOOKUP("E",$GJ$3:$GQ$498,$GA$3,FALSE))</f>
        <v/>
      </c>
      <c r="G113" s="63" t="n">
        <v>2</v>
      </c>
      <c r="H113" s="64" t="inlineStr">
        <is>
          <t>-</t>
        </is>
      </c>
      <c r="I113" s="63" t="n">
        <v>0</v>
      </c>
      <c r="J113" s="65">
        <f>IF(OR(ISBLANK(G113),ISBLANK(I113)),"",IF(G113&gt;I113,1,IF(G113&lt;I113,2,"X")))</f>
        <v/>
      </c>
      <c r="K113" s="66">
        <f>IF(OR(G113="",I113="",'[1]Resultat &amp; tabell'!G113="",'[1]Resultat &amp; tabell'!I113=""),0,IF(G113='[1]Resultat &amp; tabell'!G113,2,0)+IF(I113='[1]Resultat &amp; tabell'!I113,2,0)+IF(J113='[1]Resultat &amp; tabell'!J113,2,0))</f>
        <v/>
      </c>
      <c r="L113" s="67" t="n"/>
      <c r="O113" s="150" t="inlineStr">
        <is>
          <t>Tyskland</t>
        </is>
      </c>
      <c r="P113" s="151">
        <f>IF(OR(ISBLANK(D113),ISBLANK(F113),J113="",O113=""),"",IF(OR(AND(J113=1,O113=D113),AND(J113=2,O113=F113),AND(J113="X",OR(O113=D113,O113=F113))),"","Ej OK"))</f>
        <v/>
      </c>
      <c r="Q113" s="159" t="n"/>
      <c r="R113" s="160" t="n"/>
      <c r="S113" s="160" t="n"/>
      <c r="T113" s="160" t="n"/>
      <c r="U113" s="160" t="n"/>
      <c r="V113" s="160" t="n"/>
      <c r="W113" s="152" t="n"/>
      <c r="X113" s="152" t="n"/>
      <c r="AD113" s="58" t="n">
        <v>74</v>
      </c>
      <c r="AE113" s="59" t="n">
        <v>46202</v>
      </c>
      <c r="AF113" s="153">
        <f>IF($O$44="Resultat OK",$O$40,"Vinnare grupp E")</f>
        <v/>
      </c>
      <c r="AG113" s="61" t="inlineStr">
        <is>
          <t>-</t>
        </is>
      </c>
      <c r="AH113" s="154">
        <f>IF($FN$19=TRUE,"Bästa trea ABCDF",HLOOKUP("E",$GJ$3:$GQ$498,$GA$3,FALSE))</f>
        <v/>
      </c>
      <c r="AI113" s="63" t="n"/>
      <c r="AJ113" s="58" t="inlineStr">
        <is>
          <t>-</t>
        </is>
      </c>
      <c r="AK113" s="63" t="n"/>
      <c r="AL113" s="65">
        <f>IF(OR(ISBLANK(AI113),ISBLANK(AK113)),"",IF(AI113&gt;AK113,1,IF(AI113&lt;AK113,2,"X")))</f>
        <v/>
      </c>
      <c r="BQ113" s="13">
        <f>B113</f>
        <v/>
      </c>
      <c r="BR113" s="155">
        <f>D113</f>
        <v/>
      </c>
      <c r="BS113" s="156">
        <f>IF(OR('[1]Resultat &amp; tabell'!G113="",'[1]Resultat &amp; tabell'!I113=""),"",'[1]Resultat &amp; tabell'!D113)</f>
        <v/>
      </c>
      <c r="BT113" s="157">
        <f>IF(ISERROR(VLOOKUP(BR113,$BS$112:$BS$143,1,FALSE)),0,1)</f>
        <v/>
      </c>
      <c r="BU113" s="158">
        <f>BT113</f>
        <v/>
      </c>
      <c r="BV113" s="79">
        <f>BU113*1</f>
        <v/>
      </c>
      <c r="FZ113" s="79" t="n">
        <v>111</v>
      </c>
      <c r="GA113" s="3">
        <f>GB113&amp;GC113&amp;GD113&amp;GE113&amp;GF113&amp;GG113&amp;GH113&amp;GI113</f>
        <v/>
      </c>
      <c r="GB113" s="3" t="inlineStr">
        <is>
          <t>H</t>
        </is>
      </c>
      <c r="GC113" s="3" t="inlineStr">
        <is>
          <t>J</t>
        </is>
      </c>
      <c r="GD113" s="3" t="inlineStr">
        <is>
          <t>B</t>
        </is>
      </c>
      <c r="GE113" s="3" t="inlineStr">
        <is>
          <t>C</t>
        </is>
      </c>
      <c r="GF113" s="3" t="inlineStr">
        <is>
          <t>I</t>
        </is>
      </c>
      <c r="GG113" s="3" t="inlineStr">
        <is>
          <t>D</t>
        </is>
      </c>
      <c r="GH113" s="3" t="inlineStr">
        <is>
          <t>L</t>
        </is>
      </c>
      <c r="GI113" s="3" t="inlineStr">
        <is>
          <t>K</t>
        </is>
      </c>
      <c r="GJ113" s="9">
        <f>VLOOKUP(GB113,$FM$3:$FN$15,2,FALSE)</f>
        <v/>
      </c>
      <c r="GK113" s="9">
        <f>VLOOKUP(GC113,$FM$3:$FN$15,2,FALSE)</f>
        <v/>
      </c>
      <c r="GL113" s="9">
        <f>VLOOKUP(GD113,$FM$3:$FN$15,2,FALSE)</f>
        <v/>
      </c>
      <c r="GM113" s="9">
        <f>VLOOKUP(GE113,$FM$3:$FN$15,2,FALSE)</f>
        <v/>
      </c>
      <c r="GN113" s="9">
        <f>VLOOKUP(GF113,$FM$3:$FN$15,2,FALSE)</f>
        <v/>
      </c>
      <c r="GO113" s="9">
        <f>VLOOKUP(GG113,$FM$3:$FN$15,2,FALSE)</f>
        <v/>
      </c>
      <c r="GP113" s="9">
        <f>VLOOKUP(GH113,$FM$3:$FN$15,2,FALSE)</f>
        <v/>
      </c>
      <c r="GQ113" s="9">
        <f>VLOOKUP(GI113,$FM$3:$FN$15,2,FALSE)</f>
        <v/>
      </c>
      <c r="GR113" s="9">
        <f>IFERROR(IF(AND(VLOOKUP(GB113,$FX$4:$FX$15,1,FALSE)=GB113,VLOOKUP(GC113,$FX$4:$FX$15,1,FALSE)=GC113,VLOOKUP(GD113,$FX$4:$FX$15,1,FALSE)=GD113,VLOOKUP(GE113,$FX$4:$FX$15,1,FALSE)=GE113,VLOOKUP(GF113,$FX$4:$FX$15,1,FALSE)=GF113,VLOOKUP(GG113,$FX$4:$FX$15,1,FALSE)=GG113,VLOOKUP(GH113,$FX$4:$FX$15,1,FALSE)=GH113,VLOOKUP(GI113,$FX$4:$FX$15,1,FALSE)=GI113),FZ113,""),"")</f>
        <v/>
      </c>
      <c r="GX113" s="142" t="n"/>
    </row>
    <row r="114" ht="14.25" customHeight="1">
      <c r="B114" s="58" t="n">
        <v>75</v>
      </c>
      <c r="C114" s="59" t="n">
        <v>46203</v>
      </c>
      <c r="D114" s="148">
        <f>IF($O53="Resultat OK",$O$49,"Vinnare grupp F")</f>
        <v/>
      </c>
      <c r="E114" s="61" t="inlineStr">
        <is>
          <t>-</t>
        </is>
      </c>
      <c r="F114" s="149">
        <f>IF($O$26="Resultat OK",$O$23,"Tvåa grupp C")</f>
        <v/>
      </c>
      <c r="G114" s="63" t="n">
        <v>2</v>
      </c>
      <c r="H114" s="64" t="inlineStr">
        <is>
          <t>-</t>
        </is>
      </c>
      <c r="I114" s="63" t="n">
        <v>1</v>
      </c>
      <c r="J114" s="65">
        <f>IF(OR(ISBLANK(G114),ISBLANK(I114)),"",IF(G114&gt;I114,1,IF(G114&lt;I114,2,"X")))</f>
        <v/>
      </c>
      <c r="K114" s="66">
        <f>IF(OR(G114="",I114="",'[1]Resultat &amp; tabell'!G114="",'[1]Resultat &amp; tabell'!I114=""),0,IF(G114='[1]Resultat &amp; tabell'!G114,2,0)+IF(I114='[1]Resultat &amp; tabell'!I114,2,0)+IF(J114='[1]Resultat &amp; tabell'!J114,2,0))</f>
        <v/>
      </c>
      <c r="L114" s="67" t="n"/>
      <c r="O114" s="150" t="inlineStr">
        <is>
          <t>Nederländerna</t>
        </is>
      </c>
      <c r="P114" s="151">
        <f>IF(OR(ISBLANK(D114),ISBLANK(F114),J114="",O114=""),"",IF(OR(AND(J114=1,O114=D114),AND(J114=2,O114=F114),AND(J114="X",OR(O114=D114,O114=F114))),"","Ej OK"))</f>
        <v/>
      </c>
      <c r="Q114" s="159" t="n"/>
      <c r="R114" s="160" t="n"/>
      <c r="S114" s="160" t="n"/>
      <c r="T114" s="160" t="n"/>
      <c r="U114" s="160" t="n"/>
      <c r="V114" s="160" t="n"/>
      <c r="W114" s="152" t="n"/>
      <c r="X114" s="152" t="n"/>
      <c r="AD114" s="58" t="n">
        <v>75</v>
      </c>
      <c r="AE114" s="59" t="n">
        <v>46203</v>
      </c>
      <c r="AF114" s="153">
        <f>IF($O53="Resultat OK",$O$49,"Vinnare grupp F")</f>
        <v/>
      </c>
      <c r="AG114" s="61" t="inlineStr">
        <is>
          <t>-</t>
        </is>
      </c>
      <c r="AH114" s="154">
        <f>IF($O$26="Resultat OK",$O$23,"Tvåa grupp C")</f>
        <v/>
      </c>
      <c r="AI114" s="63" t="n"/>
      <c r="AJ114" s="58" t="inlineStr">
        <is>
          <t>-</t>
        </is>
      </c>
      <c r="AK114" s="63" t="n"/>
      <c r="AL114" s="65">
        <f>IF(OR(ISBLANK(AI114),ISBLANK(AK114)),"",IF(AI114&gt;AK114,1,IF(AI114&lt;AK114,2,"X")))</f>
        <v/>
      </c>
      <c r="BQ114" s="13">
        <f>B114</f>
        <v/>
      </c>
      <c r="BR114" s="155">
        <f>D114</f>
        <v/>
      </c>
      <c r="BS114" s="156">
        <f>IF(OR('[1]Resultat &amp; tabell'!G114="",'[1]Resultat &amp; tabell'!I114=""),"",'[1]Resultat &amp; tabell'!D114)</f>
        <v/>
      </c>
      <c r="BT114" s="157">
        <f>IF(ISERROR(VLOOKUP(BR114,$BS$112:$BS$143,1,FALSE)),0,1)</f>
        <v/>
      </c>
      <c r="BU114" s="158">
        <f>BT114</f>
        <v/>
      </c>
      <c r="BV114" s="79">
        <f>BU114*1</f>
        <v/>
      </c>
      <c r="FZ114" s="79" t="n">
        <v>112</v>
      </c>
      <c r="GA114" s="3">
        <f>GB114&amp;GC114&amp;GD114&amp;GE114&amp;GF114&amp;GG114&amp;GH114&amp;GI114</f>
        <v/>
      </c>
      <c r="GB114" s="3" t="inlineStr">
        <is>
          <t>I</t>
        </is>
      </c>
      <c r="GC114" s="3" t="inlineStr">
        <is>
          <t>G</t>
        </is>
      </c>
      <c r="GD114" s="3" t="inlineStr">
        <is>
          <t>B</t>
        </is>
      </c>
      <c r="GE114" s="3" t="inlineStr">
        <is>
          <t>C</t>
        </is>
      </c>
      <c r="GF114" s="3" t="inlineStr">
        <is>
          <t>J</t>
        </is>
      </c>
      <c r="GG114" s="3" t="inlineStr">
        <is>
          <t>D</t>
        </is>
      </c>
      <c r="GH114" s="3" t="inlineStr">
        <is>
          <t>L</t>
        </is>
      </c>
      <c r="GI114" s="3" t="inlineStr">
        <is>
          <t>K</t>
        </is>
      </c>
      <c r="GJ114" s="9">
        <f>VLOOKUP(GB114,$FM$3:$FN$15,2,FALSE)</f>
        <v/>
      </c>
      <c r="GK114" s="9">
        <f>VLOOKUP(GC114,$FM$3:$FN$15,2,FALSE)</f>
        <v/>
      </c>
      <c r="GL114" s="9">
        <f>VLOOKUP(GD114,$FM$3:$FN$15,2,FALSE)</f>
        <v/>
      </c>
      <c r="GM114" s="9">
        <f>VLOOKUP(GE114,$FM$3:$FN$15,2,FALSE)</f>
        <v/>
      </c>
      <c r="GN114" s="9">
        <f>VLOOKUP(GF114,$FM$3:$FN$15,2,FALSE)</f>
        <v/>
      </c>
      <c r="GO114" s="9">
        <f>VLOOKUP(GG114,$FM$3:$FN$15,2,FALSE)</f>
        <v/>
      </c>
      <c r="GP114" s="9">
        <f>VLOOKUP(GH114,$FM$3:$FN$15,2,FALSE)</f>
        <v/>
      </c>
      <c r="GQ114" s="9">
        <f>VLOOKUP(GI114,$FM$3:$FN$15,2,FALSE)</f>
        <v/>
      </c>
      <c r="GR114" s="9">
        <f>IFERROR(IF(AND(VLOOKUP(GB114,$FX$4:$FX$15,1,FALSE)=GB114,VLOOKUP(GC114,$FX$4:$FX$15,1,FALSE)=GC114,VLOOKUP(GD114,$FX$4:$FX$15,1,FALSE)=GD114,VLOOKUP(GE114,$FX$4:$FX$15,1,FALSE)=GE114,VLOOKUP(GF114,$FX$4:$FX$15,1,FALSE)=GF114,VLOOKUP(GG114,$FX$4:$FX$15,1,FALSE)=GG114,VLOOKUP(GH114,$FX$4:$FX$15,1,FALSE)=GH114,VLOOKUP(GI114,$FX$4:$FX$15,1,FALSE)=GI114),FZ114,""),"")</f>
        <v/>
      </c>
      <c r="GX114" s="142" t="n"/>
    </row>
    <row r="115" ht="14.25" customHeight="1">
      <c r="B115" s="58" t="n">
        <v>76</v>
      </c>
      <c r="C115" s="59" t="n">
        <v>46202</v>
      </c>
      <c r="D115" s="148">
        <f>IF($O$26="Resultat OK",$O$22,"Vinnare grupp C")</f>
        <v/>
      </c>
      <c r="E115" s="61" t="inlineStr">
        <is>
          <t>-</t>
        </is>
      </c>
      <c r="F115" s="149">
        <f>IF($O$53="Resultat OK",$O$50,"Tvåa grupp F")</f>
        <v/>
      </c>
      <c r="G115" s="63" t="n">
        <v>2</v>
      </c>
      <c r="H115" s="64" t="inlineStr">
        <is>
          <t>-</t>
        </is>
      </c>
      <c r="I115" s="63" t="n">
        <v>1</v>
      </c>
      <c r="J115" s="65">
        <f>IF(OR(ISBLANK(G115),ISBLANK(I115)),"",IF(G115&gt;I115,1,IF(G115&lt;I115,2,"X")))</f>
        <v/>
      </c>
      <c r="K115" s="66">
        <f>IF(OR(G115="",I115="",'[1]Resultat &amp; tabell'!G115="",'[1]Resultat &amp; tabell'!I115=""),0,IF(G115='[1]Resultat &amp; tabell'!G115,2,0)+IF(I115='[1]Resultat &amp; tabell'!I115,2,0)+IF(J115='[1]Resultat &amp; tabell'!J115,2,0))</f>
        <v/>
      </c>
      <c r="L115" s="67" t="n"/>
      <c r="O115" s="150" t="inlineStr">
        <is>
          <t>Brasilien</t>
        </is>
      </c>
      <c r="P115" s="151">
        <f>IF(OR(ISBLANK(D115),ISBLANK(F115),J115="",O115=""),"",IF(OR(AND(J115=1,O115=D115),AND(J115=2,O115=F115),AND(J115="X",OR(O115=D115,O115=F115))),"","Ej OK"))</f>
        <v/>
      </c>
      <c r="Q115" s="159" t="n"/>
      <c r="R115" s="160" t="n"/>
      <c r="S115" s="160" t="n"/>
      <c r="T115" s="160" t="n"/>
      <c r="U115" s="160" t="n"/>
      <c r="V115" s="160" t="n"/>
      <c r="W115" s="152" t="n"/>
      <c r="X115" s="152" t="n"/>
      <c r="AD115" s="58" t="n">
        <v>76</v>
      </c>
      <c r="AE115" s="59" t="n">
        <v>46202</v>
      </c>
      <c r="AF115" s="153">
        <f>IF($O$22="Resultat OK",$O$26,"Vinnare grupp C")</f>
        <v/>
      </c>
      <c r="AG115" s="61" t="inlineStr">
        <is>
          <t>-</t>
        </is>
      </c>
      <c r="AH115" s="154">
        <f>IF($O$53="Resultat OK",$O$50,"Tvåa grupp F")</f>
        <v/>
      </c>
      <c r="AI115" s="63" t="n"/>
      <c r="AJ115" s="58" t="inlineStr">
        <is>
          <t>-</t>
        </is>
      </c>
      <c r="AK115" s="63" t="n"/>
      <c r="AL115" s="65">
        <f>IF(OR(ISBLANK(AI115),ISBLANK(AK115)),"",IF(AI115&gt;AK115,1,IF(AI115&lt;AK115,2,"X")))</f>
        <v/>
      </c>
      <c r="BQ115" s="13">
        <f>B115</f>
        <v/>
      </c>
      <c r="BR115" s="155">
        <f>D115</f>
        <v/>
      </c>
      <c r="BS115" s="156">
        <f>IF(OR('[1]Resultat &amp; tabell'!G115="",'[1]Resultat &amp; tabell'!I115=""),"",'[1]Resultat &amp; tabell'!D115)</f>
        <v/>
      </c>
      <c r="BT115" s="157">
        <f>IF(ISERROR(VLOOKUP(BR115,$BS$112:$BS$143,1,FALSE)),0,1)</f>
        <v/>
      </c>
      <c r="BU115" s="158">
        <f>BT115</f>
        <v/>
      </c>
      <c r="BV115" s="79">
        <f>BU115*1</f>
        <v/>
      </c>
      <c r="FZ115" s="79" t="n">
        <v>113</v>
      </c>
      <c r="GA115" s="3">
        <f>GB115&amp;GC115&amp;GD115&amp;GE115&amp;GF115&amp;GG115&amp;GH115&amp;GI115</f>
        <v/>
      </c>
      <c r="GB115" s="3" t="inlineStr">
        <is>
          <t>H</t>
        </is>
      </c>
      <c r="GC115" s="3" t="inlineStr">
        <is>
          <t>G</t>
        </is>
      </c>
      <c r="GD115" s="3" t="inlineStr">
        <is>
          <t>B</t>
        </is>
      </c>
      <c r="GE115" s="3" t="inlineStr">
        <is>
          <t>C</t>
        </is>
      </c>
      <c r="GF115" s="3" t="inlineStr">
        <is>
          <t>J</t>
        </is>
      </c>
      <c r="GG115" s="3" t="inlineStr">
        <is>
          <t>D</t>
        </is>
      </c>
      <c r="GH115" s="3" t="inlineStr">
        <is>
          <t>L</t>
        </is>
      </c>
      <c r="GI115" s="3" t="inlineStr">
        <is>
          <t>K</t>
        </is>
      </c>
      <c r="GJ115" s="9">
        <f>VLOOKUP(GB115,$FM$3:$FN$15,2,FALSE)</f>
        <v/>
      </c>
      <c r="GK115" s="9">
        <f>VLOOKUP(GC115,$FM$3:$FN$15,2,FALSE)</f>
        <v/>
      </c>
      <c r="GL115" s="9">
        <f>VLOOKUP(GD115,$FM$3:$FN$15,2,FALSE)</f>
        <v/>
      </c>
      <c r="GM115" s="9">
        <f>VLOOKUP(GE115,$FM$3:$FN$15,2,FALSE)</f>
        <v/>
      </c>
      <c r="GN115" s="9">
        <f>VLOOKUP(GF115,$FM$3:$FN$15,2,FALSE)</f>
        <v/>
      </c>
      <c r="GO115" s="9">
        <f>VLOOKUP(GG115,$FM$3:$FN$15,2,FALSE)</f>
        <v/>
      </c>
      <c r="GP115" s="9">
        <f>VLOOKUP(GH115,$FM$3:$FN$15,2,FALSE)</f>
        <v/>
      </c>
      <c r="GQ115" s="9">
        <f>VLOOKUP(GI115,$FM$3:$FN$15,2,FALSE)</f>
        <v/>
      </c>
      <c r="GR115" s="9">
        <f>IFERROR(IF(AND(VLOOKUP(GB115,$FX$4:$FX$15,1,FALSE)=GB115,VLOOKUP(GC115,$FX$4:$FX$15,1,FALSE)=GC115,VLOOKUP(GD115,$FX$4:$FX$15,1,FALSE)=GD115,VLOOKUP(GE115,$FX$4:$FX$15,1,FALSE)=GE115,VLOOKUP(GF115,$FX$4:$FX$15,1,FALSE)=GF115,VLOOKUP(GG115,$FX$4:$FX$15,1,FALSE)=GG115,VLOOKUP(GH115,$FX$4:$FX$15,1,FALSE)=GH115,VLOOKUP(GI115,$FX$4:$FX$15,1,FALSE)=GI115),FZ115,""),"")</f>
        <v/>
      </c>
      <c r="GX115" s="142" t="n"/>
    </row>
    <row r="116" ht="14.25" customHeight="1">
      <c r="B116" s="58" t="n">
        <v>77</v>
      </c>
      <c r="C116" s="59" t="n">
        <v>46203</v>
      </c>
      <c r="D116" s="148">
        <f>IF($O$80="Resultat OK",$O$76,"Vinnare grupp I")</f>
        <v/>
      </c>
      <c r="E116" s="61" t="inlineStr">
        <is>
          <t>-</t>
        </is>
      </c>
      <c r="F116" s="149">
        <f>IF($FN$19=TRUE,"Bästa trea CDFGH",HLOOKUP("I",$GJ$3:$GQ$498,$GA$3,FALSE))</f>
        <v/>
      </c>
      <c r="G116" s="63" t="n">
        <v>3</v>
      </c>
      <c r="H116" s="64" t="inlineStr">
        <is>
          <t>-</t>
        </is>
      </c>
      <c r="I116" s="63" t="n">
        <v>1</v>
      </c>
      <c r="J116" s="65">
        <f>IF(OR(ISBLANK(G116),ISBLANK(I116)),"",IF(G116&gt;I116,1,IF(G116&lt;I116,2,"X")))</f>
        <v/>
      </c>
      <c r="K116" s="66">
        <f>IF(OR(G116="",I116="",'[1]Resultat &amp; tabell'!G116="",'[1]Resultat &amp; tabell'!I116=""),0,IF(G116='[1]Resultat &amp; tabell'!G116,2,0)+IF(I116='[1]Resultat &amp; tabell'!I116,2,0)+IF(J116='[1]Resultat &amp; tabell'!J116,2,0))</f>
        <v/>
      </c>
      <c r="L116" s="67" t="n"/>
      <c r="O116" s="150" t="inlineStr">
        <is>
          <t>Frankrike</t>
        </is>
      </c>
      <c r="P116" s="151">
        <f>IF(OR(ISBLANK(D116),ISBLANK(F116),J116="",O116=""),"",IF(OR(AND(J116=1,O116=D116),AND(J116=2,O116=F116),AND(J116="X",OR(O116=D116,O116=F116))),"","Ej OK"))</f>
        <v/>
      </c>
      <c r="Q116" s="159" t="n"/>
      <c r="R116" s="160" t="n"/>
      <c r="S116" s="160" t="n"/>
      <c r="T116" s="160" t="n"/>
      <c r="U116" s="160" t="n"/>
      <c r="V116" s="160" t="n"/>
      <c r="W116" s="152" t="n"/>
      <c r="X116" s="152" t="n"/>
      <c r="AD116" s="58" t="n">
        <v>77</v>
      </c>
      <c r="AE116" s="59" t="n">
        <v>46203</v>
      </c>
      <c r="AF116" s="153">
        <f>IF($O$80="Resultat OK",$O$76,"Vinnare grupp I")</f>
        <v/>
      </c>
      <c r="AG116" s="61" t="inlineStr">
        <is>
          <t>-</t>
        </is>
      </c>
      <c r="AH116" s="154">
        <f>IF($FN$19=TRUE,"Bästa trea CDFGH",HLOOKUP("I",$GJ$3:$GQ$498,$GA$3,FALSE))</f>
        <v/>
      </c>
      <c r="AI116" s="63" t="n"/>
      <c r="AJ116" s="58" t="inlineStr">
        <is>
          <t>-</t>
        </is>
      </c>
      <c r="AK116" s="63" t="n"/>
      <c r="AL116" s="65">
        <f>IF(OR(ISBLANK(AI116),ISBLANK(AK116)),"",IF(AI116&gt;AK116,1,IF(AI116&lt;AK116,2,"X")))</f>
        <v/>
      </c>
      <c r="BQ116" s="13">
        <f>B116</f>
        <v/>
      </c>
      <c r="BR116" s="155">
        <f>D116</f>
        <v/>
      </c>
      <c r="BS116" s="156">
        <f>IF(OR('[1]Resultat &amp; tabell'!G116="",'[1]Resultat &amp; tabell'!I116=""),"",'[1]Resultat &amp; tabell'!D116)</f>
        <v/>
      </c>
      <c r="BT116" s="157">
        <f>IF(ISERROR(VLOOKUP(BR116,$BS$112:$BS$143,1,FALSE)),0,1)</f>
        <v/>
      </c>
      <c r="BU116" s="158">
        <f>BT116</f>
        <v/>
      </c>
      <c r="BV116" s="79">
        <f>BU116*1</f>
        <v/>
      </c>
      <c r="FZ116" s="79" t="n">
        <v>114</v>
      </c>
      <c r="GA116" s="3">
        <f>GB116&amp;GC116&amp;GD116&amp;GE116&amp;GF116&amp;GG116&amp;GH116&amp;GI116</f>
        <v/>
      </c>
      <c r="GB116" s="3" t="inlineStr">
        <is>
          <t>H</t>
        </is>
      </c>
      <c r="GC116" s="3" t="inlineStr">
        <is>
          <t>G</t>
        </is>
      </c>
      <c r="GD116" s="3" t="inlineStr">
        <is>
          <t>B</t>
        </is>
      </c>
      <c r="GE116" s="3" t="inlineStr">
        <is>
          <t>C</t>
        </is>
      </c>
      <c r="GF116" s="3" t="inlineStr">
        <is>
          <t>I</t>
        </is>
      </c>
      <c r="GG116" s="3" t="inlineStr">
        <is>
          <t>D</t>
        </is>
      </c>
      <c r="GH116" s="3" t="inlineStr">
        <is>
          <t>L</t>
        </is>
      </c>
      <c r="GI116" s="3" t="inlineStr">
        <is>
          <t>K</t>
        </is>
      </c>
      <c r="GJ116" s="9">
        <f>VLOOKUP(GB116,$FM$3:$FN$15,2,FALSE)</f>
        <v/>
      </c>
      <c r="GK116" s="9">
        <f>VLOOKUP(GC116,$FM$3:$FN$15,2,FALSE)</f>
        <v/>
      </c>
      <c r="GL116" s="9">
        <f>VLOOKUP(GD116,$FM$3:$FN$15,2,FALSE)</f>
        <v/>
      </c>
      <c r="GM116" s="9">
        <f>VLOOKUP(GE116,$FM$3:$FN$15,2,FALSE)</f>
        <v/>
      </c>
      <c r="GN116" s="9">
        <f>VLOOKUP(GF116,$FM$3:$FN$15,2,FALSE)</f>
        <v/>
      </c>
      <c r="GO116" s="9">
        <f>VLOOKUP(GG116,$FM$3:$FN$15,2,FALSE)</f>
        <v/>
      </c>
      <c r="GP116" s="9">
        <f>VLOOKUP(GH116,$FM$3:$FN$15,2,FALSE)</f>
        <v/>
      </c>
      <c r="GQ116" s="9">
        <f>VLOOKUP(GI116,$FM$3:$FN$15,2,FALSE)</f>
        <v/>
      </c>
      <c r="GR116" s="9">
        <f>IFERROR(IF(AND(VLOOKUP(GB116,$FX$4:$FX$15,1,FALSE)=GB116,VLOOKUP(GC116,$FX$4:$FX$15,1,FALSE)=GC116,VLOOKUP(GD116,$FX$4:$FX$15,1,FALSE)=GD116,VLOOKUP(GE116,$FX$4:$FX$15,1,FALSE)=GE116,VLOOKUP(GF116,$FX$4:$FX$15,1,FALSE)=GF116,VLOOKUP(GG116,$FX$4:$FX$15,1,FALSE)=GG116,VLOOKUP(GH116,$FX$4:$FX$15,1,FALSE)=GH116,VLOOKUP(GI116,$FX$4:$FX$15,1,FALSE)=GI116),FZ116,""),"")</f>
        <v/>
      </c>
      <c r="GX116" s="142" t="n"/>
    </row>
    <row r="117" ht="14.25" customHeight="1">
      <c r="B117" s="58" t="n">
        <v>78</v>
      </c>
      <c r="C117" s="59" t="n">
        <v>46203</v>
      </c>
      <c r="D117" s="148">
        <f>IF($O$44="Resultat OK",$O$41,"Tvåa grupp E")</f>
        <v/>
      </c>
      <c r="E117" s="61" t="inlineStr">
        <is>
          <t>-</t>
        </is>
      </c>
      <c r="F117" s="149">
        <f>IF($O$80="Resultat OK",$O$77,"Tvåa grupp I")</f>
        <v/>
      </c>
      <c r="G117" s="63" t="n">
        <v>0</v>
      </c>
      <c r="H117" s="64" t="inlineStr">
        <is>
          <t>-</t>
        </is>
      </c>
      <c r="I117" s="63" t="n">
        <v>2</v>
      </c>
      <c r="J117" s="65">
        <f>IF(OR(ISBLANK(G117),ISBLANK(I117)),"",IF(G117&gt;I117,1,IF(G117&lt;I117,2,"X")))</f>
        <v/>
      </c>
      <c r="K117" s="66">
        <f>IF(OR(G117="",I117="",'[1]Resultat &amp; tabell'!G117="",'[1]Resultat &amp; tabell'!I117=""),0,IF(G117='[1]Resultat &amp; tabell'!G117,2,0)+IF(I117='[1]Resultat &amp; tabell'!I117,2,0)+IF(J117='[1]Resultat &amp; tabell'!J117,2,0))</f>
        <v/>
      </c>
      <c r="L117" s="67" t="n"/>
      <c r="O117" s="150" t="inlineStr">
        <is>
          <t>Norge</t>
        </is>
      </c>
      <c r="P117" s="151">
        <f>IF(OR(ISBLANK(D117),ISBLANK(F117),J117="",O117=""),"",IF(OR(AND(J117=1,O117=D117),AND(J117=2,O117=F117),AND(J117="X",OR(O117=D117,O117=F117))),"","Ej OK"))</f>
        <v/>
      </c>
      <c r="Q117" s="159" t="n"/>
      <c r="R117" s="160" t="n"/>
      <c r="S117" s="160" t="n"/>
      <c r="T117" s="160" t="n"/>
      <c r="U117" s="160" t="n"/>
      <c r="V117" s="160" t="n"/>
      <c r="W117" s="152" t="n"/>
      <c r="X117" s="152" t="n"/>
      <c r="AD117" s="58" t="n">
        <v>78</v>
      </c>
      <c r="AE117" s="59" t="n">
        <v>46203</v>
      </c>
      <c r="AF117" s="153">
        <f>IF($O$44="Resultat OK",$O$41,"Tvåa grupp E")</f>
        <v/>
      </c>
      <c r="AG117" s="61" t="inlineStr">
        <is>
          <t>-</t>
        </is>
      </c>
      <c r="AH117" s="154">
        <f>IF($O$80="Resultat OK",$O$77,"Tvåa grupp I")</f>
        <v/>
      </c>
      <c r="AI117" s="63" t="n"/>
      <c r="AJ117" s="58" t="inlineStr">
        <is>
          <t>-</t>
        </is>
      </c>
      <c r="AK117" s="63" t="n"/>
      <c r="AL117" s="65">
        <f>IF(OR(ISBLANK(AI117),ISBLANK(AK117)),"",IF(AI117&gt;AK117,1,IF(AI117&lt;AK117,2,"X")))</f>
        <v/>
      </c>
      <c r="BI117" s="161" t="n"/>
      <c r="BJ117" s="161" t="n"/>
      <c r="BK117" s="188" t="n"/>
      <c r="BL117" s="12" t="n"/>
      <c r="BM117" s="12" t="n"/>
      <c r="BN117" s="188" t="n"/>
      <c r="BO117" s="12" t="n"/>
      <c r="BP117" s="12" t="n"/>
      <c r="BQ117" s="13">
        <f>B117</f>
        <v/>
      </c>
      <c r="BR117" s="155">
        <f>D117</f>
        <v/>
      </c>
      <c r="BS117" s="156">
        <f>IF(OR('[1]Resultat &amp; tabell'!G117="",'[1]Resultat &amp; tabell'!I117=""),"",'[1]Resultat &amp; tabell'!D117)</f>
        <v/>
      </c>
      <c r="BT117" s="157">
        <f>IF(ISERROR(VLOOKUP(BR117,$BS$112:$BS$143,1,FALSE)),0,1)</f>
        <v/>
      </c>
      <c r="BU117" s="158">
        <f>BT117</f>
        <v/>
      </c>
      <c r="BV117" s="79">
        <f>BU117*1</f>
        <v/>
      </c>
      <c r="FZ117" s="79" t="n">
        <v>115</v>
      </c>
      <c r="GA117" s="3">
        <f>GB117&amp;GC117&amp;GD117&amp;GE117&amp;GF117&amp;GG117&amp;GH117&amp;GI117</f>
        <v/>
      </c>
      <c r="GB117" s="3" t="inlineStr">
        <is>
          <t>H</t>
        </is>
      </c>
      <c r="GC117" s="3" t="inlineStr">
        <is>
          <t>G</t>
        </is>
      </c>
      <c r="GD117" s="3" t="inlineStr">
        <is>
          <t>B</t>
        </is>
      </c>
      <c r="GE117" s="3" t="inlineStr">
        <is>
          <t>C</t>
        </is>
      </c>
      <c r="GF117" s="3" t="inlineStr">
        <is>
          <t>J</t>
        </is>
      </c>
      <c r="GG117" s="3" t="inlineStr">
        <is>
          <t>D</t>
        </is>
      </c>
      <c r="GH117" s="3" t="inlineStr">
        <is>
          <t>L</t>
        </is>
      </c>
      <c r="GI117" s="3" t="inlineStr">
        <is>
          <t>I</t>
        </is>
      </c>
      <c r="GJ117" s="9">
        <f>VLOOKUP(GB117,$FM$3:$FN$15,2,FALSE)</f>
        <v/>
      </c>
      <c r="GK117" s="9">
        <f>VLOOKUP(GC117,$FM$3:$FN$15,2,FALSE)</f>
        <v/>
      </c>
      <c r="GL117" s="9">
        <f>VLOOKUP(GD117,$FM$3:$FN$15,2,FALSE)</f>
        <v/>
      </c>
      <c r="GM117" s="9">
        <f>VLOOKUP(GE117,$FM$3:$FN$15,2,FALSE)</f>
        <v/>
      </c>
      <c r="GN117" s="9">
        <f>VLOOKUP(GF117,$FM$3:$FN$15,2,FALSE)</f>
        <v/>
      </c>
      <c r="GO117" s="9">
        <f>VLOOKUP(GG117,$FM$3:$FN$15,2,FALSE)</f>
        <v/>
      </c>
      <c r="GP117" s="9">
        <f>VLOOKUP(GH117,$FM$3:$FN$15,2,FALSE)</f>
        <v/>
      </c>
      <c r="GQ117" s="9">
        <f>VLOOKUP(GI117,$FM$3:$FN$15,2,FALSE)</f>
        <v/>
      </c>
      <c r="GR117" s="9">
        <f>IFERROR(IF(AND(VLOOKUP(GB117,$FX$4:$FX$15,1,FALSE)=GB117,VLOOKUP(GC117,$FX$4:$FX$15,1,FALSE)=GC117,VLOOKUP(GD117,$FX$4:$FX$15,1,FALSE)=GD117,VLOOKUP(GE117,$FX$4:$FX$15,1,FALSE)=GE117,VLOOKUP(GF117,$FX$4:$FX$15,1,FALSE)=GF117,VLOOKUP(GG117,$FX$4:$FX$15,1,FALSE)=GG117,VLOOKUP(GH117,$FX$4:$FX$15,1,FALSE)=GH117,VLOOKUP(GI117,$FX$4:$FX$15,1,FALSE)=GI117),FZ117,""),"")</f>
        <v/>
      </c>
      <c r="GX117" s="142" t="n"/>
    </row>
    <row r="118" ht="14.25" customHeight="1">
      <c r="B118" s="58" t="n">
        <v>79</v>
      </c>
      <c r="C118" s="59" t="n">
        <v>46204</v>
      </c>
      <c r="D118" s="148">
        <f>IF($O$8="Resultat OK",$O$4,"Vinnare grupp A")</f>
        <v/>
      </c>
      <c r="E118" s="61" t="inlineStr">
        <is>
          <t>-</t>
        </is>
      </c>
      <c r="F118" s="149">
        <f>IF($FN$19=TRUE,"Bästa trea CEFHI",HLOOKUP("A",$GJ$3:$GQ$498,$GA$3,FALSE))</f>
        <v/>
      </c>
      <c r="G118" s="63" t="n">
        <v>2</v>
      </c>
      <c r="H118" s="64" t="inlineStr">
        <is>
          <t>-</t>
        </is>
      </c>
      <c r="I118" s="63" t="n">
        <v>0</v>
      </c>
      <c r="J118" s="65">
        <f>IF(OR(ISBLANK(G118),ISBLANK(I118)),"",IF(G118&gt;I118,1,IF(G118&lt;I118,2,"X")))</f>
        <v/>
      </c>
      <c r="K118" s="66">
        <f>IF(OR(G118="",I118="",'[1]Resultat &amp; tabell'!G118="",'[1]Resultat &amp; tabell'!I118=""),0,IF(G118='[1]Resultat &amp; tabell'!G118,2,0)+IF(I118='[1]Resultat &amp; tabell'!I118,2,0)+IF(J118='[1]Resultat &amp; tabell'!J118,2,0))</f>
        <v/>
      </c>
      <c r="L118" s="67" t="n"/>
      <c r="O118" s="150" t="inlineStr">
        <is>
          <t>Mexiko</t>
        </is>
      </c>
      <c r="P118" s="151">
        <f>IF(OR(ISBLANK(D118),ISBLANK(F118),J118="",O118=""),"",IF(OR(AND(J118=1,O118=D118),AND(J118=2,O118=F118),AND(J118="X",OR(O118=D118,O118=F118))),"","Ej OK"))</f>
        <v/>
      </c>
      <c r="Q118" s="159" t="n"/>
      <c r="R118" s="160" t="n"/>
      <c r="S118" s="160" t="n"/>
      <c r="T118" s="160" t="n"/>
      <c r="U118" s="160" t="n"/>
      <c r="V118" s="160" t="n"/>
      <c r="W118" s="152" t="n"/>
      <c r="X118" s="152" t="n"/>
      <c r="AD118" s="58" t="n">
        <v>79</v>
      </c>
      <c r="AE118" s="59" t="n">
        <v>46204</v>
      </c>
      <c r="AF118" s="153">
        <f>IF($O$8="Resultat OK",$O$4,"Vinnare grupp A")</f>
        <v/>
      </c>
      <c r="AG118" s="61" t="inlineStr">
        <is>
          <t>-</t>
        </is>
      </c>
      <c r="AH118" s="154">
        <f>IF($FN$19=TRUE,"Bästa trea CEFHI",HLOOKUP("A",$GJ$3:$GQ$498,$GA$3,FALSE))</f>
        <v/>
      </c>
      <c r="AI118" s="63" t="n"/>
      <c r="AJ118" s="58" t="inlineStr">
        <is>
          <t>-</t>
        </is>
      </c>
      <c r="AK118" s="63" t="n"/>
      <c r="AL118" s="65">
        <f>IF(OR(ISBLANK(AI118),ISBLANK(AK118)),"",IF(AI118&gt;AK118,1,IF(AI118&lt;AK118,2,"X")))</f>
        <v/>
      </c>
      <c r="BQ118" s="13">
        <f>B118</f>
        <v/>
      </c>
      <c r="BR118" s="155">
        <f>D118</f>
        <v/>
      </c>
      <c r="BS118" s="156">
        <f>IF(OR('[1]Resultat &amp; tabell'!G118="",'[1]Resultat &amp; tabell'!I118=""),"",'[1]Resultat &amp; tabell'!D118)</f>
        <v/>
      </c>
      <c r="BT118" s="157">
        <f>IF(ISERROR(VLOOKUP(BR118,$BS$112:$BS$143,1,FALSE)),0,1)</f>
        <v/>
      </c>
      <c r="BU118" s="158">
        <f>BT118</f>
        <v/>
      </c>
      <c r="BV118" s="79">
        <f>BU118*1</f>
        <v/>
      </c>
      <c r="FZ118" s="79" t="n">
        <v>116</v>
      </c>
      <c r="GA118" s="3">
        <f>GB118&amp;GC118&amp;GD118&amp;GE118&amp;GF118&amp;GG118&amp;GH118&amp;GI118</f>
        <v/>
      </c>
      <c r="GB118" s="3" t="inlineStr">
        <is>
          <t>H</t>
        </is>
      </c>
      <c r="GC118" s="3" t="inlineStr">
        <is>
          <t>G</t>
        </is>
      </c>
      <c r="GD118" s="3" t="inlineStr">
        <is>
          <t>B</t>
        </is>
      </c>
      <c r="GE118" s="3" t="inlineStr">
        <is>
          <t>C</t>
        </is>
      </c>
      <c r="GF118" s="3" t="inlineStr">
        <is>
          <t>J</t>
        </is>
      </c>
      <c r="GG118" s="3" t="inlineStr">
        <is>
          <t>D</t>
        </is>
      </c>
      <c r="GH118" s="3" t="inlineStr">
        <is>
          <t>I</t>
        </is>
      </c>
      <c r="GI118" s="3" t="inlineStr">
        <is>
          <t>K</t>
        </is>
      </c>
      <c r="GJ118" s="9">
        <f>VLOOKUP(GB118,$FM$3:$FN$15,2,FALSE)</f>
        <v/>
      </c>
      <c r="GK118" s="9">
        <f>VLOOKUP(GC118,$FM$3:$FN$15,2,FALSE)</f>
        <v/>
      </c>
      <c r="GL118" s="9">
        <f>VLOOKUP(GD118,$FM$3:$FN$15,2,FALSE)</f>
        <v/>
      </c>
      <c r="GM118" s="9">
        <f>VLOOKUP(GE118,$FM$3:$FN$15,2,FALSE)</f>
        <v/>
      </c>
      <c r="GN118" s="9">
        <f>VLOOKUP(GF118,$FM$3:$FN$15,2,FALSE)</f>
        <v/>
      </c>
      <c r="GO118" s="9">
        <f>VLOOKUP(GG118,$FM$3:$FN$15,2,FALSE)</f>
        <v/>
      </c>
      <c r="GP118" s="9">
        <f>VLOOKUP(GH118,$FM$3:$FN$15,2,FALSE)</f>
        <v/>
      </c>
      <c r="GQ118" s="9">
        <f>VLOOKUP(GI118,$FM$3:$FN$15,2,FALSE)</f>
        <v/>
      </c>
      <c r="GR118" s="9">
        <f>IFERROR(IF(AND(VLOOKUP(GB118,$FX$4:$FX$15,1,FALSE)=GB118,VLOOKUP(GC118,$FX$4:$FX$15,1,FALSE)=GC118,VLOOKUP(GD118,$FX$4:$FX$15,1,FALSE)=GD118,VLOOKUP(GE118,$FX$4:$FX$15,1,FALSE)=GE118,VLOOKUP(GF118,$FX$4:$FX$15,1,FALSE)=GF118,VLOOKUP(GG118,$FX$4:$FX$15,1,FALSE)=GG118,VLOOKUP(GH118,$FX$4:$FX$15,1,FALSE)=GH118,VLOOKUP(GI118,$FX$4:$FX$15,1,FALSE)=GI118),FZ118,""),"")</f>
        <v/>
      </c>
      <c r="GX118" s="142" t="n"/>
    </row>
    <row r="119" ht="14.25" customHeight="1">
      <c r="B119" s="58" t="n">
        <v>80</v>
      </c>
      <c r="C119" s="59" t="n">
        <v>46204</v>
      </c>
      <c r="D119" s="148">
        <f>IF($O$107="Resultat OK",$O$103,"Vinnare grupp L")</f>
        <v/>
      </c>
      <c r="E119" s="61" t="inlineStr">
        <is>
          <t>-</t>
        </is>
      </c>
      <c r="F119" s="149">
        <f>IF($FN$19=TRUE,"Bästa trea EHIJK",HLOOKUP("L",$GJ$3:$GQ$498,$GA$3,FALSE))</f>
        <v/>
      </c>
      <c r="G119" s="63" t="n">
        <v>3</v>
      </c>
      <c r="H119" s="64" t="inlineStr">
        <is>
          <t>-</t>
        </is>
      </c>
      <c r="I119" s="63" t="n">
        <v>0</v>
      </c>
      <c r="J119" s="65">
        <f>IF(OR(ISBLANK(G119),ISBLANK(I119)),"",IF(G119&gt;I119,1,IF(G119&lt;I119,2,"X")))</f>
        <v/>
      </c>
      <c r="K119" s="66">
        <f>IF(OR(G119="",I119="",'[1]Resultat &amp; tabell'!G119="",'[1]Resultat &amp; tabell'!I119=""),0,IF(G119='[1]Resultat &amp; tabell'!G119,2,0)+IF(I119='[1]Resultat &amp; tabell'!I119,2,0)+IF(J119='[1]Resultat &amp; tabell'!J119,2,0))</f>
        <v/>
      </c>
      <c r="L119" s="67" t="n"/>
      <c r="O119" s="150" t="inlineStr">
        <is>
          <t>England</t>
        </is>
      </c>
      <c r="P119" s="151">
        <f>IF(OR(ISBLANK(D119),ISBLANK(F119),J119="",O119=""),"",IF(OR(AND(J119=1,O119=D119),AND(J119=2,O119=F119),AND(J119="X",OR(O119=D119,O119=F119))),"","Ej OK"))</f>
        <v/>
      </c>
      <c r="Q119" s="159" t="n"/>
      <c r="R119" s="160" t="n"/>
      <c r="S119" s="160" t="n"/>
      <c r="T119" s="160" t="n"/>
      <c r="U119" s="160" t="n"/>
      <c r="V119" s="160" t="n"/>
      <c r="W119" s="152" t="n"/>
      <c r="X119" s="152" t="n"/>
      <c r="AD119" s="58" t="n">
        <v>80</v>
      </c>
      <c r="AE119" s="59" t="n">
        <v>46204</v>
      </c>
      <c r="AF119" s="153">
        <f>IF($O$107="Resultat OK",$O$103,"Vinnare grupp L")</f>
        <v/>
      </c>
      <c r="AG119" s="61" t="inlineStr">
        <is>
          <t>-</t>
        </is>
      </c>
      <c r="AH119" s="154">
        <f>IF($FN$19=TRUE,"Bästa trea EHIJK",HLOOKUP("L",$GJ$3:$GQ$498,$GA$3,FALSE))</f>
        <v/>
      </c>
      <c r="AI119" s="63" t="n"/>
      <c r="AJ119" s="58" t="inlineStr">
        <is>
          <t>-</t>
        </is>
      </c>
      <c r="AK119" s="63" t="n"/>
      <c r="AL119" s="65">
        <f>IF(OR(ISBLANK(AI119),ISBLANK(AK119)),"",IF(AI119&gt;AK119,1,IF(AI119&lt;AK119,2,"X")))</f>
        <v/>
      </c>
      <c r="BQ119" s="13">
        <f>B119</f>
        <v/>
      </c>
      <c r="BR119" s="155">
        <f>D119</f>
        <v/>
      </c>
      <c r="BS119" s="156">
        <f>IF(OR('[1]Resultat &amp; tabell'!G119="",'[1]Resultat &amp; tabell'!I119=""),"",'[1]Resultat &amp; tabell'!D119)</f>
        <v/>
      </c>
      <c r="BT119" s="157">
        <f>IF(ISERROR(VLOOKUP(BR119,$BS$112:$BS$143,1,FALSE)),0,1)</f>
        <v/>
      </c>
      <c r="BU119" s="158">
        <f>BT119</f>
        <v/>
      </c>
      <c r="BV119" s="79">
        <f>BU119*1</f>
        <v/>
      </c>
      <c r="FZ119" s="79" t="n">
        <v>117</v>
      </c>
      <c r="GA119" s="3">
        <f>GB119&amp;GC119&amp;GD119&amp;GE119&amp;GF119&amp;GG119&amp;GH119&amp;GI119</f>
        <v/>
      </c>
      <c r="GB119" s="3" t="inlineStr">
        <is>
          <t>C</t>
        </is>
      </c>
      <c r="GC119" s="3" t="inlineStr">
        <is>
          <t>J</t>
        </is>
      </c>
      <c r="GD119" s="3" t="inlineStr">
        <is>
          <t>B</t>
        </is>
      </c>
      <c r="GE119" s="3" t="inlineStr">
        <is>
          <t>D</t>
        </is>
      </c>
      <c r="GF119" s="3" t="inlineStr">
        <is>
          <t>I</t>
        </is>
      </c>
      <c r="GG119" s="3" t="inlineStr">
        <is>
          <t>F</t>
        </is>
      </c>
      <c r="GH119" s="3" t="inlineStr">
        <is>
          <t>L</t>
        </is>
      </c>
      <c r="GI119" s="3" t="inlineStr">
        <is>
          <t>K</t>
        </is>
      </c>
      <c r="GJ119" s="9">
        <f>VLOOKUP(GB119,$FM$3:$FN$15,2,FALSE)</f>
        <v/>
      </c>
      <c r="GK119" s="9">
        <f>VLOOKUP(GC119,$FM$3:$FN$15,2,FALSE)</f>
        <v/>
      </c>
      <c r="GL119" s="9">
        <f>VLOOKUP(GD119,$FM$3:$FN$15,2,FALSE)</f>
        <v/>
      </c>
      <c r="GM119" s="9">
        <f>VLOOKUP(GE119,$FM$3:$FN$15,2,FALSE)</f>
        <v/>
      </c>
      <c r="GN119" s="9">
        <f>VLOOKUP(GF119,$FM$3:$FN$15,2,FALSE)</f>
        <v/>
      </c>
      <c r="GO119" s="9">
        <f>VLOOKUP(GG119,$FM$3:$FN$15,2,FALSE)</f>
        <v/>
      </c>
      <c r="GP119" s="9">
        <f>VLOOKUP(GH119,$FM$3:$FN$15,2,FALSE)</f>
        <v/>
      </c>
      <c r="GQ119" s="9">
        <f>VLOOKUP(GI119,$FM$3:$FN$15,2,FALSE)</f>
        <v/>
      </c>
      <c r="GR119" s="9">
        <f>IFERROR(IF(AND(VLOOKUP(GB119,$FX$4:$FX$15,1,FALSE)=GB119,VLOOKUP(GC119,$FX$4:$FX$15,1,FALSE)=GC119,VLOOKUP(GD119,$FX$4:$FX$15,1,FALSE)=GD119,VLOOKUP(GE119,$FX$4:$FX$15,1,FALSE)=GE119,VLOOKUP(GF119,$FX$4:$FX$15,1,FALSE)=GF119,VLOOKUP(GG119,$FX$4:$FX$15,1,FALSE)=GG119,VLOOKUP(GH119,$FX$4:$FX$15,1,FALSE)=GH119,VLOOKUP(GI119,$FX$4:$FX$15,1,FALSE)=GI119),FZ119,""),"")</f>
        <v/>
      </c>
      <c r="GX119" s="142" t="n"/>
    </row>
    <row r="120" ht="14.25" customHeight="1">
      <c r="B120" s="58" t="n">
        <v>81</v>
      </c>
      <c r="C120" s="59" t="n">
        <v>46205</v>
      </c>
      <c r="D120" s="148">
        <f>IF($O$35="Resultat OK",$O$31,"Vinnare grupp D")</f>
        <v/>
      </c>
      <c r="E120" s="61" t="inlineStr">
        <is>
          <t>-</t>
        </is>
      </c>
      <c r="F120" s="149">
        <f>IF($FN$19=TRUE,"Bästa trea BEFIJ",HLOOKUP("D",$GJ$3:$GQ$498,$GA$3,FALSE))</f>
        <v/>
      </c>
      <c r="G120" s="63" t="n">
        <v>2</v>
      </c>
      <c r="H120" s="64" t="inlineStr">
        <is>
          <t>-</t>
        </is>
      </c>
      <c r="I120" s="63" t="n">
        <v>1</v>
      </c>
      <c r="J120" s="65">
        <f>IF(OR(ISBLANK(G120),ISBLANK(I120)),"",IF(G120&gt;I120,1,IF(G120&lt;I120,2,"X")))</f>
        <v/>
      </c>
      <c r="K120" s="66">
        <f>IF(OR(G120="",I120="",'[1]Resultat &amp; tabell'!G120="",'[1]Resultat &amp; tabell'!I120=""),0,IF(G120='[1]Resultat &amp; tabell'!G120,2,0)+IF(I120='[1]Resultat &amp; tabell'!I120,2,0)+IF(J120='[1]Resultat &amp; tabell'!J120,2,0))</f>
        <v/>
      </c>
      <c r="L120" s="67" t="n"/>
      <c r="O120" s="150" t="inlineStr">
        <is>
          <t>USA</t>
        </is>
      </c>
      <c r="P120" s="151">
        <f>IF(OR(ISBLANK(D120),ISBLANK(F120),J120="",O120=""),"",IF(OR(AND(J120=1,O120=D120),AND(J120=2,O120=F120),AND(J120="X",OR(O120=D120,O120=F120))),"","Ej OK"))</f>
        <v/>
      </c>
      <c r="Q120" s="159" t="n"/>
      <c r="R120" s="160" t="n"/>
      <c r="S120" s="160" t="n"/>
      <c r="T120" s="160" t="n"/>
      <c r="U120" s="160" t="n"/>
      <c r="V120" s="160" t="n"/>
      <c r="Z120" s="162" t="n"/>
      <c r="AA120" s="162" t="n"/>
      <c r="AB120" s="114" t="n"/>
      <c r="AC120" s="12" t="n"/>
      <c r="AD120" s="58" t="n">
        <v>81</v>
      </c>
      <c r="AE120" s="59" t="n">
        <v>46205</v>
      </c>
      <c r="AF120" s="153">
        <f>IF($O$35="Resultat OK",$O$31,"Vinnare grupp D")</f>
        <v/>
      </c>
      <c r="AG120" s="61" t="inlineStr">
        <is>
          <t>-</t>
        </is>
      </c>
      <c r="AH120" s="154">
        <f>IF($FN$19=TRUE,"Bästa trea BEFIJ",HLOOKUP("D",$GJ$3:$GQ$498,$GA$3,FALSE))</f>
        <v/>
      </c>
      <c r="AI120" s="63" t="n"/>
      <c r="AJ120" s="58" t="inlineStr">
        <is>
          <t>-</t>
        </is>
      </c>
      <c r="AK120" s="63" t="n"/>
      <c r="AL120" s="65">
        <f>IF(OR(ISBLANK(AI120),ISBLANK(AK120)),"",IF(AI120&gt;AK120,1,IF(AI120&lt;AK120,2,"X")))</f>
        <v/>
      </c>
      <c r="BQ120" s="13">
        <f>B120</f>
        <v/>
      </c>
      <c r="BR120" s="155">
        <f>D120</f>
        <v/>
      </c>
      <c r="BS120" s="156">
        <f>IF(OR('[1]Resultat &amp; tabell'!G120="",'[1]Resultat &amp; tabell'!I120=""),"",'[1]Resultat &amp; tabell'!D120)</f>
        <v/>
      </c>
      <c r="BT120" s="157">
        <f>IF(ISERROR(VLOOKUP(BR120,$BS$112:$BS$143,1,FALSE)),0,1)</f>
        <v/>
      </c>
      <c r="BU120" s="158">
        <f>BT120</f>
        <v/>
      </c>
      <c r="BV120" s="79">
        <f>BU120*1</f>
        <v/>
      </c>
      <c r="FZ120" s="79" t="n">
        <v>118</v>
      </c>
      <c r="GA120" s="3">
        <f>GB120&amp;GC120&amp;GD120&amp;GE120&amp;GF120&amp;GG120&amp;GH120&amp;GI120</f>
        <v/>
      </c>
      <c r="GB120" s="3" t="inlineStr">
        <is>
          <t>C</t>
        </is>
      </c>
      <c r="GC120" s="3" t="inlineStr">
        <is>
          <t>J</t>
        </is>
      </c>
      <c r="GD120" s="3" t="inlineStr">
        <is>
          <t>B</t>
        </is>
      </c>
      <c r="GE120" s="3" t="inlineStr">
        <is>
          <t>D</t>
        </is>
      </c>
      <c r="GF120" s="3" t="inlineStr">
        <is>
          <t>H</t>
        </is>
      </c>
      <c r="GG120" s="3" t="inlineStr">
        <is>
          <t>F</t>
        </is>
      </c>
      <c r="GH120" s="3" t="inlineStr">
        <is>
          <t>L</t>
        </is>
      </c>
      <c r="GI120" s="3" t="inlineStr">
        <is>
          <t>K</t>
        </is>
      </c>
      <c r="GJ120" s="9">
        <f>VLOOKUP(GB120,$FM$3:$FN$15,2,FALSE)</f>
        <v/>
      </c>
      <c r="GK120" s="9">
        <f>VLOOKUP(GC120,$FM$3:$FN$15,2,FALSE)</f>
        <v/>
      </c>
      <c r="GL120" s="9">
        <f>VLOOKUP(GD120,$FM$3:$FN$15,2,FALSE)</f>
        <v/>
      </c>
      <c r="GM120" s="9">
        <f>VLOOKUP(GE120,$FM$3:$FN$15,2,FALSE)</f>
        <v/>
      </c>
      <c r="GN120" s="9">
        <f>VLOOKUP(GF120,$FM$3:$FN$15,2,FALSE)</f>
        <v/>
      </c>
      <c r="GO120" s="9">
        <f>VLOOKUP(GG120,$FM$3:$FN$15,2,FALSE)</f>
        <v/>
      </c>
      <c r="GP120" s="9">
        <f>VLOOKUP(GH120,$FM$3:$FN$15,2,FALSE)</f>
        <v/>
      </c>
      <c r="GQ120" s="9">
        <f>VLOOKUP(GI120,$FM$3:$FN$15,2,FALSE)</f>
        <v/>
      </c>
      <c r="GR120" s="9">
        <f>IFERROR(IF(AND(VLOOKUP(GB120,$FX$4:$FX$15,1,FALSE)=GB120,VLOOKUP(GC120,$FX$4:$FX$15,1,FALSE)=GC120,VLOOKUP(GD120,$FX$4:$FX$15,1,FALSE)=GD120,VLOOKUP(GE120,$FX$4:$FX$15,1,FALSE)=GE120,VLOOKUP(GF120,$FX$4:$FX$15,1,FALSE)=GF120,VLOOKUP(GG120,$FX$4:$FX$15,1,FALSE)=GG120,VLOOKUP(GH120,$FX$4:$FX$15,1,FALSE)=GH120,VLOOKUP(GI120,$FX$4:$FX$15,1,FALSE)=GI120),FZ120,""),"")</f>
        <v/>
      </c>
      <c r="GX120" s="142" t="n"/>
    </row>
    <row r="121" ht="14.25" customHeight="1">
      <c r="B121" s="58" t="n">
        <v>82</v>
      </c>
      <c r="C121" s="59" t="n">
        <v>46204</v>
      </c>
      <c r="D121" s="148">
        <f>IF($O$62="Resultat OK",$O$58,"Vinnare grupp G")</f>
        <v/>
      </c>
      <c r="E121" s="61" t="inlineStr">
        <is>
          <t>-</t>
        </is>
      </c>
      <c r="F121" s="149">
        <f>IF($FN$19=TRUE,"Bästa trea AEHIJ",HLOOKUP("G",$GJ$3:$GQ$498,$GA$3,FALSE))</f>
        <v/>
      </c>
      <c r="G121" s="63" t="n">
        <v>2</v>
      </c>
      <c r="H121" s="64" t="inlineStr">
        <is>
          <t>-</t>
        </is>
      </c>
      <c r="I121" s="63" t="n">
        <v>0</v>
      </c>
      <c r="J121" s="65">
        <f>IF(OR(ISBLANK(G121),ISBLANK(I121)),"",IF(G121&gt;I121,1,IF(G121&lt;I121,2,"X")))</f>
        <v/>
      </c>
      <c r="K121" s="66">
        <f>IF(OR(G121="",I121="",'[1]Resultat &amp; tabell'!G121="",'[1]Resultat &amp; tabell'!I121=""),0,IF(G121='[1]Resultat &amp; tabell'!G121,2,0)+IF(I121='[1]Resultat &amp; tabell'!I121,2,0)+IF(J121='[1]Resultat &amp; tabell'!J121,2,0))</f>
        <v/>
      </c>
      <c r="L121" s="67" t="n"/>
      <c r="O121" s="150" t="inlineStr">
        <is>
          <t>Belgien</t>
        </is>
      </c>
      <c r="P121" s="151">
        <f>IF(OR(ISBLANK(D121),ISBLANK(F121),J121="",O121=""),"",IF(OR(AND(J121=1,O121=D121),AND(J121=2,O121=F121),AND(J121="X",OR(O121=D121,O121=F121))),"","Ej OK"))</f>
        <v/>
      </c>
      <c r="Q121" s="159" t="n"/>
      <c r="R121" s="160" t="n"/>
      <c r="S121" s="160" t="n"/>
      <c r="T121" s="160" t="n"/>
      <c r="U121" s="160" t="n"/>
      <c r="V121" s="160" t="n"/>
      <c r="Z121" s="163" t="n"/>
      <c r="AA121" s="163" t="n"/>
      <c r="AB121" s="163" t="n"/>
      <c r="AC121" s="164" t="n"/>
      <c r="AD121" s="58" t="n">
        <v>82</v>
      </c>
      <c r="AE121" s="59" t="n">
        <v>46204</v>
      </c>
      <c r="AF121" s="153">
        <f>IF($O$62="Resultat OK",$O$58,"Vinnare grupp G")</f>
        <v/>
      </c>
      <c r="AG121" s="61" t="inlineStr">
        <is>
          <t>-</t>
        </is>
      </c>
      <c r="AH121" s="154">
        <f>IF($FN$19=TRUE,"Bästa trea AEHIJ",HLOOKUP("G",$GJ$3:$GQ$498,$GA$3,FALSE))</f>
        <v/>
      </c>
      <c r="AI121" s="63" t="n"/>
      <c r="AJ121" s="58" t="inlineStr">
        <is>
          <t>-</t>
        </is>
      </c>
      <c r="AK121" s="63" t="n"/>
      <c r="AL121" s="65">
        <f>IF(OR(ISBLANK(AI121),ISBLANK(AK121)),"",IF(AI121&gt;AK121,1,IF(AI121&lt;AK121,2,"X")))</f>
        <v/>
      </c>
      <c r="BQ121" s="13">
        <f>B121</f>
        <v/>
      </c>
      <c r="BR121" s="155">
        <f>D121</f>
        <v/>
      </c>
      <c r="BS121" s="156">
        <f>IF(OR('[1]Resultat &amp; tabell'!G121="",'[1]Resultat &amp; tabell'!I121=""),"",'[1]Resultat &amp; tabell'!D121)</f>
        <v/>
      </c>
      <c r="BT121" s="157">
        <f>IF(ISERROR(VLOOKUP(BR121,$BS$112:$BS$143,1,FALSE)),0,1)</f>
        <v/>
      </c>
      <c r="BU121" s="158">
        <f>BT121</f>
        <v/>
      </c>
      <c r="BV121" s="79">
        <f>BU121*1</f>
        <v/>
      </c>
      <c r="FZ121" s="79" t="n">
        <v>119</v>
      </c>
      <c r="GA121" s="3">
        <f>GB121&amp;GC121&amp;GD121&amp;GE121&amp;GF121&amp;GG121&amp;GH121&amp;GI121</f>
        <v/>
      </c>
      <c r="GB121" s="3" t="inlineStr">
        <is>
          <t>C</t>
        </is>
      </c>
      <c r="GC121" s="3" t="inlineStr">
        <is>
          <t>I</t>
        </is>
      </c>
      <c r="GD121" s="3" t="inlineStr">
        <is>
          <t>B</t>
        </is>
      </c>
      <c r="GE121" s="3" t="inlineStr">
        <is>
          <t>D</t>
        </is>
      </c>
      <c r="GF121" s="3" t="inlineStr">
        <is>
          <t>H</t>
        </is>
      </c>
      <c r="GG121" s="3" t="inlineStr">
        <is>
          <t>F</t>
        </is>
      </c>
      <c r="GH121" s="3" t="inlineStr">
        <is>
          <t>L</t>
        </is>
      </c>
      <c r="GI121" s="3" t="inlineStr">
        <is>
          <t>K</t>
        </is>
      </c>
      <c r="GJ121" s="9">
        <f>VLOOKUP(GB121,$FM$3:$FN$15,2,FALSE)</f>
        <v/>
      </c>
      <c r="GK121" s="9">
        <f>VLOOKUP(GC121,$FM$3:$FN$15,2,FALSE)</f>
        <v/>
      </c>
      <c r="GL121" s="9">
        <f>VLOOKUP(GD121,$FM$3:$FN$15,2,FALSE)</f>
        <v/>
      </c>
      <c r="GM121" s="9">
        <f>VLOOKUP(GE121,$FM$3:$FN$15,2,FALSE)</f>
        <v/>
      </c>
      <c r="GN121" s="9">
        <f>VLOOKUP(GF121,$FM$3:$FN$15,2,FALSE)</f>
        <v/>
      </c>
      <c r="GO121" s="9">
        <f>VLOOKUP(GG121,$FM$3:$FN$15,2,FALSE)</f>
        <v/>
      </c>
      <c r="GP121" s="9">
        <f>VLOOKUP(GH121,$FM$3:$FN$15,2,FALSE)</f>
        <v/>
      </c>
      <c r="GQ121" s="9">
        <f>VLOOKUP(GI121,$FM$3:$FN$15,2,FALSE)</f>
        <v/>
      </c>
      <c r="GR121" s="9">
        <f>IFERROR(IF(AND(VLOOKUP(GB121,$FX$4:$FX$15,1,FALSE)=GB121,VLOOKUP(GC121,$FX$4:$FX$15,1,FALSE)=GC121,VLOOKUP(GD121,$FX$4:$FX$15,1,FALSE)=GD121,VLOOKUP(GE121,$FX$4:$FX$15,1,FALSE)=GE121,VLOOKUP(GF121,$FX$4:$FX$15,1,FALSE)=GF121,VLOOKUP(GG121,$FX$4:$FX$15,1,FALSE)=GG121,VLOOKUP(GH121,$FX$4:$FX$15,1,FALSE)=GH121,VLOOKUP(GI121,$FX$4:$FX$15,1,FALSE)=GI121),FZ121,""),"")</f>
        <v/>
      </c>
      <c r="GX121" s="142" t="n"/>
    </row>
    <row r="122" ht="14.25" customHeight="1">
      <c r="B122" s="58" t="n">
        <v>83</v>
      </c>
      <c r="C122" s="59" t="n">
        <v>46206</v>
      </c>
      <c r="D122" s="148">
        <f>IF($O$98="Resultat OK",$O$95,"Tvåa grupp K")</f>
        <v/>
      </c>
      <c r="E122" s="61" t="inlineStr">
        <is>
          <t>-</t>
        </is>
      </c>
      <c r="F122" s="149">
        <f>IF($O$107="Resultat OK",$O$104,"Tvåa grupp L")</f>
        <v/>
      </c>
      <c r="G122" s="63" t="n">
        <v>1</v>
      </c>
      <c r="H122" s="64" t="inlineStr">
        <is>
          <t>-</t>
        </is>
      </c>
      <c r="I122" s="63" t="n">
        <v>2</v>
      </c>
      <c r="J122" s="65">
        <f>IF(OR(ISBLANK(G122),ISBLANK(I122)),"",IF(G122&gt;I122,1,IF(G122&lt;I122,2,"X")))</f>
        <v/>
      </c>
      <c r="K122" s="66">
        <f>IF(OR(G122="",I122="",'[1]Resultat &amp; tabell'!G122="",'[1]Resultat &amp; tabell'!I122=""),0,IF(G122='[1]Resultat &amp; tabell'!G122,2,0)+IF(I122='[1]Resultat &amp; tabell'!I122,2,0)+IF(J122='[1]Resultat &amp; tabell'!J122,2,0))</f>
        <v/>
      </c>
      <c r="L122" s="67" t="n"/>
      <c r="O122" s="150" t="inlineStr">
        <is>
          <t>Kroatien</t>
        </is>
      </c>
      <c r="P122" s="151">
        <f>IF(OR(ISBLANK(D122),ISBLANK(F122),J122="",O122=""),"",IF(OR(AND(J122=1,O122=D122),AND(J122=2,O122=F122),AND(J122="X",OR(O122=D122,O122=F122))),"","Ej OK"))</f>
        <v/>
      </c>
      <c r="Q122" s="159" t="n"/>
      <c r="R122" s="160" t="n"/>
      <c r="S122" s="160" t="n"/>
      <c r="T122" s="160" t="n"/>
      <c r="U122" s="160" t="n"/>
      <c r="V122" s="160" t="n"/>
      <c r="Z122" s="163" t="n"/>
      <c r="AA122" s="163" t="n"/>
      <c r="AB122" s="163" t="n"/>
      <c r="AC122" s="164" t="n"/>
      <c r="AD122" s="58" t="n">
        <v>83</v>
      </c>
      <c r="AE122" s="59" t="n">
        <v>46206</v>
      </c>
      <c r="AF122" s="153">
        <f>IF($O$98="Resultat OK",$O$95,"Tvåa grupp K")</f>
        <v/>
      </c>
      <c r="AG122" s="61" t="inlineStr">
        <is>
          <t>-</t>
        </is>
      </c>
      <c r="AH122" s="154">
        <f>IF($O$107="Resultat OK",$O$104,"Tvåa grupp L")</f>
        <v/>
      </c>
      <c r="AI122" s="63" t="n"/>
      <c r="AJ122" s="58" t="inlineStr">
        <is>
          <t>-</t>
        </is>
      </c>
      <c r="AK122" s="63" t="n"/>
      <c r="AL122" s="65">
        <f>IF(OR(ISBLANK(AI122),ISBLANK(AK122)),"",IF(AI122&gt;AK122,1,IF(AI122&lt;AK122,2,"X")))</f>
        <v/>
      </c>
      <c r="BQ122" s="13">
        <f>B122</f>
        <v/>
      </c>
      <c r="BR122" s="155">
        <f>D122</f>
        <v/>
      </c>
      <c r="BS122" s="156">
        <f>IF(OR('[1]Resultat &amp; tabell'!G122="",'[1]Resultat &amp; tabell'!I122=""),"",'[1]Resultat &amp; tabell'!D122)</f>
        <v/>
      </c>
      <c r="BT122" s="157">
        <f>IF(ISERROR(VLOOKUP(BR122,$BS$112:$BS$143,1,FALSE)),0,1)</f>
        <v/>
      </c>
      <c r="BU122" s="158">
        <f>BT122</f>
        <v/>
      </c>
      <c r="BV122" s="79">
        <f>BU122*1</f>
        <v/>
      </c>
      <c r="FZ122" s="79" t="n">
        <v>120</v>
      </c>
      <c r="GA122" s="3">
        <f>GB122&amp;GC122&amp;GD122&amp;GE122&amp;GF122&amp;GG122&amp;GH122&amp;GI122</f>
        <v/>
      </c>
      <c r="GB122" s="3" t="inlineStr">
        <is>
          <t>C</t>
        </is>
      </c>
      <c r="GC122" s="3" t="inlineStr">
        <is>
          <t>J</t>
        </is>
      </c>
      <c r="GD122" s="3" t="inlineStr">
        <is>
          <t>B</t>
        </is>
      </c>
      <c r="GE122" s="3" t="inlineStr">
        <is>
          <t>D</t>
        </is>
      </c>
      <c r="GF122" s="3" t="inlineStr">
        <is>
          <t>H</t>
        </is>
      </c>
      <c r="GG122" s="3" t="inlineStr">
        <is>
          <t>F</t>
        </is>
      </c>
      <c r="GH122" s="3" t="inlineStr">
        <is>
          <t>L</t>
        </is>
      </c>
      <c r="GI122" s="3" t="inlineStr">
        <is>
          <t>I</t>
        </is>
      </c>
      <c r="GJ122" s="9">
        <f>VLOOKUP(GB122,$FM$3:$FN$15,2,FALSE)</f>
        <v/>
      </c>
      <c r="GK122" s="9">
        <f>VLOOKUP(GC122,$FM$3:$FN$15,2,FALSE)</f>
        <v/>
      </c>
      <c r="GL122" s="9">
        <f>VLOOKUP(GD122,$FM$3:$FN$15,2,FALSE)</f>
        <v/>
      </c>
      <c r="GM122" s="9">
        <f>VLOOKUP(GE122,$FM$3:$FN$15,2,FALSE)</f>
        <v/>
      </c>
      <c r="GN122" s="9">
        <f>VLOOKUP(GF122,$FM$3:$FN$15,2,FALSE)</f>
        <v/>
      </c>
      <c r="GO122" s="9">
        <f>VLOOKUP(GG122,$FM$3:$FN$15,2,FALSE)</f>
        <v/>
      </c>
      <c r="GP122" s="9">
        <f>VLOOKUP(GH122,$FM$3:$FN$15,2,FALSE)</f>
        <v/>
      </c>
      <c r="GQ122" s="9">
        <f>VLOOKUP(GI122,$FM$3:$FN$15,2,FALSE)</f>
        <v/>
      </c>
      <c r="GR122" s="9">
        <f>IFERROR(IF(AND(VLOOKUP(GB122,$FX$4:$FX$15,1,FALSE)=GB122,VLOOKUP(GC122,$FX$4:$FX$15,1,FALSE)=GC122,VLOOKUP(GD122,$FX$4:$FX$15,1,FALSE)=GD122,VLOOKUP(GE122,$FX$4:$FX$15,1,FALSE)=GE122,VLOOKUP(GF122,$FX$4:$FX$15,1,FALSE)=GF122,VLOOKUP(GG122,$FX$4:$FX$15,1,FALSE)=GG122,VLOOKUP(GH122,$FX$4:$FX$15,1,FALSE)=GH122,VLOOKUP(GI122,$FX$4:$FX$15,1,FALSE)=GI122),FZ122,""),"")</f>
        <v/>
      </c>
      <c r="GX122" s="142" t="n"/>
    </row>
    <row r="123" ht="14.25" customHeight="1">
      <c r="B123" s="58" t="n">
        <v>84</v>
      </c>
      <c r="C123" s="59" t="n">
        <v>46205</v>
      </c>
      <c r="D123" s="148">
        <f>IF($O$71="Resultat OK",$O$67,"Vinnare grupp H")</f>
        <v/>
      </c>
      <c r="E123" s="61" t="inlineStr">
        <is>
          <t>-</t>
        </is>
      </c>
      <c r="F123" s="149">
        <f>IF($O$89="Resultat OK",$O$86,"Tvåa grupp J")</f>
        <v/>
      </c>
      <c r="G123" s="63" t="n">
        <v>2</v>
      </c>
      <c r="H123" s="64" t="inlineStr">
        <is>
          <t>-</t>
        </is>
      </c>
      <c r="I123" s="63" t="n">
        <v>0</v>
      </c>
      <c r="J123" s="65">
        <f>IF(OR(ISBLANK(G123),ISBLANK(I123)),"",IF(G123&gt;I123,1,IF(G123&lt;I123,2,"X")))</f>
        <v/>
      </c>
      <c r="K123" s="66">
        <f>IF(OR(G123="",I123="",'[1]Resultat &amp; tabell'!G123="",'[1]Resultat &amp; tabell'!I123=""),0,IF(G123='[1]Resultat &amp; tabell'!G123,2,0)+IF(I123='[1]Resultat &amp; tabell'!I123,2,0)+IF(J123='[1]Resultat &amp; tabell'!J123,2,0))</f>
        <v/>
      </c>
      <c r="L123" s="67" t="n"/>
      <c r="O123" s="150" t="inlineStr">
        <is>
          <t>Spanien</t>
        </is>
      </c>
      <c r="P123" s="151">
        <f>IF(OR(ISBLANK(D123),ISBLANK(F123),J123="",O123=""),"",IF(OR(AND(J123=1,O123=D123),AND(J123=2,O123=F123),AND(J123="X",OR(O123=D123,O123=F123))),"","Ej OK"))</f>
        <v/>
      </c>
      <c r="Q123" s="159" t="n"/>
      <c r="R123" s="160" t="n"/>
      <c r="S123" s="160" t="n"/>
      <c r="T123" s="160" t="n"/>
      <c r="U123" s="160" t="n"/>
      <c r="V123" s="160" t="n"/>
      <c r="Z123" s="163" t="n"/>
      <c r="AA123" s="163" t="n"/>
      <c r="AB123" s="163" t="n"/>
      <c r="AC123" s="164" t="n"/>
      <c r="AD123" s="58" t="n">
        <v>84</v>
      </c>
      <c r="AE123" s="59" t="n">
        <v>46205</v>
      </c>
      <c r="AF123" s="153">
        <f>IF($O$71="Resultat OK",$O$67,"Vinnare grupp H")</f>
        <v/>
      </c>
      <c r="AG123" s="61" t="inlineStr">
        <is>
          <t>-</t>
        </is>
      </c>
      <c r="AH123" s="154">
        <f>IF($O$89="Resultat OK",$O$86,"Tvåa grupp J")</f>
        <v/>
      </c>
      <c r="AI123" s="63" t="n"/>
      <c r="AJ123" s="58" t="inlineStr">
        <is>
          <t>-</t>
        </is>
      </c>
      <c r="AK123" s="63" t="n"/>
      <c r="AL123" s="65">
        <f>IF(OR(ISBLANK(AI123),ISBLANK(AK123)),"",IF(AI123&gt;AK123,1,IF(AI123&lt;AK123,2,"X")))</f>
        <v/>
      </c>
      <c r="BQ123" s="13">
        <f>B123</f>
        <v/>
      </c>
      <c r="BR123" s="155">
        <f>D123</f>
        <v/>
      </c>
      <c r="BS123" s="156">
        <f>IF(OR('[1]Resultat &amp; tabell'!G123="",'[1]Resultat &amp; tabell'!I123=""),"",'[1]Resultat &amp; tabell'!D123)</f>
        <v/>
      </c>
      <c r="BT123" s="157">
        <f>IF(ISERROR(VLOOKUP(BR123,$BS$112:$BS$143,1,FALSE)),0,1)</f>
        <v/>
      </c>
      <c r="BU123" s="158">
        <f>BT123</f>
        <v/>
      </c>
      <c r="BV123" s="79">
        <f>BU123*1</f>
        <v/>
      </c>
      <c r="FZ123" s="79" t="n">
        <v>121</v>
      </c>
      <c r="GA123" s="3">
        <f>GB123&amp;GC123&amp;GD123&amp;GE123&amp;GF123&amp;GG123&amp;GH123&amp;GI123</f>
        <v/>
      </c>
      <c r="GB123" s="3" t="inlineStr">
        <is>
          <t>C</t>
        </is>
      </c>
      <c r="GC123" s="3" t="inlineStr">
        <is>
          <t>J</t>
        </is>
      </c>
      <c r="GD123" s="3" t="inlineStr">
        <is>
          <t>B</t>
        </is>
      </c>
      <c r="GE123" s="3" t="inlineStr">
        <is>
          <t>D</t>
        </is>
      </c>
      <c r="GF123" s="3" t="inlineStr">
        <is>
          <t>H</t>
        </is>
      </c>
      <c r="GG123" s="3" t="inlineStr">
        <is>
          <t>F</t>
        </is>
      </c>
      <c r="GH123" s="3" t="inlineStr">
        <is>
          <t>I</t>
        </is>
      </c>
      <c r="GI123" s="3" t="inlineStr">
        <is>
          <t>K</t>
        </is>
      </c>
      <c r="GJ123" s="9">
        <f>VLOOKUP(GB123,$FM$3:$FN$15,2,FALSE)</f>
        <v/>
      </c>
      <c r="GK123" s="9">
        <f>VLOOKUP(GC123,$FM$3:$FN$15,2,FALSE)</f>
        <v/>
      </c>
      <c r="GL123" s="9">
        <f>VLOOKUP(GD123,$FM$3:$FN$15,2,FALSE)</f>
        <v/>
      </c>
      <c r="GM123" s="9">
        <f>VLOOKUP(GE123,$FM$3:$FN$15,2,FALSE)</f>
        <v/>
      </c>
      <c r="GN123" s="9">
        <f>VLOOKUP(GF123,$FM$3:$FN$15,2,FALSE)</f>
        <v/>
      </c>
      <c r="GO123" s="9">
        <f>VLOOKUP(GG123,$FM$3:$FN$15,2,FALSE)</f>
        <v/>
      </c>
      <c r="GP123" s="9">
        <f>VLOOKUP(GH123,$FM$3:$FN$15,2,FALSE)</f>
        <v/>
      </c>
      <c r="GQ123" s="9">
        <f>VLOOKUP(GI123,$FM$3:$FN$15,2,FALSE)</f>
        <v/>
      </c>
      <c r="GR123" s="9">
        <f>IFERROR(IF(AND(VLOOKUP(GB123,$FX$4:$FX$15,1,FALSE)=GB123,VLOOKUP(GC123,$FX$4:$FX$15,1,FALSE)=GC123,VLOOKUP(GD123,$FX$4:$FX$15,1,FALSE)=GD123,VLOOKUP(GE123,$FX$4:$FX$15,1,FALSE)=GE123,VLOOKUP(GF123,$FX$4:$FX$15,1,FALSE)=GF123,VLOOKUP(GG123,$FX$4:$FX$15,1,FALSE)=GG123,VLOOKUP(GH123,$FX$4:$FX$15,1,FALSE)=GH123,VLOOKUP(GI123,$FX$4:$FX$15,1,FALSE)=GI123),FZ123,""),"")</f>
        <v/>
      </c>
      <c r="GX123" s="142" t="n"/>
    </row>
    <row r="124" ht="14.25" customHeight="1">
      <c r="B124" s="58" t="n">
        <v>85</v>
      </c>
      <c r="C124" s="59" t="n">
        <v>46206</v>
      </c>
      <c r="D124" s="148">
        <f>IF($O$17="Resultat OK",$O$13,"Vinnare grupp B")</f>
        <v/>
      </c>
      <c r="E124" s="61" t="inlineStr">
        <is>
          <t>-</t>
        </is>
      </c>
      <c r="F124" s="149">
        <f>IF($FN$19=TRUE,"Bästa trea EFGIJ",HLOOKUP("B",$GJ$3:$GQ$498,$GA$3,FALSE))</f>
        <v/>
      </c>
      <c r="G124" s="63" t="n">
        <v>2</v>
      </c>
      <c r="H124" s="64" t="inlineStr">
        <is>
          <t>-</t>
        </is>
      </c>
      <c r="I124" s="63" t="n">
        <v>1</v>
      </c>
      <c r="J124" s="65">
        <f>IF(OR(ISBLANK(G124),ISBLANK(I124)),"",IF(G124&gt;I124,1,IF(G124&lt;I124,2,"X")))</f>
        <v/>
      </c>
      <c r="K124" s="66">
        <f>IF(OR(G124="",I124="",'[1]Resultat &amp; tabell'!G124="",'[1]Resultat &amp; tabell'!I124=""),0,IF(G124='[1]Resultat &amp; tabell'!G124,2,0)+IF(I124='[1]Resultat &amp; tabell'!I124,2,0)+IF(J124='[1]Resultat &amp; tabell'!J124,2,0))</f>
        <v/>
      </c>
      <c r="L124" s="67" t="n"/>
      <c r="O124" s="150" t="inlineStr">
        <is>
          <t>Schweiz</t>
        </is>
      </c>
      <c r="P124" s="151">
        <f>IF(OR(ISBLANK(D124),ISBLANK(F124),J124="",O124=""),"",IF(OR(AND(J124=1,O124=D124),AND(J124=2,O124=F124),AND(J124="X",OR(O124=D124,O124=F124))),"","Ej OK"))</f>
        <v/>
      </c>
      <c r="Q124" s="159" t="n"/>
      <c r="R124" s="160" t="n"/>
      <c r="S124" s="160" t="n"/>
      <c r="T124" s="160" t="n"/>
      <c r="U124" s="160" t="n"/>
      <c r="V124" s="160" t="n"/>
      <c r="Z124" s="163" t="n"/>
      <c r="AA124" s="163" t="n"/>
      <c r="AB124" s="163" t="n"/>
      <c r="AC124" s="164" t="n"/>
      <c r="AD124" s="58" t="n">
        <v>85</v>
      </c>
      <c r="AE124" s="59" t="n">
        <v>46206</v>
      </c>
      <c r="AF124" s="153">
        <f>IF($O$17="Resultat OK",$O$13,"Vinnare grupp B")</f>
        <v/>
      </c>
      <c r="AG124" s="61" t="inlineStr">
        <is>
          <t>-</t>
        </is>
      </c>
      <c r="AH124" s="154">
        <f>IF($FN$19=TRUE,"Bästa trea EFGIJ",HLOOKUP("B",$GJ$3:$GQ$498,$GA$3,FALSE))</f>
        <v/>
      </c>
      <c r="AI124" s="63" t="n"/>
      <c r="AJ124" s="58" t="inlineStr">
        <is>
          <t>-</t>
        </is>
      </c>
      <c r="AK124" s="63" t="n"/>
      <c r="AL124" s="65">
        <f>IF(OR(ISBLANK(AI124),ISBLANK(AK124)),"",IF(AI124&gt;AK124,1,IF(AI124&lt;AK124,2,"X")))</f>
        <v/>
      </c>
      <c r="BQ124" s="13">
        <f>B124</f>
        <v/>
      </c>
      <c r="BR124" s="155">
        <f>D124</f>
        <v/>
      </c>
      <c r="BS124" s="156">
        <f>IF(OR('[1]Resultat &amp; tabell'!G124="",'[1]Resultat &amp; tabell'!I124=""),"",'[1]Resultat &amp; tabell'!D124)</f>
        <v/>
      </c>
      <c r="BT124" s="157">
        <f>IF(ISERROR(VLOOKUP(BR124,$BS$112:$BS$143,1,FALSE)),0,1)</f>
        <v/>
      </c>
      <c r="BU124" s="158">
        <f>BT124</f>
        <v/>
      </c>
      <c r="BV124" s="79">
        <f>BU124*1</f>
        <v/>
      </c>
      <c r="FZ124" s="79" t="n">
        <v>122</v>
      </c>
      <c r="GA124" s="3">
        <f>GB124&amp;GC124&amp;GD124&amp;GE124&amp;GF124&amp;GG124&amp;GH124&amp;GI124</f>
        <v/>
      </c>
      <c r="GB124" s="3" t="inlineStr">
        <is>
          <t>C</t>
        </is>
      </c>
      <c r="GC124" s="3" t="inlineStr">
        <is>
          <t>G</t>
        </is>
      </c>
      <c r="GD124" s="3" t="inlineStr">
        <is>
          <t>B</t>
        </is>
      </c>
      <c r="GE124" s="3" t="inlineStr">
        <is>
          <t>D</t>
        </is>
      </c>
      <c r="GF124" s="3" t="inlineStr">
        <is>
          <t>J</t>
        </is>
      </c>
      <c r="GG124" s="3" t="inlineStr">
        <is>
          <t>F</t>
        </is>
      </c>
      <c r="GH124" s="3" t="inlineStr">
        <is>
          <t>L</t>
        </is>
      </c>
      <c r="GI124" s="3" t="inlineStr">
        <is>
          <t>K</t>
        </is>
      </c>
      <c r="GJ124" s="9">
        <f>VLOOKUP(GB124,$FM$3:$FN$15,2,FALSE)</f>
        <v/>
      </c>
      <c r="GK124" s="9">
        <f>VLOOKUP(GC124,$FM$3:$FN$15,2,FALSE)</f>
        <v/>
      </c>
      <c r="GL124" s="9">
        <f>VLOOKUP(GD124,$FM$3:$FN$15,2,FALSE)</f>
        <v/>
      </c>
      <c r="GM124" s="9">
        <f>VLOOKUP(GE124,$FM$3:$FN$15,2,FALSE)</f>
        <v/>
      </c>
      <c r="GN124" s="9">
        <f>VLOOKUP(GF124,$FM$3:$FN$15,2,FALSE)</f>
        <v/>
      </c>
      <c r="GO124" s="9">
        <f>VLOOKUP(GG124,$FM$3:$FN$15,2,FALSE)</f>
        <v/>
      </c>
      <c r="GP124" s="9">
        <f>VLOOKUP(GH124,$FM$3:$FN$15,2,FALSE)</f>
        <v/>
      </c>
      <c r="GQ124" s="9">
        <f>VLOOKUP(GI124,$FM$3:$FN$15,2,FALSE)</f>
        <v/>
      </c>
      <c r="GR124" s="9">
        <f>IFERROR(IF(AND(VLOOKUP(GB124,$FX$4:$FX$15,1,FALSE)=GB124,VLOOKUP(GC124,$FX$4:$FX$15,1,FALSE)=GC124,VLOOKUP(GD124,$FX$4:$FX$15,1,FALSE)=GD124,VLOOKUP(GE124,$FX$4:$FX$15,1,FALSE)=GE124,VLOOKUP(GF124,$FX$4:$FX$15,1,FALSE)=GF124,VLOOKUP(GG124,$FX$4:$FX$15,1,FALSE)=GG124,VLOOKUP(GH124,$FX$4:$FX$15,1,FALSE)=GH124,VLOOKUP(GI124,$FX$4:$FX$15,1,FALSE)=GI124),FZ124,""),"")</f>
        <v/>
      </c>
      <c r="GX124" s="142" t="n"/>
    </row>
    <row r="125" ht="14.25" customHeight="1">
      <c r="B125" s="58" t="n">
        <v>86</v>
      </c>
      <c r="C125" s="59" t="n">
        <v>46207</v>
      </c>
      <c r="D125" s="148">
        <f>IF($O$89="Resultat OK",$O$85,"Vinnare grupp J")</f>
        <v/>
      </c>
      <c r="E125" s="61" t="inlineStr">
        <is>
          <t>-</t>
        </is>
      </c>
      <c r="F125" s="149">
        <f>IF($O$71="Resultat OK",$O$68,"Tvåa grupp H")</f>
        <v/>
      </c>
      <c r="G125" s="63" t="n">
        <v>2</v>
      </c>
      <c r="H125" s="64" t="inlineStr">
        <is>
          <t>-</t>
        </is>
      </c>
      <c r="I125" s="63" t="n">
        <v>0</v>
      </c>
      <c r="J125" s="65">
        <f>IF(OR(ISBLANK(G125),ISBLANK(I125)),"",IF(G125&gt;I125,1,IF(G125&lt;I125,2,"X")))</f>
        <v/>
      </c>
      <c r="K125" s="66">
        <f>IF(OR(G125="",I125="",'[1]Resultat &amp; tabell'!G125="",'[1]Resultat &amp; tabell'!I125=""),0,IF(G125='[1]Resultat &amp; tabell'!G125,2,0)+IF(I125='[1]Resultat &amp; tabell'!I125,2,0)+IF(J125='[1]Resultat &amp; tabell'!J125,2,0))</f>
        <v/>
      </c>
      <c r="L125" s="67" t="n"/>
      <c r="O125" s="150" t="inlineStr">
        <is>
          <t>Argentina</t>
        </is>
      </c>
      <c r="P125" s="151">
        <f>IF(OR(ISBLANK(D125),ISBLANK(F125),J125="",O125=""),"",IF(OR(AND(J125=1,O125=D125),AND(J125=2,O125=F125),AND(J125="X",OR(O125=D125,O125=F125))),"","Ej OK"))</f>
        <v/>
      </c>
      <c r="Q125" s="159" t="n"/>
      <c r="R125" s="160" t="n"/>
      <c r="S125" s="160" t="n"/>
      <c r="T125" s="160" t="n"/>
      <c r="U125" s="160" t="n"/>
      <c r="V125" s="160" t="n"/>
      <c r="Z125" s="163" t="n"/>
      <c r="AA125" s="163" t="n"/>
      <c r="AB125" s="163" t="n"/>
      <c r="AC125" s="164" t="n"/>
      <c r="AD125" s="58" t="n">
        <v>86</v>
      </c>
      <c r="AE125" s="59" t="n">
        <v>46207</v>
      </c>
      <c r="AF125" s="153">
        <f>IF($O$89="Resultat OK",$O$85,"Vinnare grupp J")</f>
        <v/>
      </c>
      <c r="AG125" s="61" t="inlineStr">
        <is>
          <t>-</t>
        </is>
      </c>
      <c r="AH125" s="154">
        <f>IF($O$71="Resultat OK",$O$68,"Tvåa grupp H")</f>
        <v/>
      </c>
      <c r="AI125" s="63" t="n"/>
      <c r="AJ125" s="58" t="inlineStr">
        <is>
          <t>-</t>
        </is>
      </c>
      <c r="AK125" s="63" t="n"/>
      <c r="AL125" s="65">
        <f>IF(OR(ISBLANK(AI125),ISBLANK(AK125)),"",IF(AI125&gt;AK125,1,IF(AI125&lt;AK125,2,"X")))</f>
        <v/>
      </c>
      <c r="BQ125" s="13">
        <f>B125</f>
        <v/>
      </c>
      <c r="BR125" s="155">
        <f>D125</f>
        <v/>
      </c>
      <c r="BS125" s="156">
        <f>IF(OR('[1]Resultat &amp; tabell'!G125="",'[1]Resultat &amp; tabell'!I125=""),"",'[1]Resultat &amp; tabell'!D125)</f>
        <v/>
      </c>
      <c r="BT125" s="157">
        <f>IF(ISERROR(VLOOKUP(BR125,$BS$112:$BS$143,1,FALSE)),0,1)</f>
        <v/>
      </c>
      <c r="BU125" s="158">
        <f>BT125</f>
        <v/>
      </c>
      <c r="BV125" s="79">
        <f>BU125*1</f>
        <v/>
      </c>
      <c r="FZ125" s="79" t="n">
        <v>123</v>
      </c>
      <c r="GA125" s="3">
        <f>GB125&amp;GC125&amp;GD125&amp;GE125&amp;GF125&amp;GG125&amp;GH125&amp;GI125</f>
        <v/>
      </c>
      <c r="GB125" s="3" t="inlineStr">
        <is>
          <t>C</t>
        </is>
      </c>
      <c r="GC125" s="3" t="inlineStr">
        <is>
          <t>G</t>
        </is>
      </c>
      <c r="GD125" s="3" t="inlineStr">
        <is>
          <t>B</t>
        </is>
      </c>
      <c r="GE125" s="3" t="inlineStr">
        <is>
          <t>D</t>
        </is>
      </c>
      <c r="GF125" s="3" t="inlineStr">
        <is>
          <t>I</t>
        </is>
      </c>
      <c r="GG125" s="3" t="inlineStr">
        <is>
          <t>F</t>
        </is>
      </c>
      <c r="GH125" s="3" t="inlineStr">
        <is>
          <t>L</t>
        </is>
      </c>
      <c r="GI125" s="3" t="inlineStr">
        <is>
          <t>K</t>
        </is>
      </c>
      <c r="GJ125" s="9">
        <f>VLOOKUP(GB125,$FM$3:$FN$15,2,FALSE)</f>
        <v/>
      </c>
      <c r="GK125" s="9">
        <f>VLOOKUP(GC125,$FM$3:$FN$15,2,FALSE)</f>
        <v/>
      </c>
      <c r="GL125" s="9">
        <f>VLOOKUP(GD125,$FM$3:$FN$15,2,FALSE)</f>
        <v/>
      </c>
      <c r="GM125" s="9">
        <f>VLOOKUP(GE125,$FM$3:$FN$15,2,FALSE)</f>
        <v/>
      </c>
      <c r="GN125" s="9">
        <f>VLOOKUP(GF125,$FM$3:$FN$15,2,FALSE)</f>
        <v/>
      </c>
      <c r="GO125" s="9">
        <f>VLOOKUP(GG125,$FM$3:$FN$15,2,FALSE)</f>
        <v/>
      </c>
      <c r="GP125" s="9">
        <f>VLOOKUP(GH125,$FM$3:$FN$15,2,FALSE)</f>
        <v/>
      </c>
      <c r="GQ125" s="9">
        <f>VLOOKUP(GI125,$FM$3:$FN$15,2,FALSE)</f>
        <v/>
      </c>
      <c r="GR125" s="9">
        <f>IFERROR(IF(AND(VLOOKUP(GB125,$FX$4:$FX$15,1,FALSE)=GB125,VLOOKUP(GC125,$FX$4:$FX$15,1,FALSE)=GC125,VLOOKUP(GD125,$FX$4:$FX$15,1,FALSE)=GD125,VLOOKUP(GE125,$FX$4:$FX$15,1,FALSE)=GE125,VLOOKUP(GF125,$FX$4:$FX$15,1,FALSE)=GF125,VLOOKUP(GG125,$FX$4:$FX$15,1,FALSE)=GG125,VLOOKUP(GH125,$FX$4:$FX$15,1,FALSE)=GH125,VLOOKUP(GI125,$FX$4:$FX$15,1,FALSE)=GI125),FZ125,""),"")</f>
        <v/>
      </c>
      <c r="GX125" s="142" t="n"/>
    </row>
    <row r="126" ht="14.25" customHeight="1">
      <c r="B126" s="58" t="n">
        <v>87</v>
      </c>
      <c r="C126" s="59" t="n">
        <v>46207</v>
      </c>
      <c r="D126" s="148">
        <f>IF($O$98="Resultat OK",$O$94,"Vinnare grupp K")</f>
        <v/>
      </c>
      <c r="E126" s="61" t="inlineStr">
        <is>
          <t>-</t>
        </is>
      </c>
      <c r="F126" s="149">
        <f>IF($FN$19=TRUE,"Bästa trea DEIJL",HLOOKUP("K",$GJ$3:$GQ$498,$GA$3,FALSE))</f>
        <v/>
      </c>
      <c r="G126" s="63" t="n">
        <v>3</v>
      </c>
      <c r="H126" s="64" t="inlineStr">
        <is>
          <t>-</t>
        </is>
      </c>
      <c r="I126" s="63" t="n">
        <v>1</v>
      </c>
      <c r="J126" s="65">
        <f>IF(OR(ISBLANK(G126),ISBLANK(I126)),"",IF(G126&gt;I126,1,IF(G126&lt;I126,2,"X")))</f>
        <v/>
      </c>
      <c r="K126" s="66">
        <f>IF(OR(G126="",I126="",'[1]Resultat &amp; tabell'!G126="",'[1]Resultat &amp; tabell'!I126=""),0,IF(G126='[1]Resultat &amp; tabell'!G126,2,0)+IF(I126='[1]Resultat &amp; tabell'!I126,2,0)+IF(J126='[1]Resultat &amp; tabell'!J126,2,0))</f>
        <v/>
      </c>
      <c r="L126" s="67" t="n"/>
      <c r="O126" s="150" t="inlineStr">
        <is>
          <t>Portugal</t>
        </is>
      </c>
      <c r="P126" s="151">
        <f>IF(OR(ISBLANK(D126),ISBLANK(F126),J126="",O126=""),"",IF(OR(AND(J126=1,O126=D126),AND(J126=2,O126=F126),AND(J126="X",OR(O126=D126,O126=F126))),"","Ej OK"))</f>
        <v/>
      </c>
      <c r="Q126" s="159" t="n"/>
      <c r="R126" s="160" t="n"/>
      <c r="S126" s="160" t="n"/>
      <c r="T126" s="160" t="n"/>
      <c r="U126" s="160" t="n"/>
      <c r="V126" s="160" t="n"/>
      <c r="Z126" s="163" t="n"/>
      <c r="AA126" s="163" t="n"/>
      <c r="AB126" s="163" t="n"/>
      <c r="AC126" s="164" t="n"/>
      <c r="AD126" s="58" t="n">
        <v>87</v>
      </c>
      <c r="AE126" s="59" t="n">
        <v>46207</v>
      </c>
      <c r="AF126" s="153">
        <f>IF($O$98="Resultat OK",$O$94,"Vinnare grupp K")</f>
        <v/>
      </c>
      <c r="AG126" s="61" t="inlineStr">
        <is>
          <t>-</t>
        </is>
      </c>
      <c r="AH126" s="154">
        <f>IF($FN$19=TRUE,"Bästa trea DEIJL",HLOOKUP("K",$GJ$3:$GQ$498,$GA$3,FALSE))</f>
        <v/>
      </c>
      <c r="AI126" s="63" t="n"/>
      <c r="AJ126" s="58" t="inlineStr">
        <is>
          <t>-</t>
        </is>
      </c>
      <c r="AK126" s="63" t="n"/>
      <c r="AL126" s="65">
        <f>IF(OR(ISBLANK(AI126),ISBLANK(AK126)),"",IF(AI126&gt;AK126,1,IF(AI126&lt;AK126,2,"X")))</f>
        <v/>
      </c>
      <c r="BQ126" s="13">
        <f>B126</f>
        <v/>
      </c>
      <c r="BR126" s="155">
        <f>D126</f>
        <v/>
      </c>
      <c r="BS126" s="156">
        <f>IF(OR('[1]Resultat &amp; tabell'!G126="",'[1]Resultat &amp; tabell'!I126=""),"",'[1]Resultat &amp; tabell'!D126)</f>
        <v/>
      </c>
      <c r="BT126" s="157">
        <f>IF(ISERROR(VLOOKUP(BR126,$BS$112:$BS$143,1,FALSE)),0,1)</f>
        <v/>
      </c>
      <c r="BU126" s="158">
        <f>BT126</f>
        <v/>
      </c>
      <c r="BV126" s="79">
        <f>BU126*1</f>
        <v/>
      </c>
      <c r="FZ126" s="79" t="n">
        <v>124</v>
      </c>
      <c r="GA126" s="3">
        <f>GB126&amp;GC126&amp;GD126&amp;GE126&amp;GF126&amp;GG126&amp;GH126&amp;GI126</f>
        <v/>
      </c>
      <c r="GB126" s="3" t="inlineStr">
        <is>
          <t>C</t>
        </is>
      </c>
      <c r="GC126" s="3" t="inlineStr">
        <is>
          <t>G</t>
        </is>
      </c>
      <c r="GD126" s="3" t="inlineStr">
        <is>
          <t>B</t>
        </is>
      </c>
      <c r="GE126" s="3" t="inlineStr">
        <is>
          <t>D</t>
        </is>
      </c>
      <c r="GF126" s="3" t="inlineStr">
        <is>
          <t>J</t>
        </is>
      </c>
      <c r="GG126" s="3" t="inlineStr">
        <is>
          <t>F</t>
        </is>
      </c>
      <c r="GH126" s="3" t="inlineStr">
        <is>
          <t>L</t>
        </is>
      </c>
      <c r="GI126" s="3" t="inlineStr">
        <is>
          <t>I</t>
        </is>
      </c>
      <c r="GJ126" s="9">
        <f>VLOOKUP(GB126,$FM$3:$FN$15,2,FALSE)</f>
        <v/>
      </c>
      <c r="GK126" s="9">
        <f>VLOOKUP(GC126,$FM$3:$FN$15,2,FALSE)</f>
        <v/>
      </c>
      <c r="GL126" s="9">
        <f>VLOOKUP(GD126,$FM$3:$FN$15,2,FALSE)</f>
        <v/>
      </c>
      <c r="GM126" s="9">
        <f>VLOOKUP(GE126,$FM$3:$FN$15,2,FALSE)</f>
        <v/>
      </c>
      <c r="GN126" s="9">
        <f>VLOOKUP(GF126,$FM$3:$FN$15,2,FALSE)</f>
        <v/>
      </c>
      <c r="GO126" s="9">
        <f>VLOOKUP(GG126,$FM$3:$FN$15,2,FALSE)</f>
        <v/>
      </c>
      <c r="GP126" s="9">
        <f>VLOOKUP(GH126,$FM$3:$FN$15,2,FALSE)</f>
        <v/>
      </c>
      <c r="GQ126" s="9">
        <f>VLOOKUP(GI126,$FM$3:$FN$15,2,FALSE)</f>
        <v/>
      </c>
      <c r="GR126" s="9">
        <f>IFERROR(IF(AND(VLOOKUP(GB126,$FX$4:$FX$15,1,FALSE)=GB126,VLOOKUP(GC126,$FX$4:$FX$15,1,FALSE)=GC126,VLOOKUP(GD126,$FX$4:$FX$15,1,FALSE)=GD126,VLOOKUP(GE126,$FX$4:$FX$15,1,FALSE)=GE126,VLOOKUP(GF126,$FX$4:$FX$15,1,FALSE)=GF126,VLOOKUP(GG126,$FX$4:$FX$15,1,FALSE)=GG126,VLOOKUP(GH126,$FX$4:$FX$15,1,FALSE)=GH126,VLOOKUP(GI126,$FX$4:$FX$15,1,FALSE)=GI126),FZ126,""),"")</f>
        <v/>
      </c>
      <c r="GX126" s="142" t="n"/>
    </row>
    <row r="127" ht="14.25" customHeight="1">
      <c r="B127" s="58" t="n">
        <v>88</v>
      </c>
      <c r="C127" s="59" t="n">
        <v>46206</v>
      </c>
      <c r="D127" s="148">
        <f>IF($O$35="Resultat OK",$O$32,"Tvåa grupp D")</f>
        <v/>
      </c>
      <c r="E127" s="61" t="inlineStr">
        <is>
          <t>-</t>
        </is>
      </c>
      <c r="F127" s="149">
        <f>IF($O$62="Resultat OK",$O$59,"Tvåa grupp G")</f>
        <v/>
      </c>
      <c r="G127" s="63" t="n">
        <v>2</v>
      </c>
      <c r="H127" s="64" t="inlineStr">
        <is>
          <t>-</t>
        </is>
      </c>
      <c r="I127" s="63" t="n">
        <v>1</v>
      </c>
      <c r="J127" s="65">
        <f>IF(OR(ISBLANK(G127),ISBLANK(I127)),"",IF(G127&gt;I127,1,IF(G127&lt;I127,2,"X")))</f>
        <v/>
      </c>
      <c r="K127" s="66">
        <f>IF(OR(G127="",I127="",'[1]Resultat &amp; tabell'!G127="",'[1]Resultat &amp; tabell'!I127=""),0,IF(G127='[1]Resultat &amp; tabell'!G127,2,0)+IF(I127='[1]Resultat &amp; tabell'!I127,2,0)+IF(J127='[1]Resultat &amp; tabell'!J127,2,0))</f>
        <v/>
      </c>
      <c r="L127" s="67" t="n"/>
      <c r="O127" s="150" t="inlineStr">
        <is>
          <t>Turkiet</t>
        </is>
      </c>
      <c r="P127" s="151">
        <f>IF(OR(ISBLANK(D127),ISBLANK(F127),J127="",O127=""),"",IF(OR(AND(J127=1,O127=D127),AND(J127=2,O127=F127),AND(J127="X",OR(O127=D127,O127=F127))),"","Ej OK"))</f>
        <v/>
      </c>
      <c r="Q127" s="159" t="n"/>
      <c r="R127" s="160" t="n"/>
      <c r="S127" s="160" t="n"/>
      <c r="T127" s="160" t="n"/>
      <c r="U127" s="160" t="n"/>
      <c r="V127" s="160" t="n"/>
      <c r="Z127" s="163" t="n"/>
      <c r="AA127" s="163" t="n"/>
      <c r="AB127" s="163" t="n"/>
      <c r="AC127" s="164" t="n"/>
      <c r="AD127" s="58" t="n">
        <v>88</v>
      </c>
      <c r="AE127" s="59" t="n">
        <v>46206</v>
      </c>
      <c r="AF127" s="153">
        <f>IF($O$35="Resultat OK",$O$32,"Tvåa grupp D")</f>
        <v/>
      </c>
      <c r="AG127" s="61" t="inlineStr">
        <is>
          <t>-</t>
        </is>
      </c>
      <c r="AH127" s="154">
        <f>IF($O$62="Resultat OK",$O$59,"Tvåa grupp G")</f>
        <v/>
      </c>
      <c r="AI127" s="63" t="n"/>
      <c r="AJ127" s="58" t="inlineStr">
        <is>
          <t>-</t>
        </is>
      </c>
      <c r="AK127" s="63" t="n"/>
      <c r="AL127" s="65">
        <f>IF(OR(ISBLANK(AI127),ISBLANK(AK127)),"",IF(AI127&gt;AK127,1,IF(AI127&lt;AK127,2,"X")))</f>
        <v/>
      </c>
      <c r="BQ127" s="13">
        <f>B127</f>
        <v/>
      </c>
      <c r="BR127" s="155">
        <f>D127</f>
        <v/>
      </c>
      <c r="BS127" s="156">
        <f>IF(OR('[1]Resultat &amp; tabell'!G127="",'[1]Resultat &amp; tabell'!I127=""),"",'[1]Resultat &amp; tabell'!D127)</f>
        <v/>
      </c>
      <c r="BT127" s="157">
        <f>IF(ISERROR(VLOOKUP(BR127,$BS$112:$BS$143,1,FALSE)),0,1)</f>
        <v/>
      </c>
      <c r="BU127" s="158">
        <f>BT127</f>
        <v/>
      </c>
      <c r="BV127" s="79">
        <f>BU127*1</f>
        <v/>
      </c>
      <c r="FZ127" s="79" t="n">
        <v>125</v>
      </c>
      <c r="GA127" s="3">
        <f>GB127&amp;GC127&amp;GD127&amp;GE127&amp;GF127&amp;GG127&amp;GH127&amp;GI127</f>
        <v/>
      </c>
      <c r="GB127" s="3" t="inlineStr">
        <is>
          <t>C</t>
        </is>
      </c>
      <c r="GC127" s="3" t="inlineStr">
        <is>
          <t>G</t>
        </is>
      </c>
      <c r="GD127" s="3" t="inlineStr">
        <is>
          <t>B</t>
        </is>
      </c>
      <c r="GE127" s="3" t="inlineStr">
        <is>
          <t>D</t>
        </is>
      </c>
      <c r="GF127" s="3" t="inlineStr">
        <is>
          <t>J</t>
        </is>
      </c>
      <c r="GG127" s="3" t="inlineStr">
        <is>
          <t>F</t>
        </is>
      </c>
      <c r="GH127" s="3" t="inlineStr">
        <is>
          <t>I</t>
        </is>
      </c>
      <c r="GI127" s="3" t="inlineStr">
        <is>
          <t>K</t>
        </is>
      </c>
      <c r="GJ127" s="9">
        <f>VLOOKUP(GB127,$FM$3:$FN$15,2,FALSE)</f>
        <v/>
      </c>
      <c r="GK127" s="9">
        <f>VLOOKUP(GC127,$FM$3:$FN$15,2,FALSE)</f>
        <v/>
      </c>
      <c r="GL127" s="9">
        <f>VLOOKUP(GD127,$FM$3:$FN$15,2,FALSE)</f>
        <v/>
      </c>
      <c r="GM127" s="9">
        <f>VLOOKUP(GE127,$FM$3:$FN$15,2,FALSE)</f>
        <v/>
      </c>
      <c r="GN127" s="9">
        <f>VLOOKUP(GF127,$FM$3:$FN$15,2,FALSE)</f>
        <v/>
      </c>
      <c r="GO127" s="9">
        <f>VLOOKUP(GG127,$FM$3:$FN$15,2,FALSE)</f>
        <v/>
      </c>
      <c r="GP127" s="9">
        <f>VLOOKUP(GH127,$FM$3:$FN$15,2,FALSE)</f>
        <v/>
      </c>
      <c r="GQ127" s="9">
        <f>VLOOKUP(GI127,$FM$3:$FN$15,2,FALSE)</f>
        <v/>
      </c>
      <c r="GR127" s="9">
        <f>IFERROR(IF(AND(VLOOKUP(GB127,$FX$4:$FX$15,1,FALSE)=GB127,VLOOKUP(GC127,$FX$4:$FX$15,1,FALSE)=GC127,VLOOKUP(GD127,$FX$4:$FX$15,1,FALSE)=GD127,VLOOKUP(GE127,$FX$4:$FX$15,1,FALSE)=GE127,VLOOKUP(GF127,$FX$4:$FX$15,1,FALSE)=GF127,VLOOKUP(GG127,$FX$4:$FX$15,1,FALSE)=GG127,VLOOKUP(GH127,$FX$4:$FX$15,1,FALSE)=GH127,VLOOKUP(GI127,$FX$4:$FX$15,1,FALSE)=GI127),FZ127,""),"")</f>
        <v/>
      </c>
      <c r="GX127" s="142" t="n"/>
    </row>
    <row r="128" ht="14.25" customHeight="1">
      <c r="B128" s="3" t="n"/>
      <c r="C128" s="94" t="n"/>
      <c r="D128" s="143" t="n"/>
      <c r="F128" s="143" t="n"/>
      <c r="G128" s="139" t="n"/>
      <c r="H128" s="100" t="n"/>
      <c r="I128" s="139" t="n"/>
      <c r="J128" s="79" t="n"/>
      <c r="K128" s="73" t="n"/>
      <c r="L128" s="67" t="n"/>
      <c r="P128" s="108" t="n"/>
      <c r="Q128" s="108" t="n"/>
      <c r="R128" s="108" t="n"/>
      <c r="S128" s="108" t="n"/>
      <c r="T128" s="108" t="n"/>
      <c r="U128" s="108" t="n"/>
      <c r="Z128" s="163" t="n"/>
      <c r="AA128" s="163" t="n"/>
      <c r="AB128" s="163" t="n"/>
      <c r="AC128" s="164" t="n"/>
      <c r="AD128" s="163" t="n"/>
      <c r="AE128" s="163" t="n"/>
      <c r="AF128" s="163" t="n"/>
      <c r="AI128" s="139" t="n"/>
      <c r="AJ128" s="105" t="n"/>
      <c r="AK128" s="139" t="n"/>
      <c r="AL128" s="73" t="n"/>
      <c r="AM128" s="73" t="n"/>
      <c r="BQ128" s="13">
        <f>B112</f>
        <v/>
      </c>
      <c r="BR128" s="155">
        <f>F112</f>
        <v/>
      </c>
      <c r="BS128" s="156">
        <f>IF(OR('[1]Resultat &amp; tabell'!G112="",'[1]Resultat &amp; tabell'!I112=""),"",'[1]Resultat &amp; tabell'!F112)</f>
        <v/>
      </c>
      <c r="BT128" s="157">
        <f>IF(ISERROR(VLOOKUP(BR128,$BS$112:$BS$143,1,FALSE)),0,1)</f>
        <v/>
      </c>
      <c r="BU128" s="158">
        <f>BT128</f>
        <v/>
      </c>
      <c r="BV128" s="79">
        <f>BU128*1</f>
        <v/>
      </c>
      <c r="FZ128" s="79" t="n">
        <v>126</v>
      </c>
      <c r="GA128" s="3">
        <f>GB128&amp;GC128&amp;GD128&amp;GE128&amp;GF128&amp;GG128&amp;GH128&amp;GI128</f>
        <v/>
      </c>
      <c r="GB128" s="3" t="inlineStr">
        <is>
          <t>C</t>
        </is>
      </c>
      <c r="GC128" s="3" t="inlineStr">
        <is>
          <t>G</t>
        </is>
      </c>
      <c r="GD128" s="3" t="inlineStr">
        <is>
          <t>B</t>
        </is>
      </c>
      <c r="GE128" s="3" t="inlineStr">
        <is>
          <t>D</t>
        </is>
      </c>
      <c r="GF128" s="3" t="inlineStr">
        <is>
          <t>H</t>
        </is>
      </c>
      <c r="GG128" s="3" t="inlineStr">
        <is>
          <t>F</t>
        </is>
      </c>
      <c r="GH128" s="3" t="inlineStr">
        <is>
          <t>L</t>
        </is>
      </c>
      <c r="GI128" s="3" t="inlineStr">
        <is>
          <t>K</t>
        </is>
      </c>
      <c r="GJ128" s="9">
        <f>VLOOKUP(GB128,$FM$3:$FN$15,2,FALSE)</f>
        <v/>
      </c>
      <c r="GK128" s="9">
        <f>VLOOKUP(GC128,$FM$3:$FN$15,2,FALSE)</f>
        <v/>
      </c>
      <c r="GL128" s="9">
        <f>VLOOKUP(GD128,$FM$3:$FN$15,2,FALSE)</f>
        <v/>
      </c>
      <c r="GM128" s="9">
        <f>VLOOKUP(GE128,$FM$3:$FN$15,2,FALSE)</f>
        <v/>
      </c>
      <c r="GN128" s="9">
        <f>VLOOKUP(GF128,$FM$3:$FN$15,2,FALSE)</f>
        <v/>
      </c>
      <c r="GO128" s="9">
        <f>VLOOKUP(GG128,$FM$3:$FN$15,2,FALSE)</f>
        <v/>
      </c>
      <c r="GP128" s="9">
        <f>VLOOKUP(GH128,$FM$3:$FN$15,2,FALSE)</f>
        <v/>
      </c>
      <c r="GQ128" s="9">
        <f>VLOOKUP(GI128,$FM$3:$FN$15,2,FALSE)</f>
        <v/>
      </c>
      <c r="GR128" s="9">
        <f>IFERROR(IF(AND(VLOOKUP(GB128,$FX$4:$FX$15,1,FALSE)=GB128,VLOOKUP(GC128,$FX$4:$FX$15,1,FALSE)=GC128,VLOOKUP(GD128,$FX$4:$FX$15,1,FALSE)=GD128,VLOOKUP(GE128,$FX$4:$FX$15,1,FALSE)=GE128,VLOOKUP(GF128,$FX$4:$FX$15,1,FALSE)=GF128,VLOOKUP(GG128,$FX$4:$FX$15,1,FALSE)=GG128,VLOOKUP(GH128,$FX$4:$FX$15,1,FALSE)=GH128,VLOOKUP(GI128,$FX$4:$FX$15,1,FALSE)=GI128),FZ128,""),"")</f>
        <v/>
      </c>
      <c r="GX128" s="142" t="n"/>
    </row>
    <row r="129" ht="14.25" customHeight="1">
      <c r="B129" s="19" t="inlineStr">
        <is>
          <t>Åttondelsfinal</t>
        </is>
      </c>
      <c r="C129" s="94" t="n"/>
      <c r="J129" s="23" t="n"/>
      <c r="K129" s="16" t="n"/>
      <c r="L129" s="49" t="n"/>
      <c r="P129" s="108" t="n"/>
      <c r="Q129" s="108" t="n"/>
      <c r="R129" s="108" t="n"/>
      <c r="S129" s="108" t="n"/>
      <c r="T129" s="108" t="n"/>
      <c r="U129" s="108" t="n"/>
      <c r="BQ129" s="13">
        <f>B113</f>
        <v/>
      </c>
      <c r="BR129" s="155">
        <f>F113</f>
        <v/>
      </c>
      <c r="BS129" s="156">
        <f>IF(OR('[1]Resultat &amp; tabell'!G113="",'[1]Resultat &amp; tabell'!I113=""),"",'[1]Resultat &amp; tabell'!F113)</f>
        <v/>
      </c>
      <c r="BT129" s="157">
        <f>IF(ISERROR(VLOOKUP(BR129,$BS$112:$BS$143,1,FALSE)),0,1)</f>
        <v/>
      </c>
      <c r="BU129" s="158">
        <f>BT129</f>
        <v/>
      </c>
      <c r="BV129" s="79">
        <f>BU129*1</f>
        <v/>
      </c>
      <c r="FZ129" s="79" t="n">
        <v>127</v>
      </c>
      <c r="GA129" s="3">
        <f>GB129&amp;GC129&amp;GD129&amp;GE129&amp;GF129&amp;GG129&amp;GH129&amp;GI129</f>
        <v/>
      </c>
      <c r="GB129" s="3" t="inlineStr">
        <is>
          <t>C</t>
        </is>
      </c>
      <c r="GC129" s="3" t="inlineStr">
        <is>
          <t>G</t>
        </is>
      </c>
      <c r="GD129" s="3" t="inlineStr">
        <is>
          <t>B</t>
        </is>
      </c>
      <c r="GE129" s="3" t="inlineStr">
        <is>
          <t>D</t>
        </is>
      </c>
      <c r="GF129" s="3" t="inlineStr">
        <is>
          <t>H</t>
        </is>
      </c>
      <c r="GG129" s="3" t="inlineStr">
        <is>
          <t>F</t>
        </is>
      </c>
      <c r="GH129" s="3" t="inlineStr">
        <is>
          <t>L</t>
        </is>
      </c>
      <c r="GI129" s="3" t="inlineStr">
        <is>
          <t>J</t>
        </is>
      </c>
      <c r="GJ129" s="9">
        <f>VLOOKUP(GB129,$FM$3:$FN$15,2,FALSE)</f>
        <v/>
      </c>
      <c r="GK129" s="9">
        <f>VLOOKUP(GC129,$FM$3:$FN$15,2,FALSE)</f>
        <v/>
      </c>
      <c r="GL129" s="9">
        <f>VLOOKUP(GD129,$FM$3:$FN$15,2,FALSE)</f>
        <v/>
      </c>
      <c r="GM129" s="9">
        <f>VLOOKUP(GE129,$FM$3:$FN$15,2,FALSE)</f>
        <v/>
      </c>
      <c r="GN129" s="9">
        <f>VLOOKUP(GF129,$FM$3:$FN$15,2,FALSE)</f>
        <v/>
      </c>
      <c r="GO129" s="9">
        <f>VLOOKUP(GG129,$FM$3:$FN$15,2,FALSE)</f>
        <v/>
      </c>
      <c r="GP129" s="9">
        <f>VLOOKUP(GH129,$FM$3:$FN$15,2,FALSE)</f>
        <v/>
      </c>
      <c r="GQ129" s="9">
        <f>VLOOKUP(GI129,$FM$3:$FN$15,2,FALSE)</f>
        <v/>
      </c>
      <c r="GR129" s="9">
        <f>IFERROR(IF(AND(VLOOKUP(GB129,$FX$4:$FX$15,1,FALSE)=GB129,VLOOKUP(GC129,$FX$4:$FX$15,1,FALSE)=GC129,VLOOKUP(GD129,$FX$4:$FX$15,1,FALSE)=GD129,VLOOKUP(GE129,$FX$4:$FX$15,1,FALSE)=GE129,VLOOKUP(GF129,$FX$4:$FX$15,1,FALSE)=GF129,VLOOKUP(GG129,$FX$4:$FX$15,1,FALSE)=GG129,VLOOKUP(GH129,$FX$4:$FX$15,1,FALSE)=GH129,VLOOKUP(GI129,$FX$4:$FX$15,1,FALSE)=GI129),FZ129,""),"")</f>
        <v/>
      </c>
      <c r="GX129" s="27" t="n"/>
    </row>
    <row r="130" ht="14.25" customHeight="1">
      <c r="B130" s="117" t="inlineStr">
        <is>
          <t>Match</t>
        </is>
      </c>
      <c r="C130" s="107" t="inlineStr">
        <is>
          <t>Datum</t>
        </is>
      </c>
      <c r="D130" s="210" t="inlineStr">
        <is>
          <t>Match</t>
        </is>
      </c>
      <c r="E130" s="211" t="n"/>
      <c r="F130" s="212" t="n"/>
      <c r="G130" s="184" t="inlineStr">
        <is>
          <t>Resultat</t>
        </is>
      </c>
      <c r="H130" s="217" t="n"/>
      <c r="I130" s="217" t="n"/>
      <c r="J130" s="47" t="inlineStr">
        <is>
          <t>1X2</t>
        </is>
      </c>
      <c r="K130" s="48" t="inlineStr">
        <is>
          <t>Poäng</t>
        </is>
      </c>
      <c r="L130" s="49" t="n"/>
      <c r="O130" s="145" t="inlineStr">
        <is>
          <t>Vinnare åttondelsfinal</t>
        </is>
      </c>
      <c r="P130" s="145" t="n"/>
      <c r="Q130" s="16" t="n"/>
      <c r="R130" s="171" t="inlineStr">
        <is>
          <t>Bonus åttondelsfinal</t>
        </is>
      </c>
      <c r="S130" s="211" t="n"/>
      <c r="T130" s="211" t="n"/>
      <c r="U130" s="214" t="n"/>
      <c r="V130" s="156" t="n"/>
      <c r="W130" s="18" t="n"/>
      <c r="X130" s="79" t="n"/>
      <c r="Y130" s="79" t="n"/>
      <c r="Z130" s="79" t="n"/>
      <c r="AA130" s="79" t="n"/>
      <c r="AB130" s="165" t="n"/>
      <c r="BQ130" s="13">
        <f>B114</f>
        <v/>
      </c>
      <c r="BR130" s="155">
        <f>F114</f>
        <v/>
      </c>
      <c r="BS130" s="156">
        <f>IF(OR('[1]Resultat &amp; tabell'!G114="",'[1]Resultat &amp; tabell'!I114=""),"",'[1]Resultat &amp; tabell'!F114)</f>
        <v/>
      </c>
      <c r="BT130" s="157">
        <f>IF(ISERROR(VLOOKUP(BR130,$BS$112:$BS$143,1,FALSE)),0,1)</f>
        <v/>
      </c>
      <c r="BU130" s="158">
        <f>BT130</f>
        <v/>
      </c>
      <c r="BV130" s="79">
        <f>BU130*1</f>
        <v/>
      </c>
      <c r="FZ130" s="79" t="n">
        <v>128</v>
      </c>
      <c r="GA130" s="3">
        <f>GB130&amp;GC130&amp;GD130&amp;GE130&amp;GF130&amp;GG130&amp;GH130&amp;GI130</f>
        <v/>
      </c>
      <c r="GB130" s="3" t="inlineStr">
        <is>
          <t>H</t>
        </is>
      </c>
      <c r="GC130" s="3" t="inlineStr">
        <is>
          <t>G</t>
        </is>
      </c>
      <c r="GD130" s="3" t="inlineStr">
        <is>
          <t>B</t>
        </is>
      </c>
      <c r="GE130" s="3" t="inlineStr">
        <is>
          <t>C</t>
        </is>
      </c>
      <c r="GF130" s="3" t="inlineStr">
        <is>
          <t>J</t>
        </is>
      </c>
      <c r="GG130" s="3" t="inlineStr">
        <is>
          <t>F</t>
        </is>
      </c>
      <c r="GH130" s="3" t="inlineStr">
        <is>
          <t>D</t>
        </is>
      </c>
      <c r="GI130" s="3" t="inlineStr">
        <is>
          <t>K</t>
        </is>
      </c>
      <c r="GJ130" s="9">
        <f>VLOOKUP(GB130,$FM$3:$FN$15,2,FALSE)</f>
        <v/>
      </c>
      <c r="GK130" s="9">
        <f>VLOOKUP(GC130,$FM$3:$FN$15,2,FALSE)</f>
        <v/>
      </c>
      <c r="GL130" s="9">
        <f>VLOOKUP(GD130,$FM$3:$FN$15,2,FALSE)</f>
        <v/>
      </c>
      <c r="GM130" s="9">
        <f>VLOOKUP(GE130,$FM$3:$FN$15,2,FALSE)</f>
        <v/>
      </c>
      <c r="GN130" s="9">
        <f>VLOOKUP(GF130,$FM$3:$FN$15,2,FALSE)</f>
        <v/>
      </c>
      <c r="GO130" s="9">
        <f>VLOOKUP(GG130,$FM$3:$FN$15,2,FALSE)</f>
        <v/>
      </c>
      <c r="GP130" s="9">
        <f>VLOOKUP(GH130,$FM$3:$FN$15,2,FALSE)</f>
        <v/>
      </c>
      <c r="GQ130" s="9">
        <f>VLOOKUP(GI130,$FM$3:$FN$15,2,FALSE)</f>
        <v/>
      </c>
      <c r="GR130" s="9">
        <f>IFERROR(IF(AND(VLOOKUP(GB130,$FX$4:$FX$15,1,FALSE)=GB130,VLOOKUP(GC130,$FX$4:$FX$15,1,FALSE)=GC130,VLOOKUP(GD130,$FX$4:$FX$15,1,FALSE)=GD130,VLOOKUP(GE130,$FX$4:$FX$15,1,FALSE)=GE130,VLOOKUP(GF130,$FX$4:$FX$15,1,FALSE)=GF130,VLOOKUP(GG130,$FX$4:$FX$15,1,FALSE)=GG130,VLOOKUP(GH130,$FX$4:$FX$15,1,FALSE)=GH130,VLOOKUP(GI130,$FX$4:$FX$15,1,FALSE)=GI130),FZ130,""),"")</f>
        <v/>
      </c>
      <c r="GX130" s="15" t="n"/>
    </row>
    <row r="131" ht="14.25" customHeight="1">
      <c r="B131" s="90" t="n">
        <v>89</v>
      </c>
      <c r="C131" s="59" t="n">
        <v>46207</v>
      </c>
      <c r="D131" s="166">
        <f>IF(O113="","Vinnare match 74",O113)</f>
        <v/>
      </c>
      <c r="E131" s="167" t="inlineStr">
        <is>
          <t>-</t>
        </is>
      </c>
      <c r="F131" s="62">
        <f>IF(O116="","Vinnare match 77",O116)</f>
        <v/>
      </c>
      <c r="G131" s="63" t="n">
        <v>1</v>
      </c>
      <c r="H131" s="64" t="inlineStr">
        <is>
          <t>-</t>
        </is>
      </c>
      <c r="I131" s="63" t="n">
        <v>2</v>
      </c>
      <c r="J131" s="65">
        <f>IF(OR(ISBLANK(G131),ISBLANK(I131)),"",IF(G131&gt;I131,1,IF(G131&lt;I131,2,"X")))</f>
        <v/>
      </c>
      <c r="K131" s="66">
        <f>IF(OR(G131="",I131="",'[1]Resultat &amp; tabell'!G131="",'[1]Resultat &amp; tabell'!I131=""),0,IF(G131='[1]Resultat &amp; tabell'!G131,2,0)+IF(I131='[1]Resultat &amp; tabell'!I131,2,0)+IF(J131='[1]Resultat &amp; tabell'!J131,2,0))</f>
        <v/>
      </c>
      <c r="L131" s="67" t="n"/>
      <c r="O131" s="150" t="inlineStr">
        <is>
          <t>Frankrike</t>
        </is>
      </c>
      <c r="P131" s="151">
        <f>IF(OR(ISBLANK(D131),ISBLANK(F131),J131="",O131=""),"",IF(OR(AND(J131=1,O131=D131),AND(J131=2,O131=F131),AND(J131="X",OR(O131=D131,O131=F131))),"","Ej OK"))</f>
        <v/>
      </c>
      <c r="Q131" s="168" t="n"/>
      <c r="R131" s="66">
        <f>BV163</f>
        <v/>
      </c>
      <c r="S131" s="211" t="n"/>
      <c r="T131" s="211" t="n"/>
      <c r="U131" s="214" t="n"/>
      <c r="V131" s="156" t="n"/>
      <c r="W131" s="18" t="n"/>
      <c r="X131" s="79" t="n"/>
      <c r="Y131" s="79" t="n"/>
      <c r="Z131" s="79" t="n"/>
      <c r="AA131" s="79" t="n"/>
      <c r="AB131" s="165" t="n"/>
      <c r="BQ131" s="13">
        <f>B115</f>
        <v/>
      </c>
      <c r="BR131" s="155">
        <f>F115</f>
        <v/>
      </c>
      <c r="BS131" s="156">
        <f>IF(OR('[1]Resultat &amp; tabell'!G115="",'[1]Resultat &amp; tabell'!I115=""),"",'[1]Resultat &amp; tabell'!F115)</f>
        <v/>
      </c>
      <c r="BT131" s="157">
        <f>IF(ISERROR(VLOOKUP(BR131,$BS$112:$BS$143,1,FALSE)),0,1)</f>
        <v/>
      </c>
      <c r="BU131" s="158">
        <f>BT131</f>
        <v/>
      </c>
      <c r="BV131" s="79">
        <f>BU131*1</f>
        <v/>
      </c>
      <c r="FZ131" s="79" t="n">
        <v>129</v>
      </c>
      <c r="GA131" s="3">
        <f>GB131&amp;GC131&amp;GD131&amp;GE131&amp;GF131&amp;GG131&amp;GH131&amp;GI131</f>
        <v/>
      </c>
      <c r="GB131" s="3" t="inlineStr">
        <is>
          <t>C</t>
        </is>
      </c>
      <c r="GC131" s="3" t="inlineStr">
        <is>
          <t>G</t>
        </is>
      </c>
      <c r="GD131" s="3" t="inlineStr">
        <is>
          <t>B</t>
        </is>
      </c>
      <c r="GE131" s="3" t="inlineStr">
        <is>
          <t>D</t>
        </is>
      </c>
      <c r="GF131" s="3" t="inlineStr">
        <is>
          <t>H</t>
        </is>
      </c>
      <c r="GG131" s="3" t="inlineStr">
        <is>
          <t>F</t>
        </is>
      </c>
      <c r="GH131" s="3" t="inlineStr">
        <is>
          <t>L</t>
        </is>
      </c>
      <c r="GI131" s="3" t="inlineStr">
        <is>
          <t>I</t>
        </is>
      </c>
      <c r="GJ131" s="9">
        <f>VLOOKUP(GB131,$FM$3:$FN$15,2,FALSE)</f>
        <v/>
      </c>
      <c r="GK131" s="9">
        <f>VLOOKUP(GC131,$FM$3:$FN$15,2,FALSE)</f>
        <v/>
      </c>
      <c r="GL131" s="9">
        <f>VLOOKUP(GD131,$FM$3:$FN$15,2,FALSE)</f>
        <v/>
      </c>
      <c r="GM131" s="9">
        <f>VLOOKUP(GE131,$FM$3:$FN$15,2,FALSE)</f>
        <v/>
      </c>
      <c r="GN131" s="9">
        <f>VLOOKUP(GF131,$FM$3:$FN$15,2,FALSE)</f>
        <v/>
      </c>
      <c r="GO131" s="9">
        <f>VLOOKUP(GG131,$FM$3:$FN$15,2,FALSE)</f>
        <v/>
      </c>
      <c r="GP131" s="9">
        <f>VLOOKUP(GH131,$FM$3:$FN$15,2,FALSE)</f>
        <v/>
      </c>
      <c r="GQ131" s="9">
        <f>VLOOKUP(GI131,$FM$3:$FN$15,2,FALSE)</f>
        <v/>
      </c>
      <c r="GR131" s="9">
        <f>IFERROR(IF(AND(VLOOKUP(GB131,$FX$4:$FX$15,1,FALSE)=GB131,VLOOKUP(GC131,$FX$4:$FX$15,1,FALSE)=GC131,VLOOKUP(GD131,$FX$4:$FX$15,1,FALSE)=GD131,VLOOKUP(GE131,$FX$4:$FX$15,1,FALSE)=GE131,VLOOKUP(GF131,$FX$4:$FX$15,1,FALSE)=GF131,VLOOKUP(GG131,$FX$4:$FX$15,1,FALSE)=GG131,VLOOKUP(GH131,$FX$4:$FX$15,1,FALSE)=GH131,VLOOKUP(GI131,$FX$4:$FX$15,1,FALSE)=GI131),FZ131,""),"")</f>
        <v/>
      </c>
      <c r="GX131" s="142" t="n"/>
    </row>
    <row r="132" ht="14.25" customHeight="1">
      <c r="B132" s="58" t="n">
        <v>90</v>
      </c>
      <c r="C132" s="59" t="n">
        <v>46207</v>
      </c>
      <c r="D132" s="166">
        <f>IF(O112="","Vinnare match 73",O112)</f>
        <v/>
      </c>
      <c r="E132" s="167" t="inlineStr">
        <is>
          <t>-</t>
        </is>
      </c>
      <c r="F132" s="62">
        <f>IF(O114="","Vinnare match 75",O114)</f>
        <v/>
      </c>
      <c r="G132" s="63" t="n">
        <v>0</v>
      </c>
      <c r="H132" s="64" t="inlineStr">
        <is>
          <t>-</t>
        </is>
      </c>
      <c r="I132" s="63" t="n">
        <v>2</v>
      </c>
      <c r="J132" s="65">
        <f>IF(OR(ISBLANK(G132),ISBLANK(I132)),"",IF(G132&gt;I132,1,IF(G132&lt;I132,2,"X")))</f>
        <v/>
      </c>
      <c r="K132" s="66">
        <f>IF(OR(G132="",I132="",'[1]Resultat &amp; tabell'!G132="",'[1]Resultat &amp; tabell'!I132=""),0,IF(G132='[1]Resultat &amp; tabell'!G132,2,0)+IF(I132='[1]Resultat &amp; tabell'!I132,2,0)+IF(J132='[1]Resultat &amp; tabell'!J132,2,0))</f>
        <v/>
      </c>
      <c r="L132" s="67" t="n"/>
      <c r="O132" s="150" t="inlineStr">
        <is>
          <t>Nederländerna</t>
        </is>
      </c>
      <c r="P132" s="151">
        <f>IF(OR(ISBLANK(D132),ISBLANK(F132),J132="",O132=""),"",IF(OR(AND(J132=1,O132=D132),AND(J132=2,O132=F132),AND(J132="X",OR(O132=D132,O132=F132))),"","Ej OK"))</f>
        <v/>
      </c>
      <c r="Q132" s="168" t="n"/>
      <c r="R132" s="168" t="n"/>
      <c r="S132" s="168" t="n"/>
      <c r="T132" s="168" t="n"/>
      <c r="U132" s="168" t="n"/>
      <c r="V132" s="156" t="n"/>
      <c r="W132" s="18" t="n"/>
      <c r="X132" s="79" t="n"/>
      <c r="Y132" s="79" t="n"/>
      <c r="Z132" s="79" t="n"/>
      <c r="AA132" s="79" t="n"/>
      <c r="AB132" s="165" t="n"/>
      <c r="BQ132" s="13">
        <f>B116</f>
        <v/>
      </c>
      <c r="BR132" s="155">
        <f>F116</f>
        <v/>
      </c>
      <c r="BS132" s="156">
        <f>IF(OR('[1]Resultat &amp; tabell'!G116="",'[1]Resultat &amp; tabell'!I116=""),"",'[1]Resultat &amp; tabell'!F116)</f>
        <v/>
      </c>
      <c r="BT132" s="157">
        <f>IF(ISERROR(VLOOKUP(BR132,$BS$112:$BS$143,1,FALSE)),0,1)</f>
        <v/>
      </c>
      <c r="BU132" s="158">
        <f>BT132</f>
        <v/>
      </c>
      <c r="BV132" s="79">
        <f>BU132*1</f>
        <v/>
      </c>
      <c r="FZ132" s="79" t="n">
        <v>130</v>
      </c>
      <c r="GA132" s="3">
        <f>GB132&amp;GC132&amp;GD132&amp;GE132&amp;GF132&amp;GG132&amp;GH132&amp;GI132</f>
        <v/>
      </c>
      <c r="GB132" s="3" t="inlineStr">
        <is>
          <t>C</t>
        </is>
      </c>
      <c r="GC132" s="3" t="inlineStr">
        <is>
          <t>G</t>
        </is>
      </c>
      <c r="GD132" s="3" t="inlineStr">
        <is>
          <t>B</t>
        </is>
      </c>
      <c r="GE132" s="3" t="inlineStr">
        <is>
          <t>D</t>
        </is>
      </c>
      <c r="GF132" s="3" t="inlineStr">
        <is>
          <t>H</t>
        </is>
      </c>
      <c r="GG132" s="3" t="inlineStr">
        <is>
          <t>F</t>
        </is>
      </c>
      <c r="GH132" s="3" t="inlineStr">
        <is>
          <t>I</t>
        </is>
      </c>
      <c r="GI132" s="3" t="inlineStr">
        <is>
          <t>K</t>
        </is>
      </c>
      <c r="GJ132" s="9">
        <f>VLOOKUP(GB132,$FM$3:$FN$15,2,FALSE)</f>
        <v/>
      </c>
      <c r="GK132" s="9">
        <f>VLOOKUP(GC132,$FM$3:$FN$15,2,FALSE)</f>
        <v/>
      </c>
      <c r="GL132" s="9">
        <f>VLOOKUP(GD132,$FM$3:$FN$15,2,FALSE)</f>
        <v/>
      </c>
      <c r="GM132" s="9">
        <f>VLOOKUP(GE132,$FM$3:$FN$15,2,FALSE)</f>
        <v/>
      </c>
      <c r="GN132" s="9">
        <f>VLOOKUP(GF132,$FM$3:$FN$15,2,FALSE)</f>
        <v/>
      </c>
      <c r="GO132" s="9">
        <f>VLOOKUP(GG132,$FM$3:$FN$15,2,FALSE)</f>
        <v/>
      </c>
      <c r="GP132" s="9">
        <f>VLOOKUP(GH132,$FM$3:$FN$15,2,FALSE)</f>
        <v/>
      </c>
      <c r="GQ132" s="9">
        <f>VLOOKUP(GI132,$FM$3:$FN$15,2,FALSE)</f>
        <v/>
      </c>
      <c r="GR132" s="9">
        <f>IFERROR(IF(AND(VLOOKUP(GB132,$FX$4:$FX$15,1,FALSE)=GB132,VLOOKUP(GC132,$FX$4:$FX$15,1,FALSE)=GC132,VLOOKUP(GD132,$FX$4:$FX$15,1,FALSE)=GD132,VLOOKUP(GE132,$FX$4:$FX$15,1,FALSE)=GE132,VLOOKUP(GF132,$FX$4:$FX$15,1,FALSE)=GF132,VLOOKUP(GG132,$FX$4:$FX$15,1,FALSE)=GG132,VLOOKUP(GH132,$FX$4:$FX$15,1,FALSE)=GH132,VLOOKUP(GI132,$FX$4:$FX$15,1,FALSE)=GI132),FZ132,""),"")</f>
        <v/>
      </c>
      <c r="GX132" s="142" t="n"/>
    </row>
    <row r="133" ht="14.25" customHeight="1">
      <c r="B133" s="58" t="n">
        <v>91</v>
      </c>
      <c r="C133" s="59" t="n">
        <v>46208</v>
      </c>
      <c r="D133" s="166">
        <f>IF(O115="","Vinnare match 76",O115)</f>
        <v/>
      </c>
      <c r="E133" s="167" t="inlineStr">
        <is>
          <t>-</t>
        </is>
      </c>
      <c r="F133" s="62">
        <f>IF(O117="","Vinnare match 78",O117)</f>
        <v/>
      </c>
      <c r="G133" s="63" t="n">
        <v>2</v>
      </c>
      <c r="H133" s="64" t="inlineStr">
        <is>
          <t>-</t>
        </is>
      </c>
      <c r="I133" s="63" t="n">
        <v>0</v>
      </c>
      <c r="J133" s="65">
        <f>IF(OR(ISBLANK(G133),ISBLANK(I133)),"",IF(G133&gt;I133,1,IF(G133&lt;I133,2,"X")))</f>
        <v/>
      </c>
      <c r="K133" s="66">
        <f>IF(OR(G133="",I133="",'[1]Resultat &amp; tabell'!G133="",'[1]Resultat &amp; tabell'!I133=""),0,IF(G133='[1]Resultat &amp; tabell'!G133,2,0)+IF(I133='[1]Resultat &amp; tabell'!I133,2,0)+IF(J133='[1]Resultat &amp; tabell'!J133,2,0))</f>
        <v/>
      </c>
      <c r="L133" s="67" t="n"/>
      <c r="O133" s="150" t="inlineStr">
        <is>
          <t>Brasilien</t>
        </is>
      </c>
      <c r="P133" s="151">
        <f>IF(OR(ISBLANK(D133),ISBLANK(F133),J133="",O133=""),"",IF(OR(AND(J133=1,O133=D133),AND(J133=2,O133=F133),AND(J133="X",OR(O133=D133,O133=F133))),"","Ej OK"))</f>
        <v/>
      </c>
      <c r="Q133" s="168" t="n"/>
      <c r="R133" s="168" t="n"/>
      <c r="S133" s="168" t="n"/>
      <c r="T133" s="168" t="n"/>
      <c r="U133" s="168" t="n"/>
      <c r="V133" s="156" t="n"/>
      <c r="W133" s="18" t="n"/>
      <c r="X133" s="79" t="n"/>
      <c r="Y133" s="79" t="n"/>
      <c r="Z133" s="79" t="n"/>
      <c r="AA133" s="79" t="n"/>
      <c r="AB133" s="165" t="n"/>
      <c r="BQ133" s="13">
        <f>B117</f>
        <v/>
      </c>
      <c r="BR133" s="155">
        <f>F117</f>
        <v/>
      </c>
      <c r="BS133" s="156">
        <f>IF(OR('[1]Resultat &amp; tabell'!G117="",'[1]Resultat &amp; tabell'!I117=""),"",'[1]Resultat &amp; tabell'!F117)</f>
        <v/>
      </c>
      <c r="BT133" s="157">
        <f>IF(ISERROR(VLOOKUP(BR133,$BS$112:$BS$143,1,FALSE)),0,1)</f>
        <v/>
      </c>
      <c r="BU133" s="158">
        <f>BT133</f>
        <v/>
      </c>
      <c r="BV133" s="79">
        <f>BU133*1</f>
        <v/>
      </c>
      <c r="FZ133" s="79" t="n">
        <v>131</v>
      </c>
      <c r="GA133" s="3">
        <f>GB133&amp;GC133&amp;GD133&amp;GE133&amp;GF133&amp;GG133&amp;GH133&amp;GI133</f>
        <v/>
      </c>
      <c r="GB133" s="3" t="inlineStr">
        <is>
          <t>H</t>
        </is>
      </c>
      <c r="GC133" s="3" t="inlineStr">
        <is>
          <t>G</t>
        </is>
      </c>
      <c r="GD133" s="3" t="inlineStr">
        <is>
          <t>B</t>
        </is>
      </c>
      <c r="GE133" s="3" t="inlineStr">
        <is>
          <t>C</t>
        </is>
      </c>
      <c r="GF133" s="3" t="inlineStr">
        <is>
          <t>J</t>
        </is>
      </c>
      <c r="GG133" s="3" t="inlineStr">
        <is>
          <t>F</t>
        </is>
      </c>
      <c r="GH133" s="3" t="inlineStr">
        <is>
          <t>D</t>
        </is>
      </c>
      <c r="GI133" s="3" t="inlineStr">
        <is>
          <t>I</t>
        </is>
      </c>
      <c r="GJ133" s="9">
        <f>VLOOKUP(GB133,$FM$3:$FN$15,2,FALSE)</f>
        <v/>
      </c>
      <c r="GK133" s="9">
        <f>VLOOKUP(GC133,$FM$3:$FN$15,2,FALSE)</f>
        <v/>
      </c>
      <c r="GL133" s="9">
        <f>VLOOKUP(GD133,$FM$3:$FN$15,2,FALSE)</f>
        <v/>
      </c>
      <c r="GM133" s="9">
        <f>VLOOKUP(GE133,$FM$3:$FN$15,2,FALSE)</f>
        <v/>
      </c>
      <c r="GN133" s="9">
        <f>VLOOKUP(GF133,$FM$3:$FN$15,2,FALSE)</f>
        <v/>
      </c>
      <c r="GO133" s="9">
        <f>VLOOKUP(GG133,$FM$3:$FN$15,2,FALSE)</f>
        <v/>
      </c>
      <c r="GP133" s="9">
        <f>VLOOKUP(GH133,$FM$3:$FN$15,2,FALSE)</f>
        <v/>
      </c>
      <c r="GQ133" s="9">
        <f>VLOOKUP(GI133,$FM$3:$FN$15,2,FALSE)</f>
        <v/>
      </c>
      <c r="GR133" s="9">
        <f>IFERROR(IF(AND(VLOOKUP(GB133,$FX$4:$FX$15,1,FALSE)=GB133,VLOOKUP(GC133,$FX$4:$FX$15,1,FALSE)=GC133,VLOOKUP(GD133,$FX$4:$FX$15,1,FALSE)=GD133,VLOOKUP(GE133,$FX$4:$FX$15,1,FALSE)=GE133,VLOOKUP(GF133,$FX$4:$FX$15,1,FALSE)=GF133,VLOOKUP(GG133,$FX$4:$FX$15,1,FALSE)=GG133,VLOOKUP(GH133,$FX$4:$FX$15,1,FALSE)=GH133,VLOOKUP(GI133,$FX$4:$FX$15,1,FALSE)=GI133),FZ133,""),"")</f>
        <v/>
      </c>
      <c r="GX133" s="142" t="n"/>
    </row>
    <row r="134" ht="14.25" customHeight="1">
      <c r="B134" s="58" t="n">
        <v>92</v>
      </c>
      <c r="C134" s="59" t="n">
        <v>46209</v>
      </c>
      <c r="D134" s="166">
        <f>IF(O118="","Vinnare match 79",O118)</f>
        <v/>
      </c>
      <c r="E134" s="167" t="inlineStr">
        <is>
          <t>-</t>
        </is>
      </c>
      <c r="F134" s="62">
        <f>IF(O119="","Vinnare match 80",O119)</f>
        <v/>
      </c>
      <c r="G134" s="63" t="n">
        <v>1</v>
      </c>
      <c r="H134" s="64" t="inlineStr">
        <is>
          <t>-</t>
        </is>
      </c>
      <c r="I134" s="63" t="n">
        <v>2</v>
      </c>
      <c r="J134" s="65">
        <f>IF(OR(ISBLANK(G134),ISBLANK(I134)),"",IF(G134&gt;I134,1,IF(G134&lt;I134,2,"X")))</f>
        <v/>
      </c>
      <c r="K134" s="66">
        <f>IF(OR(G134="",I134="",'[1]Resultat &amp; tabell'!G134="",'[1]Resultat &amp; tabell'!I134=""),0,IF(G134='[1]Resultat &amp; tabell'!G134,2,0)+IF(I134='[1]Resultat &amp; tabell'!I134,2,0)+IF(J134='[1]Resultat &amp; tabell'!J134,2,0))</f>
        <v/>
      </c>
      <c r="L134" s="67" t="n"/>
      <c r="O134" s="150" t="inlineStr">
        <is>
          <t>England</t>
        </is>
      </c>
      <c r="P134" s="151">
        <f>IF(OR(ISBLANK(D134),ISBLANK(F134),J134="",O134=""),"",IF(OR(AND(J134=1,O134=D134),AND(J134=2,O134=F134),AND(J134="X",OR(O134=D134,O134=F134))),"","Ej OK"))</f>
        <v/>
      </c>
      <c r="Q134" s="168" t="n"/>
      <c r="R134" s="168" t="n"/>
      <c r="S134" s="168" t="n"/>
      <c r="T134" s="168" t="n"/>
      <c r="U134" s="168" t="n"/>
      <c r="V134" s="156" t="n"/>
      <c r="W134" s="18" t="n"/>
      <c r="X134" s="79" t="n"/>
      <c r="Y134" s="79" t="n"/>
      <c r="Z134" s="79" t="n"/>
      <c r="AA134" s="79" t="n"/>
      <c r="AB134" s="165" t="n"/>
      <c r="BQ134" s="13">
        <f>B118</f>
        <v/>
      </c>
      <c r="BR134" s="155">
        <f>F118</f>
        <v/>
      </c>
      <c r="BS134" s="156">
        <f>IF(OR('[1]Resultat &amp; tabell'!G118="",'[1]Resultat &amp; tabell'!I118=""),"",'[1]Resultat &amp; tabell'!F118)</f>
        <v/>
      </c>
      <c r="BT134" s="157">
        <f>IF(ISERROR(VLOOKUP(BR134,$BS$112:$BS$143,1,FALSE)),0,1)</f>
        <v/>
      </c>
      <c r="BU134" s="158">
        <f>BT134</f>
        <v/>
      </c>
      <c r="BV134" s="79">
        <f>BU134*1</f>
        <v/>
      </c>
      <c r="FZ134" s="79" t="n">
        <v>132</v>
      </c>
      <c r="GA134" s="3">
        <f>GB134&amp;GC134&amp;GD134&amp;GE134&amp;GF134&amp;GG134&amp;GH134&amp;GI134</f>
        <v/>
      </c>
      <c r="GB134" s="3" t="inlineStr">
        <is>
          <t>E</t>
        </is>
      </c>
      <c r="GC134" s="3" t="inlineStr">
        <is>
          <t>J</t>
        </is>
      </c>
      <c r="GD134" s="3" t="inlineStr">
        <is>
          <t>B</t>
        </is>
      </c>
      <c r="GE134" s="3" t="inlineStr">
        <is>
          <t>C</t>
        </is>
      </c>
      <c r="GF134" s="3" t="inlineStr">
        <is>
          <t>I</t>
        </is>
      </c>
      <c r="GG134" s="3" t="inlineStr">
        <is>
          <t>D</t>
        </is>
      </c>
      <c r="GH134" s="3" t="inlineStr">
        <is>
          <t>L</t>
        </is>
      </c>
      <c r="GI134" s="3" t="inlineStr">
        <is>
          <t>K</t>
        </is>
      </c>
      <c r="GJ134" s="9">
        <f>VLOOKUP(GB134,$FM$3:$FN$15,2,FALSE)</f>
        <v/>
      </c>
      <c r="GK134" s="9">
        <f>VLOOKUP(GC134,$FM$3:$FN$15,2,FALSE)</f>
        <v/>
      </c>
      <c r="GL134" s="9">
        <f>VLOOKUP(GD134,$FM$3:$FN$15,2,FALSE)</f>
        <v/>
      </c>
      <c r="GM134" s="9">
        <f>VLOOKUP(GE134,$FM$3:$FN$15,2,FALSE)</f>
        <v/>
      </c>
      <c r="GN134" s="9">
        <f>VLOOKUP(GF134,$FM$3:$FN$15,2,FALSE)</f>
        <v/>
      </c>
      <c r="GO134" s="9">
        <f>VLOOKUP(GG134,$FM$3:$FN$15,2,FALSE)</f>
        <v/>
      </c>
      <c r="GP134" s="9">
        <f>VLOOKUP(GH134,$FM$3:$FN$15,2,FALSE)</f>
        <v/>
      </c>
      <c r="GQ134" s="9">
        <f>VLOOKUP(GI134,$FM$3:$FN$15,2,FALSE)</f>
        <v/>
      </c>
      <c r="GR134" s="9">
        <f>IFERROR(IF(AND(VLOOKUP(GB134,$FX$4:$FX$15,1,FALSE)=GB134,VLOOKUP(GC134,$FX$4:$FX$15,1,FALSE)=GC134,VLOOKUP(GD134,$FX$4:$FX$15,1,FALSE)=GD134,VLOOKUP(GE134,$FX$4:$FX$15,1,FALSE)=GE134,VLOOKUP(GF134,$FX$4:$FX$15,1,FALSE)=GF134,VLOOKUP(GG134,$FX$4:$FX$15,1,FALSE)=GG134,VLOOKUP(GH134,$FX$4:$FX$15,1,FALSE)=GH134,VLOOKUP(GI134,$FX$4:$FX$15,1,FALSE)=GI134),FZ134,""),"")</f>
        <v/>
      </c>
      <c r="GX134" s="142" t="n"/>
    </row>
    <row r="135" ht="14.25" customHeight="1">
      <c r="B135" s="169" t="n">
        <v>93</v>
      </c>
      <c r="C135" s="59" t="n">
        <v>46209</v>
      </c>
      <c r="D135" s="166">
        <f>IF(O122="","Vinnare match 83",O122)</f>
        <v/>
      </c>
      <c r="E135" s="167" t="inlineStr">
        <is>
          <t>-</t>
        </is>
      </c>
      <c r="F135" s="62">
        <f>IF(O123="","Vinnare match 84",O123)</f>
        <v/>
      </c>
      <c r="G135" s="63" t="n">
        <v>0</v>
      </c>
      <c r="H135" s="64" t="inlineStr">
        <is>
          <t>-</t>
        </is>
      </c>
      <c r="I135" s="63" t="n">
        <v>2</v>
      </c>
      <c r="J135" s="65">
        <f>IF(OR(ISBLANK(G135),ISBLANK(I135)),"",IF(G135&gt;I135,1,IF(G135&lt;I135,2,"X")))</f>
        <v/>
      </c>
      <c r="K135" s="66">
        <f>IF(OR(G135="",I135="",'[1]Resultat &amp; tabell'!G135="",'[1]Resultat &amp; tabell'!I135=""),0,IF(G135='[1]Resultat &amp; tabell'!G135,2,0)+IF(I135='[1]Resultat &amp; tabell'!I135,2,0)+IF(J135='[1]Resultat &amp; tabell'!J135,2,0))</f>
        <v/>
      </c>
      <c r="L135" s="67" t="n"/>
      <c r="O135" s="150" t="inlineStr">
        <is>
          <t>Spanien</t>
        </is>
      </c>
      <c r="P135" s="151">
        <f>IF(OR(ISBLANK(D135),ISBLANK(F135),J135="",O135=""),"",IF(OR(AND(J135=1,O135=D135),AND(J135=2,O135=F135),AND(J135="X",OR(O135=D135,O135=F135))),"","Ej OK"))</f>
        <v/>
      </c>
      <c r="Q135" s="168" t="n"/>
      <c r="R135" s="168" t="n"/>
      <c r="S135" s="168" t="n"/>
      <c r="T135" s="168" t="n"/>
      <c r="U135" s="168" t="n"/>
      <c r="V135" s="156" t="n"/>
      <c r="W135" s="18" t="n"/>
      <c r="X135" s="79" t="n"/>
      <c r="Y135" s="79" t="n"/>
      <c r="Z135" s="79" t="n"/>
      <c r="AA135" s="79" t="n"/>
      <c r="AB135" s="165" t="n"/>
      <c r="BQ135" s="13">
        <f>B119</f>
        <v/>
      </c>
      <c r="BR135" s="155">
        <f>F119</f>
        <v/>
      </c>
      <c r="BS135" s="156">
        <f>IF(OR('[1]Resultat &amp; tabell'!G119="",'[1]Resultat &amp; tabell'!I119=""),"",'[1]Resultat &amp; tabell'!F119)</f>
        <v/>
      </c>
      <c r="BT135" s="157">
        <f>IF(ISERROR(VLOOKUP(BR135,$BS$112:$BS$143,1,FALSE)),0,1)</f>
        <v/>
      </c>
      <c r="BU135" s="158">
        <f>BT135</f>
        <v/>
      </c>
      <c r="BV135" s="79">
        <f>BU135*1</f>
        <v/>
      </c>
      <c r="FZ135" s="79" t="n">
        <v>133</v>
      </c>
      <c r="GA135" s="3">
        <f>GB135&amp;GC135&amp;GD135&amp;GE135&amp;GF135&amp;GG135&amp;GH135&amp;GI135</f>
        <v/>
      </c>
      <c r="GB135" s="3" t="inlineStr">
        <is>
          <t>E</t>
        </is>
      </c>
      <c r="GC135" s="3" t="inlineStr">
        <is>
          <t>J</t>
        </is>
      </c>
      <c r="GD135" s="3" t="inlineStr">
        <is>
          <t>B</t>
        </is>
      </c>
      <c r="GE135" s="3" t="inlineStr">
        <is>
          <t>C</t>
        </is>
      </c>
      <c r="GF135" s="3" t="inlineStr">
        <is>
          <t>H</t>
        </is>
      </c>
      <c r="GG135" s="3" t="inlineStr">
        <is>
          <t>D</t>
        </is>
      </c>
      <c r="GH135" s="3" t="inlineStr">
        <is>
          <t>L</t>
        </is>
      </c>
      <c r="GI135" s="3" t="inlineStr">
        <is>
          <t>K</t>
        </is>
      </c>
      <c r="GJ135" s="9">
        <f>VLOOKUP(GB135,$FM$3:$FN$15,2,FALSE)</f>
        <v/>
      </c>
      <c r="GK135" s="9">
        <f>VLOOKUP(GC135,$FM$3:$FN$15,2,FALSE)</f>
        <v/>
      </c>
      <c r="GL135" s="9">
        <f>VLOOKUP(GD135,$FM$3:$FN$15,2,FALSE)</f>
        <v/>
      </c>
      <c r="GM135" s="9">
        <f>VLOOKUP(GE135,$FM$3:$FN$15,2,FALSE)</f>
        <v/>
      </c>
      <c r="GN135" s="9">
        <f>VLOOKUP(GF135,$FM$3:$FN$15,2,FALSE)</f>
        <v/>
      </c>
      <c r="GO135" s="9">
        <f>VLOOKUP(GG135,$FM$3:$FN$15,2,FALSE)</f>
        <v/>
      </c>
      <c r="GP135" s="9">
        <f>VLOOKUP(GH135,$FM$3:$FN$15,2,FALSE)</f>
        <v/>
      </c>
      <c r="GQ135" s="9">
        <f>VLOOKUP(GI135,$FM$3:$FN$15,2,FALSE)</f>
        <v/>
      </c>
      <c r="GR135" s="9">
        <f>IFERROR(IF(AND(VLOOKUP(GB135,$FX$4:$FX$15,1,FALSE)=GB135,VLOOKUP(GC135,$FX$4:$FX$15,1,FALSE)=GC135,VLOOKUP(GD135,$FX$4:$FX$15,1,FALSE)=GD135,VLOOKUP(GE135,$FX$4:$FX$15,1,FALSE)=GE135,VLOOKUP(GF135,$FX$4:$FX$15,1,FALSE)=GF135,VLOOKUP(GG135,$FX$4:$FX$15,1,FALSE)=GG135,VLOOKUP(GH135,$FX$4:$FX$15,1,FALSE)=GH135,VLOOKUP(GI135,$FX$4:$FX$15,1,FALSE)=GI135),FZ135,""),"")</f>
        <v/>
      </c>
      <c r="GX135" s="142" t="n"/>
    </row>
    <row r="136" ht="14.25" customHeight="1">
      <c r="B136" s="58" t="n">
        <v>94</v>
      </c>
      <c r="C136" s="59" t="n">
        <v>46210</v>
      </c>
      <c r="D136" s="166">
        <f>IF(O120="","Vinnare match 81",O120)</f>
        <v/>
      </c>
      <c r="E136" s="167" t="inlineStr">
        <is>
          <t>-</t>
        </is>
      </c>
      <c r="F136" s="62">
        <f>IF(O121="","Vinnare match 82",O121)</f>
        <v/>
      </c>
      <c r="G136" s="63" t="n">
        <v>1</v>
      </c>
      <c r="H136" s="64" t="inlineStr">
        <is>
          <t>-</t>
        </is>
      </c>
      <c r="I136" s="63" t="n">
        <v>2</v>
      </c>
      <c r="J136" s="65">
        <f>IF(OR(ISBLANK(G136),ISBLANK(I136)),"",IF(G136&gt;I136,1,IF(G136&lt;I136,2,"X")))</f>
        <v/>
      </c>
      <c r="K136" s="66">
        <f>IF(OR(G136="",I136="",'[1]Resultat &amp; tabell'!G136="",'[1]Resultat &amp; tabell'!I136=""),0,IF(G136='[1]Resultat &amp; tabell'!G136,2,0)+IF(I136='[1]Resultat &amp; tabell'!I136,2,0)+IF(J136='[1]Resultat &amp; tabell'!J136,2,0))</f>
        <v/>
      </c>
      <c r="L136" s="67" t="n"/>
      <c r="O136" s="150" t="inlineStr">
        <is>
          <t>Belgien</t>
        </is>
      </c>
      <c r="P136" s="151">
        <f>IF(OR(ISBLANK(D136),ISBLANK(F136),J136="",O136=""),"",IF(OR(AND(J136=1,O136=D136),AND(J136=2,O136=F136),AND(J136="X",OR(O136=D136,O136=F136))),"","Ej OK"))</f>
        <v/>
      </c>
      <c r="Q136" s="168" t="n"/>
      <c r="R136" s="168" t="n"/>
      <c r="S136" s="168" t="n"/>
      <c r="T136" s="168" t="n"/>
      <c r="U136" s="168" t="n"/>
      <c r="V136" s="156" t="n"/>
      <c r="W136" s="18" t="n"/>
      <c r="X136" s="79" t="n"/>
      <c r="Y136" s="79" t="n"/>
      <c r="Z136" s="79" t="n"/>
      <c r="AA136" s="79" t="n"/>
      <c r="AB136" s="165" t="n"/>
      <c r="BQ136" s="13">
        <f>B120</f>
        <v/>
      </c>
      <c r="BR136" s="155">
        <f>F120</f>
        <v/>
      </c>
      <c r="BS136" s="156">
        <f>IF(OR('[1]Resultat &amp; tabell'!G120="",'[1]Resultat &amp; tabell'!I120=""),"",'[1]Resultat &amp; tabell'!F120)</f>
        <v/>
      </c>
      <c r="BT136" s="157">
        <f>IF(ISERROR(VLOOKUP(BR136,$BS$112:$BS$143,1,FALSE)),0,1)</f>
        <v/>
      </c>
      <c r="BU136" s="158">
        <f>BT136</f>
        <v/>
      </c>
      <c r="BV136" s="79">
        <f>BU136*1</f>
        <v/>
      </c>
      <c r="FZ136" s="79" t="n">
        <v>134</v>
      </c>
      <c r="GA136" s="3">
        <f>GB136&amp;GC136&amp;GD136&amp;GE136&amp;GF136&amp;GG136&amp;GH136&amp;GI136</f>
        <v/>
      </c>
      <c r="GB136" s="3" t="inlineStr">
        <is>
          <t>E</t>
        </is>
      </c>
      <c r="GC136" s="3" t="inlineStr">
        <is>
          <t>I</t>
        </is>
      </c>
      <c r="GD136" s="3" t="inlineStr">
        <is>
          <t>B</t>
        </is>
      </c>
      <c r="GE136" s="3" t="inlineStr">
        <is>
          <t>C</t>
        </is>
      </c>
      <c r="GF136" s="3" t="inlineStr">
        <is>
          <t>H</t>
        </is>
      </c>
      <c r="GG136" s="3" t="inlineStr">
        <is>
          <t>D</t>
        </is>
      </c>
      <c r="GH136" s="3" t="inlineStr">
        <is>
          <t>L</t>
        </is>
      </c>
      <c r="GI136" s="3" t="inlineStr">
        <is>
          <t>K</t>
        </is>
      </c>
      <c r="GJ136" s="9">
        <f>VLOOKUP(GB136,$FM$3:$FN$15,2,FALSE)</f>
        <v/>
      </c>
      <c r="GK136" s="9">
        <f>VLOOKUP(GC136,$FM$3:$FN$15,2,FALSE)</f>
        <v/>
      </c>
      <c r="GL136" s="9">
        <f>VLOOKUP(GD136,$FM$3:$FN$15,2,FALSE)</f>
        <v/>
      </c>
      <c r="GM136" s="9">
        <f>VLOOKUP(GE136,$FM$3:$FN$15,2,FALSE)</f>
        <v/>
      </c>
      <c r="GN136" s="9">
        <f>VLOOKUP(GF136,$FM$3:$FN$15,2,FALSE)</f>
        <v/>
      </c>
      <c r="GO136" s="9">
        <f>VLOOKUP(GG136,$FM$3:$FN$15,2,FALSE)</f>
        <v/>
      </c>
      <c r="GP136" s="9">
        <f>VLOOKUP(GH136,$FM$3:$FN$15,2,FALSE)</f>
        <v/>
      </c>
      <c r="GQ136" s="9">
        <f>VLOOKUP(GI136,$FM$3:$FN$15,2,FALSE)</f>
        <v/>
      </c>
      <c r="GR136" s="9">
        <f>IFERROR(IF(AND(VLOOKUP(GB136,$FX$4:$FX$15,1,FALSE)=GB136,VLOOKUP(GC136,$FX$4:$FX$15,1,FALSE)=GC136,VLOOKUP(GD136,$FX$4:$FX$15,1,FALSE)=GD136,VLOOKUP(GE136,$FX$4:$FX$15,1,FALSE)=GE136,VLOOKUP(GF136,$FX$4:$FX$15,1,FALSE)=GF136,VLOOKUP(GG136,$FX$4:$FX$15,1,FALSE)=GG136,VLOOKUP(GH136,$FX$4:$FX$15,1,FALSE)=GH136,VLOOKUP(GI136,$FX$4:$FX$15,1,FALSE)=GI136),FZ136,""),"")</f>
        <v/>
      </c>
      <c r="GX136" s="142" t="n"/>
    </row>
    <row r="137" ht="14.25" customHeight="1">
      <c r="B137" s="58" t="n">
        <v>95</v>
      </c>
      <c r="C137" s="59" t="n">
        <v>46210</v>
      </c>
      <c r="D137" s="166">
        <f>IF(O125="","Vinnare match 86",O125)</f>
        <v/>
      </c>
      <c r="E137" s="167" t="inlineStr">
        <is>
          <t>-</t>
        </is>
      </c>
      <c r="F137" s="62">
        <f>IF(O127="","Vinnare match 88",O127)</f>
        <v/>
      </c>
      <c r="G137" s="63" t="n">
        <v>2</v>
      </c>
      <c r="H137" s="64" t="inlineStr">
        <is>
          <t>-</t>
        </is>
      </c>
      <c r="I137" s="63" t="n">
        <v>1</v>
      </c>
      <c r="J137" s="65">
        <f>IF(OR(ISBLANK(G137),ISBLANK(I137)),"",IF(G137&gt;I137,1,IF(G137&lt;I137,2,"X")))</f>
        <v/>
      </c>
      <c r="K137" s="66">
        <f>IF(OR(G137="",I137="",'[1]Resultat &amp; tabell'!G137="",'[1]Resultat &amp; tabell'!I137=""),0,IF(G137='[1]Resultat &amp; tabell'!G137,2,0)+IF(I137='[1]Resultat &amp; tabell'!I137,2,0)+IF(J137='[1]Resultat &amp; tabell'!J137,2,0))</f>
        <v/>
      </c>
      <c r="L137" s="67" t="n"/>
      <c r="O137" s="150" t="inlineStr">
        <is>
          <t>Argentina</t>
        </is>
      </c>
      <c r="P137" s="151">
        <f>IF(OR(ISBLANK(D137),ISBLANK(F137),J137="",O137=""),"",IF(OR(AND(J137=1,O137=D137),AND(J137=2,O137=F137),AND(J137="X",OR(O137=D137,O137=F137))),"","Ej OK"))</f>
        <v/>
      </c>
      <c r="Q137" s="168" t="n"/>
      <c r="R137" s="168" t="n"/>
      <c r="S137" s="168" t="n"/>
      <c r="T137" s="168" t="n"/>
      <c r="U137" s="168" t="n"/>
      <c r="V137" s="156" t="n"/>
      <c r="W137" s="18" t="n"/>
      <c r="X137" s="79" t="n"/>
      <c r="Y137" s="79" t="n"/>
      <c r="Z137" s="79" t="n"/>
      <c r="AA137" s="79" t="n"/>
      <c r="AB137" s="165" t="n"/>
      <c r="BQ137" s="13">
        <f>B121</f>
        <v/>
      </c>
      <c r="BR137" s="155">
        <f>F121</f>
        <v/>
      </c>
      <c r="BS137" s="156">
        <f>IF(OR('[1]Resultat &amp; tabell'!G121="",'[1]Resultat &amp; tabell'!I121=""),"",'[1]Resultat &amp; tabell'!F121)</f>
        <v/>
      </c>
      <c r="BT137" s="157">
        <f>IF(ISERROR(VLOOKUP(BR137,$BS$112:$BS$143,1,FALSE)),0,1)</f>
        <v/>
      </c>
      <c r="BU137" s="158">
        <f>BT137</f>
        <v/>
      </c>
      <c r="BV137" s="79">
        <f>BU137*1</f>
        <v/>
      </c>
      <c r="FZ137" s="79" t="n">
        <v>135</v>
      </c>
      <c r="GA137" s="3">
        <f>GB137&amp;GC137&amp;GD137&amp;GE137&amp;GF137&amp;GG137&amp;GH137&amp;GI137</f>
        <v/>
      </c>
      <c r="GB137" s="3" t="inlineStr">
        <is>
          <t>E</t>
        </is>
      </c>
      <c r="GC137" s="3" t="inlineStr">
        <is>
          <t>J</t>
        </is>
      </c>
      <c r="GD137" s="3" t="inlineStr">
        <is>
          <t>B</t>
        </is>
      </c>
      <c r="GE137" s="3" t="inlineStr">
        <is>
          <t>C</t>
        </is>
      </c>
      <c r="GF137" s="3" t="inlineStr">
        <is>
          <t>H</t>
        </is>
      </c>
      <c r="GG137" s="3" t="inlineStr">
        <is>
          <t>D</t>
        </is>
      </c>
      <c r="GH137" s="3" t="inlineStr">
        <is>
          <t>L</t>
        </is>
      </c>
      <c r="GI137" s="3" t="inlineStr">
        <is>
          <t>I</t>
        </is>
      </c>
      <c r="GJ137" s="9">
        <f>VLOOKUP(GB137,$FM$3:$FN$15,2,FALSE)</f>
        <v/>
      </c>
      <c r="GK137" s="9">
        <f>VLOOKUP(GC137,$FM$3:$FN$15,2,FALSE)</f>
        <v/>
      </c>
      <c r="GL137" s="9">
        <f>VLOOKUP(GD137,$FM$3:$FN$15,2,FALSE)</f>
        <v/>
      </c>
      <c r="GM137" s="9">
        <f>VLOOKUP(GE137,$FM$3:$FN$15,2,FALSE)</f>
        <v/>
      </c>
      <c r="GN137" s="9">
        <f>VLOOKUP(GF137,$FM$3:$FN$15,2,FALSE)</f>
        <v/>
      </c>
      <c r="GO137" s="9">
        <f>VLOOKUP(GG137,$FM$3:$FN$15,2,FALSE)</f>
        <v/>
      </c>
      <c r="GP137" s="9">
        <f>VLOOKUP(GH137,$FM$3:$FN$15,2,FALSE)</f>
        <v/>
      </c>
      <c r="GQ137" s="9">
        <f>VLOOKUP(GI137,$FM$3:$FN$15,2,FALSE)</f>
        <v/>
      </c>
      <c r="GR137" s="9">
        <f>IFERROR(IF(AND(VLOOKUP(GB137,$FX$4:$FX$15,1,FALSE)=GB137,VLOOKUP(GC137,$FX$4:$FX$15,1,FALSE)=GC137,VLOOKUP(GD137,$FX$4:$FX$15,1,FALSE)=GD137,VLOOKUP(GE137,$FX$4:$FX$15,1,FALSE)=GE137,VLOOKUP(GF137,$FX$4:$FX$15,1,FALSE)=GF137,VLOOKUP(GG137,$FX$4:$FX$15,1,FALSE)=GG137,VLOOKUP(GH137,$FX$4:$FX$15,1,FALSE)=GH137,VLOOKUP(GI137,$FX$4:$FX$15,1,FALSE)=GI137),FZ137,""),"")</f>
        <v/>
      </c>
      <c r="GX137" s="142" t="n"/>
    </row>
    <row r="138" ht="14.25" customHeight="1">
      <c r="B138" s="58" t="n">
        <v>96</v>
      </c>
      <c r="C138" s="59" t="n">
        <v>46210</v>
      </c>
      <c r="D138" s="166">
        <f>IF(O124="","Vinnare match 85",O124)</f>
        <v/>
      </c>
      <c r="E138" s="167" t="inlineStr">
        <is>
          <t>-</t>
        </is>
      </c>
      <c r="F138" s="62">
        <f>IF(O126="","Vinnare match 87",O126)</f>
        <v/>
      </c>
      <c r="G138" s="63" t="n">
        <v>1</v>
      </c>
      <c r="H138" s="64" t="inlineStr">
        <is>
          <t>-</t>
        </is>
      </c>
      <c r="I138" s="63" t="n">
        <v>2</v>
      </c>
      <c r="J138" s="65">
        <f>IF(OR(ISBLANK(G138),ISBLANK(I138)),"",IF(G138&gt;I138,1,IF(G138&lt;I138,2,"X")))</f>
        <v/>
      </c>
      <c r="K138" s="66">
        <f>IF(OR(G138="",I138="",'[1]Resultat &amp; tabell'!G138="",'[1]Resultat &amp; tabell'!I138=""),0,IF(G138='[1]Resultat &amp; tabell'!G138,2,0)+IF(I138='[1]Resultat &amp; tabell'!I138,2,0)+IF(J138='[1]Resultat &amp; tabell'!J138,2,0))</f>
        <v/>
      </c>
      <c r="L138" s="67" t="n"/>
      <c r="O138" s="150" t="inlineStr">
        <is>
          <t>Portugal</t>
        </is>
      </c>
      <c r="P138" s="151">
        <f>IF(OR(ISBLANK(D138),ISBLANK(F138),J138="",O138=""),"",IF(OR(AND(J138=1,O138=D138),AND(J138=2,O138=F138),AND(J138="X",OR(O138=D138,O138=F138))),"","Ej OK"))</f>
        <v/>
      </c>
      <c r="Q138" s="168" t="n"/>
      <c r="R138" s="168" t="n"/>
      <c r="S138" s="168" t="n"/>
      <c r="T138" s="168" t="n"/>
      <c r="U138" s="168" t="n"/>
      <c r="V138" s="156" t="n"/>
      <c r="W138" s="18" t="n"/>
      <c r="X138" s="79" t="n"/>
      <c r="Y138" s="79" t="n"/>
      <c r="Z138" s="79" t="n"/>
      <c r="AA138" s="79" t="n"/>
      <c r="AB138" s="165" t="n"/>
      <c r="BQ138" s="13">
        <f>B122</f>
        <v/>
      </c>
      <c r="BR138" s="155">
        <f>F122</f>
        <v/>
      </c>
      <c r="BS138" s="156">
        <f>IF(OR('[1]Resultat &amp; tabell'!G122="",'[1]Resultat &amp; tabell'!I122=""),"",'[1]Resultat &amp; tabell'!F122)</f>
        <v/>
      </c>
      <c r="BT138" s="157">
        <f>IF(ISERROR(VLOOKUP(BR138,$BS$112:$BS$143,1,FALSE)),0,1)</f>
        <v/>
      </c>
      <c r="BU138" s="158">
        <f>BT138</f>
        <v/>
      </c>
      <c r="BV138" s="79">
        <f>BU138*1</f>
        <v/>
      </c>
      <c r="FZ138" s="79" t="n">
        <v>136</v>
      </c>
      <c r="GA138" s="3">
        <f>GB138&amp;GC138&amp;GD138&amp;GE138&amp;GF138&amp;GG138&amp;GH138&amp;GI138</f>
        <v/>
      </c>
      <c r="GB138" s="3" t="inlineStr">
        <is>
          <t>E</t>
        </is>
      </c>
      <c r="GC138" s="3" t="inlineStr">
        <is>
          <t>J</t>
        </is>
      </c>
      <c r="GD138" s="3" t="inlineStr">
        <is>
          <t>B</t>
        </is>
      </c>
      <c r="GE138" s="3" t="inlineStr">
        <is>
          <t>C</t>
        </is>
      </c>
      <c r="GF138" s="3" t="inlineStr">
        <is>
          <t>H</t>
        </is>
      </c>
      <c r="GG138" s="3" t="inlineStr">
        <is>
          <t>D</t>
        </is>
      </c>
      <c r="GH138" s="3" t="inlineStr">
        <is>
          <t>I</t>
        </is>
      </c>
      <c r="GI138" s="3" t="inlineStr">
        <is>
          <t>K</t>
        </is>
      </c>
      <c r="GJ138" s="9">
        <f>VLOOKUP(GB138,$FM$3:$FN$15,2,FALSE)</f>
        <v/>
      </c>
      <c r="GK138" s="9">
        <f>VLOOKUP(GC138,$FM$3:$FN$15,2,FALSE)</f>
        <v/>
      </c>
      <c r="GL138" s="9">
        <f>VLOOKUP(GD138,$FM$3:$FN$15,2,FALSE)</f>
        <v/>
      </c>
      <c r="GM138" s="9">
        <f>VLOOKUP(GE138,$FM$3:$FN$15,2,FALSE)</f>
        <v/>
      </c>
      <c r="GN138" s="9">
        <f>VLOOKUP(GF138,$FM$3:$FN$15,2,FALSE)</f>
        <v/>
      </c>
      <c r="GO138" s="9">
        <f>VLOOKUP(GG138,$FM$3:$FN$15,2,FALSE)</f>
        <v/>
      </c>
      <c r="GP138" s="9">
        <f>VLOOKUP(GH138,$FM$3:$FN$15,2,FALSE)</f>
        <v/>
      </c>
      <c r="GQ138" s="9">
        <f>VLOOKUP(GI138,$FM$3:$FN$15,2,FALSE)</f>
        <v/>
      </c>
      <c r="GR138" s="9">
        <f>IFERROR(IF(AND(VLOOKUP(GB138,$FX$4:$FX$15,1,FALSE)=GB138,VLOOKUP(GC138,$FX$4:$FX$15,1,FALSE)=GC138,VLOOKUP(GD138,$FX$4:$FX$15,1,FALSE)=GD138,VLOOKUP(GE138,$FX$4:$FX$15,1,FALSE)=GE138,VLOOKUP(GF138,$FX$4:$FX$15,1,FALSE)=GF138,VLOOKUP(GG138,$FX$4:$FX$15,1,FALSE)=GG138,VLOOKUP(GH138,$FX$4:$FX$15,1,FALSE)=GH138,VLOOKUP(GI138,$FX$4:$FX$15,1,FALSE)=GI138),FZ138,""),"")</f>
        <v/>
      </c>
      <c r="GX138" s="142" t="n"/>
    </row>
    <row r="139" ht="14.25" customHeight="1">
      <c r="B139" s="9" t="n"/>
      <c r="C139" s="170" t="n"/>
      <c r="E139" s="9" t="n"/>
      <c r="J139" s="23" t="n"/>
      <c r="K139" s="16" t="n"/>
      <c r="L139" s="49" t="n"/>
      <c r="O139" s="79" t="n"/>
      <c r="P139" s="73" t="n"/>
      <c r="Q139" s="73" t="n"/>
      <c r="R139" s="73" t="n"/>
      <c r="S139" s="73" t="n"/>
      <c r="T139" s="73" t="n"/>
      <c r="U139" s="73" t="n"/>
      <c r="V139" s="156" t="n"/>
      <c r="W139" s="18" t="n"/>
      <c r="X139" s="79" t="n"/>
      <c r="Y139" s="79" t="n"/>
      <c r="Z139" s="79" t="n"/>
      <c r="AA139" s="79" t="n"/>
      <c r="AB139" s="165" t="n"/>
      <c r="BQ139" s="13">
        <f>B123</f>
        <v/>
      </c>
      <c r="BR139" s="12">
        <f>F123</f>
        <v/>
      </c>
      <c r="BS139" s="156">
        <f>IF(OR('[1]Resultat &amp; tabell'!G123="",'[1]Resultat &amp; tabell'!I123=""),"",'[1]Resultat &amp; tabell'!F123)</f>
        <v/>
      </c>
      <c r="BT139" s="157">
        <f>IF(ISERROR(VLOOKUP(BR139,$BS$112:$BS$143,1,FALSE)),0,1)</f>
        <v/>
      </c>
      <c r="BU139" s="158">
        <f>BT139</f>
        <v/>
      </c>
      <c r="BV139" s="79">
        <f>BU139*1</f>
        <v/>
      </c>
      <c r="FZ139" s="79" t="n">
        <v>137</v>
      </c>
      <c r="GA139" s="3">
        <f>GB139&amp;GC139&amp;GD139&amp;GE139&amp;GF139&amp;GG139&amp;GH139&amp;GI139</f>
        <v/>
      </c>
      <c r="GB139" s="3" t="inlineStr">
        <is>
          <t>E</t>
        </is>
      </c>
      <c r="GC139" s="3" t="inlineStr">
        <is>
          <t>G</t>
        </is>
      </c>
      <c r="GD139" s="3" t="inlineStr">
        <is>
          <t>B</t>
        </is>
      </c>
      <c r="GE139" s="3" t="inlineStr">
        <is>
          <t>C</t>
        </is>
      </c>
      <c r="GF139" s="3" t="inlineStr">
        <is>
          <t>J</t>
        </is>
      </c>
      <c r="GG139" s="3" t="inlineStr">
        <is>
          <t>D</t>
        </is>
      </c>
      <c r="GH139" s="3" t="inlineStr">
        <is>
          <t>L</t>
        </is>
      </c>
      <c r="GI139" s="3" t="inlineStr">
        <is>
          <t>K</t>
        </is>
      </c>
      <c r="GJ139" s="9">
        <f>VLOOKUP(GB139,$FM$3:$FN$15,2,FALSE)</f>
        <v/>
      </c>
      <c r="GK139" s="9">
        <f>VLOOKUP(GC139,$FM$3:$FN$15,2,FALSE)</f>
        <v/>
      </c>
      <c r="GL139" s="9">
        <f>VLOOKUP(GD139,$FM$3:$FN$15,2,FALSE)</f>
        <v/>
      </c>
      <c r="GM139" s="9">
        <f>VLOOKUP(GE139,$FM$3:$FN$15,2,FALSE)</f>
        <v/>
      </c>
      <c r="GN139" s="9">
        <f>VLOOKUP(GF139,$FM$3:$FN$15,2,FALSE)</f>
        <v/>
      </c>
      <c r="GO139" s="9">
        <f>VLOOKUP(GG139,$FM$3:$FN$15,2,FALSE)</f>
        <v/>
      </c>
      <c r="GP139" s="9">
        <f>VLOOKUP(GH139,$FM$3:$FN$15,2,FALSE)</f>
        <v/>
      </c>
      <c r="GQ139" s="9">
        <f>VLOOKUP(GI139,$FM$3:$FN$15,2,FALSE)</f>
        <v/>
      </c>
      <c r="GR139" s="9">
        <f>IFERROR(IF(AND(VLOOKUP(GB139,$FX$4:$FX$15,1,FALSE)=GB139,VLOOKUP(GC139,$FX$4:$FX$15,1,FALSE)=GC139,VLOOKUP(GD139,$FX$4:$FX$15,1,FALSE)=GD139,VLOOKUP(GE139,$FX$4:$FX$15,1,FALSE)=GE139,VLOOKUP(GF139,$FX$4:$FX$15,1,FALSE)=GF139,VLOOKUP(GG139,$FX$4:$FX$15,1,FALSE)=GG139,VLOOKUP(GH139,$FX$4:$FX$15,1,FALSE)=GH139,VLOOKUP(GI139,$FX$4:$FX$15,1,FALSE)=GI139),FZ139,""),"")</f>
        <v/>
      </c>
      <c r="GX139" s="142" t="n"/>
    </row>
    <row r="140" ht="14.25" customHeight="1">
      <c r="B140" s="19" t="inlineStr">
        <is>
          <t>Kvartsfinal</t>
        </is>
      </c>
      <c r="C140" s="94" t="n"/>
      <c r="J140" s="23" t="n"/>
      <c r="K140" s="16" t="n"/>
      <c r="L140" s="49" t="n"/>
      <c r="O140" s="79" t="n"/>
      <c r="P140" s="73" t="n"/>
      <c r="Q140" s="73" t="n"/>
      <c r="R140" s="73" t="n"/>
      <c r="S140" s="73" t="n"/>
      <c r="T140" s="73" t="n"/>
      <c r="U140" s="73" t="n"/>
      <c r="V140" s="156" t="n"/>
      <c r="W140" s="18" t="n"/>
      <c r="X140" s="79" t="n"/>
      <c r="Y140" s="79" t="n"/>
      <c r="Z140" s="79" t="n"/>
      <c r="AA140" s="79" t="n"/>
      <c r="AB140" s="165" t="n"/>
      <c r="BQ140" s="13">
        <f>B124</f>
        <v/>
      </c>
      <c r="BR140" s="12">
        <f>F124</f>
        <v/>
      </c>
      <c r="BS140" s="156">
        <f>IF(OR('[1]Resultat &amp; tabell'!G124="",'[1]Resultat &amp; tabell'!I124=""),"",'[1]Resultat &amp; tabell'!F124)</f>
        <v/>
      </c>
      <c r="BT140" s="157">
        <f>IF(ISERROR(VLOOKUP(BR140,$BS$112:$BS$143,1,FALSE)),0,1)</f>
        <v/>
      </c>
      <c r="BU140" s="158">
        <f>BT140</f>
        <v/>
      </c>
      <c r="BV140" s="79">
        <f>BU140*1</f>
        <v/>
      </c>
      <c r="FZ140" s="79" t="n">
        <v>138</v>
      </c>
      <c r="GA140" s="3">
        <f>GB140&amp;GC140&amp;GD140&amp;GE140&amp;GF140&amp;GG140&amp;GH140&amp;GI140</f>
        <v/>
      </c>
      <c r="GB140" s="3" t="inlineStr">
        <is>
          <t>E</t>
        </is>
      </c>
      <c r="GC140" s="3" t="inlineStr">
        <is>
          <t>G</t>
        </is>
      </c>
      <c r="GD140" s="3" t="inlineStr">
        <is>
          <t>B</t>
        </is>
      </c>
      <c r="GE140" s="3" t="inlineStr">
        <is>
          <t>C</t>
        </is>
      </c>
      <c r="GF140" s="3" t="inlineStr">
        <is>
          <t>I</t>
        </is>
      </c>
      <c r="GG140" s="3" t="inlineStr">
        <is>
          <t>D</t>
        </is>
      </c>
      <c r="GH140" s="3" t="inlineStr">
        <is>
          <t>L</t>
        </is>
      </c>
      <c r="GI140" s="3" t="inlineStr">
        <is>
          <t>K</t>
        </is>
      </c>
      <c r="GJ140" s="9">
        <f>VLOOKUP(GB140,$FM$3:$FN$15,2,FALSE)</f>
        <v/>
      </c>
      <c r="GK140" s="9">
        <f>VLOOKUP(GC140,$FM$3:$FN$15,2,FALSE)</f>
        <v/>
      </c>
      <c r="GL140" s="9">
        <f>VLOOKUP(GD140,$FM$3:$FN$15,2,FALSE)</f>
        <v/>
      </c>
      <c r="GM140" s="9">
        <f>VLOOKUP(GE140,$FM$3:$FN$15,2,FALSE)</f>
        <v/>
      </c>
      <c r="GN140" s="9">
        <f>VLOOKUP(GF140,$FM$3:$FN$15,2,FALSE)</f>
        <v/>
      </c>
      <c r="GO140" s="9">
        <f>VLOOKUP(GG140,$FM$3:$FN$15,2,FALSE)</f>
        <v/>
      </c>
      <c r="GP140" s="9">
        <f>VLOOKUP(GH140,$FM$3:$FN$15,2,FALSE)</f>
        <v/>
      </c>
      <c r="GQ140" s="9">
        <f>VLOOKUP(GI140,$FM$3:$FN$15,2,FALSE)</f>
        <v/>
      </c>
      <c r="GR140" s="9">
        <f>IFERROR(IF(AND(VLOOKUP(GB140,$FX$4:$FX$15,1,FALSE)=GB140,VLOOKUP(GC140,$FX$4:$FX$15,1,FALSE)=GC140,VLOOKUP(GD140,$FX$4:$FX$15,1,FALSE)=GD140,VLOOKUP(GE140,$FX$4:$FX$15,1,FALSE)=GE140,VLOOKUP(GF140,$FX$4:$FX$15,1,FALSE)=GF140,VLOOKUP(GG140,$FX$4:$FX$15,1,FALSE)=GG140,VLOOKUP(GH140,$FX$4:$FX$15,1,FALSE)=GH140,VLOOKUP(GI140,$FX$4:$FX$15,1,FALSE)=GI140),FZ140,""),"")</f>
        <v/>
      </c>
      <c r="GX140" s="142" t="n"/>
    </row>
    <row r="141" ht="14.25" customHeight="1">
      <c r="B141" s="117" t="inlineStr">
        <is>
          <t>Match</t>
        </is>
      </c>
      <c r="C141" s="107" t="inlineStr">
        <is>
          <t>Datum</t>
        </is>
      </c>
      <c r="D141" s="210" t="inlineStr">
        <is>
          <t>Match</t>
        </is>
      </c>
      <c r="E141" s="211" t="n"/>
      <c r="F141" s="212" t="n"/>
      <c r="G141" s="184" t="inlineStr">
        <is>
          <t>Resultat</t>
        </is>
      </c>
      <c r="H141" s="217" t="n"/>
      <c r="I141" s="217" t="n"/>
      <c r="J141" s="47" t="inlineStr">
        <is>
          <t>1X2</t>
        </is>
      </c>
      <c r="K141" s="48" t="inlineStr">
        <is>
          <t>Poäng</t>
        </is>
      </c>
      <c r="L141" s="49" t="n"/>
      <c r="O141" s="171" t="inlineStr">
        <is>
          <t>Vinnare kvartsfinal</t>
        </is>
      </c>
      <c r="P141" s="145" t="n"/>
      <c r="Q141" s="16" t="n"/>
      <c r="R141" s="171" t="inlineStr">
        <is>
          <t>Bonus kvartsfinal</t>
        </is>
      </c>
      <c r="S141" s="211" t="n"/>
      <c r="T141" s="211" t="n"/>
      <c r="U141" s="214" t="n"/>
      <c r="V141" s="156" t="n"/>
      <c r="W141" s="18" t="n"/>
      <c r="X141" s="79" t="n"/>
      <c r="Y141" s="79" t="n"/>
      <c r="Z141" s="79" t="n"/>
      <c r="AA141" s="79" t="n"/>
      <c r="AB141" s="165" t="n"/>
      <c r="BQ141" s="13">
        <f>B125</f>
        <v/>
      </c>
      <c r="BR141" s="12">
        <f>F125</f>
        <v/>
      </c>
      <c r="BS141" s="156">
        <f>IF(OR('[1]Resultat &amp; tabell'!G125="",'[1]Resultat &amp; tabell'!I125=""),"",'[1]Resultat &amp; tabell'!F125)</f>
        <v/>
      </c>
      <c r="BT141" s="157">
        <f>IF(ISERROR(VLOOKUP(BR141,$BS$112:$BS$143,1,FALSE)),0,1)</f>
        <v/>
      </c>
      <c r="BU141" s="158">
        <f>BT141</f>
        <v/>
      </c>
      <c r="BV141" s="79">
        <f>BU141*1</f>
        <v/>
      </c>
      <c r="FZ141" s="79" t="n">
        <v>139</v>
      </c>
      <c r="GA141" s="3">
        <f>GB141&amp;GC141&amp;GD141&amp;GE141&amp;GF141&amp;GG141&amp;GH141&amp;GI141</f>
        <v/>
      </c>
      <c r="GB141" s="3" t="inlineStr">
        <is>
          <t>E</t>
        </is>
      </c>
      <c r="GC141" s="3" t="inlineStr">
        <is>
          <t>G</t>
        </is>
      </c>
      <c r="GD141" s="3" t="inlineStr">
        <is>
          <t>B</t>
        </is>
      </c>
      <c r="GE141" s="3" t="inlineStr">
        <is>
          <t>C</t>
        </is>
      </c>
      <c r="GF141" s="3" t="inlineStr">
        <is>
          <t>J</t>
        </is>
      </c>
      <c r="GG141" s="3" t="inlineStr">
        <is>
          <t>D</t>
        </is>
      </c>
      <c r="GH141" s="3" t="inlineStr">
        <is>
          <t>L</t>
        </is>
      </c>
      <c r="GI141" s="3" t="inlineStr">
        <is>
          <t>I</t>
        </is>
      </c>
      <c r="GJ141" s="9">
        <f>VLOOKUP(GB141,$FM$3:$FN$15,2,FALSE)</f>
        <v/>
      </c>
      <c r="GK141" s="9">
        <f>VLOOKUP(GC141,$FM$3:$FN$15,2,FALSE)</f>
        <v/>
      </c>
      <c r="GL141" s="9">
        <f>VLOOKUP(GD141,$FM$3:$FN$15,2,FALSE)</f>
        <v/>
      </c>
      <c r="GM141" s="9">
        <f>VLOOKUP(GE141,$FM$3:$FN$15,2,FALSE)</f>
        <v/>
      </c>
      <c r="GN141" s="9">
        <f>VLOOKUP(GF141,$FM$3:$FN$15,2,FALSE)</f>
        <v/>
      </c>
      <c r="GO141" s="9">
        <f>VLOOKUP(GG141,$FM$3:$FN$15,2,FALSE)</f>
        <v/>
      </c>
      <c r="GP141" s="9">
        <f>VLOOKUP(GH141,$FM$3:$FN$15,2,FALSE)</f>
        <v/>
      </c>
      <c r="GQ141" s="9">
        <f>VLOOKUP(GI141,$FM$3:$FN$15,2,FALSE)</f>
        <v/>
      </c>
      <c r="GR141" s="9">
        <f>IFERROR(IF(AND(VLOOKUP(GB141,$FX$4:$FX$15,1,FALSE)=GB141,VLOOKUP(GC141,$FX$4:$FX$15,1,FALSE)=GC141,VLOOKUP(GD141,$FX$4:$FX$15,1,FALSE)=GD141,VLOOKUP(GE141,$FX$4:$FX$15,1,FALSE)=GE141,VLOOKUP(GF141,$FX$4:$FX$15,1,FALSE)=GF141,VLOOKUP(GG141,$FX$4:$FX$15,1,FALSE)=GG141,VLOOKUP(GH141,$FX$4:$FX$15,1,FALSE)=GH141,VLOOKUP(GI141,$FX$4:$FX$15,1,FALSE)=GI141),FZ141,""),"")</f>
        <v/>
      </c>
      <c r="GX141" s="142" t="n"/>
    </row>
    <row r="142" ht="14.25" customHeight="1">
      <c r="B142" s="58" t="n">
        <v>97</v>
      </c>
      <c r="C142" s="59" t="n">
        <v>46212</v>
      </c>
      <c r="D142" s="166">
        <f>IF(O131="","Vinnare match 89",O131)</f>
        <v/>
      </c>
      <c r="E142" s="172" t="inlineStr">
        <is>
          <t>-</t>
        </is>
      </c>
      <c r="F142" s="62">
        <f>IF(O132="","Vinnare match 90",O132)</f>
        <v/>
      </c>
      <c r="G142" s="63" t="n">
        <v>2</v>
      </c>
      <c r="H142" s="64" t="inlineStr">
        <is>
          <t>-</t>
        </is>
      </c>
      <c r="I142" s="63" t="n">
        <v>1</v>
      </c>
      <c r="J142" s="65">
        <f>IF(OR(ISBLANK(G142),ISBLANK(I142)),"",IF(G142&gt;I142,1,IF(G142&lt;I142,2,"X")))</f>
        <v/>
      </c>
      <c r="K142" s="66">
        <f>IF(OR(G142="",I142="",'[1]Resultat &amp; tabell'!G142="",'[1]Resultat &amp; tabell'!I142=""),0,IF(G142='[1]Resultat &amp; tabell'!G142,2,0)+IF(I142='[1]Resultat &amp; tabell'!I142,2,0)+IF(J142='[1]Resultat &amp; tabell'!J142,2,0))</f>
        <v/>
      </c>
      <c r="L142" s="67" t="n"/>
      <c r="O142" s="150" t="inlineStr">
        <is>
          <t>Frankrike</t>
        </is>
      </c>
      <c r="P142" s="151">
        <f>IF(OR(ISBLANK(D142),ISBLANK(F142),J142="",O142=""),"",IF(OR(AND(J142=1,O142=D142),AND(J142=2,O142=F142),AND(J142="X",OR(O142=D142,O142=F142))),"","Ej OK"))</f>
        <v/>
      </c>
      <c r="Q142" s="168" t="n"/>
      <c r="R142" s="66">
        <f>BV174</f>
        <v/>
      </c>
      <c r="S142" s="211" t="n"/>
      <c r="T142" s="211" t="n"/>
      <c r="U142" s="214" t="n"/>
      <c r="V142" s="156" t="n"/>
      <c r="W142" s="18" t="n"/>
      <c r="X142" s="79" t="n"/>
      <c r="Y142" s="79" t="n"/>
      <c r="Z142" s="79" t="n"/>
      <c r="AA142" s="79" t="n"/>
      <c r="AB142" s="165" t="n"/>
      <c r="BQ142" s="13">
        <f>B126</f>
        <v/>
      </c>
      <c r="BR142" s="12">
        <f>F126</f>
        <v/>
      </c>
      <c r="BS142" s="156">
        <f>IF(OR('[1]Resultat &amp; tabell'!G126="",'[1]Resultat &amp; tabell'!I126=""),"",'[1]Resultat &amp; tabell'!F126)</f>
        <v/>
      </c>
      <c r="BT142" s="157">
        <f>IF(ISERROR(VLOOKUP(BR142,$BS$112:$BS$143,1,FALSE)),0,1)</f>
        <v/>
      </c>
      <c r="BU142" s="158">
        <f>BT142</f>
        <v/>
      </c>
      <c r="BV142" s="79">
        <f>BU142*1</f>
        <v/>
      </c>
      <c r="FZ142" s="79" t="n">
        <v>140</v>
      </c>
      <c r="GA142" s="3">
        <f>GB142&amp;GC142&amp;GD142&amp;GE142&amp;GF142&amp;GG142&amp;GH142&amp;GI142</f>
        <v/>
      </c>
      <c r="GB142" s="3" t="inlineStr">
        <is>
          <t>E</t>
        </is>
      </c>
      <c r="GC142" s="3" t="inlineStr">
        <is>
          <t>G</t>
        </is>
      </c>
      <c r="GD142" s="3" t="inlineStr">
        <is>
          <t>B</t>
        </is>
      </c>
      <c r="GE142" s="3" t="inlineStr">
        <is>
          <t>C</t>
        </is>
      </c>
      <c r="GF142" s="3" t="inlineStr">
        <is>
          <t>J</t>
        </is>
      </c>
      <c r="GG142" s="3" t="inlineStr">
        <is>
          <t>D</t>
        </is>
      </c>
      <c r="GH142" s="3" t="inlineStr">
        <is>
          <t>I</t>
        </is>
      </c>
      <c r="GI142" s="3" t="inlineStr">
        <is>
          <t>K</t>
        </is>
      </c>
      <c r="GJ142" s="9">
        <f>VLOOKUP(GB142,$FM$3:$FN$15,2,FALSE)</f>
        <v/>
      </c>
      <c r="GK142" s="9">
        <f>VLOOKUP(GC142,$FM$3:$FN$15,2,FALSE)</f>
        <v/>
      </c>
      <c r="GL142" s="9">
        <f>VLOOKUP(GD142,$FM$3:$FN$15,2,FALSE)</f>
        <v/>
      </c>
      <c r="GM142" s="9">
        <f>VLOOKUP(GE142,$FM$3:$FN$15,2,FALSE)</f>
        <v/>
      </c>
      <c r="GN142" s="9">
        <f>VLOOKUP(GF142,$FM$3:$FN$15,2,FALSE)</f>
        <v/>
      </c>
      <c r="GO142" s="9">
        <f>VLOOKUP(GG142,$FM$3:$FN$15,2,FALSE)</f>
        <v/>
      </c>
      <c r="GP142" s="9">
        <f>VLOOKUP(GH142,$FM$3:$FN$15,2,FALSE)</f>
        <v/>
      </c>
      <c r="GQ142" s="9">
        <f>VLOOKUP(GI142,$FM$3:$FN$15,2,FALSE)</f>
        <v/>
      </c>
      <c r="GR142" s="9">
        <f>IFERROR(IF(AND(VLOOKUP(GB142,$FX$4:$FX$15,1,FALSE)=GB142,VLOOKUP(GC142,$FX$4:$FX$15,1,FALSE)=GC142,VLOOKUP(GD142,$FX$4:$FX$15,1,FALSE)=GD142,VLOOKUP(GE142,$FX$4:$FX$15,1,FALSE)=GE142,VLOOKUP(GF142,$FX$4:$FX$15,1,FALSE)=GF142,VLOOKUP(GG142,$FX$4:$FX$15,1,FALSE)=GG142,VLOOKUP(GH142,$FX$4:$FX$15,1,FALSE)=GH142,VLOOKUP(GI142,$FX$4:$FX$15,1,FALSE)=GI142),FZ142,""),"")</f>
        <v/>
      </c>
      <c r="GX142" s="142" t="n"/>
    </row>
    <row r="143" ht="14.25" customHeight="1">
      <c r="B143" s="58" t="n">
        <v>98</v>
      </c>
      <c r="C143" s="59" t="n">
        <v>46213</v>
      </c>
      <c r="D143" s="166">
        <f>IF(O135="","Vinnare match 93",O135)</f>
        <v/>
      </c>
      <c r="E143" s="172" t="inlineStr">
        <is>
          <t>-</t>
        </is>
      </c>
      <c r="F143" s="62">
        <f>IF(O136="","Vinnare match 94",O136)</f>
        <v/>
      </c>
      <c r="G143" s="63" t="n">
        <v>2</v>
      </c>
      <c r="H143" s="64" t="inlineStr">
        <is>
          <t>-</t>
        </is>
      </c>
      <c r="I143" s="63" t="n">
        <v>0</v>
      </c>
      <c r="J143" s="65">
        <f>IF(OR(ISBLANK(G143),ISBLANK(I143)),"",IF(G143&gt;I143,1,IF(G143&lt;I143,2,"X")))</f>
        <v/>
      </c>
      <c r="K143" s="66">
        <f>IF(OR(G143="",I143="",'[1]Resultat &amp; tabell'!G143="",'[1]Resultat &amp; tabell'!I143=""),0,IF(G143='[1]Resultat &amp; tabell'!G143,2,0)+IF(I143='[1]Resultat &amp; tabell'!I143,2,0)+IF(J143='[1]Resultat &amp; tabell'!J143,2,0))</f>
        <v/>
      </c>
      <c r="L143" s="67" t="n"/>
      <c r="O143" s="150" t="inlineStr">
        <is>
          <t>Spanien</t>
        </is>
      </c>
      <c r="P143" s="151">
        <f>IF(OR(ISBLANK(D143),ISBLANK(F143),J143="",O143=""),"",IF(OR(AND(J143=1,O143=D143),AND(J143=2,O143=F143),AND(J143="X",OR(O143=D143,O143=F143))),"","Ej OK"))</f>
        <v/>
      </c>
      <c r="Q143" s="168" t="n"/>
      <c r="R143" s="168" t="n"/>
      <c r="S143" s="168" t="n"/>
      <c r="T143" s="168" t="n"/>
      <c r="U143" s="168" t="n"/>
      <c r="V143" s="156" t="n"/>
      <c r="W143" s="18" t="n"/>
      <c r="X143" s="79" t="n"/>
      <c r="Y143" s="79" t="n"/>
      <c r="Z143" s="79" t="n"/>
      <c r="AA143" s="79" t="n"/>
      <c r="AB143" s="165" t="n"/>
      <c r="BQ143" s="13">
        <f>B127</f>
        <v/>
      </c>
      <c r="BR143" s="12">
        <f>F127</f>
        <v/>
      </c>
      <c r="BS143" s="156">
        <f>IF(OR('[1]Resultat &amp; tabell'!G127="",'[1]Resultat &amp; tabell'!I127=""),"",'[1]Resultat &amp; tabell'!F127)</f>
        <v/>
      </c>
      <c r="BT143" s="157">
        <f>IF(ISERROR(VLOOKUP(BR143,$BS$112:$BS$143,1,FALSE)),0,1)</f>
        <v/>
      </c>
      <c r="BU143" s="158">
        <f>BT143</f>
        <v/>
      </c>
      <c r="BV143" s="79">
        <f>BU143*1</f>
        <v/>
      </c>
      <c r="FZ143" s="79" t="n">
        <v>141</v>
      </c>
      <c r="GA143" s="3">
        <f>GB143&amp;GC143&amp;GD143&amp;GE143&amp;GF143&amp;GG143&amp;GH143&amp;GI143</f>
        <v/>
      </c>
      <c r="GB143" s="3" t="inlineStr">
        <is>
          <t>E</t>
        </is>
      </c>
      <c r="GC143" s="3" t="inlineStr">
        <is>
          <t>G</t>
        </is>
      </c>
      <c r="GD143" s="3" t="inlineStr">
        <is>
          <t>B</t>
        </is>
      </c>
      <c r="GE143" s="3" t="inlineStr">
        <is>
          <t>C</t>
        </is>
      </c>
      <c r="GF143" s="3" t="inlineStr">
        <is>
          <t>H</t>
        </is>
      </c>
      <c r="GG143" s="3" t="inlineStr">
        <is>
          <t>D</t>
        </is>
      </c>
      <c r="GH143" s="3" t="inlineStr">
        <is>
          <t>L</t>
        </is>
      </c>
      <c r="GI143" s="3" t="inlineStr">
        <is>
          <t>K</t>
        </is>
      </c>
      <c r="GJ143" s="9">
        <f>VLOOKUP(GB143,$FM$3:$FN$15,2,FALSE)</f>
        <v/>
      </c>
      <c r="GK143" s="9">
        <f>VLOOKUP(GC143,$FM$3:$FN$15,2,FALSE)</f>
        <v/>
      </c>
      <c r="GL143" s="9">
        <f>VLOOKUP(GD143,$FM$3:$FN$15,2,FALSE)</f>
        <v/>
      </c>
      <c r="GM143" s="9">
        <f>VLOOKUP(GE143,$FM$3:$FN$15,2,FALSE)</f>
        <v/>
      </c>
      <c r="GN143" s="9">
        <f>VLOOKUP(GF143,$FM$3:$FN$15,2,FALSE)</f>
        <v/>
      </c>
      <c r="GO143" s="9">
        <f>VLOOKUP(GG143,$FM$3:$FN$15,2,FALSE)</f>
        <v/>
      </c>
      <c r="GP143" s="9">
        <f>VLOOKUP(GH143,$FM$3:$FN$15,2,FALSE)</f>
        <v/>
      </c>
      <c r="GQ143" s="9">
        <f>VLOOKUP(GI143,$FM$3:$FN$15,2,FALSE)</f>
        <v/>
      </c>
      <c r="GR143" s="9">
        <f>IFERROR(IF(AND(VLOOKUP(GB143,$FX$4:$FX$15,1,FALSE)=GB143,VLOOKUP(GC143,$FX$4:$FX$15,1,FALSE)=GC143,VLOOKUP(GD143,$FX$4:$FX$15,1,FALSE)=GD143,VLOOKUP(GE143,$FX$4:$FX$15,1,FALSE)=GE143,VLOOKUP(GF143,$FX$4:$FX$15,1,FALSE)=GF143,VLOOKUP(GG143,$FX$4:$FX$15,1,FALSE)=GG143,VLOOKUP(GH143,$FX$4:$FX$15,1,FALSE)=GH143,VLOOKUP(GI143,$FX$4:$FX$15,1,FALSE)=GI143),FZ143,""),"")</f>
        <v/>
      </c>
      <c r="GX143" s="142" t="n"/>
    </row>
    <row r="144" ht="14.25" customHeight="1">
      <c r="B144" s="58" t="n">
        <v>99</v>
      </c>
      <c r="C144" s="59" t="n">
        <v>46214</v>
      </c>
      <c r="D144" s="166">
        <f>IF(O133="","Vinnare match 91",O133)</f>
        <v/>
      </c>
      <c r="E144" s="172" t="inlineStr">
        <is>
          <t>-</t>
        </is>
      </c>
      <c r="F144" s="62">
        <f>IF(O134="","Vinnare match 92",O134)</f>
        <v/>
      </c>
      <c r="G144" s="63" t="n">
        <v>2</v>
      </c>
      <c r="H144" s="64" t="inlineStr">
        <is>
          <t>-</t>
        </is>
      </c>
      <c r="I144" s="63" t="n">
        <v>1</v>
      </c>
      <c r="J144" s="65">
        <f>IF(OR(ISBLANK(G144),ISBLANK(I144)),"",IF(G144&gt;I144,1,IF(G144&lt;I144,2,"X")))</f>
        <v/>
      </c>
      <c r="K144" s="66">
        <f>IF(OR(G144="",I144="",'[1]Resultat &amp; tabell'!G144="",'[1]Resultat &amp; tabell'!I144=""),0,IF(G144='[1]Resultat &amp; tabell'!G144,2,0)+IF(I144='[1]Resultat &amp; tabell'!I144,2,0)+IF(J144='[1]Resultat &amp; tabell'!J144,2,0))</f>
        <v/>
      </c>
      <c r="L144" s="67" t="n"/>
      <c r="O144" s="150" t="inlineStr">
        <is>
          <t>Brasilien</t>
        </is>
      </c>
      <c r="P144" s="151">
        <f>IF(OR(ISBLANK(D144),ISBLANK(F144),J144="",O144=""),"",IF(OR(AND(J144=1,O144=D144),AND(J144=2,O144=F144),AND(J144="X",OR(O144=D144,O144=F144))),"","Ej OK"))</f>
        <v/>
      </c>
      <c r="Q144" s="168" t="n"/>
      <c r="R144" s="168" t="n"/>
      <c r="S144" s="168" t="n"/>
      <c r="T144" s="168" t="n"/>
      <c r="U144" s="168" t="n"/>
      <c r="V144" s="156" t="n"/>
      <c r="W144" s="18" t="n"/>
      <c r="X144" s="79" t="n"/>
      <c r="Y144" s="79" t="n"/>
      <c r="Z144" s="79" t="n"/>
      <c r="AA144" s="79" t="n"/>
      <c r="AB144" s="165" t="n"/>
      <c r="BU144" s="146" t="inlineStr">
        <is>
          <t>Summa</t>
        </is>
      </c>
      <c r="BV144" s="146">
        <f>SUM(BV112:BV143)</f>
        <v/>
      </c>
      <c r="FZ144" s="79" t="n">
        <v>142</v>
      </c>
      <c r="GA144" s="3">
        <f>GB144&amp;GC144&amp;GD144&amp;GE144&amp;GF144&amp;GG144&amp;GH144&amp;GI144</f>
        <v/>
      </c>
      <c r="GB144" s="3" t="inlineStr">
        <is>
          <t>H</t>
        </is>
      </c>
      <c r="GC144" s="3" t="inlineStr">
        <is>
          <t>G</t>
        </is>
      </c>
      <c r="GD144" s="3" t="inlineStr">
        <is>
          <t>B</t>
        </is>
      </c>
      <c r="GE144" s="3" t="inlineStr">
        <is>
          <t>C</t>
        </is>
      </c>
      <c r="GF144" s="3" t="inlineStr">
        <is>
          <t>J</t>
        </is>
      </c>
      <c r="GG144" s="3" t="inlineStr">
        <is>
          <t>D</t>
        </is>
      </c>
      <c r="GH144" s="3" t="inlineStr">
        <is>
          <t>L</t>
        </is>
      </c>
      <c r="GI144" s="3" t="inlineStr">
        <is>
          <t>E</t>
        </is>
      </c>
      <c r="GJ144" s="9">
        <f>VLOOKUP(GB144,$FM$3:$FN$15,2,FALSE)</f>
        <v/>
      </c>
      <c r="GK144" s="9">
        <f>VLOOKUP(GC144,$FM$3:$FN$15,2,FALSE)</f>
        <v/>
      </c>
      <c r="GL144" s="9">
        <f>VLOOKUP(GD144,$FM$3:$FN$15,2,FALSE)</f>
        <v/>
      </c>
      <c r="GM144" s="9">
        <f>VLOOKUP(GE144,$FM$3:$FN$15,2,FALSE)</f>
        <v/>
      </c>
      <c r="GN144" s="9">
        <f>VLOOKUP(GF144,$FM$3:$FN$15,2,FALSE)</f>
        <v/>
      </c>
      <c r="GO144" s="9">
        <f>VLOOKUP(GG144,$FM$3:$FN$15,2,FALSE)</f>
        <v/>
      </c>
      <c r="GP144" s="9">
        <f>VLOOKUP(GH144,$FM$3:$FN$15,2,FALSE)</f>
        <v/>
      </c>
      <c r="GQ144" s="9">
        <f>VLOOKUP(GI144,$FM$3:$FN$15,2,FALSE)</f>
        <v/>
      </c>
      <c r="GR144" s="9">
        <f>IFERROR(IF(AND(VLOOKUP(GB144,$FX$4:$FX$15,1,FALSE)=GB144,VLOOKUP(GC144,$FX$4:$FX$15,1,FALSE)=GC144,VLOOKUP(GD144,$FX$4:$FX$15,1,FALSE)=GD144,VLOOKUP(GE144,$FX$4:$FX$15,1,FALSE)=GE144,VLOOKUP(GF144,$FX$4:$FX$15,1,FALSE)=GF144,VLOOKUP(GG144,$FX$4:$FX$15,1,FALSE)=GG144,VLOOKUP(GH144,$FX$4:$FX$15,1,FALSE)=GH144,VLOOKUP(GI144,$FX$4:$FX$15,1,FALSE)=GI144),FZ144,""),"")</f>
        <v/>
      </c>
      <c r="GX144" s="142" t="n"/>
    </row>
    <row r="145" ht="14.25" customHeight="1">
      <c r="B145" s="58" t="n">
        <v>100</v>
      </c>
      <c r="C145" s="59" t="n">
        <v>46215</v>
      </c>
      <c r="D145" s="166">
        <f>IF(O137="","Vinnare match 95",O137)</f>
        <v/>
      </c>
      <c r="E145" s="172" t="inlineStr">
        <is>
          <t>-</t>
        </is>
      </c>
      <c r="F145" s="62">
        <f>IF(O138="","Vinnare match 96",O138)</f>
        <v/>
      </c>
      <c r="G145" s="63" t="n">
        <v>2</v>
      </c>
      <c r="H145" s="64" t="inlineStr">
        <is>
          <t>-</t>
        </is>
      </c>
      <c r="I145" s="63" t="n">
        <v>1</v>
      </c>
      <c r="J145" s="65">
        <f>IF(OR(ISBLANK(G145),ISBLANK(I145)),"",IF(G145&gt;I145,1,IF(G145&lt;I145,2,"X")))</f>
        <v/>
      </c>
      <c r="K145" s="66">
        <f>IF(OR(G145="",I145="",'[1]Resultat &amp; tabell'!G145="",'[1]Resultat &amp; tabell'!I145=""),0,IF(G145='[1]Resultat &amp; tabell'!G145,2,0)+IF(I145='[1]Resultat &amp; tabell'!I145,2,0)+IF(J145='[1]Resultat &amp; tabell'!J145,2,0))</f>
        <v/>
      </c>
      <c r="L145" s="67" t="n"/>
      <c r="O145" s="150" t="inlineStr">
        <is>
          <t>Argentina</t>
        </is>
      </c>
      <c r="P145" s="151">
        <f>IF(OR(ISBLANK(D145),ISBLANK(F145),J145="",O145=""),"",IF(OR(AND(J145=1,O145=D145),AND(J145=2,O145=F145),AND(J145="X",OR(O145=D145,O145=F145))),"","Ej OK"))</f>
        <v/>
      </c>
      <c r="Q145" s="168" t="n"/>
      <c r="R145" s="168" t="n"/>
      <c r="S145" s="168" t="n"/>
      <c r="T145" s="168" t="n"/>
      <c r="U145" s="168" t="n"/>
      <c r="V145" s="156" t="n"/>
      <c r="W145" s="18" t="n"/>
      <c r="X145" s="79" t="n"/>
      <c r="Y145" s="79" t="n"/>
      <c r="Z145" s="79" t="n"/>
      <c r="AA145" s="79" t="n"/>
      <c r="AB145" s="165" t="n"/>
      <c r="BQ145" s="19" t="inlineStr">
        <is>
          <t>Åttondelsfinaler</t>
        </is>
      </c>
      <c r="FZ145" s="79" t="n">
        <v>143</v>
      </c>
      <c r="GA145" s="3">
        <f>GB145&amp;GC145&amp;GD145&amp;GE145&amp;GF145&amp;GG145&amp;GH145&amp;GI145</f>
        <v/>
      </c>
      <c r="GB145" s="3" t="inlineStr">
        <is>
          <t>H</t>
        </is>
      </c>
      <c r="GC145" s="3" t="inlineStr">
        <is>
          <t>G</t>
        </is>
      </c>
      <c r="GD145" s="3" t="inlineStr">
        <is>
          <t>B</t>
        </is>
      </c>
      <c r="GE145" s="3" t="inlineStr">
        <is>
          <t>C</t>
        </is>
      </c>
      <c r="GF145" s="3" t="inlineStr">
        <is>
          <t>J</t>
        </is>
      </c>
      <c r="GG145" s="3" t="inlineStr">
        <is>
          <t>D</t>
        </is>
      </c>
      <c r="GH145" s="3" t="inlineStr">
        <is>
          <t>E</t>
        </is>
      </c>
      <c r="GI145" s="3" t="inlineStr">
        <is>
          <t>K</t>
        </is>
      </c>
      <c r="GJ145" s="9">
        <f>VLOOKUP(GB145,$FM$3:$FN$15,2,FALSE)</f>
        <v/>
      </c>
      <c r="GK145" s="9">
        <f>VLOOKUP(GC145,$FM$3:$FN$15,2,FALSE)</f>
        <v/>
      </c>
      <c r="GL145" s="9">
        <f>VLOOKUP(GD145,$FM$3:$FN$15,2,FALSE)</f>
        <v/>
      </c>
      <c r="GM145" s="9">
        <f>VLOOKUP(GE145,$FM$3:$FN$15,2,FALSE)</f>
        <v/>
      </c>
      <c r="GN145" s="9">
        <f>VLOOKUP(GF145,$FM$3:$FN$15,2,FALSE)</f>
        <v/>
      </c>
      <c r="GO145" s="9">
        <f>VLOOKUP(GG145,$FM$3:$FN$15,2,FALSE)</f>
        <v/>
      </c>
      <c r="GP145" s="9">
        <f>VLOOKUP(GH145,$FM$3:$FN$15,2,FALSE)</f>
        <v/>
      </c>
      <c r="GQ145" s="9">
        <f>VLOOKUP(GI145,$FM$3:$FN$15,2,FALSE)</f>
        <v/>
      </c>
      <c r="GR145" s="9">
        <f>IFERROR(IF(AND(VLOOKUP(GB145,$FX$4:$FX$15,1,FALSE)=GB145,VLOOKUP(GC145,$FX$4:$FX$15,1,FALSE)=GC145,VLOOKUP(GD145,$FX$4:$FX$15,1,FALSE)=GD145,VLOOKUP(GE145,$FX$4:$FX$15,1,FALSE)=GE145,VLOOKUP(GF145,$FX$4:$FX$15,1,FALSE)=GF145,VLOOKUP(GG145,$FX$4:$FX$15,1,FALSE)=GG145,VLOOKUP(GH145,$FX$4:$FX$15,1,FALSE)=GH145,VLOOKUP(GI145,$FX$4:$FX$15,1,FALSE)=GI145),FZ145,""),"")</f>
        <v/>
      </c>
      <c r="GX145" s="142" t="n"/>
    </row>
    <row r="146" ht="14.25" customHeight="1">
      <c r="C146" s="94" t="n"/>
      <c r="J146" s="23" t="n"/>
      <c r="K146" s="16" t="n"/>
      <c r="L146" s="49" t="n"/>
      <c r="O146" s="79" t="n"/>
      <c r="P146" s="73" t="n"/>
      <c r="Q146" s="73" t="n"/>
      <c r="R146" s="73" t="n"/>
      <c r="S146" s="73" t="n"/>
      <c r="T146" s="73" t="n"/>
      <c r="U146" s="73" t="n"/>
      <c r="V146" s="156" t="n"/>
      <c r="W146" s="144" t="n"/>
      <c r="X146" s="30" t="n"/>
      <c r="Y146" s="30" t="n"/>
      <c r="Z146" s="30" t="n"/>
      <c r="AA146" s="30" t="n"/>
      <c r="AB146" s="173" t="n"/>
      <c r="BQ146" s="146" t="inlineStr">
        <is>
          <t>Match</t>
        </is>
      </c>
      <c r="BR146" s="26" t="inlineStr">
        <is>
          <t>Mitt tips</t>
        </is>
      </c>
      <c r="BS146" s="147" t="inlineStr">
        <is>
          <t>Resultat &amp; tabell</t>
        </is>
      </c>
      <c r="BT146" s="147" t="inlineStr">
        <is>
          <t>Utfall</t>
        </is>
      </c>
      <c r="BU146" s="147" t="inlineStr">
        <is>
          <t>Utfall likare</t>
        </is>
      </c>
      <c r="BV146" s="147" t="inlineStr">
        <is>
          <t>Poäng</t>
        </is>
      </c>
      <c r="FZ146" s="79" t="n">
        <v>144</v>
      </c>
      <c r="GA146" s="3">
        <f>GB146&amp;GC146&amp;GD146&amp;GE146&amp;GF146&amp;GG146&amp;GH146&amp;GI146</f>
        <v/>
      </c>
      <c r="GB146" s="3" t="inlineStr">
        <is>
          <t>E</t>
        </is>
      </c>
      <c r="GC146" s="3" t="inlineStr">
        <is>
          <t>G</t>
        </is>
      </c>
      <c r="GD146" s="3" t="inlineStr">
        <is>
          <t>B</t>
        </is>
      </c>
      <c r="GE146" s="3" t="inlineStr">
        <is>
          <t>C</t>
        </is>
      </c>
      <c r="GF146" s="3" t="inlineStr">
        <is>
          <t>H</t>
        </is>
      </c>
      <c r="GG146" s="3" t="inlineStr">
        <is>
          <t>D</t>
        </is>
      </c>
      <c r="GH146" s="3" t="inlineStr">
        <is>
          <t>L</t>
        </is>
      </c>
      <c r="GI146" s="3" t="inlineStr">
        <is>
          <t>I</t>
        </is>
      </c>
      <c r="GJ146" s="9">
        <f>VLOOKUP(GB146,$FM$3:$FN$15,2,FALSE)</f>
        <v/>
      </c>
      <c r="GK146" s="9">
        <f>VLOOKUP(GC146,$FM$3:$FN$15,2,FALSE)</f>
        <v/>
      </c>
      <c r="GL146" s="9">
        <f>VLOOKUP(GD146,$FM$3:$FN$15,2,FALSE)</f>
        <v/>
      </c>
      <c r="GM146" s="9">
        <f>VLOOKUP(GE146,$FM$3:$FN$15,2,FALSE)</f>
        <v/>
      </c>
      <c r="GN146" s="9">
        <f>VLOOKUP(GF146,$FM$3:$FN$15,2,FALSE)</f>
        <v/>
      </c>
      <c r="GO146" s="9">
        <f>VLOOKUP(GG146,$FM$3:$FN$15,2,FALSE)</f>
        <v/>
      </c>
      <c r="GP146" s="9">
        <f>VLOOKUP(GH146,$FM$3:$FN$15,2,FALSE)</f>
        <v/>
      </c>
      <c r="GQ146" s="9">
        <f>VLOOKUP(GI146,$FM$3:$FN$15,2,FALSE)</f>
        <v/>
      </c>
      <c r="GR146" s="9">
        <f>IFERROR(IF(AND(VLOOKUP(GB146,$FX$4:$FX$15,1,FALSE)=GB146,VLOOKUP(GC146,$FX$4:$FX$15,1,FALSE)=GC146,VLOOKUP(GD146,$FX$4:$FX$15,1,FALSE)=GD146,VLOOKUP(GE146,$FX$4:$FX$15,1,FALSE)=GE146,VLOOKUP(GF146,$FX$4:$FX$15,1,FALSE)=GF146,VLOOKUP(GG146,$FX$4:$FX$15,1,FALSE)=GG146,VLOOKUP(GH146,$FX$4:$FX$15,1,FALSE)=GH146,VLOOKUP(GI146,$FX$4:$FX$15,1,FALSE)=GI146),FZ146,""),"")</f>
        <v/>
      </c>
      <c r="GX146" s="142" t="n"/>
    </row>
    <row r="147" ht="14.25" customHeight="1">
      <c r="B147" s="19" t="inlineStr">
        <is>
          <t>Semifinal</t>
        </is>
      </c>
      <c r="C147" s="94" t="n"/>
      <c r="J147" s="23" t="n"/>
      <c r="K147" s="16" t="n"/>
      <c r="L147" s="49" t="n"/>
      <c r="O147" s="79" t="n"/>
      <c r="P147" s="73" t="n"/>
      <c r="Q147" s="73" t="n"/>
      <c r="R147" s="73" t="n"/>
      <c r="S147" s="73" t="n"/>
      <c r="T147" s="73" t="n"/>
      <c r="U147" s="73" t="n"/>
      <c r="V147" s="156" t="n"/>
      <c r="W147" s="144" t="n"/>
      <c r="X147" s="30" t="n"/>
      <c r="Y147" s="30" t="n"/>
      <c r="Z147" s="30" t="n"/>
      <c r="AA147" s="30" t="n"/>
      <c r="AB147" s="173" t="n"/>
      <c r="AI147" s="105" t="n"/>
      <c r="AJ147" s="105" t="n"/>
      <c r="AK147" s="105" t="n"/>
      <c r="AL147" s="16" t="n"/>
      <c r="AM147" s="16" t="n"/>
      <c r="BQ147" s="13">
        <f>B131</f>
        <v/>
      </c>
      <c r="BR147" s="155">
        <f>D131</f>
        <v/>
      </c>
      <c r="BS147" s="156">
        <f>IF(OR('[1]Resultat &amp; tabell'!G131="",'[1]Resultat &amp; tabell'!I131=""),"",'[1]Resultat &amp; tabell'!D131)</f>
        <v/>
      </c>
      <c r="BT147" s="157">
        <f>IF(ISERROR(VLOOKUP(BR147,$BS$147:$BS$162,1,FALSE)),0,1)</f>
        <v/>
      </c>
      <c r="BU147" s="158">
        <f>BT147</f>
        <v/>
      </c>
      <c r="BV147" s="79">
        <f>BU147*2</f>
        <v/>
      </c>
      <c r="FZ147" s="79" t="n">
        <v>145</v>
      </c>
      <c r="GA147" s="3">
        <f>GB147&amp;GC147&amp;GD147&amp;GE147&amp;GF147&amp;GG147&amp;GH147&amp;GI147</f>
        <v/>
      </c>
      <c r="GB147" s="3" t="inlineStr">
        <is>
          <t>E</t>
        </is>
      </c>
      <c r="GC147" s="3" t="inlineStr">
        <is>
          <t>G</t>
        </is>
      </c>
      <c r="GD147" s="3" t="inlineStr">
        <is>
          <t>B</t>
        </is>
      </c>
      <c r="GE147" s="3" t="inlineStr">
        <is>
          <t>C</t>
        </is>
      </c>
      <c r="GF147" s="3" t="inlineStr">
        <is>
          <t>H</t>
        </is>
      </c>
      <c r="GG147" s="3" t="inlineStr">
        <is>
          <t>D</t>
        </is>
      </c>
      <c r="GH147" s="3" t="inlineStr">
        <is>
          <t>I</t>
        </is>
      </c>
      <c r="GI147" s="3" t="inlineStr">
        <is>
          <t>K</t>
        </is>
      </c>
      <c r="GJ147" s="9">
        <f>VLOOKUP(GB147,$FM$3:$FN$15,2,FALSE)</f>
        <v/>
      </c>
      <c r="GK147" s="9">
        <f>VLOOKUP(GC147,$FM$3:$FN$15,2,FALSE)</f>
        <v/>
      </c>
      <c r="GL147" s="9">
        <f>VLOOKUP(GD147,$FM$3:$FN$15,2,FALSE)</f>
        <v/>
      </c>
      <c r="GM147" s="9">
        <f>VLOOKUP(GE147,$FM$3:$FN$15,2,FALSE)</f>
        <v/>
      </c>
      <c r="GN147" s="9">
        <f>VLOOKUP(GF147,$FM$3:$FN$15,2,FALSE)</f>
        <v/>
      </c>
      <c r="GO147" s="9">
        <f>VLOOKUP(GG147,$FM$3:$FN$15,2,FALSE)</f>
        <v/>
      </c>
      <c r="GP147" s="9">
        <f>VLOOKUP(GH147,$FM$3:$FN$15,2,FALSE)</f>
        <v/>
      </c>
      <c r="GQ147" s="9">
        <f>VLOOKUP(GI147,$FM$3:$FN$15,2,FALSE)</f>
        <v/>
      </c>
      <c r="GR147" s="9">
        <f>IFERROR(IF(AND(VLOOKUP(GB147,$FX$4:$FX$15,1,FALSE)=GB147,VLOOKUP(GC147,$FX$4:$FX$15,1,FALSE)=GC147,VLOOKUP(GD147,$FX$4:$FX$15,1,FALSE)=GD147,VLOOKUP(GE147,$FX$4:$FX$15,1,FALSE)=GE147,VLOOKUP(GF147,$FX$4:$FX$15,1,FALSE)=GF147,VLOOKUP(GG147,$FX$4:$FX$15,1,FALSE)=GG147,VLOOKUP(GH147,$FX$4:$FX$15,1,FALSE)=GH147,VLOOKUP(GI147,$FX$4:$FX$15,1,FALSE)=GI147),FZ147,""),"")</f>
        <v/>
      </c>
      <c r="GX147" s="27" t="n"/>
    </row>
    <row r="148" ht="14.25" customHeight="1">
      <c r="B148" s="117" t="inlineStr">
        <is>
          <t>Match</t>
        </is>
      </c>
      <c r="C148" s="107" t="inlineStr">
        <is>
          <t>Datum</t>
        </is>
      </c>
      <c r="D148" s="210" t="inlineStr">
        <is>
          <t>Match</t>
        </is>
      </c>
      <c r="E148" s="211" t="n"/>
      <c r="F148" s="212" t="n"/>
      <c r="G148" s="184" t="inlineStr">
        <is>
          <t>Resultat</t>
        </is>
      </c>
      <c r="H148" s="217" t="n"/>
      <c r="I148" s="217" t="n"/>
      <c r="J148" s="47" t="inlineStr">
        <is>
          <t>1X2</t>
        </is>
      </c>
      <c r="K148" s="48" t="inlineStr">
        <is>
          <t>Poäng</t>
        </is>
      </c>
      <c r="L148" s="49" t="n"/>
      <c r="O148" s="171" t="inlineStr">
        <is>
          <t>Vinnare semifinal</t>
        </is>
      </c>
      <c r="P148" s="145" t="n"/>
      <c r="Q148" s="18" t="n"/>
      <c r="R148" s="171" t="inlineStr">
        <is>
          <t>Bonus semifinal</t>
        </is>
      </c>
      <c r="S148" s="211" t="n"/>
      <c r="T148" s="211" t="n"/>
      <c r="U148" s="214" t="n"/>
      <c r="W148" s="174" t="inlineStr">
        <is>
          <t>Förlorare semifinal</t>
        </is>
      </c>
      <c r="X148" s="49" t="n"/>
      <c r="Y148" s="49" t="n"/>
      <c r="Z148" s="49" t="n"/>
      <c r="AA148" s="50" t="inlineStr">
        <is>
          <t>Förlorare</t>
        </is>
      </c>
      <c r="AB148" s="144" t="n"/>
      <c r="AI148" s="188" t="n"/>
      <c r="AJ148" s="12" t="n"/>
      <c r="AK148" s="12" t="n"/>
      <c r="AL148" s="16" t="n"/>
      <c r="AM148" s="16" t="n"/>
      <c r="BQ148" s="13">
        <f>B132</f>
        <v/>
      </c>
      <c r="BR148" s="155">
        <f>D132</f>
        <v/>
      </c>
      <c r="BS148" s="156">
        <f>IF(OR('[1]Resultat &amp; tabell'!G132="",'[1]Resultat &amp; tabell'!I132=""),"",'[1]Resultat &amp; tabell'!D132)</f>
        <v/>
      </c>
      <c r="BT148" s="157">
        <f>IF(ISERROR(VLOOKUP(BR148,$BS$148:$BS$162,1,FALSE)),0,1)</f>
        <v/>
      </c>
      <c r="BU148" s="158">
        <f>BT148</f>
        <v/>
      </c>
      <c r="BV148" s="79">
        <f>BU148*2</f>
        <v/>
      </c>
      <c r="FZ148" s="79" t="n">
        <v>146</v>
      </c>
      <c r="GA148" s="3">
        <f>GB148&amp;GC148&amp;GD148&amp;GE148&amp;GF148&amp;GG148&amp;GH148&amp;GI148</f>
        <v/>
      </c>
      <c r="GB148" s="3" t="inlineStr">
        <is>
          <t>H</t>
        </is>
      </c>
      <c r="GC148" s="3" t="inlineStr">
        <is>
          <t>G</t>
        </is>
      </c>
      <c r="GD148" s="3" t="inlineStr">
        <is>
          <t>B</t>
        </is>
      </c>
      <c r="GE148" s="3" t="inlineStr">
        <is>
          <t>C</t>
        </is>
      </c>
      <c r="GF148" s="3" t="inlineStr">
        <is>
          <t>J</t>
        </is>
      </c>
      <c r="GG148" s="3" t="inlineStr">
        <is>
          <t>D</t>
        </is>
      </c>
      <c r="GH148" s="3" t="inlineStr">
        <is>
          <t>E</t>
        </is>
      </c>
      <c r="GI148" s="3" t="inlineStr">
        <is>
          <t>I</t>
        </is>
      </c>
      <c r="GJ148" s="9">
        <f>VLOOKUP(GB148,$FM$3:$FN$15,2,FALSE)</f>
        <v/>
      </c>
      <c r="GK148" s="9">
        <f>VLOOKUP(GC148,$FM$3:$FN$15,2,FALSE)</f>
        <v/>
      </c>
      <c r="GL148" s="9">
        <f>VLOOKUP(GD148,$FM$3:$FN$15,2,FALSE)</f>
        <v/>
      </c>
      <c r="GM148" s="9">
        <f>VLOOKUP(GE148,$FM$3:$FN$15,2,FALSE)</f>
        <v/>
      </c>
      <c r="GN148" s="9">
        <f>VLOOKUP(GF148,$FM$3:$FN$15,2,FALSE)</f>
        <v/>
      </c>
      <c r="GO148" s="9">
        <f>VLOOKUP(GG148,$FM$3:$FN$15,2,FALSE)</f>
        <v/>
      </c>
      <c r="GP148" s="9">
        <f>VLOOKUP(GH148,$FM$3:$FN$15,2,FALSE)</f>
        <v/>
      </c>
      <c r="GQ148" s="9">
        <f>VLOOKUP(GI148,$FM$3:$FN$15,2,FALSE)</f>
        <v/>
      </c>
      <c r="GR148" s="9">
        <f>IFERROR(IF(AND(VLOOKUP(GB148,$FX$4:$FX$15,1,FALSE)=GB148,VLOOKUP(GC148,$FX$4:$FX$15,1,FALSE)=GC148,VLOOKUP(GD148,$FX$4:$FX$15,1,FALSE)=GD148,VLOOKUP(GE148,$FX$4:$FX$15,1,FALSE)=GE148,VLOOKUP(GF148,$FX$4:$FX$15,1,FALSE)=GF148,VLOOKUP(GG148,$FX$4:$FX$15,1,FALSE)=GG148,VLOOKUP(GH148,$FX$4:$FX$15,1,FALSE)=GH148,VLOOKUP(GI148,$FX$4:$FX$15,1,FALSE)=GI148),FZ148,""),"")</f>
        <v/>
      </c>
      <c r="GX148" s="27" t="n"/>
    </row>
    <row r="149" ht="14.25" customHeight="1">
      <c r="B149" s="58" t="n">
        <v>101</v>
      </c>
      <c r="C149" s="59" t="n">
        <v>46217</v>
      </c>
      <c r="D149" s="166">
        <f>IF(O142="","Vinnare match 97",O142)</f>
        <v/>
      </c>
      <c r="E149" s="172" t="inlineStr">
        <is>
          <t>-</t>
        </is>
      </c>
      <c r="F149" s="62">
        <f>IF(O143="","Vinnare match 98",O143)</f>
        <v/>
      </c>
      <c r="G149" s="63" t="n">
        <v>1</v>
      </c>
      <c r="H149" s="64" t="inlineStr">
        <is>
          <t>-</t>
        </is>
      </c>
      <c r="I149" s="63" t="n">
        <v>2</v>
      </c>
      <c r="J149" s="65">
        <f>IF(OR(ISBLANK(G149),ISBLANK(I149)),"",IF(G149&gt;I149,1,IF(G149&lt;I149,2,"X")))</f>
        <v/>
      </c>
      <c r="K149" s="66">
        <f>IF(OR(G149="",I149="",'[1]Resultat &amp; tabell'!G149="",'[1]Resultat &amp; tabell'!I149=""),0,IF(G149='[1]Resultat &amp; tabell'!G149,2,0)+IF(I149='[1]Resultat &amp; tabell'!I149,2,0)+IF(J149='[1]Resultat &amp; tabell'!J149,2,0))</f>
        <v/>
      </c>
      <c r="L149" s="67" t="n"/>
      <c r="O149" s="150" t="inlineStr">
        <is>
          <t>Spanien</t>
        </is>
      </c>
      <c r="P149" s="151">
        <f>IF(OR(ISBLANK(D149),ISBLANK(F149),J149="",O149=""),"",IF(OR(AND(J149=1,O149=D149),AND(J149=2,O149=F149),AND(J149="X",OR(O149=D149,O149=F149))),"","Ej OK"))</f>
        <v/>
      </c>
      <c r="Q149" s="18" t="n"/>
      <c r="R149" s="66">
        <f>BV181</f>
        <v/>
      </c>
      <c r="S149" s="211" t="n"/>
      <c r="T149" s="211" t="n"/>
      <c r="U149" s="214" t="n"/>
      <c r="W149" s="175">
        <f>IF(O149=D149,F149,D149)</f>
        <v/>
      </c>
      <c r="X149" s="176" t="n"/>
      <c r="Y149" s="176" t="n"/>
      <c r="Z149" s="176" t="n"/>
      <c r="AA149" s="50" t="n"/>
      <c r="AB149" s="144" t="n"/>
      <c r="AI149" s="139" t="n"/>
      <c r="AJ149" s="105" t="n"/>
      <c r="AK149" s="139" t="n"/>
      <c r="AL149" s="73" t="n"/>
      <c r="AM149" s="73" t="n"/>
      <c r="BQ149" s="13">
        <f>B133</f>
        <v/>
      </c>
      <c r="BR149" s="155">
        <f>D133</f>
        <v/>
      </c>
      <c r="BS149" s="156">
        <f>IF(OR('[1]Resultat &amp; tabell'!G133="",'[1]Resultat &amp; tabell'!I133=""),"",'[1]Resultat &amp; tabell'!D133)</f>
        <v/>
      </c>
      <c r="BT149" s="157">
        <f>IF(ISERROR(VLOOKUP(BR149,$BS$148:$BS$162,1,FALSE)),0,1)</f>
        <v/>
      </c>
      <c r="BU149" s="158">
        <f>BT149</f>
        <v/>
      </c>
      <c r="BV149" s="79">
        <f>BU149*2</f>
        <v/>
      </c>
      <c r="FZ149" s="79" t="n">
        <v>147</v>
      </c>
      <c r="GA149" s="3">
        <f>GB149&amp;GC149&amp;GD149&amp;GE149&amp;GF149&amp;GG149&amp;GH149&amp;GI149</f>
        <v/>
      </c>
      <c r="GB149" s="3" t="inlineStr">
        <is>
          <t>C</t>
        </is>
      </c>
      <c r="GC149" s="3" t="inlineStr">
        <is>
          <t>J</t>
        </is>
      </c>
      <c r="GD149" s="3" t="inlineStr">
        <is>
          <t>B</t>
        </is>
      </c>
      <c r="GE149" s="3" t="inlineStr">
        <is>
          <t>D</t>
        </is>
      </c>
      <c r="GF149" s="3" t="inlineStr">
        <is>
          <t>E</t>
        </is>
      </c>
      <c r="GG149" s="3" t="inlineStr">
        <is>
          <t>F</t>
        </is>
      </c>
      <c r="GH149" s="3" t="inlineStr">
        <is>
          <t>L</t>
        </is>
      </c>
      <c r="GI149" s="3" t="inlineStr">
        <is>
          <t>K</t>
        </is>
      </c>
      <c r="GJ149" s="9">
        <f>VLOOKUP(GB149,$FM$3:$FN$15,2,FALSE)</f>
        <v/>
      </c>
      <c r="GK149" s="9">
        <f>VLOOKUP(GC149,$FM$3:$FN$15,2,FALSE)</f>
        <v/>
      </c>
      <c r="GL149" s="9">
        <f>VLOOKUP(GD149,$FM$3:$FN$15,2,FALSE)</f>
        <v/>
      </c>
      <c r="GM149" s="9">
        <f>VLOOKUP(GE149,$FM$3:$FN$15,2,FALSE)</f>
        <v/>
      </c>
      <c r="GN149" s="9">
        <f>VLOOKUP(GF149,$FM$3:$FN$15,2,FALSE)</f>
        <v/>
      </c>
      <c r="GO149" s="9">
        <f>VLOOKUP(GG149,$FM$3:$FN$15,2,FALSE)</f>
        <v/>
      </c>
      <c r="GP149" s="9">
        <f>VLOOKUP(GH149,$FM$3:$FN$15,2,FALSE)</f>
        <v/>
      </c>
      <c r="GQ149" s="9">
        <f>VLOOKUP(GI149,$FM$3:$FN$15,2,FALSE)</f>
        <v/>
      </c>
      <c r="GR149" s="9">
        <f>IFERROR(IF(AND(VLOOKUP(GB149,$FX$4:$FX$15,1,FALSE)=GB149,VLOOKUP(GC149,$FX$4:$FX$15,1,FALSE)=GC149,VLOOKUP(GD149,$FX$4:$FX$15,1,FALSE)=GD149,VLOOKUP(GE149,$FX$4:$FX$15,1,FALSE)=GE149,VLOOKUP(GF149,$FX$4:$FX$15,1,FALSE)=GF149,VLOOKUP(GG149,$FX$4:$FX$15,1,FALSE)=GG149,VLOOKUP(GH149,$FX$4:$FX$15,1,FALSE)=GH149,VLOOKUP(GI149,$FX$4:$FX$15,1,FALSE)=GI149),FZ149,""),"")</f>
        <v/>
      </c>
      <c r="GX149" s="15" t="n"/>
    </row>
    <row r="150" ht="14.25" customHeight="1">
      <c r="B150" s="58" t="n">
        <v>102</v>
      </c>
      <c r="C150" s="59" t="n">
        <v>46218</v>
      </c>
      <c r="D150" s="166">
        <f>IF(O144="","Vinnare match 99",O144)</f>
        <v/>
      </c>
      <c r="E150" s="172" t="inlineStr">
        <is>
          <t>-</t>
        </is>
      </c>
      <c r="F150" s="62">
        <f>IF(O145="","Vinnare match 100",O145)</f>
        <v/>
      </c>
      <c r="G150" s="63" t="n">
        <v>1</v>
      </c>
      <c r="H150" s="64" t="inlineStr">
        <is>
          <t>-</t>
        </is>
      </c>
      <c r="I150" s="63" t="n">
        <v>2</v>
      </c>
      <c r="J150" s="65">
        <f>IF(OR(ISBLANK(G150),ISBLANK(I150)),"",IF(G150&gt;I150,1,IF(G150&lt;I150,2,"X")))</f>
        <v/>
      </c>
      <c r="K150" s="66">
        <f>IF(OR(G150="",I150="",'[1]Resultat &amp; tabell'!G150="",'[1]Resultat &amp; tabell'!I150=""),0,IF(G150='[1]Resultat &amp; tabell'!G150,2,0)+IF(I150='[1]Resultat &amp; tabell'!I150,2,0)+IF(J150='[1]Resultat &amp; tabell'!J150,2,0))</f>
        <v/>
      </c>
      <c r="L150" s="67" t="n"/>
      <c r="O150" s="150" t="inlineStr">
        <is>
          <t>Argentina</t>
        </is>
      </c>
      <c r="P150" s="151">
        <f>IF(OR(ISBLANK(D150),ISBLANK(F150),J150="",O150=""),"",IF(OR(AND(J150=1,O150=D150),AND(J150=2,O150=F150),AND(J150="X",OR(O150=D150,O150=F150))),"","Ej OK"))</f>
        <v/>
      </c>
      <c r="Q150" s="18" t="n"/>
      <c r="W150" s="175">
        <f>IF(O150=D150,F150,D150)</f>
        <v/>
      </c>
      <c r="X150" s="176" t="n"/>
      <c r="Y150" s="176" t="n"/>
      <c r="Z150" s="176" t="n"/>
      <c r="AA150" s="50" t="n"/>
      <c r="AB150" s="144" t="n"/>
      <c r="AI150" s="139" t="n"/>
      <c r="AJ150" s="105" t="n"/>
      <c r="AK150" s="139" t="n"/>
      <c r="AL150" s="73" t="n"/>
      <c r="AM150" s="73" t="n"/>
      <c r="BQ150" s="13">
        <f>B134</f>
        <v/>
      </c>
      <c r="BR150" s="155">
        <f>D134</f>
        <v/>
      </c>
      <c r="BS150" s="156">
        <f>IF(OR('[1]Resultat &amp; tabell'!G134="",'[1]Resultat &amp; tabell'!I134=""),"",'[1]Resultat &amp; tabell'!D134)</f>
        <v/>
      </c>
      <c r="BT150" s="157">
        <f>IF(ISERROR(VLOOKUP(BR150,$BS$148:$BS$162,1,FALSE)),0,1)</f>
        <v/>
      </c>
      <c r="BU150" s="158">
        <f>BT150</f>
        <v/>
      </c>
      <c r="BV150" s="79">
        <f>BU150*2</f>
        <v/>
      </c>
      <c r="FZ150" s="79" t="n">
        <v>148</v>
      </c>
      <c r="GA150" s="3">
        <f>GB150&amp;GC150&amp;GD150&amp;GE150&amp;GF150&amp;GG150&amp;GH150&amp;GI150</f>
        <v/>
      </c>
      <c r="GB150" s="3" t="inlineStr">
        <is>
          <t>C</t>
        </is>
      </c>
      <c r="GC150" s="3" t="inlineStr">
        <is>
          <t>E</t>
        </is>
      </c>
      <c r="GD150" s="3" t="inlineStr">
        <is>
          <t>B</t>
        </is>
      </c>
      <c r="GE150" s="3" t="inlineStr">
        <is>
          <t>D</t>
        </is>
      </c>
      <c r="GF150" s="3" t="inlineStr">
        <is>
          <t>I</t>
        </is>
      </c>
      <c r="GG150" s="3" t="inlineStr">
        <is>
          <t>F</t>
        </is>
      </c>
      <c r="GH150" s="3" t="inlineStr">
        <is>
          <t>L</t>
        </is>
      </c>
      <c r="GI150" s="3" t="inlineStr">
        <is>
          <t>K</t>
        </is>
      </c>
      <c r="GJ150" s="9">
        <f>VLOOKUP(GB150,$FM$3:$FN$15,2,FALSE)</f>
        <v/>
      </c>
      <c r="GK150" s="9">
        <f>VLOOKUP(GC150,$FM$3:$FN$15,2,FALSE)</f>
        <v/>
      </c>
      <c r="GL150" s="9">
        <f>VLOOKUP(GD150,$FM$3:$FN$15,2,FALSE)</f>
        <v/>
      </c>
      <c r="GM150" s="9">
        <f>VLOOKUP(GE150,$FM$3:$FN$15,2,FALSE)</f>
        <v/>
      </c>
      <c r="GN150" s="9">
        <f>VLOOKUP(GF150,$FM$3:$FN$15,2,FALSE)</f>
        <v/>
      </c>
      <c r="GO150" s="9">
        <f>VLOOKUP(GG150,$FM$3:$FN$15,2,FALSE)</f>
        <v/>
      </c>
      <c r="GP150" s="9">
        <f>VLOOKUP(GH150,$FM$3:$FN$15,2,FALSE)</f>
        <v/>
      </c>
      <c r="GQ150" s="9">
        <f>VLOOKUP(GI150,$FM$3:$FN$15,2,FALSE)</f>
        <v/>
      </c>
      <c r="GR150" s="9">
        <f>IFERROR(IF(AND(VLOOKUP(GB150,$FX$4:$FX$15,1,FALSE)=GB150,VLOOKUP(GC150,$FX$4:$FX$15,1,FALSE)=GC150,VLOOKUP(GD150,$FX$4:$FX$15,1,FALSE)=GD150,VLOOKUP(GE150,$FX$4:$FX$15,1,FALSE)=GE150,VLOOKUP(GF150,$FX$4:$FX$15,1,FALSE)=GF150,VLOOKUP(GG150,$FX$4:$FX$15,1,FALSE)=GG150,VLOOKUP(GH150,$FX$4:$FX$15,1,FALSE)=GH150,VLOOKUP(GI150,$FX$4:$FX$15,1,FALSE)=GI150),FZ150,""),"")</f>
        <v/>
      </c>
      <c r="GX150" s="142" t="n"/>
    </row>
    <row r="151" ht="14.25" customHeight="1">
      <c r="C151" s="94" t="n"/>
      <c r="J151" s="23" t="n"/>
      <c r="K151" s="16" t="n"/>
      <c r="L151" s="49" t="n"/>
      <c r="O151" s="156" t="n"/>
      <c r="P151" s="76" t="n"/>
      <c r="Q151" s="76" t="n"/>
      <c r="R151" s="76" t="n"/>
      <c r="S151" s="76" t="n"/>
      <c r="T151" s="76" t="n"/>
      <c r="U151" s="76" t="n"/>
      <c r="V151" s="156" t="n"/>
      <c r="W151" s="144" t="n"/>
      <c r="X151" s="30" t="n"/>
      <c r="Y151" s="30" t="n"/>
      <c r="Z151" s="30" t="n"/>
      <c r="AA151" s="30" t="n"/>
      <c r="AB151" s="173" t="n"/>
      <c r="AI151" s="105" t="n"/>
      <c r="AJ151" s="105" t="n"/>
      <c r="AK151" s="105" t="n"/>
      <c r="AL151" s="16" t="n"/>
      <c r="AM151" s="16" t="n"/>
      <c r="BQ151" s="13">
        <f>B135</f>
        <v/>
      </c>
      <c r="BR151" s="155">
        <f>D135</f>
        <v/>
      </c>
      <c r="BS151" s="156">
        <f>IF(OR('[1]Resultat &amp; tabell'!G135="",'[1]Resultat &amp; tabell'!I135=""),"",'[1]Resultat &amp; tabell'!D135)</f>
        <v/>
      </c>
      <c r="BT151" s="157">
        <f>IF(ISERROR(VLOOKUP(BR151,$BS$148:$BS$162,1,FALSE)),0,1)</f>
        <v/>
      </c>
      <c r="BU151" s="158">
        <f>BT151</f>
        <v/>
      </c>
      <c r="BV151" s="79">
        <f>BU151*2</f>
        <v/>
      </c>
      <c r="FZ151" s="79" t="n">
        <v>149</v>
      </c>
      <c r="GA151" s="3">
        <f>GB151&amp;GC151&amp;GD151&amp;GE151&amp;GF151&amp;GG151&amp;GH151&amp;GI151</f>
        <v/>
      </c>
      <c r="GB151" s="3" t="inlineStr">
        <is>
          <t>C</t>
        </is>
      </c>
      <c r="GC151" s="3" t="inlineStr">
        <is>
          <t>J</t>
        </is>
      </c>
      <c r="GD151" s="3" t="inlineStr">
        <is>
          <t>B</t>
        </is>
      </c>
      <c r="GE151" s="3" t="inlineStr">
        <is>
          <t>D</t>
        </is>
      </c>
      <c r="GF151" s="3" t="inlineStr">
        <is>
          <t>E</t>
        </is>
      </c>
      <c r="GG151" s="3" t="inlineStr">
        <is>
          <t>F</t>
        </is>
      </c>
      <c r="GH151" s="3" t="inlineStr">
        <is>
          <t>L</t>
        </is>
      </c>
      <c r="GI151" s="3" t="inlineStr">
        <is>
          <t>I</t>
        </is>
      </c>
      <c r="GJ151" s="9">
        <f>VLOOKUP(GB151,$FM$3:$FN$15,2,FALSE)</f>
        <v/>
      </c>
      <c r="GK151" s="9">
        <f>VLOOKUP(GC151,$FM$3:$FN$15,2,FALSE)</f>
        <v/>
      </c>
      <c r="GL151" s="9">
        <f>VLOOKUP(GD151,$FM$3:$FN$15,2,FALSE)</f>
        <v/>
      </c>
      <c r="GM151" s="9">
        <f>VLOOKUP(GE151,$FM$3:$FN$15,2,FALSE)</f>
        <v/>
      </c>
      <c r="GN151" s="9">
        <f>VLOOKUP(GF151,$FM$3:$FN$15,2,FALSE)</f>
        <v/>
      </c>
      <c r="GO151" s="9">
        <f>VLOOKUP(GG151,$FM$3:$FN$15,2,FALSE)</f>
        <v/>
      </c>
      <c r="GP151" s="9">
        <f>VLOOKUP(GH151,$FM$3:$FN$15,2,FALSE)</f>
        <v/>
      </c>
      <c r="GQ151" s="9">
        <f>VLOOKUP(GI151,$FM$3:$FN$15,2,FALSE)</f>
        <v/>
      </c>
      <c r="GR151" s="9">
        <f>IFERROR(IF(AND(VLOOKUP(GB151,$FX$4:$FX$15,1,FALSE)=GB151,VLOOKUP(GC151,$FX$4:$FX$15,1,FALSE)=GC151,VLOOKUP(GD151,$FX$4:$FX$15,1,FALSE)=GD151,VLOOKUP(GE151,$FX$4:$FX$15,1,FALSE)=GE151,VLOOKUP(GF151,$FX$4:$FX$15,1,FALSE)=GF151,VLOOKUP(GG151,$FX$4:$FX$15,1,FALSE)=GG151,VLOOKUP(GH151,$FX$4:$FX$15,1,FALSE)=GH151,VLOOKUP(GI151,$FX$4:$FX$15,1,FALSE)=GI151),FZ151,""),"")</f>
        <v/>
      </c>
      <c r="GX151" s="142" t="n"/>
    </row>
    <row r="152" ht="14.25" customHeight="1">
      <c r="B152" s="19" t="inlineStr">
        <is>
          <t>Bronsmatch</t>
        </is>
      </c>
      <c r="C152" s="94" t="n"/>
      <c r="J152" s="23" t="n"/>
      <c r="K152" s="16" t="n"/>
      <c r="L152" s="49" t="n"/>
      <c r="O152" s="156" t="n"/>
      <c r="P152" s="76" t="n"/>
      <c r="Q152" s="76" t="n"/>
      <c r="R152" s="76" t="n"/>
      <c r="S152" s="76" t="n"/>
      <c r="T152" s="76" t="n"/>
      <c r="U152" s="76" t="n"/>
      <c r="V152" s="156" t="n"/>
      <c r="W152" s="144" t="n"/>
      <c r="X152" s="30" t="n"/>
      <c r="Y152" s="30" t="n"/>
      <c r="Z152" s="30" t="n"/>
      <c r="AA152" s="30" t="n"/>
      <c r="AB152" s="173" t="n"/>
      <c r="AI152" s="105" t="n"/>
      <c r="AJ152" s="105" t="n"/>
      <c r="AK152" s="105" t="n"/>
      <c r="AL152" s="16" t="n"/>
      <c r="AM152" s="16" t="n"/>
      <c r="BQ152" s="13">
        <f>B136</f>
        <v/>
      </c>
      <c r="BR152" s="155">
        <f>D136</f>
        <v/>
      </c>
      <c r="BS152" s="156">
        <f>IF(OR('[1]Resultat &amp; tabell'!G136="",'[1]Resultat &amp; tabell'!I136=""),"",'[1]Resultat &amp; tabell'!D136)</f>
        <v/>
      </c>
      <c r="BT152" s="157">
        <f>IF(ISERROR(VLOOKUP(BR152,$BS$148:$BS$162,1,FALSE)),0,1)</f>
        <v/>
      </c>
      <c r="BU152" s="158">
        <f>BT152</f>
        <v/>
      </c>
      <c r="BV152" s="79">
        <f>BU152*2</f>
        <v/>
      </c>
      <c r="FZ152" s="79" t="n">
        <v>150</v>
      </c>
      <c r="GA152" s="3">
        <f>GB152&amp;GC152&amp;GD152&amp;GE152&amp;GF152&amp;GG152&amp;GH152&amp;GI152</f>
        <v/>
      </c>
      <c r="GB152" s="3" t="inlineStr">
        <is>
          <t>C</t>
        </is>
      </c>
      <c r="GC152" s="3" t="inlineStr">
        <is>
          <t>J</t>
        </is>
      </c>
      <c r="GD152" s="3" t="inlineStr">
        <is>
          <t>B</t>
        </is>
      </c>
      <c r="GE152" s="3" t="inlineStr">
        <is>
          <t>D</t>
        </is>
      </c>
      <c r="GF152" s="3" t="inlineStr">
        <is>
          <t>E</t>
        </is>
      </c>
      <c r="GG152" s="3" t="inlineStr">
        <is>
          <t>F</t>
        </is>
      </c>
      <c r="GH152" s="3" t="inlineStr">
        <is>
          <t>I</t>
        </is>
      </c>
      <c r="GI152" s="3" t="inlineStr">
        <is>
          <t>K</t>
        </is>
      </c>
      <c r="GJ152" s="9">
        <f>VLOOKUP(GB152,$FM$3:$FN$15,2,FALSE)</f>
        <v/>
      </c>
      <c r="GK152" s="9">
        <f>VLOOKUP(GC152,$FM$3:$FN$15,2,FALSE)</f>
        <v/>
      </c>
      <c r="GL152" s="9">
        <f>VLOOKUP(GD152,$FM$3:$FN$15,2,FALSE)</f>
        <v/>
      </c>
      <c r="GM152" s="9">
        <f>VLOOKUP(GE152,$FM$3:$FN$15,2,FALSE)</f>
        <v/>
      </c>
      <c r="GN152" s="9">
        <f>VLOOKUP(GF152,$FM$3:$FN$15,2,FALSE)</f>
        <v/>
      </c>
      <c r="GO152" s="9">
        <f>VLOOKUP(GG152,$FM$3:$FN$15,2,FALSE)</f>
        <v/>
      </c>
      <c r="GP152" s="9">
        <f>VLOOKUP(GH152,$FM$3:$FN$15,2,FALSE)</f>
        <v/>
      </c>
      <c r="GQ152" s="9">
        <f>VLOOKUP(GI152,$FM$3:$FN$15,2,FALSE)</f>
        <v/>
      </c>
      <c r="GR152" s="9">
        <f>IFERROR(IF(AND(VLOOKUP(GB152,$FX$4:$FX$15,1,FALSE)=GB152,VLOOKUP(GC152,$FX$4:$FX$15,1,FALSE)=GC152,VLOOKUP(GD152,$FX$4:$FX$15,1,FALSE)=GD152,VLOOKUP(GE152,$FX$4:$FX$15,1,FALSE)=GE152,VLOOKUP(GF152,$FX$4:$FX$15,1,FALSE)=GF152,VLOOKUP(GG152,$FX$4:$FX$15,1,FALSE)=GG152,VLOOKUP(GH152,$FX$4:$FX$15,1,FALSE)=GH152,VLOOKUP(GI152,$FX$4:$FX$15,1,FALSE)=GI152),FZ152,""),"")</f>
        <v/>
      </c>
      <c r="GX152" s="142" t="n"/>
    </row>
    <row r="153" ht="14.25" customHeight="1">
      <c r="B153" s="117" t="inlineStr">
        <is>
          <t>Match</t>
        </is>
      </c>
      <c r="C153" s="107" t="inlineStr">
        <is>
          <t>Datum</t>
        </is>
      </c>
      <c r="D153" s="181" t="inlineStr">
        <is>
          <t>Match</t>
        </is>
      </c>
      <c r="E153" s="211" t="n"/>
      <c r="F153" s="211" t="n"/>
      <c r="G153" s="219" t="inlineStr">
        <is>
          <t>Resultat</t>
        </is>
      </c>
      <c r="H153" s="217" t="n"/>
      <c r="I153" s="218" t="n"/>
      <c r="J153" s="47" t="inlineStr">
        <is>
          <t>1X2</t>
        </is>
      </c>
      <c r="K153" s="48" t="inlineStr">
        <is>
          <t>Poäng</t>
        </is>
      </c>
      <c r="L153" s="49" t="n"/>
      <c r="O153" s="171" t="inlineStr">
        <is>
          <t>Vinnare bronsmatch</t>
        </is>
      </c>
      <c r="P153" s="145" t="n"/>
      <c r="Q153" s="16" t="n"/>
      <c r="R153" s="171" t="inlineStr">
        <is>
          <t>Bonus bronsmatch</t>
        </is>
      </c>
      <c r="S153" s="211" t="n"/>
      <c r="T153" s="211" t="n"/>
      <c r="U153" s="214" t="n"/>
      <c r="V153" s="156" t="n"/>
      <c r="W153" s="144" t="n"/>
      <c r="X153" s="30" t="n"/>
      <c r="Y153" s="30" t="n"/>
      <c r="Z153" s="30" t="n"/>
      <c r="AA153" s="30" t="n"/>
      <c r="AB153" s="173" t="n"/>
      <c r="AI153" s="188" t="n"/>
      <c r="AJ153" s="12" t="n"/>
      <c r="AK153" s="12" t="n"/>
      <c r="AL153" s="16" t="n"/>
      <c r="AM153" s="16" t="n"/>
      <c r="BQ153" s="13">
        <f>B137</f>
        <v/>
      </c>
      <c r="BR153" s="155">
        <f>D137</f>
        <v/>
      </c>
      <c r="BS153" s="156">
        <f>IF(OR('[1]Resultat &amp; tabell'!G137="",'[1]Resultat &amp; tabell'!I137=""),"",'[1]Resultat &amp; tabell'!D137)</f>
        <v/>
      </c>
      <c r="BT153" s="157">
        <f>IF(ISERROR(VLOOKUP(BR153,$BS$148:$BS$162,1,FALSE)),0,1)</f>
        <v/>
      </c>
      <c r="BU153" s="158">
        <f>BT153</f>
        <v/>
      </c>
      <c r="BV153" s="79">
        <f>BU153*2</f>
        <v/>
      </c>
      <c r="FZ153" s="79" t="n">
        <v>151</v>
      </c>
      <c r="GA153" s="3">
        <f>GB153&amp;GC153&amp;GD153&amp;GE153&amp;GF153&amp;GG153&amp;GH153&amp;GI153</f>
        <v/>
      </c>
      <c r="GB153" s="3" t="inlineStr">
        <is>
          <t>C</t>
        </is>
      </c>
      <c r="GC153" s="3" t="inlineStr">
        <is>
          <t>E</t>
        </is>
      </c>
      <c r="GD153" s="3" t="inlineStr">
        <is>
          <t>B</t>
        </is>
      </c>
      <c r="GE153" s="3" t="inlineStr">
        <is>
          <t>D</t>
        </is>
      </c>
      <c r="GF153" s="3" t="inlineStr">
        <is>
          <t>H</t>
        </is>
      </c>
      <c r="GG153" s="3" t="inlineStr">
        <is>
          <t>F</t>
        </is>
      </c>
      <c r="GH153" s="3" t="inlineStr">
        <is>
          <t>L</t>
        </is>
      </c>
      <c r="GI153" s="3" t="inlineStr">
        <is>
          <t>K</t>
        </is>
      </c>
      <c r="GJ153" s="9">
        <f>VLOOKUP(GB153,$FM$3:$FN$15,2,FALSE)</f>
        <v/>
      </c>
      <c r="GK153" s="9">
        <f>VLOOKUP(GC153,$FM$3:$FN$15,2,FALSE)</f>
        <v/>
      </c>
      <c r="GL153" s="9">
        <f>VLOOKUP(GD153,$FM$3:$FN$15,2,FALSE)</f>
        <v/>
      </c>
      <c r="GM153" s="9">
        <f>VLOOKUP(GE153,$FM$3:$FN$15,2,FALSE)</f>
        <v/>
      </c>
      <c r="GN153" s="9">
        <f>VLOOKUP(GF153,$FM$3:$FN$15,2,FALSE)</f>
        <v/>
      </c>
      <c r="GO153" s="9">
        <f>VLOOKUP(GG153,$FM$3:$FN$15,2,FALSE)</f>
        <v/>
      </c>
      <c r="GP153" s="9">
        <f>VLOOKUP(GH153,$FM$3:$FN$15,2,FALSE)</f>
        <v/>
      </c>
      <c r="GQ153" s="9">
        <f>VLOOKUP(GI153,$FM$3:$FN$15,2,FALSE)</f>
        <v/>
      </c>
      <c r="GR153" s="9">
        <f>IFERROR(IF(AND(VLOOKUP(GB153,$FX$4:$FX$15,1,FALSE)=GB153,VLOOKUP(GC153,$FX$4:$FX$15,1,FALSE)=GC153,VLOOKUP(GD153,$FX$4:$FX$15,1,FALSE)=GD153,VLOOKUP(GE153,$FX$4:$FX$15,1,FALSE)=GE153,VLOOKUP(GF153,$FX$4:$FX$15,1,FALSE)=GF153,VLOOKUP(GG153,$FX$4:$FX$15,1,FALSE)=GG153,VLOOKUP(GH153,$FX$4:$FX$15,1,FALSE)=GH153,VLOOKUP(GI153,$FX$4:$FX$15,1,FALSE)=GI153),FZ153,""),"")</f>
        <v/>
      </c>
      <c r="GX153" s="142" t="n"/>
    </row>
    <row r="154" ht="14.25" customHeight="1">
      <c r="B154" s="58" t="n">
        <v>103</v>
      </c>
      <c r="C154" s="59" t="n">
        <v>46221</v>
      </c>
      <c r="D154" s="166">
        <f>IF(O149="","Förlorare match 101",W149)</f>
        <v/>
      </c>
      <c r="E154" s="172" t="inlineStr">
        <is>
          <t>-</t>
        </is>
      </c>
      <c r="F154" s="62">
        <f>IF(O150="","Förlorare match 102",W150)</f>
        <v/>
      </c>
      <c r="G154" s="63" t="n">
        <v>2</v>
      </c>
      <c r="H154" s="64" t="inlineStr">
        <is>
          <t>-</t>
        </is>
      </c>
      <c r="I154" s="63" t="n">
        <v>1</v>
      </c>
      <c r="J154" s="65">
        <f>IF(OR(ISBLANK(G154),ISBLANK(I154)),"",IF(G154&gt;I154,1,IF(G154&lt;I154,2,"X")))</f>
        <v/>
      </c>
      <c r="K154" s="66">
        <f>IF(OR(G154="",I154="",'[1]Resultat &amp; tabell'!G154="",'[1]Resultat &amp; tabell'!I154=""),0,IF(G154='[1]Resultat &amp; tabell'!G154,2,0)+IF(I154='[1]Resultat &amp; tabell'!I154,2,0)+IF(J154='[1]Resultat &amp; tabell'!J154,2,0))</f>
        <v/>
      </c>
      <c r="L154" s="67" t="n"/>
      <c r="O154" s="150" t="inlineStr">
        <is>
          <t>Frankrike</t>
        </is>
      </c>
      <c r="P154" s="151">
        <f>IF(OR(ISBLANK(D154),ISBLANK(F154),J154="",O154=""),"",IF(OR(AND(J154=1,O154=D154),AND(J154=2,O154=F154),AND(J154="X",OR(O154=D154,O154=F154))),"","Ej OK"))</f>
        <v/>
      </c>
      <c r="Q154" s="168" t="n"/>
      <c r="R154" s="66">
        <f>BV186</f>
        <v/>
      </c>
      <c r="S154" s="211" t="n"/>
      <c r="T154" s="211" t="n"/>
      <c r="U154" s="214" t="n"/>
      <c r="V154" s="156" t="n"/>
      <c r="W154" s="18" t="n"/>
      <c r="X154" s="79" t="n"/>
      <c r="Y154" s="79" t="n"/>
      <c r="Z154" s="79" t="n"/>
      <c r="AA154" s="79" t="n"/>
      <c r="AB154" s="165" t="n"/>
      <c r="AI154" s="139" t="n"/>
      <c r="AJ154" s="105" t="n"/>
      <c r="AK154" s="139" t="n"/>
      <c r="AL154" s="73" t="n"/>
      <c r="AM154" s="73" t="n"/>
      <c r="BQ154" s="13">
        <f>B138</f>
        <v/>
      </c>
      <c r="BR154" s="155">
        <f>D138</f>
        <v/>
      </c>
      <c r="BS154" s="156">
        <f>IF(OR('[1]Resultat &amp; tabell'!G138="",'[1]Resultat &amp; tabell'!I138=""),"",'[1]Resultat &amp; tabell'!D138)</f>
        <v/>
      </c>
      <c r="BT154" s="157">
        <f>IF(ISERROR(VLOOKUP(BR154,$BS$148:$BS$162,1,FALSE)),0,1)</f>
        <v/>
      </c>
      <c r="BU154" s="158">
        <f>BT154</f>
        <v/>
      </c>
      <c r="BV154" s="79">
        <f>BU154*2</f>
        <v/>
      </c>
      <c r="FZ154" s="79" t="n">
        <v>152</v>
      </c>
      <c r="GA154" s="3">
        <f>GB154&amp;GC154&amp;GD154&amp;GE154&amp;GF154&amp;GG154&amp;GH154&amp;GI154</f>
        <v/>
      </c>
      <c r="GB154" s="3" t="inlineStr">
        <is>
          <t>C</t>
        </is>
      </c>
      <c r="GC154" s="3" t="inlineStr">
        <is>
          <t>J</t>
        </is>
      </c>
      <c r="GD154" s="3" t="inlineStr">
        <is>
          <t>B</t>
        </is>
      </c>
      <c r="GE154" s="3" t="inlineStr">
        <is>
          <t>D</t>
        </is>
      </c>
      <c r="GF154" s="3" t="inlineStr">
        <is>
          <t>H</t>
        </is>
      </c>
      <c r="GG154" s="3" t="inlineStr">
        <is>
          <t>F</t>
        </is>
      </c>
      <c r="GH154" s="3" t="inlineStr">
        <is>
          <t>L</t>
        </is>
      </c>
      <c r="GI154" s="3" t="inlineStr">
        <is>
          <t>E</t>
        </is>
      </c>
      <c r="GJ154" s="9">
        <f>VLOOKUP(GB154,$FM$3:$FN$15,2,FALSE)</f>
        <v/>
      </c>
      <c r="GK154" s="9">
        <f>VLOOKUP(GC154,$FM$3:$FN$15,2,FALSE)</f>
        <v/>
      </c>
      <c r="GL154" s="9">
        <f>VLOOKUP(GD154,$FM$3:$FN$15,2,FALSE)</f>
        <v/>
      </c>
      <c r="GM154" s="9">
        <f>VLOOKUP(GE154,$FM$3:$FN$15,2,FALSE)</f>
        <v/>
      </c>
      <c r="GN154" s="9">
        <f>VLOOKUP(GF154,$FM$3:$FN$15,2,FALSE)</f>
        <v/>
      </c>
      <c r="GO154" s="9">
        <f>VLOOKUP(GG154,$FM$3:$FN$15,2,FALSE)</f>
        <v/>
      </c>
      <c r="GP154" s="9">
        <f>VLOOKUP(GH154,$FM$3:$FN$15,2,FALSE)</f>
        <v/>
      </c>
      <c r="GQ154" s="9">
        <f>VLOOKUP(GI154,$FM$3:$FN$15,2,FALSE)</f>
        <v/>
      </c>
      <c r="GR154" s="9">
        <f>IFERROR(IF(AND(VLOOKUP(GB154,$FX$4:$FX$15,1,FALSE)=GB154,VLOOKUP(GC154,$FX$4:$FX$15,1,FALSE)=GC154,VLOOKUP(GD154,$FX$4:$FX$15,1,FALSE)=GD154,VLOOKUP(GE154,$FX$4:$FX$15,1,FALSE)=GE154,VLOOKUP(GF154,$FX$4:$FX$15,1,FALSE)=GF154,VLOOKUP(GG154,$FX$4:$FX$15,1,FALSE)=GG154,VLOOKUP(GH154,$FX$4:$FX$15,1,FALSE)=GH154,VLOOKUP(GI154,$FX$4:$FX$15,1,FALSE)=GI154),FZ154,""),"")</f>
        <v/>
      </c>
      <c r="GX154" s="142" t="n"/>
    </row>
    <row r="155" ht="14.25" customHeight="1">
      <c r="C155" s="94" t="n"/>
      <c r="J155" s="23" t="n"/>
      <c r="K155" s="16" t="n"/>
      <c r="L155" s="49" t="n"/>
      <c r="O155" s="156" t="n"/>
      <c r="P155" s="76" t="n"/>
      <c r="Q155" s="76" t="n"/>
      <c r="R155" s="76" t="n"/>
      <c r="S155" s="76" t="n"/>
      <c r="T155" s="76" t="n"/>
      <c r="U155" s="76" t="n"/>
      <c r="V155" s="156" t="n"/>
      <c r="W155" s="18" t="n"/>
      <c r="X155" s="79" t="n"/>
      <c r="Y155" s="79" t="n"/>
      <c r="Z155" s="79" t="n"/>
      <c r="AA155" s="79" t="n"/>
      <c r="AB155" s="165" t="n"/>
      <c r="AI155" s="105" t="n"/>
      <c r="AJ155" s="105" t="n"/>
      <c r="AK155" s="105" t="n"/>
      <c r="AL155" s="16" t="n"/>
      <c r="AM155" s="16" t="n"/>
      <c r="BQ155" s="13">
        <f>B131</f>
        <v/>
      </c>
      <c r="BR155" s="12">
        <f>F131</f>
        <v/>
      </c>
      <c r="BS155" s="156">
        <f>IF(OR('[1]Resultat &amp; tabell'!G131="",'[1]Resultat &amp; tabell'!I131=""),"",'[1]Resultat &amp; tabell'!F131)</f>
        <v/>
      </c>
      <c r="BT155" s="157">
        <f>IF(ISERROR(VLOOKUP(BR155,$BS$148:$BS$162,1,FALSE)),0,1)</f>
        <v/>
      </c>
      <c r="BU155" s="158">
        <f>BT155</f>
        <v/>
      </c>
      <c r="BV155" s="79">
        <f>BU155*2</f>
        <v/>
      </c>
      <c r="FZ155" s="79" t="n">
        <v>153</v>
      </c>
      <c r="GA155" s="3">
        <f>GB155&amp;GC155&amp;GD155&amp;GE155&amp;GF155&amp;GG155&amp;GH155&amp;GI155</f>
        <v/>
      </c>
      <c r="GB155" s="3" t="inlineStr">
        <is>
          <t>C</t>
        </is>
      </c>
      <c r="GC155" s="3" t="inlineStr">
        <is>
          <t>J</t>
        </is>
      </c>
      <c r="GD155" s="3" t="inlineStr">
        <is>
          <t>B</t>
        </is>
      </c>
      <c r="GE155" s="3" t="inlineStr">
        <is>
          <t>D</t>
        </is>
      </c>
      <c r="GF155" s="3" t="inlineStr">
        <is>
          <t>H</t>
        </is>
      </c>
      <c r="GG155" s="3" t="inlineStr">
        <is>
          <t>F</t>
        </is>
      </c>
      <c r="GH155" s="3" t="inlineStr">
        <is>
          <t>E</t>
        </is>
      </c>
      <c r="GI155" s="3" t="inlineStr">
        <is>
          <t>K</t>
        </is>
      </c>
      <c r="GJ155" s="9">
        <f>VLOOKUP(GB155,$FM$3:$FN$15,2,FALSE)</f>
        <v/>
      </c>
      <c r="GK155" s="9">
        <f>VLOOKUP(GC155,$FM$3:$FN$15,2,FALSE)</f>
        <v/>
      </c>
      <c r="GL155" s="9">
        <f>VLOOKUP(GD155,$FM$3:$FN$15,2,FALSE)</f>
        <v/>
      </c>
      <c r="GM155" s="9">
        <f>VLOOKUP(GE155,$FM$3:$FN$15,2,FALSE)</f>
        <v/>
      </c>
      <c r="GN155" s="9">
        <f>VLOOKUP(GF155,$FM$3:$FN$15,2,FALSE)</f>
        <v/>
      </c>
      <c r="GO155" s="9">
        <f>VLOOKUP(GG155,$FM$3:$FN$15,2,FALSE)</f>
        <v/>
      </c>
      <c r="GP155" s="9">
        <f>VLOOKUP(GH155,$FM$3:$FN$15,2,FALSE)</f>
        <v/>
      </c>
      <c r="GQ155" s="9">
        <f>VLOOKUP(GI155,$FM$3:$FN$15,2,FALSE)</f>
        <v/>
      </c>
      <c r="GR155" s="9">
        <f>IFERROR(IF(AND(VLOOKUP(GB155,$FX$4:$FX$15,1,FALSE)=GB155,VLOOKUP(GC155,$FX$4:$FX$15,1,FALSE)=GC155,VLOOKUP(GD155,$FX$4:$FX$15,1,FALSE)=GD155,VLOOKUP(GE155,$FX$4:$FX$15,1,FALSE)=GE155,VLOOKUP(GF155,$FX$4:$FX$15,1,FALSE)=GF155,VLOOKUP(GG155,$FX$4:$FX$15,1,FALSE)=GG155,VLOOKUP(GH155,$FX$4:$FX$15,1,FALSE)=GH155,VLOOKUP(GI155,$FX$4:$FX$15,1,FALSE)=GI155),FZ155,""),"")</f>
        <v/>
      </c>
      <c r="GX155" s="142" t="n"/>
    </row>
    <row r="156" ht="14.25" customHeight="1">
      <c r="B156" s="19" t="inlineStr">
        <is>
          <t>Final</t>
        </is>
      </c>
      <c r="C156" s="97" t="n"/>
      <c r="D156" s="126" t="n"/>
      <c r="E156" s="33" t="n"/>
      <c r="F156" s="126" t="n"/>
      <c r="G156" s="25" t="n"/>
      <c r="H156" s="25" t="n"/>
      <c r="I156" s="25" t="n"/>
      <c r="J156" s="23" t="n"/>
      <c r="K156" s="16" t="n"/>
      <c r="L156" s="49" t="n"/>
      <c r="O156" s="156" t="n"/>
      <c r="P156" s="76" t="n"/>
      <c r="Q156" s="76" t="n"/>
      <c r="R156" s="76" t="n"/>
      <c r="S156" s="76" t="n"/>
      <c r="T156" s="76" t="n"/>
      <c r="U156" s="76" t="n"/>
      <c r="V156" s="50" t="n"/>
      <c r="AI156" s="188" t="n"/>
      <c r="AJ156" s="188" t="n"/>
      <c r="AK156" s="188" t="n"/>
      <c r="AL156" s="16" t="n"/>
      <c r="AM156" s="16" t="n"/>
      <c r="BQ156" s="13">
        <f>B132</f>
        <v/>
      </c>
      <c r="BR156" s="12">
        <f>F132</f>
        <v/>
      </c>
      <c r="BS156" s="156">
        <f>IF(OR('[1]Resultat &amp; tabell'!G132="",'[1]Resultat &amp; tabell'!I132=""),"",'[1]Resultat &amp; tabell'!F132)</f>
        <v/>
      </c>
      <c r="BT156" s="157">
        <f>IF(ISERROR(VLOOKUP(BR156,$BS$148:$BS$162,1,FALSE)),0,1)</f>
        <v/>
      </c>
      <c r="BU156" s="158">
        <f>BT156</f>
        <v/>
      </c>
      <c r="BV156" s="79">
        <f>BU156*2</f>
        <v/>
      </c>
      <c r="FZ156" s="79" t="n">
        <v>154</v>
      </c>
      <c r="GA156" s="3">
        <f>GB156&amp;GC156&amp;GD156&amp;GE156&amp;GF156&amp;GG156&amp;GH156&amp;GI156</f>
        <v/>
      </c>
      <c r="GB156" s="3" t="inlineStr">
        <is>
          <t>C</t>
        </is>
      </c>
      <c r="GC156" s="3" t="inlineStr">
        <is>
          <t>E</t>
        </is>
      </c>
      <c r="GD156" s="3" t="inlineStr">
        <is>
          <t>B</t>
        </is>
      </c>
      <c r="GE156" s="3" t="inlineStr">
        <is>
          <t>D</t>
        </is>
      </c>
      <c r="GF156" s="3" t="inlineStr">
        <is>
          <t>H</t>
        </is>
      </c>
      <c r="GG156" s="3" t="inlineStr">
        <is>
          <t>F</t>
        </is>
      </c>
      <c r="GH156" s="3" t="inlineStr">
        <is>
          <t>L</t>
        </is>
      </c>
      <c r="GI156" s="3" t="inlineStr">
        <is>
          <t>I</t>
        </is>
      </c>
      <c r="GJ156" s="9">
        <f>VLOOKUP(GB156,$FM$3:$FN$15,2,FALSE)</f>
        <v/>
      </c>
      <c r="GK156" s="9">
        <f>VLOOKUP(GC156,$FM$3:$FN$15,2,FALSE)</f>
        <v/>
      </c>
      <c r="GL156" s="9">
        <f>VLOOKUP(GD156,$FM$3:$FN$15,2,FALSE)</f>
        <v/>
      </c>
      <c r="GM156" s="9">
        <f>VLOOKUP(GE156,$FM$3:$FN$15,2,FALSE)</f>
        <v/>
      </c>
      <c r="GN156" s="9">
        <f>VLOOKUP(GF156,$FM$3:$FN$15,2,FALSE)</f>
        <v/>
      </c>
      <c r="GO156" s="9">
        <f>VLOOKUP(GG156,$FM$3:$FN$15,2,FALSE)</f>
        <v/>
      </c>
      <c r="GP156" s="9">
        <f>VLOOKUP(GH156,$FM$3:$FN$15,2,FALSE)</f>
        <v/>
      </c>
      <c r="GQ156" s="9">
        <f>VLOOKUP(GI156,$FM$3:$FN$15,2,FALSE)</f>
        <v/>
      </c>
      <c r="GR156" s="9">
        <f>IFERROR(IF(AND(VLOOKUP(GB156,$FX$4:$FX$15,1,FALSE)=GB156,VLOOKUP(GC156,$FX$4:$FX$15,1,FALSE)=GC156,VLOOKUP(GD156,$FX$4:$FX$15,1,FALSE)=GD156,VLOOKUP(GE156,$FX$4:$FX$15,1,FALSE)=GE156,VLOOKUP(GF156,$FX$4:$FX$15,1,FALSE)=GF156,VLOOKUP(GG156,$FX$4:$FX$15,1,FALSE)=GG156,VLOOKUP(GH156,$FX$4:$FX$15,1,FALSE)=GH156,VLOOKUP(GI156,$FX$4:$FX$15,1,FALSE)=GI156),FZ156,""),"")</f>
        <v/>
      </c>
      <c r="GX156" s="142" t="n"/>
    </row>
    <row r="157" ht="14.25" customHeight="1">
      <c r="B157" s="117" t="inlineStr">
        <is>
          <t>Match</t>
        </is>
      </c>
      <c r="C157" s="107" t="inlineStr">
        <is>
          <t>Datum</t>
        </is>
      </c>
      <c r="D157" s="210" t="inlineStr">
        <is>
          <t>Match</t>
        </is>
      </c>
      <c r="E157" s="211" t="n"/>
      <c r="F157" s="212" t="n"/>
      <c r="G157" s="184" t="inlineStr">
        <is>
          <t>Resultat</t>
        </is>
      </c>
      <c r="H157" s="217" t="n"/>
      <c r="I157" s="217" t="n"/>
      <c r="J157" s="47" t="inlineStr">
        <is>
          <t>1X2</t>
        </is>
      </c>
      <c r="K157" s="48" t="inlineStr">
        <is>
          <t>Poäng</t>
        </is>
      </c>
      <c r="L157" s="49" t="n"/>
      <c r="O157" s="171" t="inlineStr">
        <is>
          <t>Vinnare final</t>
        </is>
      </c>
      <c r="P157" s="145" t="n"/>
      <c r="Q157" s="16" t="n"/>
      <c r="R157" s="171" t="inlineStr">
        <is>
          <t>Bonus final</t>
        </is>
      </c>
      <c r="S157" s="211" t="n"/>
      <c r="T157" s="211" t="n"/>
      <c r="U157" s="214" t="n"/>
      <c r="V157" s="50" t="n"/>
      <c r="AI157" s="188" t="n"/>
      <c r="AJ157" s="12" t="n"/>
      <c r="AK157" s="12" t="n"/>
      <c r="AL157" s="16" t="n"/>
      <c r="AM157" s="16" t="n"/>
      <c r="BQ157" s="13">
        <f>B133</f>
        <v/>
      </c>
      <c r="BR157" s="12">
        <f>F133</f>
        <v/>
      </c>
      <c r="BS157" s="156">
        <f>IF(OR('[1]Resultat &amp; tabell'!G133="",'[1]Resultat &amp; tabell'!I133=""),"",'[1]Resultat &amp; tabell'!F133)</f>
        <v/>
      </c>
      <c r="BT157" s="157">
        <f>IF(ISERROR(VLOOKUP(BR157,$BS$148:$BS$162,1,FALSE)),0,1)</f>
        <v/>
      </c>
      <c r="BU157" s="158">
        <f>BT157</f>
        <v/>
      </c>
      <c r="BV157" s="79">
        <f>BU157*2</f>
        <v/>
      </c>
      <c r="FZ157" s="79" t="n">
        <v>155</v>
      </c>
      <c r="GA157" s="3">
        <f>GB157&amp;GC157&amp;GD157&amp;GE157&amp;GF157&amp;GG157&amp;GH157&amp;GI157</f>
        <v/>
      </c>
      <c r="GB157" s="3" t="inlineStr">
        <is>
          <t>C</t>
        </is>
      </c>
      <c r="GC157" s="3" t="inlineStr">
        <is>
          <t>E</t>
        </is>
      </c>
      <c r="GD157" s="3" t="inlineStr">
        <is>
          <t>B</t>
        </is>
      </c>
      <c r="GE157" s="3" t="inlineStr">
        <is>
          <t>D</t>
        </is>
      </c>
      <c r="GF157" s="3" t="inlineStr">
        <is>
          <t>H</t>
        </is>
      </c>
      <c r="GG157" s="3" t="inlineStr">
        <is>
          <t>F</t>
        </is>
      </c>
      <c r="GH157" s="3" t="inlineStr">
        <is>
          <t>I</t>
        </is>
      </c>
      <c r="GI157" s="3" t="inlineStr">
        <is>
          <t>K</t>
        </is>
      </c>
      <c r="GJ157" s="9">
        <f>VLOOKUP(GB157,$FM$3:$FN$15,2,FALSE)</f>
        <v/>
      </c>
      <c r="GK157" s="9">
        <f>VLOOKUP(GC157,$FM$3:$FN$15,2,FALSE)</f>
        <v/>
      </c>
      <c r="GL157" s="9">
        <f>VLOOKUP(GD157,$FM$3:$FN$15,2,FALSE)</f>
        <v/>
      </c>
      <c r="GM157" s="9">
        <f>VLOOKUP(GE157,$FM$3:$FN$15,2,FALSE)</f>
        <v/>
      </c>
      <c r="GN157" s="9">
        <f>VLOOKUP(GF157,$FM$3:$FN$15,2,FALSE)</f>
        <v/>
      </c>
      <c r="GO157" s="9">
        <f>VLOOKUP(GG157,$FM$3:$FN$15,2,FALSE)</f>
        <v/>
      </c>
      <c r="GP157" s="9">
        <f>VLOOKUP(GH157,$FM$3:$FN$15,2,FALSE)</f>
        <v/>
      </c>
      <c r="GQ157" s="9">
        <f>VLOOKUP(GI157,$FM$3:$FN$15,2,FALSE)</f>
        <v/>
      </c>
      <c r="GR157" s="9">
        <f>IFERROR(IF(AND(VLOOKUP(GB157,$FX$4:$FX$15,1,FALSE)=GB157,VLOOKUP(GC157,$FX$4:$FX$15,1,FALSE)=GC157,VLOOKUP(GD157,$FX$4:$FX$15,1,FALSE)=GD157,VLOOKUP(GE157,$FX$4:$FX$15,1,FALSE)=GE157,VLOOKUP(GF157,$FX$4:$FX$15,1,FALSE)=GF157,VLOOKUP(GG157,$FX$4:$FX$15,1,FALSE)=GG157,VLOOKUP(GH157,$FX$4:$FX$15,1,FALSE)=GH157,VLOOKUP(GI157,$FX$4:$FX$15,1,FALSE)=GI157),FZ157,""),"")</f>
        <v/>
      </c>
      <c r="GX157" s="142" t="n"/>
    </row>
    <row r="158" ht="14.25" customHeight="1">
      <c r="B158" s="177" t="n">
        <v>104</v>
      </c>
      <c r="C158" s="59" t="n">
        <v>46222</v>
      </c>
      <c r="D158" s="166">
        <f>IF(O149="","Vinnare match 101",O149)</f>
        <v/>
      </c>
      <c r="E158" s="172" t="inlineStr">
        <is>
          <t>-</t>
        </is>
      </c>
      <c r="F158" s="62">
        <f>IF(O150="","Vinnare match 102",O150)</f>
        <v/>
      </c>
      <c r="G158" s="63" t="n">
        <v>2</v>
      </c>
      <c r="H158" s="64" t="inlineStr">
        <is>
          <t>-</t>
        </is>
      </c>
      <c r="I158" s="63" t="n">
        <v>1</v>
      </c>
      <c r="J158" s="65">
        <f>IF(OR(ISBLANK(G158),ISBLANK(I158)),"",IF(G158&gt;I158,1,IF(G158&lt;I158,2,"X")))</f>
        <v/>
      </c>
      <c r="K158" s="66">
        <f>IF(OR(G158="",I158="",'[1]Resultat &amp; tabell'!G158="",'[1]Resultat &amp; tabell'!I158=""),0,IF(G158='[1]Resultat &amp; tabell'!G158,2,0)+IF(I158='[1]Resultat &amp; tabell'!I158,2,0)+IF(J158='[1]Resultat &amp; tabell'!J158,2,0))</f>
        <v/>
      </c>
      <c r="L158" s="67" t="n"/>
      <c r="O158" s="150" t="inlineStr">
        <is>
          <t>Spanien</t>
        </is>
      </c>
      <c r="P158" s="151">
        <f>IF(OR(ISBLANK(D158),ISBLANK(F158),J158="",O158=""),"",IF(OR(AND(J158=1,O158=D158),AND(J158=2,O158=F158),AND(J158="X",OR(O158=D158,O158=F158))),"","Ej OK"))</f>
        <v/>
      </c>
      <c r="Q158" s="168" t="n"/>
      <c r="R158" s="66">
        <f>BV191</f>
        <v/>
      </c>
      <c r="S158" s="211" t="n"/>
      <c r="T158" s="211" t="n"/>
      <c r="U158" s="214" t="n"/>
      <c r="V158" s="50" t="n"/>
      <c r="AI158" s="139" t="n"/>
      <c r="AJ158" s="105" t="n"/>
      <c r="AK158" s="139" t="n"/>
      <c r="AL158" s="73" t="n"/>
      <c r="AM158" s="73" t="n"/>
      <c r="BQ158" s="13">
        <f>B134</f>
        <v/>
      </c>
      <c r="BR158" s="12">
        <f>F134</f>
        <v/>
      </c>
      <c r="BS158" s="156">
        <f>IF(OR('[1]Resultat &amp; tabell'!G134="",'[1]Resultat &amp; tabell'!I134=""),"",'[1]Resultat &amp; tabell'!F134)</f>
        <v/>
      </c>
      <c r="BT158" s="157">
        <f>IF(ISERROR(VLOOKUP(BR158,$BS$148:$BS$162,1,FALSE)),0,1)</f>
        <v/>
      </c>
      <c r="BU158" s="158">
        <f>BT158</f>
        <v/>
      </c>
      <c r="BV158" s="79">
        <f>BU158*2</f>
        <v/>
      </c>
      <c r="FZ158" s="79" t="n">
        <v>156</v>
      </c>
      <c r="GA158" s="3">
        <f>GB158&amp;GC158&amp;GD158&amp;GE158&amp;GF158&amp;GG158&amp;GH158&amp;GI158</f>
        <v/>
      </c>
      <c r="GB158" s="3" t="inlineStr">
        <is>
          <t>C</t>
        </is>
      </c>
      <c r="GC158" s="3" t="inlineStr">
        <is>
          <t>J</t>
        </is>
      </c>
      <c r="GD158" s="3" t="inlineStr">
        <is>
          <t>B</t>
        </is>
      </c>
      <c r="GE158" s="3" t="inlineStr">
        <is>
          <t>D</t>
        </is>
      </c>
      <c r="GF158" s="3" t="inlineStr">
        <is>
          <t>H</t>
        </is>
      </c>
      <c r="GG158" s="3" t="inlineStr">
        <is>
          <t>F</t>
        </is>
      </c>
      <c r="GH158" s="3" t="inlineStr">
        <is>
          <t>E</t>
        </is>
      </c>
      <c r="GI158" s="3" t="inlineStr">
        <is>
          <t>I</t>
        </is>
      </c>
      <c r="GJ158" s="9">
        <f>VLOOKUP(GB158,$FM$3:$FN$15,2,FALSE)</f>
        <v/>
      </c>
      <c r="GK158" s="9">
        <f>VLOOKUP(GC158,$FM$3:$FN$15,2,FALSE)</f>
        <v/>
      </c>
      <c r="GL158" s="9">
        <f>VLOOKUP(GD158,$FM$3:$FN$15,2,FALSE)</f>
        <v/>
      </c>
      <c r="GM158" s="9">
        <f>VLOOKUP(GE158,$FM$3:$FN$15,2,FALSE)</f>
        <v/>
      </c>
      <c r="GN158" s="9">
        <f>VLOOKUP(GF158,$FM$3:$FN$15,2,FALSE)</f>
        <v/>
      </c>
      <c r="GO158" s="9">
        <f>VLOOKUP(GG158,$FM$3:$FN$15,2,FALSE)</f>
        <v/>
      </c>
      <c r="GP158" s="9">
        <f>VLOOKUP(GH158,$FM$3:$FN$15,2,FALSE)</f>
        <v/>
      </c>
      <c r="GQ158" s="9">
        <f>VLOOKUP(GI158,$FM$3:$FN$15,2,FALSE)</f>
        <v/>
      </c>
      <c r="GR158" s="9">
        <f>IFERROR(IF(AND(VLOOKUP(GB158,$FX$4:$FX$15,1,FALSE)=GB158,VLOOKUP(GC158,$FX$4:$FX$15,1,FALSE)=GC158,VLOOKUP(GD158,$FX$4:$FX$15,1,FALSE)=GD158,VLOOKUP(GE158,$FX$4:$FX$15,1,FALSE)=GE158,VLOOKUP(GF158,$FX$4:$FX$15,1,FALSE)=GF158,VLOOKUP(GG158,$FX$4:$FX$15,1,FALSE)=GG158,VLOOKUP(GH158,$FX$4:$FX$15,1,FALSE)=GH158,VLOOKUP(GI158,$FX$4:$FX$15,1,FALSE)=GI158),FZ158,""),"")</f>
        <v/>
      </c>
      <c r="GX158" s="27" t="n"/>
    </row>
    <row r="159" ht="14.25" customHeight="1">
      <c r="AI159" s="105" t="n"/>
      <c r="AJ159" s="105" t="n"/>
      <c r="AK159" s="105" t="n"/>
      <c r="AL159" s="27" t="n"/>
      <c r="BQ159" s="13">
        <f>B135</f>
        <v/>
      </c>
      <c r="BR159" s="12">
        <f>F135</f>
        <v/>
      </c>
      <c r="BS159" s="156">
        <f>IF(OR('[1]Resultat &amp; tabell'!G135="",'[1]Resultat &amp; tabell'!I135=""),"",'[1]Resultat &amp; tabell'!F135)</f>
        <v/>
      </c>
      <c r="BT159" s="157">
        <f>IF(ISERROR(VLOOKUP(BR159,$BS$148:$BS$162,1,FALSE)),0,1)</f>
        <v/>
      </c>
      <c r="BU159" s="158">
        <f>BT159</f>
        <v/>
      </c>
      <c r="BV159" s="79">
        <f>BU159*2</f>
        <v/>
      </c>
      <c r="FZ159" s="79" t="n">
        <v>157</v>
      </c>
      <c r="GA159" s="3">
        <f>GB159&amp;GC159&amp;GD159&amp;GE159&amp;GF159&amp;GG159&amp;GH159&amp;GI159</f>
        <v/>
      </c>
      <c r="GB159" s="3" t="inlineStr">
        <is>
          <t>C</t>
        </is>
      </c>
      <c r="GC159" s="3" t="inlineStr">
        <is>
          <t>G</t>
        </is>
      </c>
      <c r="GD159" s="3" t="inlineStr">
        <is>
          <t>B</t>
        </is>
      </c>
      <c r="GE159" s="3" t="inlineStr">
        <is>
          <t>D</t>
        </is>
      </c>
      <c r="GF159" s="3" t="inlineStr">
        <is>
          <t>E</t>
        </is>
      </c>
      <c r="GG159" s="3" t="inlineStr">
        <is>
          <t>F</t>
        </is>
      </c>
      <c r="GH159" s="3" t="inlineStr">
        <is>
          <t>L</t>
        </is>
      </c>
      <c r="GI159" s="3" t="inlineStr">
        <is>
          <t>K</t>
        </is>
      </c>
      <c r="GJ159" s="9">
        <f>VLOOKUP(GB159,$FM$3:$FN$15,2,FALSE)</f>
        <v/>
      </c>
      <c r="GK159" s="9">
        <f>VLOOKUP(GC159,$FM$3:$FN$15,2,FALSE)</f>
        <v/>
      </c>
      <c r="GL159" s="9">
        <f>VLOOKUP(GD159,$FM$3:$FN$15,2,FALSE)</f>
        <v/>
      </c>
      <c r="GM159" s="9">
        <f>VLOOKUP(GE159,$FM$3:$FN$15,2,FALSE)</f>
        <v/>
      </c>
      <c r="GN159" s="9">
        <f>VLOOKUP(GF159,$FM$3:$FN$15,2,FALSE)</f>
        <v/>
      </c>
      <c r="GO159" s="9">
        <f>VLOOKUP(GG159,$FM$3:$FN$15,2,FALSE)</f>
        <v/>
      </c>
      <c r="GP159" s="9">
        <f>VLOOKUP(GH159,$FM$3:$FN$15,2,FALSE)</f>
        <v/>
      </c>
      <c r="GQ159" s="9">
        <f>VLOOKUP(GI159,$FM$3:$FN$15,2,FALSE)</f>
        <v/>
      </c>
      <c r="GR159" s="9">
        <f>IFERROR(IF(AND(VLOOKUP(GB159,$FX$4:$FX$15,1,FALSE)=GB159,VLOOKUP(GC159,$FX$4:$FX$15,1,FALSE)=GC159,VLOOKUP(GD159,$FX$4:$FX$15,1,FALSE)=GD159,VLOOKUP(GE159,$FX$4:$FX$15,1,FALSE)=GE159,VLOOKUP(GF159,$FX$4:$FX$15,1,FALSE)=GF159,VLOOKUP(GG159,$FX$4:$FX$15,1,FALSE)=GG159,VLOOKUP(GH159,$FX$4:$FX$15,1,FALSE)=GH159,VLOOKUP(GI159,$FX$4:$FX$15,1,FALSE)=GI159),FZ159,""),"")</f>
        <v/>
      </c>
      <c r="GX159" s="27" t="n"/>
    </row>
    <row r="160" ht="14.25" customHeight="1">
      <c r="AI160" s="105" t="n"/>
      <c r="AJ160" s="105" t="n"/>
      <c r="AK160" s="105" t="n"/>
      <c r="AL160" s="27" t="n"/>
      <c r="BQ160" s="13">
        <f>B136</f>
        <v/>
      </c>
      <c r="BR160" s="12">
        <f>F136</f>
        <v/>
      </c>
      <c r="BS160" s="156">
        <f>IF(OR('[1]Resultat &amp; tabell'!G136="",'[1]Resultat &amp; tabell'!I136=""),"",'[1]Resultat &amp; tabell'!F136)</f>
        <v/>
      </c>
      <c r="BT160" s="157">
        <f>IF(ISERROR(VLOOKUP(BR160,$BS$148:$BS$162,1,FALSE)),0,1)</f>
        <v/>
      </c>
      <c r="BU160" s="158">
        <f>BT160</f>
        <v/>
      </c>
      <c r="BV160" s="79">
        <f>BU160*2</f>
        <v/>
      </c>
      <c r="FZ160" s="79" t="n">
        <v>158</v>
      </c>
      <c r="GA160" s="3">
        <f>GB160&amp;GC160&amp;GD160&amp;GE160&amp;GF160&amp;GG160&amp;GH160&amp;GI160</f>
        <v/>
      </c>
      <c r="GB160" s="3" t="inlineStr">
        <is>
          <t>C</t>
        </is>
      </c>
      <c r="GC160" s="3" t="inlineStr">
        <is>
          <t>G</t>
        </is>
      </c>
      <c r="GD160" s="3" t="inlineStr">
        <is>
          <t>B</t>
        </is>
      </c>
      <c r="GE160" s="3" t="inlineStr">
        <is>
          <t>D</t>
        </is>
      </c>
      <c r="GF160" s="3" t="inlineStr">
        <is>
          <t>J</t>
        </is>
      </c>
      <c r="GG160" s="3" t="inlineStr">
        <is>
          <t>F</t>
        </is>
      </c>
      <c r="GH160" s="3" t="inlineStr">
        <is>
          <t>L</t>
        </is>
      </c>
      <c r="GI160" s="3" t="inlineStr">
        <is>
          <t>E</t>
        </is>
      </c>
      <c r="GJ160" s="9">
        <f>VLOOKUP(GB160,$FM$3:$FN$15,2,FALSE)</f>
        <v/>
      </c>
      <c r="GK160" s="9">
        <f>VLOOKUP(GC160,$FM$3:$FN$15,2,FALSE)</f>
        <v/>
      </c>
      <c r="GL160" s="9">
        <f>VLOOKUP(GD160,$FM$3:$FN$15,2,FALSE)</f>
        <v/>
      </c>
      <c r="GM160" s="9">
        <f>VLOOKUP(GE160,$FM$3:$FN$15,2,FALSE)</f>
        <v/>
      </c>
      <c r="GN160" s="9">
        <f>VLOOKUP(GF160,$FM$3:$FN$15,2,FALSE)</f>
        <v/>
      </c>
      <c r="GO160" s="9">
        <f>VLOOKUP(GG160,$FM$3:$FN$15,2,FALSE)</f>
        <v/>
      </c>
      <c r="GP160" s="9">
        <f>VLOOKUP(GH160,$FM$3:$FN$15,2,FALSE)</f>
        <v/>
      </c>
      <c r="GQ160" s="9">
        <f>VLOOKUP(GI160,$FM$3:$FN$15,2,FALSE)</f>
        <v/>
      </c>
      <c r="GR160" s="9">
        <f>IFERROR(IF(AND(VLOOKUP(GB160,$FX$4:$FX$15,1,FALSE)=GB160,VLOOKUP(GC160,$FX$4:$FX$15,1,FALSE)=GC160,VLOOKUP(GD160,$FX$4:$FX$15,1,FALSE)=GD160,VLOOKUP(GE160,$FX$4:$FX$15,1,FALSE)=GE160,VLOOKUP(GF160,$FX$4:$FX$15,1,FALSE)=GF160,VLOOKUP(GG160,$FX$4:$FX$15,1,FALSE)=GG160,VLOOKUP(GH160,$FX$4:$FX$15,1,FALSE)=GH160,VLOOKUP(GI160,$FX$4:$FX$15,1,FALSE)=GI160),FZ160,""),"")</f>
        <v/>
      </c>
      <c r="GX160" s="15" t="n"/>
    </row>
    <row r="161" ht="14.25" customHeight="1">
      <c r="AI161" s="105" t="n"/>
      <c r="AJ161" s="105" t="n"/>
      <c r="AK161" s="105" t="n"/>
      <c r="AL161" s="27" t="n"/>
      <c r="BQ161" s="13">
        <f>B137</f>
        <v/>
      </c>
      <c r="BR161" s="12">
        <f>F137</f>
        <v/>
      </c>
      <c r="BS161" s="156">
        <f>IF(OR('[1]Resultat &amp; tabell'!G137="",'[1]Resultat &amp; tabell'!I137=""),"",'[1]Resultat &amp; tabell'!F137)</f>
        <v/>
      </c>
      <c r="BT161" s="157">
        <f>IF(ISERROR(VLOOKUP(BR161,$BS$148:$BS$162,1,FALSE)),0,1)</f>
        <v/>
      </c>
      <c r="BU161" s="158">
        <f>BT161</f>
        <v/>
      </c>
      <c r="BV161" s="79">
        <f>BU161*2</f>
        <v/>
      </c>
      <c r="FZ161" s="79" t="n">
        <v>159</v>
      </c>
      <c r="GA161" s="3">
        <f>GB161&amp;GC161&amp;GD161&amp;GE161&amp;GF161&amp;GG161&amp;GH161&amp;GI161</f>
        <v/>
      </c>
      <c r="GB161" s="3" t="inlineStr">
        <is>
          <t>C</t>
        </is>
      </c>
      <c r="GC161" s="3" t="inlineStr">
        <is>
          <t>G</t>
        </is>
      </c>
      <c r="GD161" s="3" t="inlineStr">
        <is>
          <t>B</t>
        </is>
      </c>
      <c r="GE161" s="3" t="inlineStr">
        <is>
          <t>D</t>
        </is>
      </c>
      <c r="GF161" s="3" t="inlineStr">
        <is>
          <t>J</t>
        </is>
      </c>
      <c r="GG161" s="3" t="inlineStr">
        <is>
          <t>F</t>
        </is>
      </c>
      <c r="GH161" s="3" t="inlineStr">
        <is>
          <t>E</t>
        </is>
      </c>
      <c r="GI161" s="3" t="inlineStr">
        <is>
          <t>K</t>
        </is>
      </c>
      <c r="GJ161" s="9">
        <f>VLOOKUP(GB161,$FM$3:$FN$15,2,FALSE)</f>
        <v/>
      </c>
      <c r="GK161" s="9">
        <f>VLOOKUP(GC161,$FM$3:$FN$15,2,FALSE)</f>
        <v/>
      </c>
      <c r="GL161" s="9">
        <f>VLOOKUP(GD161,$FM$3:$FN$15,2,FALSE)</f>
        <v/>
      </c>
      <c r="GM161" s="9">
        <f>VLOOKUP(GE161,$FM$3:$FN$15,2,FALSE)</f>
        <v/>
      </c>
      <c r="GN161" s="9">
        <f>VLOOKUP(GF161,$FM$3:$FN$15,2,FALSE)</f>
        <v/>
      </c>
      <c r="GO161" s="9">
        <f>VLOOKUP(GG161,$FM$3:$FN$15,2,FALSE)</f>
        <v/>
      </c>
      <c r="GP161" s="9">
        <f>VLOOKUP(GH161,$FM$3:$FN$15,2,FALSE)</f>
        <v/>
      </c>
      <c r="GQ161" s="9">
        <f>VLOOKUP(GI161,$FM$3:$FN$15,2,FALSE)</f>
        <v/>
      </c>
      <c r="GR161" s="9">
        <f>IFERROR(IF(AND(VLOOKUP(GB161,$FX$4:$FX$15,1,FALSE)=GB161,VLOOKUP(GC161,$FX$4:$FX$15,1,FALSE)=GC161,VLOOKUP(GD161,$FX$4:$FX$15,1,FALSE)=GD161,VLOOKUP(GE161,$FX$4:$FX$15,1,FALSE)=GE161,VLOOKUP(GF161,$FX$4:$FX$15,1,FALSE)=GF161,VLOOKUP(GG161,$FX$4:$FX$15,1,FALSE)=GG161,VLOOKUP(GH161,$FX$4:$FX$15,1,FALSE)=GH161,VLOOKUP(GI161,$FX$4:$FX$15,1,FALSE)=GI161),FZ161,""),"")</f>
        <v/>
      </c>
      <c r="GX161" s="142" t="n"/>
    </row>
    <row r="162" ht="14.25" customHeight="1">
      <c r="AI162" s="105" t="n"/>
      <c r="AJ162" s="105" t="n"/>
      <c r="AK162" s="105" t="n"/>
      <c r="AL162" s="27" t="n"/>
      <c r="BQ162" s="13">
        <f>B138</f>
        <v/>
      </c>
      <c r="BR162" s="12">
        <f>F138</f>
        <v/>
      </c>
      <c r="BS162" s="156">
        <f>IF(OR('[1]Resultat &amp; tabell'!G138="",'[1]Resultat &amp; tabell'!I138=""),"",'[1]Resultat &amp; tabell'!F138)</f>
        <v/>
      </c>
      <c r="BT162" s="157">
        <f>IF(ISERROR(VLOOKUP(BR162,$BS$148:$BS$162,1,FALSE)),0,1)</f>
        <v/>
      </c>
      <c r="BU162" s="158">
        <f>BT162</f>
        <v/>
      </c>
      <c r="BV162" s="79">
        <f>BU162*2</f>
        <v/>
      </c>
      <c r="FZ162" s="79" t="n">
        <v>160</v>
      </c>
      <c r="GA162" s="3">
        <f>GB162&amp;GC162&amp;GD162&amp;GE162&amp;GF162&amp;GG162&amp;GH162&amp;GI162</f>
        <v/>
      </c>
      <c r="GB162" s="3" t="inlineStr">
        <is>
          <t>C</t>
        </is>
      </c>
      <c r="GC162" s="3" t="inlineStr">
        <is>
          <t>G</t>
        </is>
      </c>
      <c r="GD162" s="3" t="inlineStr">
        <is>
          <t>B</t>
        </is>
      </c>
      <c r="GE162" s="3" t="inlineStr">
        <is>
          <t>D</t>
        </is>
      </c>
      <c r="GF162" s="3" t="inlineStr">
        <is>
          <t>E</t>
        </is>
      </c>
      <c r="GG162" s="3" t="inlineStr">
        <is>
          <t>F</t>
        </is>
      </c>
      <c r="GH162" s="3" t="inlineStr">
        <is>
          <t>L</t>
        </is>
      </c>
      <c r="GI162" s="3" t="inlineStr">
        <is>
          <t>I</t>
        </is>
      </c>
      <c r="GJ162" s="9">
        <f>VLOOKUP(GB162,$FM$3:$FN$15,2,FALSE)</f>
        <v/>
      </c>
      <c r="GK162" s="9">
        <f>VLOOKUP(GC162,$FM$3:$FN$15,2,FALSE)</f>
        <v/>
      </c>
      <c r="GL162" s="9">
        <f>VLOOKUP(GD162,$FM$3:$FN$15,2,FALSE)</f>
        <v/>
      </c>
      <c r="GM162" s="9">
        <f>VLOOKUP(GE162,$FM$3:$FN$15,2,FALSE)</f>
        <v/>
      </c>
      <c r="GN162" s="9">
        <f>VLOOKUP(GF162,$FM$3:$FN$15,2,FALSE)</f>
        <v/>
      </c>
      <c r="GO162" s="9">
        <f>VLOOKUP(GG162,$FM$3:$FN$15,2,FALSE)</f>
        <v/>
      </c>
      <c r="GP162" s="9">
        <f>VLOOKUP(GH162,$FM$3:$FN$15,2,FALSE)</f>
        <v/>
      </c>
      <c r="GQ162" s="9">
        <f>VLOOKUP(GI162,$FM$3:$FN$15,2,FALSE)</f>
        <v/>
      </c>
      <c r="GR162" s="9">
        <f>IFERROR(IF(AND(VLOOKUP(GB162,$FX$4:$FX$15,1,FALSE)=GB162,VLOOKUP(GC162,$FX$4:$FX$15,1,FALSE)=GC162,VLOOKUP(GD162,$FX$4:$FX$15,1,FALSE)=GD162,VLOOKUP(GE162,$FX$4:$FX$15,1,FALSE)=GE162,VLOOKUP(GF162,$FX$4:$FX$15,1,FALSE)=GF162,VLOOKUP(GG162,$FX$4:$FX$15,1,FALSE)=GG162,VLOOKUP(GH162,$FX$4:$FX$15,1,FALSE)=GH162,VLOOKUP(GI162,$FX$4:$FX$15,1,FALSE)=GI162),FZ162,""),"")</f>
        <v/>
      </c>
      <c r="GX162" s="142" t="n"/>
    </row>
    <row r="163" ht="14.25" customHeight="1">
      <c r="AI163" s="105" t="n"/>
      <c r="AJ163" s="105" t="n"/>
      <c r="AK163" s="105" t="n"/>
      <c r="AL163" s="27" t="n"/>
      <c r="BS163" s="156" t="n"/>
      <c r="BU163" s="146" t="inlineStr">
        <is>
          <t>Summa</t>
        </is>
      </c>
      <c r="BV163" s="146">
        <f>SUM(BV147:BV162)</f>
        <v/>
      </c>
      <c r="FZ163" s="79" t="n">
        <v>161</v>
      </c>
      <c r="GA163" s="3">
        <f>GB163&amp;GC163&amp;GD163&amp;GE163&amp;GF163&amp;GG163&amp;GH163&amp;GI163</f>
        <v/>
      </c>
      <c r="GB163" s="3" t="inlineStr">
        <is>
          <t>C</t>
        </is>
      </c>
      <c r="GC163" s="3" t="inlineStr">
        <is>
          <t>G</t>
        </is>
      </c>
      <c r="GD163" s="3" t="inlineStr">
        <is>
          <t>B</t>
        </is>
      </c>
      <c r="GE163" s="3" t="inlineStr">
        <is>
          <t>D</t>
        </is>
      </c>
      <c r="GF163" s="3" t="inlineStr">
        <is>
          <t>E</t>
        </is>
      </c>
      <c r="GG163" s="3" t="inlineStr">
        <is>
          <t>F</t>
        </is>
      </c>
      <c r="GH163" s="3" t="inlineStr">
        <is>
          <t>I</t>
        </is>
      </c>
      <c r="GI163" s="3" t="inlineStr">
        <is>
          <t>K</t>
        </is>
      </c>
      <c r="GJ163" s="9">
        <f>VLOOKUP(GB163,$FM$3:$FN$15,2,FALSE)</f>
        <v/>
      </c>
      <c r="GK163" s="9">
        <f>VLOOKUP(GC163,$FM$3:$FN$15,2,FALSE)</f>
        <v/>
      </c>
      <c r="GL163" s="9">
        <f>VLOOKUP(GD163,$FM$3:$FN$15,2,FALSE)</f>
        <v/>
      </c>
      <c r="GM163" s="9">
        <f>VLOOKUP(GE163,$FM$3:$FN$15,2,FALSE)</f>
        <v/>
      </c>
      <c r="GN163" s="9">
        <f>VLOOKUP(GF163,$FM$3:$FN$15,2,FALSE)</f>
        <v/>
      </c>
      <c r="GO163" s="9">
        <f>VLOOKUP(GG163,$FM$3:$FN$15,2,FALSE)</f>
        <v/>
      </c>
      <c r="GP163" s="9">
        <f>VLOOKUP(GH163,$FM$3:$FN$15,2,FALSE)</f>
        <v/>
      </c>
      <c r="GQ163" s="9">
        <f>VLOOKUP(GI163,$FM$3:$FN$15,2,FALSE)</f>
        <v/>
      </c>
      <c r="GR163" s="9">
        <f>IFERROR(IF(AND(VLOOKUP(GB163,$FX$4:$FX$15,1,FALSE)=GB163,VLOOKUP(GC163,$FX$4:$FX$15,1,FALSE)=GC163,VLOOKUP(GD163,$FX$4:$FX$15,1,FALSE)=GD163,VLOOKUP(GE163,$FX$4:$FX$15,1,FALSE)=GE163,VLOOKUP(GF163,$FX$4:$FX$15,1,FALSE)=GF163,VLOOKUP(GG163,$FX$4:$FX$15,1,FALSE)=GG163,VLOOKUP(GH163,$FX$4:$FX$15,1,FALSE)=GH163,VLOOKUP(GI163,$FX$4:$FX$15,1,FALSE)=GI163),FZ163,""),"")</f>
        <v/>
      </c>
      <c r="GX163" s="142" t="n"/>
    </row>
    <row r="164" ht="14.25" customHeight="1">
      <c r="AI164" s="105" t="n"/>
      <c r="AJ164" s="105" t="n"/>
      <c r="AK164" s="105" t="n"/>
      <c r="AL164" s="27" t="n"/>
      <c r="BQ164" s="19" t="inlineStr">
        <is>
          <t>Kvartsfinaler</t>
        </is>
      </c>
      <c r="BS164" s="156" t="n"/>
      <c r="FZ164" s="79" t="n">
        <v>162</v>
      </c>
      <c r="GA164" s="3">
        <f>GB164&amp;GC164&amp;GD164&amp;GE164&amp;GF164&amp;GG164&amp;GH164&amp;GI164</f>
        <v/>
      </c>
      <c r="GB164" s="3" t="inlineStr">
        <is>
          <t>C</t>
        </is>
      </c>
      <c r="GC164" s="3" t="inlineStr">
        <is>
          <t>G</t>
        </is>
      </c>
      <c r="GD164" s="3" t="inlineStr">
        <is>
          <t>B</t>
        </is>
      </c>
      <c r="GE164" s="3" t="inlineStr">
        <is>
          <t>D</t>
        </is>
      </c>
      <c r="GF164" s="3" t="inlineStr">
        <is>
          <t>J</t>
        </is>
      </c>
      <c r="GG164" s="3" t="inlineStr">
        <is>
          <t>F</t>
        </is>
      </c>
      <c r="GH164" s="3" t="inlineStr">
        <is>
          <t>E</t>
        </is>
      </c>
      <c r="GI164" s="3" t="inlineStr">
        <is>
          <t>I</t>
        </is>
      </c>
      <c r="GJ164" s="9">
        <f>VLOOKUP(GB164,$FM$3:$FN$15,2,FALSE)</f>
        <v/>
      </c>
      <c r="GK164" s="9">
        <f>VLOOKUP(GC164,$FM$3:$FN$15,2,FALSE)</f>
        <v/>
      </c>
      <c r="GL164" s="9">
        <f>VLOOKUP(GD164,$FM$3:$FN$15,2,FALSE)</f>
        <v/>
      </c>
      <c r="GM164" s="9">
        <f>VLOOKUP(GE164,$FM$3:$FN$15,2,FALSE)</f>
        <v/>
      </c>
      <c r="GN164" s="9">
        <f>VLOOKUP(GF164,$FM$3:$FN$15,2,FALSE)</f>
        <v/>
      </c>
      <c r="GO164" s="9">
        <f>VLOOKUP(GG164,$FM$3:$FN$15,2,FALSE)</f>
        <v/>
      </c>
      <c r="GP164" s="9">
        <f>VLOOKUP(GH164,$FM$3:$FN$15,2,FALSE)</f>
        <v/>
      </c>
      <c r="GQ164" s="9">
        <f>VLOOKUP(GI164,$FM$3:$FN$15,2,FALSE)</f>
        <v/>
      </c>
      <c r="GR164" s="9">
        <f>IFERROR(IF(AND(VLOOKUP(GB164,$FX$4:$FX$15,1,FALSE)=GB164,VLOOKUP(GC164,$FX$4:$FX$15,1,FALSE)=GC164,VLOOKUP(GD164,$FX$4:$FX$15,1,FALSE)=GD164,VLOOKUP(GE164,$FX$4:$FX$15,1,FALSE)=GE164,VLOOKUP(GF164,$FX$4:$FX$15,1,FALSE)=GF164,VLOOKUP(GG164,$FX$4:$FX$15,1,FALSE)=GG164,VLOOKUP(GH164,$FX$4:$FX$15,1,FALSE)=GH164,VLOOKUP(GI164,$FX$4:$FX$15,1,FALSE)=GI164),FZ164,""),"")</f>
        <v/>
      </c>
      <c r="GX164" s="142" t="n"/>
    </row>
    <row r="165" ht="14.25" customHeight="1">
      <c r="AI165" s="105" t="n"/>
      <c r="AJ165" s="105" t="n"/>
      <c r="AK165" s="105" t="n"/>
      <c r="AL165" s="27" t="n"/>
      <c r="BQ165" s="146" t="inlineStr">
        <is>
          <t>Match</t>
        </is>
      </c>
      <c r="BR165" s="26" t="inlineStr">
        <is>
          <t>Mitt tips</t>
        </is>
      </c>
      <c r="BS165" s="147" t="inlineStr">
        <is>
          <t>Resultat &amp; tabell</t>
        </is>
      </c>
      <c r="BT165" s="147" t="inlineStr">
        <is>
          <t>Utfall</t>
        </is>
      </c>
      <c r="BU165" s="147" t="inlineStr">
        <is>
          <t>Utfall likare</t>
        </is>
      </c>
      <c r="BV165" s="147" t="inlineStr">
        <is>
          <t>Poäng</t>
        </is>
      </c>
      <c r="FZ165" s="79" t="n">
        <v>163</v>
      </c>
      <c r="GA165" s="3">
        <f>GB165&amp;GC165&amp;GD165&amp;GE165&amp;GF165&amp;GG165&amp;GH165&amp;GI165</f>
        <v/>
      </c>
      <c r="GB165" s="3" t="inlineStr">
        <is>
          <t>C</t>
        </is>
      </c>
      <c r="GC165" s="3" t="inlineStr">
        <is>
          <t>G</t>
        </is>
      </c>
      <c r="GD165" s="3" t="inlineStr">
        <is>
          <t>B</t>
        </is>
      </c>
      <c r="GE165" s="3" t="inlineStr">
        <is>
          <t>D</t>
        </is>
      </c>
      <c r="GF165" s="3" t="inlineStr">
        <is>
          <t>H</t>
        </is>
      </c>
      <c r="GG165" s="3" t="inlineStr">
        <is>
          <t>F</t>
        </is>
      </c>
      <c r="GH165" s="3" t="inlineStr">
        <is>
          <t>L</t>
        </is>
      </c>
      <c r="GI165" s="3" t="inlineStr">
        <is>
          <t>E</t>
        </is>
      </c>
      <c r="GJ165" s="9">
        <f>VLOOKUP(GB165,$FM$3:$FN$15,2,FALSE)</f>
        <v/>
      </c>
      <c r="GK165" s="9">
        <f>VLOOKUP(GC165,$FM$3:$FN$15,2,FALSE)</f>
        <v/>
      </c>
      <c r="GL165" s="9">
        <f>VLOOKUP(GD165,$FM$3:$FN$15,2,FALSE)</f>
        <v/>
      </c>
      <c r="GM165" s="9">
        <f>VLOOKUP(GE165,$FM$3:$FN$15,2,FALSE)</f>
        <v/>
      </c>
      <c r="GN165" s="9">
        <f>VLOOKUP(GF165,$FM$3:$FN$15,2,FALSE)</f>
        <v/>
      </c>
      <c r="GO165" s="9">
        <f>VLOOKUP(GG165,$FM$3:$FN$15,2,FALSE)</f>
        <v/>
      </c>
      <c r="GP165" s="9">
        <f>VLOOKUP(GH165,$FM$3:$FN$15,2,FALSE)</f>
        <v/>
      </c>
      <c r="GQ165" s="9">
        <f>VLOOKUP(GI165,$FM$3:$FN$15,2,FALSE)</f>
        <v/>
      </c>
      <c r="GR165" s="9">
        <f>IFERROR(IF(AND(VLOOKUP(GB165,$FX$4:$FX$15,1,FALSE)=GB165,VLOOKUP(GC165,$FX$4:$FX$15,1,FALSE)=GC165,VLOOKUP(GD165,$FX$4:$FX$15,1,FALSE)=GD165,VLOOKUP(GE165,$FX$4:$FX$15,1,FALSE)=GE165,VLOOKUP(GF165,$FX$4:$FX$15,1,FALSE)=GF165,VLOOKUP(GG165,$FX$4:$FX$15,1,FALSE)=GG165,VLOOKUP(GH165,$FX$4:$FX$15,1,FALSE)=GH165,VLOOKUP(GI165,$FX$4:$FX$15,1,FALSE)=GI165),FZ165,""),"")</f>
        <v/>
      </c>
      <c r="GX165" s="27" t="n"/>
    </row>
    <row r="166" ht="14.25" customHeight="1">
      <c r="BQ166" s="13">
        <f>B142</f>
        <v/>
      </c>
      <c r="BR166" s="155">
        <f>D142</f>
        <v/>
      </c>
      <c r="BS166" s="156">
        <f>IF(OR('[1]Resultat &amp; tabell'!G142="",'[1]Resultat &amp; tabell'!I142=""),"",'[1]Resultat &amp; tabell'!D142)</f>
        <v/>
      </c>
      <c r="BT166" s="157">
        <f>IF(ISERROR(VLOOKUP(BR166,$BS$166:$BS$173,1,FALSE)),0,1)</f>
        <v/>
      </c>
      <c r="BU166" s="158">
        <f>BT166</f>
        <v/>
      </c>
      <c r="BV166" s="79">
        <f>BU166*4</f>
        <v/>
      </c>
      <c r="FZ166" s="79" t="n">
        <v>164</v>
      </c>
      <c r="GA166" s="3">
        <f>GB166&amp;GC166&amp;GD166&amp;GE166&amp;GF166&amp;GG166&amp;GH166&amp;GI166</f>
        <v/>
      </c>
      <c r="GB166" s="3" t="inlineStr">
        <is>
          <t>C</t>
        </is>
      </c>
      <c r="GC166" s="3" t="inlineStr">
        <is>
          <t>G</t>
        </is>
      </c>
      <c r="GD166" s="3" t="inlineStr">
        <is>
          <t>B</t>
        </is>
      </c>
      <c r="GE166" s="3" t="inlineStr">
        <is>
          <t>D</t>
        </is>
      </c>
      <c r="GF166" s="3" t="inlineStr">
        <is>
          <t>H</t>
        </is>
      </c>
      <c r="GG166" s="3" t="inlineStr">
        <is>
          <t>F</t>
        </is>
      </c>
      <c r="GH166" s="3" t="inlineStr">
        <is>
          <t>E</t>
        </is>
      </c>
      <c r="GI166" s="3" t="inlineStr">
        <is>
          <t>K</t>
        </is>
      </c>
      <c r="GJ166" s="9">
        <f>VLOOKUP(GB166,$FM$3:$FN$15,2,FALSE)</f>
        <v/>
      </c>
      <c r="GK166" s="9">
        <f>VLOOKUP(GC166,$FM$3:$FN$15,2,FALSE)</f>
        <v/>
      </c>
      <c r="GL166" s="9">
        <f>VLOOKUP(GD166,$FM$3:$FN$15,2,FALSE)</f>
        <v/>
      </c>
      <c r="GM166" s="9">
        <f>VLOOKUP(GE166,$FM$3:$FN$15,2,FALSE)</f>
        <v/>
      </c>
      <c r="GN166" s="9">
        <f>VLOOKUP(GF166,$FM$3:$FN$15,2,FALSE)</f>
        <v/>
      </c>
      <c r="GO166" s="9">
        <f>VLOOKUP(GG166,$FM$3:$FN$15,2,FALSE)</f>
        <v/>
      </c>
      <c r="GP166" s="9">
        <f>VLOOKUP(GH166,$FM$3:$FN$15,2,FALSE)</f>
        <v/>
      </c>
      <c r="GQ166" s="9">
        <f>VLOOKUP(GI166,$FM$3:$FN$15,2,FALSE)</f>
        <v/>
      </c>
      <c r="GR166" s="9">
        <f>IFERROR(IF(AND(VLOOKUP(GB166,$FX$4:$FX$15,1,FALSE)=GB166,VLOOKUP(GC166,$FX$4:$FX$15,1,FALSE)=GC166,VLOOKUP(GD166,$FX$4:$FX$15,1,FALSE)=GD166,VLOOKUP(GE166,$FX$4:$FX$15,1,FALSE)=GE166,VLOOKUP(GF166,$FX$4:$FX$15,1,FALSE)=GF166,VLOOKUP(GG166,$FX$4:$FX$15,1,FALSE)=GG166,VLOOKUP(GH166,$FX$4:$FX$15,1,FALSE)=GH166,VLOOKUP(GI166,$FX$4:$FX$15,1,FALSE)=GI166),FZ166,""),"")</f>
        <v/>
      </c>
      <c r="GX166" s="27" t="n"/>
    </row>
    <row r="167" ht="14.25" customHeight="1">
      <c r="BQ167" s="13">
        <f>B143</f>
        <v/>
      </c>
      <c r="BR167" s="155">
        <f>D143</f>
        <v/>
      </c>
      <c r="BS167" s="156">
        <f>IF(OR('[1]Resultat &amp; tabell'!G143="",'[1]Resultat &amp; tabell'!I143=""),"",'[1]Resultat &amp; tabell'!D143)</f>
        <v/>
      </c>
      <c r="BT167" s="157">
        <f>IF(ISERROR(VLOOKUP(BR167,$BS$166:$BS$173,1,FALSE)),0,1)</f>
        <v/>
      </c>
      <c r="BU167" s="158">
        <f>BT167</f>
        <v/>
      </c>
      <c r="BV167" s="79">
        <f>BU167*4</f>
        <v/>
      </c>
      <c r="FZ167" s="79" t="n">
        <v>165</v>
      </c>
      <c r="GA167" s="3">
        <f>GB167&amp;GC167&amp;GD167&amp;GE167&amp;GF167&amp;GG167&amp;GH167&amp;GI167</f>
        <v/>
      </c>
      <c r="GB167" s="3" t="inlineStr">
        <is>
          <t>H</t>
        </is>
      </c>
      <c r="GC167" s="3" t="inlineStr">
        <is>
          <t>G</t>
        </is>
      </c>
      <c r="GD167" s="3" t="inlineStr">
        <is>
          <t>B</t>
        </is>
      </c>
      <c r="GE167" s="3" t="inlineStr">
        <is>
          <t>C</t>
        </is>
      </c>
      <c r="GF167" s="3" t="inlineStr">
        <is>
          <t>J</t>
        </is>
      </c>
      <c r="GG167" s="3" t="inlineStr">
        <is>
          <t>F</t>
        </is>
      </c>
      <c r="GH167" s="3" t="inlineStr">
        <is>
          <t>D</t>
        </is>
      </c>
      <c r="GI167" s="3" t="inlineStr">
        <is>
          <t>E</t>
        </is>
      </c>
      <c r="GJ167" s="9">
        <f>VLOOKUP(GB167,$FM$3:$FN$15,2,FALSE)</f>
        <v/>
      </c>
      <c r="GK167" s="9">
        <f>VLOOKUP(GC167,$FM$3:$FN$15,2,FALSE)</f>
        <v/>
      </c>
      <c r="GL167" s="9">
        <f>VLOOKUP(GD167,$FM$3:$FN$15,2,FALSE)</f>
        <v/>
      </c>
      <c r="GM167" s="9">
        <f>VLOOKUP(GE167,$FM$3:$FN$15,2,FALSE)</f>
        <v/>
      </c>
      <c r="GN167" s="9">
        <f>VLOOKUP(GF167,$FM$3:$FN$15,2,FALSE)</f>
        <v/>
      </c>
      <c r="GO167" s="9">
        <f>VLOOKUP(GG167,$FM$3:$FN$15,2,FALSE)</f>
        <v/>
      </c>
      <c r="GP167" s="9">
        <f>VLOOKUP(GH167,$FM$3:$FN$15,2,FALSE)</f>
        <v/>
      </c>
      <c r="GQ167" s="9">
        <f>VLOOKUP(GI167,$FM$3:$FN$15,2,FALSE)</f>
        <v/>
      </c>
      <c r="GR167" s="9">
        <f>IFERROR(IF(AND(VLOOKUP(GB167,$FX$4:$FX$15,1,FALSE)=GB167,VLOOKUP(GC167,$FX$4:$FX$15,1,FALSE)=GC167,VLOOKUP(GD167,$FX$4:$FX$15,1,FALSE)=GD167,VLOOKUP(GE167,$FX$4:$FX$15,1,FALSE)=GE167,VLOOKUP(GF167,$FX$4:$FX$15,1,FALSE)=GF167,VLOOKUP(GG167,$FX$4:$FX$15,1,FALSE)=GG167,VLOOKUP(GH167,$FX$4:$FX$15,1,FALSE)=GH167,VLOOKUP(GI167,$FX$4:$FX$15,1,FALSE)=GI167),FZ167,""),"")</f>
        <v/>
      </c>
      <c r="GX167" s="15" t="n"/>
    </row>
    <row r="168" ht="14.25" customHeight="1">
      <c r="BQ168" s="13">
        <f>B144</f>
        <v/>
      </c>
      <c r="BR168" s="155">
        <f>D144</f>
        <v/>
      </c>
      <c r="BS168" s="156">
        <f>IF(OR('[1]Resultat &amp; tabell'!G144="",'[1]Resultat &amp; tabell'!I144=""),"",'[1]Resultat &amp; tabell'!D144)</f>
        <v/>
      </c>
      <c r="BT168" s="157">
        <f>IF(ISERROR(VLOOKUP(BR168,$BS$166:$BS$173,1,FALSE)),0,1)</f>
        <v/>
      </c>
      <c r="BU168" s="158">
        <f>BT168</f>
        <v/>
      </c>
      <c r="BV168" s="79">
        <f>BU168*4</f>
        <v/>
      </c>
      <c r="FZ168" s="79" t="n">
        <v>166</v>
      </c>
      <c r="GA168" s="3">
        <f>GB168&amp;GC168&amp;GD168&amp;GE168&amp;GF168&amp;GG168&amp;GH168&amp;GI168</f>
        <v/>
      </c>
      <c r="GB168" s="3" t="inlineStr">
        <is>
          <t>C</t>
        </is>
      </c>
      <c r="GC168" s="3" t="inlineStr">
        <is>
          <t>G</t>
        </is>
      </c>
      <c r="GD168" s="3" t="inlineStr">
        <is>
          <t>B</t>
        </is>
      </c>
      <c r="GE168" s="3" t="inlineStr">
        <is>
          <t>D</t>
        </is>
      </c>
      <c r="GF168" s="3" t="inlineStr">
        <is>
          <t>H</t>
        </is>
      </c>
      <c r="GG168" s="3" t="inlineStr">
        <is>
          <t>F</t>
        </is>
      </c>
      <c r="GH168" s="3" t="inlineStr">
        <is>
          <t>E</t>
        </is>
      </c>
      <c r="GI168" s="3" t="inlineStr">
        <is>
          <t>I</t>
        </is>
      </c>
      <c r="GJ168" s="9">
        <f>VLOOKUP(GB168,$FM$3:$FN$15,2,FALSE)</f>
        <v/>
      </c>
      <c r="GK168" s="9">
        <f>VLOOKUP(GC168,$FM$3:$FN$15,2,FALSE)</f>
        <v/>
      </c>
      <c r="GL168" s="9">
        <f>VLOOKUP(GD168,$FM$3:$FN$15,2,FALSE)</f>
        <v/>
      </c>
      <c r="GM168" s="9">
        <f>VLOOKUP(GE168,$FM$3:$FN$15,2,FALSE)</f>
        <v/>
      </c>
      <c r="GN168" s="9">
        <f>VLOOKUP(GF168,$FM$3:$FN$15,2,FALSE)</f>
        <v/>
      </c>
      <c r="GO168" s="9">
        <f>VLOOKUP(GG168,$FM$3:$FN$15,2,FALSE)</f>
        <v/>
      </c>
      <c r="GP168" s="9">
        <f>VLOOKUP(GH168,$FM$3:$FN$15,2,FALSE)</f>
        <v/>
      </c>
      <c r="GQ168" s="9">
        <f>VLOOKUP(GI168,$FM$3:$FN$15,2,FALSE)</f>
        <v/>
      </c>
      <c r="GR168" s="9">
        <f>IFERROR(IF(AND(VLOOKUP(GB168,$FX$4:$FX$15,1,FALSE)=GB168,VLOOKUP(GC168,$FX$4:$FX$15,1,FALSE)=GC168,VLOOKUP(GD168,$FX$4:$FX$15,1,FALSE)=GD168,VLOOKUP(GE168,$FX$4:$FX$15,1,FALSE)=GE168,VLOOKUP(GF168,$FX$4:$FX$15,1,FALSE)=GF168,VLOOKUP(GG168,$FX$4:$FX$15,1,FALSE)=GG168,VLOOKUP(GH168,$FX$4:$FX$15,1,FALSE)=GH168,VLOOKUP(GI168,$FX$4:$FX$15,1,FALSE)=GI168),FZ168,""),"")</f>
        <v/>
      </c>
      <c r="GX168" s="142" t="n"/>
    </row>
    <row r="169" ht="14.25" customHeight="1">
      <c r="BQ169" s="13">
        <f>B145</f>
        <v/>
      </c>
      <c r="BR169" s="155">
        <f>D145</f>
        <v/>
      </c>
      <c r="BS169" s="156">
        <f>IF(OR('[1]Resultat &amp; tabell'!G145="",'[1]Resultat &amp; tabell'!I145=""),"",'[1]Resultat &amp; tabell'!D145)</f>
        <v/>
      </c>
      <c r="BT169" s="157">
        <f>IF(ISERROR(VLOOKUP(BR169,$BS$166:$BS$173,1,FALSE)),0,1)</f>
        <v/>
      </c>
      <c r="BU169" s="158">
        <f>BT169</f>
        <v/>
      </c>
      <c r="BV169" s="79">
        <f>BU169*4</f>
        <v/>
      </c>
      <c r="FZ169" s="79" t="n">
        <v>167</v>
      </c>
      <c r="GA169" s="3">
        <f>GB169&amp;GC169&amp;GD169&amp;GE169&amp;GF169&amp;GG169&amp;GH169&amp;GI169</f>
        <v/>
      </c>
      <c r="GB169" s="3" t="inlineStr">
        <is>
          <t>H</t>
        </is>
      </c>
      <c r="GC169" s="3" t="inlineStr">
        <is>
          <t>J</t>
        </is>
      </c>
      <c r="GD169" s="3" t="inlineStr">
        <is>
          <t>I</t>
        </is>
      </c>
      <c r="GE169" s="3" t="inlineStr">
        <is>
          <t>F</t>
        </is>
      </c>
      <c r="GF169" s="3" t="inlineStr">
        <is>
          <t>A</t>
        </is>
      </c>
      <c r="GG169" s="3" t="inlineStr">
        <is>
          <t>G</t>
        </is>
      </c>
      <c r="GH169" s="3" t="inlineStr">
        <is>
          <t>L</t>
        </is>
      </c>
      <c r="GI169" s="3" t="inlineStr">
        <is>
          <t>K</t>
        </is>
      </c>
      <c r="GJ169" s="9">
        <f>VLOOKUP(GB169,$FM$3:$FN$15,2,FALSE)</f>
        <v/>
      </c>
      <c r="GK169" s="9">
        <f>VLOOKUP(GC169,$FM$3:$FN$15,2,FALSE)</f>
        <v/>
      </c>
      <c r="GL169" s="9">
        <f>VLOOKUP(GD169,$FM$3:$FN$15,2,FALSE)</f>
        <v/>
      </c>
      <c r="GM169" s="9">
        <f>VLOOKUP(GE169,$FM$3:$FN$15,2,FALSE)</f>
        <v/>
      </c>
      <c r="GN169" s="9">
        <f>VLOOKUP(GF169,$FM$3:$FN$15,2,FALSE)</f>
        <v/>
      </c>
      <c r="GO169" s="9">
        <f>VLOOKUP(GG169,$FM$3:$FN$15,2,FALSE)</f>
        <v/>
      </c>
      <c r="GP169" s="9">
        <f>VLOOKUP(GH169,$FM$3:$FN$15,2,FALSE)</f>
        <v/>
      </c>
      <c r="GQ169" s="9">
        <f>VLOOKUP(GI169,$FM$3:$FN$15,2,FALSE)</f>
        <v/>
      </c>
      <c r="GR169" s="9">
        <f>IFERROR(IF(AND(VLOOKUP(GB169,$FX$4:$FX$15,1,FALSE)=GB169,VLOOKUP(GC169,$FX$4:$FX$15,1,FALSE)=GC169,VLOOKUP(GD169,$FX$4:$FX$15,1,FALSE)=GD169,VLOOKUP(GE169,$FX$4:$FX$15,1,FALSE)=GE169,VLOOKUP(GF169,$FX$4:$FX$15,1,FALSE)=GF169,VLOOKUP(GG169,$FX$4:$FX$15,1,FALSE)=GG169,VLOOKUP(GH169,$FX$4:$FX$15,1,FALSE)=GH169,VLOOKUP(GI169,$FX$4:$FX$15,1,FALSE)=GI169),FZ169,""),"")</f>
        <v/>
      </c>
      <c r="GX169" s="142" t="n"/>
    </row>
    <row r="170" ht="14.25" customHeight="1">
      <c r="BQ170" s="13">
        <f>B142</f>
        <v/>
      </c>
      <c r="BR170" s="12">
        <f>F142</f>
        <v/>
      </c>
      <c r="BS170" s="156">
        <f>IF(OR('[1]Resultat &amp; tabell'!G142="",'[1]Resultat &amp; tabell'!I142=""),"",'[1]Resultat &amp; tabell'!F142)</f>
        <v/>
      </c>
      <c r="BT170" s="157">
        <f>IF(ISERROR(VLOOKUP(BR170,$BS$166:$BS$173,1,FALSE)),0,1)</f>
        <v/>
      </c>
      <c r="BU170" s="158">
        <f>BT170</f>
        <v/>
      </c>
      <c r="BV170" s="79">
        <f>BU170*4</f>
        <v/>
      </c>
      <c r="FZ170" s="79" t="n">
        <v>168</v>
      </c>
      <c r="GA170" s="3">
        <f>GB170&amp;GC170&amp;GD170&amp;GE170&amp;GF170&amp;GG170&amp;GH170&amp;GI170</f>
        <v/>
      </c>
      <c r="GB170" s="3" t="inlineStr">
        <is>
          <t>E</t>
        </is>
      </c>
      <c r="GC170" s="3" t="inlineStr">
        <is>
          <t>J</t>
        </is>
      </c>
      <c r="GD170" s="3" t="inlineStr">
        <is>
          <t>I</t>
        </is>
      </c>
      <c r="GE170" s="3" t="inlineStr">
        <is>
          <t>A</t>
        </is>
      </c>
      <c r="GF170" s="3" t="inlineStr">
        <is>
          <t>H</t>
        </is>
      </c>
      <c r="GG170" s="3" t="inlineStr">
        <is>
          <t>G</t>
        </is>
      </c>
      <c r="GH170" s="3" t="inlineStr">
        <is>
          <t>L</t>
        </is>
      </c>
      <c r="GI170" s="3" t="inlineStr">
        <is>
          <t>K</t>
        </is>
      </c>
      <c r="GJ170" s="9">
        <f>VLOOKUP(GB170,$FM$3:$FN$15,2,FALSE)</f>
        <v/>
      </c>
      <c r="GK170" s="9">
        <f>VLOOKUP(GC170,$FM$3:$FN$15,2,FALSE)</f>
        <v/>
      </c>
      <c r="GL170" s="9">
        <f>VLOOKUP(GD170,$FM$3:$FN$15,2,FALSE)</f>
        <v/>
      </c>
      <c r="GM170" s="9">
        <f>VLOOKUP(GE170,$FM$3:$FN$15,2,FALSE)</f>
        <v/>
      </c>
      <c r="GN170" s="9">
        <f>VLOOKUP(GF170,$FM$3:$FN$15,2,FALSE)</f>
        <v/>
      </c>
      <c r="GO170" s="9">
        <f>VLOOKUP(GG170,$FM$3:$FN$15,2,FALSE)</f>
        <v/>
      </c>
      <c r="GP170" s="9">
        <f>VLOOKUP(GH170,$FM$3:$FN$15,2,FALSE)</f>
        <v/>
      </c>
      <c r="GQ170" s="9">
        <f>VLOOKUP(GI170,$FM$3:$FN$15,2,FALSE)</f>
        <v/>
      </c>
      <c r="GR170" s="9">
        <f>IFERROR(IF(AND(VLOOKUP(GB170,$FX$4:$FX$15,1,FALSE)=GB170,VLOOKUP(GC170,$FX$4:$FX$15,1,FALSE)=GC170,VLOOKUP(GD170,$FX$4:$FX$15,1,FALSE)=GD170,VLOOKUP(GE170,$FX$4:$FX$15,1,FALSE)=GE170,VLOOKUP(GF170,$FX$4:$FX$15,1,FALSE)=GF170,VLOOKUP(GG170,$FX$4:$FX$15,1,FALSE)=GG170,VLOOKUP(GH170,$FX$4:$FX$15,1,FALSE)=GH170,VLOOKUP(GI170,$FX$4:$FX$15,1,FALSE)=GI170),FZ170,""),"")</f>
        <v/>
      </c>
      <c r="GX170" s="27" t="n"/>
    </row>
    <row r="171" ht="14.25" customHeight="1">
      <c r="BQ171" s="13">
        <f>B143</f>
        <v/>
      </c>
      <c r="BR171" s="12">
        <f>F143</f>
        <v/>
      </c>
      <c r="BS171" s="156">
        <f>IF(OR('[1]Resultat &amp; tabell'!G143="",'[1]Resultat &amp; tabell'!I143=""),"",'[1]Resultat &amp; tabell'!F143)</f>
        <v/>
      </c>
      <c r="BT171" s="157">
        <f>IF(ISERROR(VLOOKUP(BR171,$BS$166:$BS$173,1,FALSE)),0,1)</f>
        <v/>
      </c>
      <c r="BU171" s="158">
        <f>BT171</f>
        <v/>
      </c>
      <c r="BV171" s="79">
        <f>BU171*4</f>
        <v/>
      </c>
      <c r="FZ171" s="79" t="n">
        <v>169</v>
      </c>
      <c r="GA171" s="3">
        <f>GB171&amp;GC171&amp;GD171&amp;GE171&amp;GF171&amp;GG171&amp;GH171&amp;GI171</f>
        <v/>
      </c>
      <c r="GB171" s="3" t="inlineStr">
        <is>
          <t>E</t>
        </is>
      </c>
      <c r="GC171" s="3" t="inlineStr">
        <is>
          <t>J</t>
        </is>
      </c>
      <c r="GD171" s="3" t="inlineStr">
        <is>
          <t>I</t>
        </is>
      </c>
      <c r="GE171" s="3" t="inlineStr">
        <is>
          <t>F</t>
        </is>
      </c>
      <c r="GF171" s="3" t="inlineStr">
        <is>
          <t>A</t>
        </is>
      </c>
      <c r="GG171" s="3" t="inlineStr">
        <is>
          <t>H</t>
        </is>
      </c>
      <c r="GH171" s="3" t="inlineStr">
        <is>
          <t>L</t>
        </is>
      </c>
      <c r="GI171" s="3" t="inlineStr">
        <is>
          <t>K</t>
        </is>
      </c>
      <c r="GJ171" s="9">
        <f>VLOOKUP(GB171,$FM$3:$FN$15,2,FALSE)</f>
        <v/>
      </c>
      <c r="GK171" s="9">
        <f>VLOOKUP(GC171,$FM$3:$FN$15,2,FALSE)</f>
        <v/>
      </c>
      <c r="GL171" s="9">
        <f>VLOOKUP(GD171,$FM$3:$FN$15,2,FALSE)</f>
        <v/>
      </c>
      <c r="GM171" s="9">
        <f>VLOOKUP(GE171,$FM$3:$FN$15,2,FALSE)</f>
        <v/>
      </c>
      <c r="GN171" s="9">
        <f>VLOOKUP(GF171,$FM$3:$FN$15,2,FALSE)</f>
        <v/>
      </c>
      <c r="GO171" s="9">
        <f>VLOOKUP(GG171,$FM$3:$FN$15,2,FALSE)</f>
        <v/>
      </c>
      <c r="GP171" s="9">
        <f>VLOOKUP(GH171,$FM$3:$FN$15,2,FALSE)</f>
        <v/>
      </c>
      <c r="GQ171" s="9">
        <f>VLOOKUP(GI171,$FM$3:$FN$15,2,FALSE)</f>
        <v/>
      </c>
      <c r="GR171" s="9">
        <f>IFERROR(IF(AND(VLOOKUP(GB171,$FX$4:$FX$15,1,FALSE)=GB171,VLOOKUP(GC171,$FX$4:$FX$15,1,FALSE)=GC171,VLOOKUP(GD171,$FX$4:$FX$15,1,FALSE)=GD171,VLOOKUP(GE171,$FX$4:$FX$15,1,FALSE)=GE171,VLOOKUP(GF171,$FX$4:$FX$15,1,FALSE)=GF171,VLOOKUP(GG171,$FX$4:$FX$15,1,FALSE)=GG171,VLOOKUP(GH171,$FX$4:$FX$15,1,FALSE)=GH171,VLOOKUP(GI171,$FX$4:$FX$15,1,FALSE)=GI171),FZ171,""),"")</f>
        <v/>
      </c>
      <c r="GX171" s="27" t="n"/>
    </row>
    <row r="172" ht="14.25" customHeight="1">
      <c r="BQ172" s="13">
        <f>B144</f>
        <v/>
      </c>
      <c r="BR172" s="12">
        <f>F144</f>
        <v/>
      </c>
      <c r="BS172" s="156">
        <f>IF(OR('[1]Resultat &amp; tabell'!G144="",'[1]Resultat &amp; tabell'!I144=""),"",'[1]Resultat &amp; tabell'!F144)</f>
        <v/>
      </c>
      <c r="BT172" s="157">
        <f>IF(ISERROR(VLOOKUP(BR172,$BS$166:$BS$173,1,FALSE)),0,1)</f>
        <v/>
      </c>
      <c r="BU172" s="158">
        <f>BT172</f>
        <v/>
      </c>
      <c r="BV172" s="79">
        <f>BU172*4</f>
        <v/>
      </c>
      <c r="FZ172" s="79" t="n">
        <v>170</v>
      </c>
      <c r="GA172" s="3">
        <f>GB172&amp;GC172&amp;GD172&amp;GE172&amp;GF172&amp;GG172&amp;GH172&amp;GI172</f>
        <v/>
      </c>
      <c r="GB172" s="3" t="inlineStr">
        <is>
          <t>E</t>
        </is>
      </c>
      <c r="GC172" s="3" t="inlineStr">
        <is>
          <t>J</t>
        </is>
      </c>
      <c r="GD172" s="3" t="inlineStr">
        <is>
          <t>I</t>
        </is>
      </c>
      <c r="GE172" s="3" t="inlineStr">
        <is>
          <t>F</t>
        </is>
      </c>
      <c r="GF172" s="3" t="inlineStr">
        <is>
          <t>A</t>
        </is>
      </c>
      <c r="GG172" s="3" t="inlineStr">
        <is>
          <t>G</t>
        </is>
      </c>
      <c r="GH172" s="3" t="inlineStr">
        <is>
          <t>L</t>
        </is>
      </c>
      <c r="GI172" s="3" t="inlineStr">
        <is>
          <t>K</t>
        </is>
      </c>
      <c r="GJ172" s="9">
        <f>VLOOKUP(GB172,$FM$3:$FN$15,2,FALSE)</f>
        <v/>
      </c>
      <c r="GK172" s="9">
        <f>VLOOKUP(GC172,$FM$3:$FN$15,2,FALSE)</f>
        <v/>
      </c>
      <c r="GL172" s="9">
        <f>VLOOKUP(GD172,$FM$3:$FN$15,2,FALSE)</f>
        <v/>
      </c>
      <c r="GM172" s="9">
        <f>VLOOKUP(GE172,$FM$3:$FN$15,2,FALSE)</f>
        <v/>
      </c>
      <c r="GN172" s="9">
        <f>VLOOKUP(GF172,$FM$3:$FN$15,2,FALSE)</f>
        <v/>
      </c>
      <c r="GO172" s="9">
        <f>VLOOKUP(GG172,$FM$3:$FN$15,2,FALSE)</f>
        <v/>
      </c>
      <c r="GP172" s="9">
        <f>VLOOKUP(GH172,$FM$3:$FN$15,2,FALSE)</f>
        <v/>
      </c>
      <c r="GQ172" s="9">
        <f>VLOOKUP(GI172,$FM$3:$FN$15,2,FALSE)</f>
        <v/>
      </c>
      <c r="GR172" s="9">
        <f>IFERROR(IF(AND(VLOOKUP(GB172,$FX$4:$FX$15,1,FALSE)=GB172,VLOOKUP(GC172,$FX$4:$FX$15,1,FALSE)=GC172,VLOOKUP(GD172,$FX$4:$FX$15,1,FALSE)=GD172,VLOOKUP(GE172,$FX$4:$FX$15,1,FALSE)=GE172,VLOOKUP(GF172,$FX$4:$FX$15,1,FALSE)=GF172,VLOOKUP(GG172,$FX$4:$FX$15,1,FALSE)=GG172,VLOOKUP(GH172,$FX$4:$FX$15,1,FALSE)=GH172,VLOOKUP(GI172,$FX$4:$FX$15,1,FALSE)=GI172),FZ172,""),"")</f>
        <v/>
      </c>
      <c r="GX172" s="15" t="n"/>
    </row>
    <row r="173" ht="14.25" customHeight="1">
      <c r="BQ173" s="13">
        <f>B145</f>
        <v/>
      </c>
      <c r="BR173" s="12">
        <f>F145</f>
        <v/>
      </c>
      <c r="BS173" s="156">
        <f>IF(OR('[1]Resultat &amp; tabell'!G145="",'[1]Resultat &amp; tabell'!I145=""),"",'[1]Resultat &amp; tabell'!F145)</f>
        <v/>
      </c>
      <c r="BT173" s="157">
        <f>IF(ISERROR(VLOOKUP(BR173,$BS$166:$BS$173,1,FALSE)),0,1)</f>
        <v/>
      </c>
      <c r="BU173" s="158">
        <f>BT173</f>
        <v/>
      </c>
      <c r="BV173" s="79">
        <f>BU173*4</f>
        <v/>
      </c>
      <c r="FZ173" s="79" t="n">
        <v>171</v>
      </c>
      <c r="GA173" s="3">
        <f>GB173&amp;GC173&amp;GD173&amp;GE173&amp;GF173&amp;GG173&amp;GH173&amp;GI173</f>
        <v/>
      </c>
      <c r="GB173" s="3" t="inlineStr">
        <is>
          <t>E</t>
        </is>
      </c>
      <c r="GC173" s="3" t="inlineStr">
        <is>
          <t>G</t>
        </is>
      </c>
      <c r="GD173" s="3" t="inlineStr">
        <is>
          <t>J</t>
        </is>
      </c>
      <c r="GE173" s="3" t="inlineStr">
        <is>
          <t>F</t>
        </is>
      </c>
      <c r="GF173" s="3" t="inlineStr">
        <is>
          <t>A</t>
        </is>
      </c>
      <c r="GG173" s="3" t="inlineStr">
        <is>
          <t>H</t>
        </is>
      </c>
      <c r="GH173" s="3" t="inlineStr">
        <is>
          <t>L</t>
        </is>
      </c>
      <c r="GI173" s="3" t="inlineStr">
        <is>
          <t>K</t>
        </is>
      </c>
      <c r="GJ173" s="9">
        <f>VLOOKUP(GB173,$FM$3:$FN$15,2,FALSE)</f>
        <v/>
      </c>
      <c r="GK173" s="9">
        <f>VLOOKUP(GC173,$FM$3:$FN$15,2,FALSE)</f>
        <v/>
      </c>
      <c r="GL173" s="9">
        <f>VLOOKUP(GD173,$FM$3:$FN$15,2,FALSE)</f>
        <v/>
      </c>
      <c r="GM173" s="9">
        <f>VLOOKUP(GE173,$FM$3:$FN$15,2,FALSE)</f>
        <v/>
      </c>
      <c r="GN173" s="9">
        <f>VLOOKUP(GF173,$FM$3:$FN$15,2,FALSE)</f>
        <v/>
      </c>
      <c r="GO173" s="9">
        <f>VLOOKUP(GG173,$FM$3:$FN$15,2,FALSE)</f>
        <v/>
      </c>
      <c r="GP173" s="9">
        <f>VLOOKUP(GH173,$FM$3:$FN$15,2,FALSE)</f>
        <v/>
      </c>
      <c r="GQ173" s="9">
        <f>VLOOKUP(GI173,$FM$3:$FN$15,2,FALSE)</f>
        <v/>
      </c>
      <c r="GR173" s="9">
        <f>IFERROR(IF(AND(VLOOKUP(GB173,$FX$4:$FX$15,1,FALSE)=GB173,VLOOKUP(GC173,$FX$4:$FX$15,1,FALSE)=GC173,VLOOKUP(GD173,$FX$4:$FX$15,1,FALSE)=GD173,VLOOKUP(GE173,$FX$4:$FX$15,1,FALSE)=GE173,VLOOKUP(GF173,$FX$4:$FX$15,1,FALSE)=GF173,VLOOKUP(GG173,$FX$4:$FX$15,1,FALSE)=GG173,VLOOKUP(GH173,$FX$4:$FX$15,1,FALSE)=GH173,VLOOKUP(GI173,$FX$4:$FX$15,1,FALSE)=GI173),FZ173,""),"")</f>
        <v/>
      </c>
      <c r="GX173" s="142" t="n"/>
    </row>
    <row r="174" ht="14.25" customHeight="1">
      <c r="BU174" s="146" t="inlineStr">
        <is>
          <t>Summa</t>
        </is>
      </c>
      <c r="BV174" s="146">
        <f>SUM(BV166:BV173)</f>
        <v/>
      </c>
      <c r="FZ174" s="79" t="n">
        <v>172</v>
      </c>
      <c r="GA174" s="3">
        <f>GB174&amp;GC174&amp;GD174&amp;GE174&amp;GF174&amp;GG174&amp;GH174&amp;GI174</f>
        <v/>
      </c>
      <c r="GB174" s="3" t="inlineStr">
        <is>
          <t>E</t>
        </is>
      </c>
      <c r="GC174" s="3" t="inlineStr">
        <is>
          <t>G</t>
        </is>
      </c>
      <c r="GD174" s="3" t="inlineStr">
        <is>
          <t>I</t>
        </is>
      </c>
      <c r="GE174" s="3" t="inlineStr">
        <is>
          <t>F</t>
        </is>
      </c>
      <c r="GF174" s="3" t="inlineStr">
        <is>
          <t>A</t>
        </is>
      </c>
      <c r="GG174" s="3" t="inlineStr">
        <is>
          <t>H</t>
        </is>
      </c>
      <c r="GH174" s="3" t="inlineStr">
        <is>
          <t>L</t>
        </is>
      </c>
      <c r="GI174" s="3" t="inlineStr">
        <is>
          <t>K</t>
        </is>
      </c>
      <c r="GJ174" s="9">
        <f>VLOOKUP(GB174,$FM$3:$FN$15,2,FALSE)</f>
        <v/>
      </c>
      <c r="GK174" s="9">
        <f>VLOOKUP(GC174,$FM$3:$FN$15,2,FALSE)</f>
        <v/>
      </c>
      <c r="GL174" s="9">
        <f>VLOOKUP(GD174,$FM$3:$FN$15,2,FALSE)</f>
        <v/>
      </c>
      <c r="GM174" s="9">
        <f>VLOOKUP(GE174,$FM$3:$FN$15,2,FALSE)</f>
        <v/>
      </c>
      <c r="GN174" s="9">
        <f>VLOOKUP(GF174,$FM$3:$FN$15,2,FALSE)</f>
        <v/>
      </c>
      <c r="GO174" s="9">
        <f>VLOOKUP(GG174,$FM$3:$FN$15,2,FALSE)</f>
        <v/>
      </c>
      <c r="GP174" s="9">
        <f>VLOOKUP(GH174,$FM$3:$FN$15,2,FALSE)</f>
        <v/>
      </c>
      <c r="GQ174" s="9">
        <f>VLOOKUP(GI174,$FM$3:$FN$15,2,FALSE)</f>
        <v/>
      </c>
      <c r="GR174" s="9">
        <f>IFERROR(IF(AND(VLOOKUP(GB174,$FX$4:$FX$15,1,FALSE)=GB174,VLOOKUP(GC174,$FX$4:$FX$15,1,FALSE)=GC174,VLOOKUP(GD174,$FX$4:$FX$15,1,FALSE)=GD174,VLOOKUP(GE174,$FX$4:$FX$15,1,FALSE)=GE174,VLOOKUP(GF174,$FX$4:$FX$15,1,FALSE)=GF174,VLOOKUP(GG174,$FX$4:$FX$15,1,FALSE)=GG174,VLOOKUP(GH174,$FX$4:$FX$15,1,FALSE)=GH174,VLOOKUP(GI174,$FX$4:$FX$15,1,FALSE)=GI174),FZ174,""),"")</f>
        <v/>
      </c>
      <c r="GX174" s="142" t="n"/>
    </row>
    <row r="175" ht="14.25" customHeight="1">
      <c r="BQ175" s="19" t="inlineStr">
        <is>
          <t>Semifinaler</t>
        </is>
      </c>
      <c r="FZ175" s="79" t="n">
        <v>173</v>
      </c>
      <c r="GA175" s="3">
        <f>GB175&amp;GC175&amp;GD175&amp;GE175&amp;GF175&amp;GG175&amp;GH175&amp;GI175</f>
        <v/>
      </c>
      <c r="GB175" s="3" t="inlineStr">
        <is>
          <t>E</t>
        </is>
      </c>
      <c r="GC175" s="3" t="inlineStr">
        <is>
          <t>G</t>
        </is>
      </c>
      <c r="GD175" s="3" t="inlineStr">
        <is>
          <t>J</t>
        </is>
      </c>
      <c r="GE175" s="3" t="inlineStr">
        <is>
          <t>F</t>
        </is>
      </c>
      <c r="GF175" s="3" t="inlineStr">
        <is>
          <t>A</t>
        </is>
      </c>
      <c r="GG175" s="3" t="inlineStr">
        <is>
          <t>H</t>
        </is>
      </c>
      <c r="GH175" s="3" t="inlineStr">
        <is>
          <t>L</t>
        </is>
      </c>
      <c r="GI175" s="3" t="inlineStr">
        <is>
          <t>I</t>
        </is>
      </c>
      <c r="GJ175" s="9">
        <f>VLOOKUP(GB175,$FM$3:$FN$15,2,FALSE)</f>
        <v/>
      </c>
      <c r="GK175" s="9">
        <f>VLOOKUP(GC175,$FM$3:$FN$15,2,FALSE)</f>
        <v/>
      </c>
      <c r="GL175" s="9">
        <f>VLOOKUP(GD175,$FM$3:$FN$15,2,FALSE)</f>
        <v/>
      </c>
      <c r="GM175" s="9">
        <f>VLOOKUP(GE175,$FM$3:$FN$15,2,FALSE)</f>
        <v/>
      </c>
      <c r="GN175" s="9">
        <f>VLOOKUP(GF175,$FM$3:$FN$15,2,FALSE)</f>
        <v/>
      </c>
      <c r="GO175" s="9">
        <f>VLOOKUP(GG175,$FM$3:$FN$15,2,FALSE)</f>
        <v/>
      </c>
      <c r="GP175" s="9">
        <f>VLOOKUP(GH175,$FM$3:$FN$15,2,FALSE)</f>
        <v/>
      </c>
      <c r="GQ175" s="9">
        <f>VLOOKUP(GI175,$FM$3:$FN$15,2,FALSE)</f>
        <v/>
      </c>
      <c r="GR175" s="9">
        <f>IFERROR(IF(AND(VLOOKUP(GB175,$FX$4:$FX$15,1,FALSE)=GB175,VLOOKUP(GC175,$FX$4:$FX$15,1,FALSE)=GC175,VLOOKUP(GD175,$FX$4:$FX$15,1,FALSE)=GD175,VLOOKUP(GE175,$FX$4:$FX$15,1,FALSE)=GE175,VLOOKUP(GF175,$FX$4:$FX$15,1,FALSE)=GF175,VLOOKUP(GG175,$FX$4:$FX$15,1,FALSE)=GG175,VLOOKUP(GH175,$FX$4:$FX$15,1,FALSE)=GH175,VLOOKUP(GI175,$FX$4:$FX$15,1,FALSE)=GI175),FZ175,""),"")</f>
        <v/>
      </c>
      <c r="GX175" s="27" t="n"/>
    </row>
    <row r="176" ht="14.25" customHeight="1">
      <c r="BQ176" s="146" t="inlineStr">
        <is>
          <t>Match</t>
        </is>
      </c>
      <c r="BR176" s="26" t="inlineStr">
        <is>
          <t>Mitt tips</t>
        </is>
      </c>
      <c r="BS176" s="147" t="inlineStr">
        <is>
          <t>Resultat &amp; tabell</t>
        </is>
      </c>
      <c r="BT176" s="147" t="inlineStr">
        <is>
          <t>Utfall</t>
        </is>
      </c>
      <c r="BU176" s="147" t="inlineStr">
        <is>
          <t>Utfall likare</t>
        </is>
      </c>
      <c r="BV176" s="147" t="inlineStr">
        <is>
          <t>Poäng</t>
        </is>
      </c>
      <c r="FZ176" s="79" t="n">
        <v>174</v>
      </c>
      <c r="GA176" s="3">
        <f>GB176&amp;GC176&amp;GD176&amp;GE176&amp;GF176&amp;GG176&amp;GH176&amp;GI176</f>
        <v/>
      </c>
      <c r="GB176" s="3" t="inlineStr">
        <is>
          <t>E</t>
        </is>
      </c>
      <c r="GC176" s="3" t="inlineStr">
        <is>
          <t>G</t>
        </is>
      </c>
      <c r="GD176" s="3" t="inlineStr">
        <is>
          <t>J</t>
        </is>
      </c>
      <c r="GE176" s="3" t="inlineStr">
        <is>
          <t>F</t>
        </is>
      </c>
      <c r="GF176" s="3" t="inlineStr">
        <is>
          <t>A</t>
        </is>
      </c>
      <c r="GG176" s="3" t="inlineStr">
        <is>
          <t>H</t>
        </is>
      </c>
      <c r="GH176" s="3" t="inlineStr">
        <is>
          <t>I</t>
        </is>
      </c>
      <c r="GI176" s="3" t="inlineStr">
        <is>
          <t>K</t>
        </is>
      </c>
      <c r="GJ176" s="9">
        <f>VLOOKUP(GB176,$FM$3:$FN$15,2,FALSE)</f>
        <v/>
      </c>
      <c r="GK176" s="9">
        <f>VLOOKUP(GC176,$FM$3:$FN$15,2,FALSE)</f>
        <v/>
      </c>
      <c r="GL176" s="9">
        <f>VLOOKUP(GD176,$FM$3:$FN$15,2,FALSE)</f>
        <v/>
      </c>
      <c r="GM176" s="9">
        <f>VLOOKUP(GE176,$FM$3:$FN$15,2,FALSE)</f>
        <v/>
      </c>
      <c r="GN176" s="9">
        <f>VLOOKUP(GF176,$FM$3:$FN$15,2,FALSE)</f>
        <v/>
      </c>
      <c r="GO176" s="9">
        <f>VLOOKUP(GG176,$FM$3:$FN$15,2,FALSE)</f>
        <v/>
      </c>
      <c r="GP176" s="9">
        <f>VLOOKUP(GH176,$FM$3:$FN$15,2,FALSE)</f>
        <v/>
      </c>
      <c r="GQ176" s="9">
        <f>VLOOKUP(GI176,$FM$3:$FN$15,2,FALSE)</f>
        <v/>
      </c>
      <c r="GR176" s="9">
        <f>IFERROR(IF(AND(VLOOKUP(GB176,$FX$4:$FX$15,1,FALSE)=GB176,VLOOKUP(GC176,$FX$4:$FX$15,1,FALSE)=GC176,VLOOKUP(GD176,$FX$4:$FX$15,1,FALSE)=GD176,VLOOKUP(GE176,$FX$4:$FX$15,1,FALSE)=GE176,VLOOKUP(GF176,$FX$4:$FX$15,1,FALSE)=GF176,VLOOKUP(GG176,$FX$4:$FX$15,1,FALSE)=GG176,VLOOKUP(GH176,$FX$4:$FX$15,1,FALSE)=GH176,VLOOKUP(GI176,$FX$4:$FX$15,1,FALSE)=GI176),FZ176,""),"")</f>
        <v/>
      </c>
      <c r="GX176" s="142" t="n"/>
    </row>
    <row r="177" ht="14.25" customHeight="1">
      <c r="BQ177" s="13">
        <f>B149</f>
        <v/>
      </c>
      <c r="BR177" s="155">
        <f>D149</f>
        <v/>
      </c>
      <c r="BS177" s="156">
        <f>IF(OR('[1]Resultat &amp; tabell'!G149="",'[1]Resultat &amp; tabell'!I149=""),"",'[1]Resultat &amp; tabell'!D149)</f>
        <v/>
      </c>
      <c r="BT177" s="157">
        <f>IF(ISERROR(VLOOKUP(BR177,$BS$177:$BS$180,1,FALSE)),0,1)</f>
        <v/>
      </c>
      <c r="BU177" s="158">
        <f>BT177</f>
        <v/>
      </c>
      <c r="BV177" s="79">
        <f>BU177*6</f>
        <v/>
      </c>
      <c r="FZ177" s="79" t="n">
        <v>175</v>
      </c>
      <c r="GA177" s="3">
        <f>GB177&amp;GC177&amp;GD177&amp;GE177&amp;GF177&amp;GG177&amp;GH177&amp;GI177</f>
        <v/>
      </c>
      <c r="GB177" s="3" t="inlineStr">
        <is>
          <t>H</t>
        </is>
      </c>
      <c r="GC177" s="3" t="inlineStr">
        <is>
          <t>J</t>
        </is>
      </c>
      <c r="GD177" s="3" t="inlineStr">
        <is>
          <t>I</t>
        </is>
      </c>
      <c r="GE177" s="3" t="inlineStr">
        <is>
          <t>D</t>
        </is>
      </c>
      <c r="GF177" s="3" t="inlineStr">
        <is>
          <t>A</t>
        </is>
      </c>
      <c r="GG177" s="3" t="inlineStr">
        <is>
          <t>G</t>
        </is>
      </c>
      <c r="GH177" s="3" t="inlineStr">
        <is>
          <t>L</t>
        </is>
      </c>
      <c r="GI177" s="3" t="inlineStr">
        <is>
          <t>K</t>
        </is>
      </c>
      <c r="GJ177" s="9">
        <f>VLOOKUP(GB177,$FM$3:$FN$15,2,FALSE)</f>
        <v/>
      </c>
      <c r="GK177" s="9">
        <f>VLOOKUP(GC177,$FM$3:$FN$15,2,FALSE)</f>
        <v/>
      </c>
      <c r="GL177" s="9">
        <f>VLOOKUP(GD177,$FM$3:$FN$15,2,FALSE)</f>
        <v/>
      </c>
      <c r="GM177" s="9">
        <f>VLOOKUP(GE177,$FM$3:$FN$15,2,FALSE)</f>
        <v/>
      </c>
      <c r="GN177" s="9">
        <f>VLOOKUP(GF177,$FM$3:$FN$15,2,FALSE)</f>
        <v/>
      </c>
      <c r="GO177" s="9">
        <f>VLOOKUP(GG177,$FM$3:$FN$15,2,FALSE)</f>
        <v/>
      </c>
      <c r="GP177" s="9">
        <f>VLOOKUP(GH177,$FM$3:$FN$15,2,FALSE)</f>
        <v/>
      </c>
      <c r="GQ177" s="9">
        <f>VLOOKUP(GI177,$FM$3:$FN$15,2,FALSE)</f>
        <v/>
      </c>
      <c r="GR177" s="9">
        <f>IFERROR(IF(AND(VLOOKUP(GB177,$FX$4:$FX$15,1,FALSE)=GB177,VLOOKUP(GC177,$FX$4:$FX$15,1,FALSE)=GC177,VLOOKUP(GD177,$FX$4:$FX$15,1,FALSE)=GD177,VLOOKUP(GE177,$FX$4:$FX$15,1,FALSE)=GE177,VLOOKUP(GF177,$FX$4:$FX$15,1,FALSE)=GF177,VLOOKUP(GG177,$FX$4:$FX$15,1,FALSE)=GG177,VLOOKUP(GH177,$FX$4:$FX$15,1,FALSE)=GH177,VLOOKUP(GI177,$FX$4:$FX$15,1,FALSE)=GI177),FZ177,""),"")</f>
        <v/>
      </c>
      <c r="GX177" s="142" t="n"/>
    </row>
    <row r="178" ht="14.25" customHeight="1">
      <c r="BQ178" s="13">
        <f>B150</f>
        <v/>
      </c>
      <c r="BR178" s="155">
        <f>D150</f>
        <v/>
      </c>
      <c r="BS178" s="156">
        <f>IF(OR('[1]Resultat &amp; tabell'!G150="",'[1]Resultat &amp; tabell'!I150=""),"",'[1]Resultat &amp; tabell'!D150)</f>
        <v/>
      </c>
      <c r="BT178" s="157">
        <f>IF(ISERROR(VLOOKUP(BR178,$BS$177:$BS$180,1,FALSE)),0,1)</f>
        <v/>
      </c>
      <c r="BU178" s="158">
        <f>BT178</f>
        <v/>
      </c>
      <c r="BV178" s="79">
        <f>BU178*6</f>
        <v/>
      </c>
      <c r="FZ178" s="79" t="n">
        <v>176</v>
      </c>
      <c r="GA178" s="3">
        <f>GB178&amp;GC178&amp;GD178&amp;GE178&amp;GF178&amp;GG178&amp;GH178&amp;GI178</f>
        <v/>
      </c>
      <c r="GB178" s="3" t="inlineStr">
        <is>
          <t>H</t>
        </is>
      </c>
      <c r="GC178" s="3" t="inlineStr">
        <is>
          <t>J</t>
        </is>
      </c>
      <c r="GD178" s="3" t="inlineStr">
        <is>
          <t>I</t>
        </is>
      </c>
      <c r="GE178" s="3" t="inlineStr">
        <is>
          <t>D</t>
        </is>
      </c>
      <c r="GF178" s="3" t="inlineStr">
        <is>
          <t>A</t>
        </is>
      </c>
      <c r="GG178" s="3" t="inlineStr">
        <is>
          <t>F</t>
        </is>
      </c>
      <c r="GH178" s="3" t="inlineStr">
        <is>
          <t>L</t>
        </is>
      </c>
      <c r="GI178" s="3" t="inlineStr">
        <is>
          <t>K</t>
        </is>
      </c>
      <c r="GJ178" s="9">
        <f>VLOOKUP(GB178,$FM$3:$FN$15,2,FALSE)</f>
        <v/>
      </c>
      <c r="GK178" s="9">
        <f>VLOOKUP(GC178,$FM$3:$FN$15,2,FALSE)</f>
        <v/>
      </c>
      <c r="GL178" s="9">
        <f>VLOOKUP(GD178,$FM$3:$FN$15,2,FALSE)</f>
        <v/>
      </c>
      <c r="GM178" s="9">
        <f>VLOOKUP(GE178,$FM$3:$FN$15,2,FALSE)</f>
        <v/>
      </c>
      <c r="GN178" s="9">
        <f>VLOOKUP(GF178,$FM$3:$FN$15,2,FALSE)</f>
        <v/>
      </c>
      <c r="GO178" s="9">
        <f>VLOOKUP(GG178,$FM$3:$FN$15,2,FALSE)</f>
        <v/>
      </c>
      <c r="GP178" s="9">
        <f>VLOOKUP(GH178,$FM$3:$FN$15,2,FALSE)</f>
        <v/>
      </c>
      <c r="GQ178" s="9">
        <f>VLOOKUP(GI178,$FM$3:$FN$15,2,FALSE)</f>
        <v/>
      </c>
      <c r="GR178" s="9">
        <f>IFERROR(IF(AND(VLOOKUP(GB178,$FX$4:$FX$15,1,FALSE)=GB178,VLOOKUP(GC178,$FX$4:$FX$15,1,FALSE)=GC178,VLOOKUP(GD178,$FX$4:$FX$15,1,FALSE)=GD178,VLOOKUP(GE178,$FX$4:$FX$15,1,FALSE)=GE178,VLOOKUP(GF178,$FX$4:$FX$15,1,FALSE)=GF178,VLOOKUP(GG178,$FX$4:$FX$15,1,FALSE)=GG178,VLOOKUP(GH178,$FX$4:$FX$15,1,FALSE)=GH178,VLOOKUP(GI178,$FX$4:$FX$15,1,FALSE)=GI178),FZ178,""),"")</f>
        <v/>
      </c>
    </row>
    <row r="179" ht="14.25" customHeight="1">
      <c r="BQ179" s="13">
        <f>B149</f>
        <v/>
      </c>
      <c r="BR179" s="155">
        <f>F149</f>
        <v/>
      </c>
      <c r="BS179" s="156">
        <f>IF(OR('[1]Resultat &amp; tabell'!G149="",'[1]Resultat &amp; tabell'!I149=""),"",'[1]Resultat &amp; tabell'!F149)</f>
        <v/>
      </c>
      <c r="BT179" s="157">
        <f>IF(ISERROR(VLOOKUP(BR179,$BS$177:$BS$180,1,FALSE)),0,1)</f>
        <v/>
      </c>
      <c r="BU179" s="158">
        <f>BT179</f>
        <v/>
      </c>
      <c r="BV179" s="79">
        <f>BU179*6</f>
        <v/>
      </c>
      <c r="FZ179" s="79" t="n">
        <v>177</v>
      </c>
      <c r="GA179" s="3">
        <f>GB179&amp;GC179&amp;GD179&amp;GE179&amp;GF179&amp;GG179&amp;GH179&amp;GI179</f>
        <v/>
      </c>
      <c r="GB179" s="3" t="inlineStr">
        <is>
          <t>I</t>
        </is>
      </c>
      <c r="GC179" s="3" t="inlineStr">
        <is>
          <t>G</t>
        </is>
      </c>
      <c r="GD179" s="3" t="inlineStr">
        <is>
          <t>J</t>
        </is>
      </c>
      <c r="GE179" s="3" t="inlineStr">
        <is>
          <t>D</t>
        </is>
      </c>
      <c r="GF179" s="3" t="inlineStr">
        <is>
          <t>A</t>
        </is>
      </c>
      <c r="GG179" s="3" t="inlineStr">
        <is>
          <t>F</t>
        </is>
      </c>
      <c r="GH179" s="3" t="inlineStr">
        <is>
          <t>L</t>
        </is>
      </c>
      <c r="GI179" s="3" t="inlineStr">
        <is>
          <t>K</t>
        </is>
      </c>
      <c r="GJ179" s="9">
        <f>VLOOKUP(GB179,$FM$3:$FN$15,2,FALSE)</f>
        <v/>
      </c>
      <c r="GK179" s="9">
        <f>VLOOKUP(GC179,$FM$3:$FN$15,2,FALSE)</f>
        <v/>
      </c>
      <c r="GL179" s="9">
        <f>VLOOKUP(GD179,$FM$3:$FN$15,2,FALSE)</f>
        <v/>
      </c>
      <c r="GM179" s="9">
        <f>VLOOKUP(GE179,$FM$3:$FN$15,2,FALSE)</f>
        <v/>
      </c>
      <c r="GN179" s="9">
        <f>VLOOKUP(GF179,$FM$3:$FN$15,2,FALSE)</f>
        <v/>
      </c>
      <c r="GO179" s="9">
        <f>VLOOKUP(GG179,$FM$3:$FN$15,2,FALSE)</f>
        <v/>
      </c>
      <c r="GP179" s="9">
        <f>VLOOKUP(GH179,$FM$3:$FN$15,2,FALSE)</f>
        <v/>
      </c>
      <c r="GQ179" s="9">
        <f>VLOOKUP(GI179,$FM$3:$FN$15,2,FALSE)</f>
        <v/>
      </c>
      <c r="GR179" s="9">
        <f>IFERROR(IF(AND(VLOOKUP(GB179,$FX$4:$FX$15,1,FALSE)=GB179,VLOOKUP(GC179,$FX$4:$FX$15,1,FALSE)=GC179,VLOOKUP(GD179,$FX$4:$FX$15,1,FALSE)=GD179,VLOOKUP(GE179,$FX$4:$FX$15,1,FALSE)=GE179,VLOOKUP(GF179,$FX$4:$FX$15,1,FALSE)=GF179,VLOOKUP(GG179,$FX$4:$FX$15,1,FALSE)=GG179,VLOOKUP(GH179,$FX$4:$FX$15,1,FALSE)=GH179,VLOOKUP(GI179,$FX$4:$FX$15,1,FALSE)=GI179),FZ179,""),"")</f>
        <v/>
      </c>
    </row>
    <row r="180" ht="14.25" customHeight="1">
      <c r="BQ180" s="13">
        <f>B150</f>
        <v/>
      </c>
      <c r="BR180" s="155">
        <f>F150</f>
        <v/>
      </c>
      <c r="BS180" s="156">
        <f>IF(OR('[1]Resultat &amp; tabell'!G150="",'[1]Resultat &amp; tabell'!I150=""),"",'[1]Resultat &amp; tabell'!F150)</f>
        <v/>
      </c>
      <c r="BT180" s="157">
        <f>IF(ISERROR(VLOOKUP(BR180,$BS$177:$BS$180,1,FALSE)),0,1)</f>
        <v/>
      </c>
      <c r="BU180" s="158">
        <f>BT180</f>
        <v/>
      </c>
      <c r="BV180" s="79">
        <f>BU180*6</f>
        <v/>
      </c>
      <c r="FZ180" s="79" t="n">
        <v>178</v>
      </c>
      <c r="GA180" s="3">
        <f>GB180&amp;GC180&amp;GD180&amp;GE180&amp;GF180&amp;GG180&amp;GH180&amp;GI180</f>
        <v/>
      </c>
      <c r="GB180" s="3" t="inlineStr">
        <is>
          <t>H</t>
        </is>
      </c>
      <c r="GC180" s="3" t="inlineStr">
        <is>
          <t>G</t>
        </is>
      </c>
      <c r="GD180" s="3" t="inlineStr">
        <is>
          <t>J</t>
        </is>
      </c>
      <c r="GE180" s="3" t="inlineStr">
        <is>
          <t>D</t>
        </is>
      </c>
      <c r="GF180" s="3" t="inlineStr">
        <is>
          <t>A</t>
        </is>
      </c>
      <c r="GG180" s="3" t="inlineStr">
        <is>
          <t>F</t>
        </is>
      </c>
      <c r="GH180" s="3" t="inlineStr">
        <is>
          <t>L</t>
        </is>
      </c>
      <c r="GI180" s="3" t="inlineStr">
        <is>
          <t>K</t>
        </is>
      </c>
      <c r="GJ180" s="9">
        <f>VLOOKUP(GB180,$FM$3:$FN$15,2,FALSE)</f>
        <v/>
      </c>
      <c r="GK180" s="9">
        <f>VLOOKUP(GC180,$FM$3:$FN$15,2,FALSE)</f>
        <v/>
      </c>
      <c r="GL180" s="9">
        <f>VLOOKUP(GD180,$FM$3:$FN$15,2,FALSE)</f>
        <v/>
      </c>
      <c r="GM180" s="9">
        <f>VLOOKUP(GE180,$FM$3:$FN$15,2,FALSE)</f>
        <v/>
      </c>
      <c r="GN180" s="9">
        <f>VLOOKUP(GF180,$FM$3:$FN$15,2,FALSE)</f>
        <v/>
      </c>
      <c r="GO180" s="9">
        <f>VLOOKUP(GG180,$FM$3:$FN$15,2,FALSE)</f>
        <v/>
      </c>
      <c r="GP180" s="9">
        <f>VLOOKUP(GH180,$FM$3:$FN$15,2,FALSE)</f>
        <v/>
      </c>
      <c r="GQ180" s="9">
        <f>VLOOKUP(GI180,$FM$3:$FN$15,2,FALSE)</f>
        <v/>
      </c>
      <c r="GR180" s="9">
        <f>IFERROR(IF(AND(VLOOKUP(GB180,$FX$4:$FX$15,1,FALSE)=GB180,VLOOKUP(GC180,$FX$4:$FX$15,1,FALSE)=GC180,VLOOKUP(GD180,$FX$4:$FX$15,1,FALSE)=GD180,VLOOKUP(GE180,$FX$4:$FX$15,1,FALSE)=GE180,VLOOKUP(GF180,$FX$4:$FX$15,1,FALSE)=GF180,VLOOKUP(GG180,$FX$4:$FX$15,1,FALSE)=GG180,VLOOKUP(GH180,$FX$4:$FX$15,1,FALSE)=GH180,VLOOKUP(GI180,$FX$4:$FX$15,1,FALSE)=GI180),FZ180,""),"")</f>
        <v/>
      </c>
    </row>
    <row r="181" ht="14.25" customHeight="1">
      <c r="BU181" s="146" t="inlineStr">
        <is>
          <t>Summa</t>
        </is>
      </c>
      <c r="BV181" s="146">
        <f>SUM(BV177:BV180)</f>
        <v/>
      </c>
      <c r="FZ181" s="79" t="n">
        <v>179</v>
      </c>
      <c r="GA181" s="3">
        <f>GB181&amp;GC181&amp;GD181&amp;GE181&amp;GF181&amp;GG181&amp;GH181&amp;GI181</f>
        <v/>
      </c>
      <c r="GB181" s="3" t="inlineStr">
        <is>
          <t>H</t>
        </is>
      </c>
      <c r="GC181" s="3" t="inlineStr">
        <is>
          <t>G</t>
        </is>
      </c>
      <c r="GD181" s="3" t="inlineStr">
        <is>
          <t>I</t>
        </is>
      </c>
      <c r="GE181" s="3" t="inlineStr">
        <is>
          <t>D</t>
        </is>
      </c>
      <c r="GF181" s="3" t="inlineStr">
        <is>
          <t>A</t>
        </is>
      </c>
      <c r="GG181" s="3" t="inlineStr">
        <is>
          <t>F</t>
        </is>
      </c>
      <c r="GH181" s="3" t="inlineStr">
        <is>
          <t>L</t>
        </is>
      </c>
      <c r="GI181" s="3" t="inlineStr">
        <is>
          <t>K</t>
        </is>
      </c>
      <c r="GJ181" s="9">
        <f>VLOOKUP(GB181,$FM$3:$FN$15,2,FALSE)</f>
        <v/>
      </c>
      <c r="GK181" s="9">
        <f>VLOOKUP(GC181,$FM$3:$FN$15,2,FALSE)</f>
        <v/>
      </c>
      <c r="GL181" s="9">
        <f>VLOOKUP(GD181,$FM$3:$FN$15,2,FALSE)</f>
        <v/>
      </c>
      <c r="GM181" s="9">
        <f>VLOOKUP(GE181,$FM$3:$FN$15,2,FALSE)</f>
        <v/>
      </c>
      <c r="GN181" s="9">
        <f>VLOOKUP(GF181,$FM$3:$FN$15,2,FALSE)</f>
        <v/>
      </c>
      <c r="GO181" s="9">
        <f>VLOOKUP(GG181,$FM$3:$FN$15,2,FALSE)</f>
        <v/>
      </c>
      <c r="GP181" s="9">
        <f>VLOOKUP(GH181,$FM$3:$FN$15,2,FALSE)</f>
        <v/>
      </c>
      <c r="GQ181" s="9">
        <f>VLOOKUP(GI181,$FM$3:$FN$15,2,FALSE)</f>
        <v/>
      </c>
      <c r="GR181" s="9">
        <f>IFERROR(IF(AND(VLOOKUP(GB181,$FX$4:$FX$15,1,FALSE)=GB181,VLOOKUP(GC181,$FX$4:$FX$15,1,FALSE)=GC181,VLOOKUP(GD181,$FX$4:$FX$15,1,FALSE)=GD181,VLOOKUP(GE181,$FX$4:$FX$15,1,FALSE)=GE181,VLOOKUP(GF181,$FX$4:$FX$15,1,FALSE)=GF181,VLOOKUP(GG181,$FX$4:$FX$15,1,FALSE)=GG181,VLOOKUP(GH181,$FX$4:$FX$15,1,FALSE)=GH181,VLOOKUP(GI181,$FX$4:$FX$15,1,FALSE)=GI181),FZ181,""),"")</f>
        <v/>
      </c>
    </row>
    <row r="182" ht="14.25" customHeight="1">
      <c r="BQ182" s="19" t="inlineStr">
        <is>
          <t>Bronsmatch</t>
        </is>
      </c>
      <c r="FZ182" s="79" t="n">
        <v>180</v>
      </c>
      <c r="GA182" s="3">
        <f>GB182&amp;GC182&amp;GD182&amp;GE182&amp;GF182&amp;GG182&amp;GH182&amp;GI182</f>
        <v/>
      </c>
      <c r="GB182" s="3" t="inlineStr">
        <is>
          <t>H</t>
        </is>
      </c>
      <c r="GC182" s="3" t="inlineStr">
        <is>
          <t>G</t>
        </is>
      </c>
      <c r="GD182" s="3" t="inlineStr">
        <is>
          <t>J</t>
        </is>
      </c>
      <c r="GE182" s="3" t="inlineStr">
        <is>
          <t>D</t>
        </is>
      </c>
      <c r="GF182" s="3" t="inlineStr">
        <is>
          <t>A</t>
        </is>
      </c>
      <c r="GG182" s="3" t="inlineStr">
        <is>
          <t>F</t>
        </is>
      </c>
      <c r="GH182" s="3" t="inlineStr">
        <is>
          <t>L</t>
        </is>
      </c>
      <c r="GI182" s="3" t="inlineStr">
        <is>
          <t>I</t>
        </is>
      </c>
      <c r="GJ182" s="9">
        <f>VLOOKUP(GB182,$FM$3:$FN$15,2,FALSE)</f>
        <v/>
      </c>
      <c r="GK182" s="9">
        <f>VLOOKUP(GC182,$FM$3:$FN$15,2,FALSE)</f>
        <v/>
      </c>
      <c r="GL182" s="9">
        <f>VLOOKUP(GD182,$FM$3:$FN$15,2,FALSE)</f>
        <v/>
      </c>
      <c r="GM182" s="9">
        <f>VLOOKUP(GE182,$FM$3:$FN$15,2,FALSE)</f>
        <v/>
      </c>
      <c r="GN182" s="9">
        <f>VLOOKUP(GF182,$FM$3:$FN$15,2,FALSE)</f>
        <v/>
      </c>
      <c r="GO182" s="9">
        <f>VLOOKUP(GG182,$FM$3:$FN$15,2,FALSE)</f>
        <v/>
      </c>
      <c r="GP182" s="9">
        <f>VLOOKUP(GH182,$FM$3:$FN$15,2,FALSE)</f>
        <v/>
      </c>
      <c r="GQ182" s="9">
        <f>VLOOKUP(GI182,$FM$3:$FN$15,2,FALSE)</f>
        <v/>
      </c>
      <c r="GR182" s="9">
        <f>IFERROR(IF(AND(VLOOKUP(GB182,$FX$4:$FX$15,1,FALSE)=GB182,VLOOKUP(GC182,$FX$4:$FX$15,1,FALSE)=GC182,VLOOKUP(GD182,$FX$4:$FX$15,1,FALSE)=GD182,VLOOKUP(GE182,$FX$4:$FX$15,1,FALSE)=GE182,VLOOKUP(GF182,$FX$4:$FX$15,1,FALSE)=GF182,VLOOKUP(GG182,$FX$4:$FX$15,1,FALSE)=GG182,VLOOKUP(GH182,$FX$4:$FX$15,1,FALSE)=GH182,VLOOKUP(GI182,$FX$4:$FX$15,1,FALSE)=GI182),FZ182,""),"")</f>
        <v/>
      </c>
    </row>
    <row r="183" ht="14.25" customHeight="1">
      <c r="BQ183" s="146" t="inlineStr">
        <is>
          <t>Match</t>
        </is>
      </c>
      <c r="BR183" s="26" t="inlineStr">
        <is>
          <t>Mitt tips</t>
        </is>
      </c>
      <c r="BS183" s="147" t="inlineStr">
        <is>
          <t>Resultat &amp; tabell</t>
        </is>
      </c>
      <c r="BT183" s="147" t="inlineStr">
        <is>
          <t>Utfall</t>
        </is>
      </c>
      <c r="BU183" s="147" t="inlineStr">
        <is>
          <t>Utfall likare</t>
        </is>
      </c>
      <c r="BV183" s="147" t="inlineStr">
        <is>
          <t>Poäng</t>
        </is>
      </c>
      <c r="FZ183" s="79" t="n">
        <v>181</v>
      </c>
      <c r="GA183" s="3">
        <f>GB183&amp;GC183&amp;GD183&amp;GE183&amp;GF183&amp;GG183&amp;GH183&amp;GI183</f>
        <v/>
      </c>
      <c r="GB183" s="3" t="inlineStr">
        <is>
          <t>H</t>
        </is>
      </c>
      <c r="GC183" s="3" t="inlineStr">
        <is>
          <t>G</t>
        </is>
      </c>
      <c r="GD183" s="3" t="inlineStr">
        <is>
          <t>J</t>
        </is>
      </c>
      <c r="GE183" s="3" t="inlineStr">
        <is>
          <t>D</t>
        </is>
      </c>
      <c r="GF183" s="3" t="inlineStr">
        <is>
          <t>A</t>
        </is>
      </c>
      <c r="GG183" s="3" t="inlineStr">
        <is>
          <t>F</t>
        </is>
      </c>
      <c r="GH183" s="3" t="inlineStr">
        <is>
          <t>I</t>
        </is>
      </c>
      <c r="GI183" s="3" t="inlineStr">
        <is>
          <t>K</t>
        </is>
      </c>
      <c r="GJ183" s="9">
        <f>VLOOKUP(GB183,$FM$3:$FN$15,2,FALSE)</f>
        <v/>
      </c>
      <c r="GK183" s="9">
        <f>VLOOKUP(GC183,$FM$3:$FN$15,2,FALSE)</f>
        <v/>
      </c>
      <c r="GL183" s="9">
        <f>VLOOKUP(GD183,$FM$3:$FN$15,2,FALSE)</f>
        <v/>
      </c>
      <c r="GM183" s="9">
        <f>VLOOKUP(GE183,$FM$3:$FN$15,2,FALSE)</f>
        <v/>
      </c>
      <c r="GN183" s="9">
        <f>VLOOKUP(GF183,$FM$3:$FN$15,2,FALSE)</f>
        <v/>
      </c>
      <c r="GO183" s="9">
        <f>VLOOKUP(GG183,$FM$3:$FN$15,2,FALSE)</f>
        <v/>
      </c>
      <c r="GP183" s="9">
        <f>VLOOKUP(GH183,$FM$3:$FN$15,2,FALSE)</f>
        <v/>
      </c>
      <c r="GQ183" s="9">
        <f>VLOOKUP(GI183,$FM$3:$FN$15,2,FALSE)</f>
        <v/>
      </c>
      <c r="GR183" s="9">
        <f>IFERROR(IF(AND(VLOOKUP(GB183,$FX$4:$FX$15,1,FALSE)=GB183,VLOOKUP(GC183,$FX$4:$FX$15,1,FALSE)=GC183,VLOOKUP(GD183,$FX$4:$FX$15,1,FALSE)=GD183,VLOOKUP(GE183,$FX$4:$FX$15,1,FALSE)=GE183,VLOOKUP(GF183,$FX$4:$FX$15,1,FALSE)=GF183,VLOOKUP(GG183,$FX$4:$FX$15,1,FALSE)=GG183,VLOOKUP(GH183,$FX$4:$FX$15,1,FALSE)=GH183,VLOOKUP(GI183,$FX$4:$FX$15,1,FALSE)=GI183),FZ183,""),"")</f>
        <v/>
      </c>
    </row>
    <row r="184" ht="14.25" customHeight="1">
      <c r="BQ184" s="13">
        <f>B154</f>
        <v/>
      </c>
      <c r="BR184" s="155">
        <f>D154</f>
        <v/>
      </c>
      <c r="BS184" s="156">
        <f>IF(OR('[1]Resultat &amp; tabell'!G154="",'[1]Resultat &amp; tabell'!I154=""),"",'[1]Resultat &amp; tabell'!D154)</f>
        <v/>
      </c>
      <c r="BT184" s="157">
        <f>IF(ISERROR(VLOOKUP(BR184,$BS$184:$BS$185,1,FALSE)),0,1)</f>
        <v/>
      </c>
      <c r="BU184" s="158">
        <f>BT184</f>
        <v/>
      </c>
      <c r="BV184" s="79">
        <f>BU184*8</f>
        <v/>
      </c>
      <c r="FZ184" s="79" t="n">
        <v>182</v>
      </c>
      <c r="GA184" s="3">
        <f>GB184&amp;GC184&amp;GD184&amp;GE184&amp;GF184&amp;GG184&amp;GH184&amp;GI184</f>
        <v/>
      </c>
      <c r="GB184" s="3" t="inlineStr">
        <is>
          <t>E</t>
        </is>
      </c>
      <c r="GC184" s="3" t="inlineStr">
        <is>
          <t>J</t>
        </is>
      </c>
      <c r="GD184" s="3" t="inlineStr">
        <is>
          <t>I</t>
        </is>
      </c>
      <c r="GE184" s="3" t="inlineStr">
        <is>
          <t>D</t>
        </is>
      </c>
      <c r="GF184" s="3" t="inlineStr">
        <is>
          <t>A</t>
        </is>
      </c>
      <c r="GG184" s="3" t="inlineStr">
        <is>
          <t>H</t>
        </is>
      </c>
      <c r="GH184" s="3" t="inlineStr">
        <is>
          <t>L</t>
        </is>
      </c>
      <c r="GI184" s="3" t="inlineStr">
        <is>
          <t>K</t>
        </is>
      </c>
      <c r="GJ184" s="9">
        <f>VLOOKUP(GB184,$FM$3:$FN$15,2,FALSE)</f>
        <v/>
      </c>
      <c r="GK184" s="9">
        <f>VLOOKUP(GC184,$FM$3:$FN$15,2,FALSE)</f>
        <v/>
      </c>
      <c r="GL184" s="9">
        <f>VLOOKUP(GD184,$FM$3:$FN$15,2,FALSE)</f>
        <v/>
      </c>
      <c r="GM184" s="9">
        <f>VLOOKUP(GE184,$FM$3:$FN$15,2,FALSE)</f>
        <v/>
      </c>
      <c r="GN184" s="9">
        <f>VLOOKUP(GF184,$FM$3:$FN$15,2,FALSE)</f>
        <v/>
      </c>
      <c r="GO184" s="9">
        <f>VLOOKUP(GG184,$FM$3:$FN$15,2,FALSE)</f>
        <v/>
      </c>
      <c r="GP184" s="9">
        <f>VLOOKUP(GH184,$FM$3:$FN$15,2,FALSE)</f>
        <v/>
      </c>
      <c r="GQ184" s="9">
        <f>VLOOKUP(GI184,$FM$3:$FN$15,2,FALSE)</f>
        <v/>
      </c>
      <c r="GR184" s="9">
        <f>IFERROR(IF(AND(VLOOKUP(GB184,$FX$4:$FX$15,1,FALSE)=GB184,VLOOKUP(GC184,$FX$4:$FX$15,1,FALSE)=GC184,VLOOKUP(GD184,$FX$4:$FX$15,1,FALSE)=GD184,VLOOKUP(GE184,$FX$4:$FX$15,1,FALSE)=GE184,VLOOKUP(GF184,$FX$4:$FX$15,1,FALSE)=GF184,VLOOKUP(GG184,$FX$4:$FX$15,1,FALSE)=GG184,VLOOKUP(GH184,$FX$4:$FX$15,1,FALSE)=GH184,VLOOKUP(GI184,$FX$4:$FX$15,1,FALSE)=GI184),FZ184,""),"")</f>
        <v/>
      </c>
    </row>
    <row r="185" ht="14.25" customHeight="1">
      <c r="BQ185" s="13">
        <f>B154</f>
        <v/>
      </c>
      <c r="BR185" s="155">
        <f>F154</f>
        <v/>
      </c>
      <c r="BS185" s="156">
        <f>IF(OR('[1]Resultat &amp; tabell'!G154="",'[1]Resultat &amp; tabell'!I154=""),"",'[1]Resultat &amp; tabell'!F154)</f>
        <v/>
      </c>
      <c r="BT185" s="157">
        <f>IF(ISERROR(VLOOKUP(BR185,$BS$184:$BS$185,1,FALSE)),0,1)</f>
        <v/>
      </c>
      <c r="BU185" s="158">
        <f>BT185</f>
        <v/>
      </c>
      <c r="BV185" s="79">
        <f>BU185*8</f>
        <v/>
      </c>
      <c r="FZ185" s="79" t="n">
        <v>183</v>
      </c>
      <c r="GA185" s="3">
        <f>GB185&amp;GC185&amp;GD185&amp;GE185&amp;GF185&amp;GG185&amp;GH185&amp;GI185</f>
        <v/>
      </c>
      <c r="GB185" s="3" t="inlineStr">
        <is>
          <t>E</t>
        </is>
      </c>
      <c r="GC185" s="3" t="inlineStr">
        <is>
          <t>J</t>
        </is>
      </c>
      <c r="GD185" s="3" t="inlineStr">
        <is>
          <t>I</t>
        </is>
      </c>
      <c r="GE185" s="3" t="inlineStr">
        <is>
          <t>D</t>
        </is>
      </c>
      <c r="GF185" s="3" t="inlineStr">
        <is>
          <t>A</t>
        </is>
      </c>
      <c r="GG185" s="3" t="inlineStr">
        <is>
          <t>G</t>
        </is>
      </c>
      <c r="GH185" s="3" t="inlineStr">
        <is>
          <t>L</t>
        </is>
      </c>
      <c r="GI185" s="3" t="inlineStr">
        <is>
          <t>K</t>
        </is>
      </c>
      <c r="GJ185" s="9">
        <f>VLOOKUP(GB185,$FM$3:$FN$15,2,FALSE)</f>
        <v/>
      </c>
      <c r="GK185" s="9">
        <f>VLOOKUP(GC185,$FM$3:$FN$15,2,FALSE)</f>
        <v/>
      </c>
      <c r="GL185" s="9">
        <f>VLOOKUP(GD185,$FM$3:$FN$15,2,FALSE)</f>
        <v/>
      </c>
      <c r="GM185" s="9">
        <f>VLOOKUP(GE185,$FM$3:$FN$15,2,FALSE)</f>
        <v/>
      </c>
      <c r="GN185" s="9">
        <f>VLOOKUP(GF185,$FM$3:$FN$15,2,FALSE)</f>
        <v/>
      </c>
      <c r="GO185" s="9">
        <f>VLOOKUP(GG185,$FM$3:$FN$15,2,FALSE)</f>
        <v/>
      </c>
      <c r="GP185" s="9">
        <f>VLOOKUP(GH185,$FM$3:$FN$15,2,FALSE)</f>
        <v/>
      </c>
      <c r="GQ185" s="9">
        <f>VLOOKUP(GI185,$FM$3:$FN$15,2,FALSE)</f>
        <v/>
      </c>
      <c r="GR185" s="9">
        <f>IFERROR(IF(AND(VLOOKUP(GB185,$FX$4:$FX$15,1,FALSE)=GB185,VLOOKUP(GC185,$FX$4:$FX$15,1,FALSE)=GC185,VLOOKUP(GD185,$FX$4:$FX$15,1,FALSE)=GD185,VLOOKUP(GE185,$FX$4:$FX$15,1,FALSE)=GE185,VLOOKUP(GF185,$FX$4:$FX$15,1,FALSE)=GF185,VLOOKUP(GG185,$FX$4:$FX$15,1,FALSE)=GG185,VLOOKUP(GH185,$FX$4:$FX$15,1,FALSE)=GH185,VLOOKUP(GI185,$FX$4:$FX$15,1,FALSE)=GI185),FZ185,""),"")</f>
        <v/>
      </c>
    </row>
    <row r="186" ht="14.25" customHeight="1">
      <c r="BU186" s="146" t="inlineStr">
        <is>
          <t>Summa</t>
        </is>
      </c>
      <c r="BV186" s="146">
        <f>SUM(BV184:BV185)</f>
        <v/>
      </c>
      <c r="FZ186" s="79" t="n">
        <v>184</v>
      </c>
      <c r="GA186" s="3">
        <f>GB186&amp;GC186&amp;GD186&amp;GE186&amp;GF186&amp;GG186&amp;GH186&amp;GI186</f>
        <v/>
      </c>
      <c r="GB186" s="3" t="inlineStr">
        <is>
          <t>E</t>
        </is>
      </c>
      <c r="GC186" s="3" t="inlineStr">
        <is>
          <t>G</t>
        </is>
      </c>
      <c r="GD186" s="3" t="inlineStr">
        <is>
          <t>J</t>
        </is>
      </c>
      <c r="GE186" s="3" t="inlineStr">
        <is>
          <t>D</t>
        </is>
      </c>
      <c r="GF186" s="3" t="inlineStr">
        <is>
          <t>A</t>
        </is>
      </c>
      <c r="GG186" s="3" t="inlineStr">
        <is>
          <t>H</t>
        </is>
      </c>
      <c r="GH186" s="3" t="inlineStr">
        <is>
          <t>L</t>
        </is>
      </c>
      <c r="GI186" s="3" t="inlineStr">
        <is>
          <t>K</t>
        </is>
      </c>
      <c r="GJ186" s="9">
        <f>VLOOKUP(GB186,$FM$3:$FN$15,2,FALSE)</f>
        <v/>
      </c>
      <c r="GK186" s="9">
        <f>VLOOKUP(GC186,$FM$3:$FN$15,2,FALSE)</f>
        <v/>
      </c>
      <c r="GL186" s="9">
        <f>VLOOKUP(GD186,$FM$3:$FN$15,2,FALSE)</f>
        <v/>
      </c>
      <c r="GM186" s="9">
        <f>VLOOKUP(GE186,$FM$3:$FN$15,2,FALSE)</f>
        <v/>
      </c>
      <c r="GN186" s="9">
        <f>VLOOKUP(GF186,$FM$3:$FN$15,2,FALSE)</f>
        <v/>
      </c>
      <c r="GO186" s="9">
        <f>VLOOKUP(GG186,$FM$3:$FN$15,2,FALSE)</f>
        <v/>
      </c>
      <c r="GP186" s="9">
        <f>VLOOKUP(GH186,$FM$3:$FN$15,2,FALSE)</f>
        <v/>
      </c>
      <c r="GQ186" s="9">
        <f>VLOOKUP(GI186,$FM$3:$FN$15,2,FALSE)</f>
        <v/>
      </c>
      <c r="GR186" s="9">
        <f>IFERROR(IF(AND(VLOOKUP(GB186,$FX$4:$FX$15,1,FALSE)=GB186,VLOOKUP(GC186,$FX$4:$FX$15,1,FALSE)=GC186,VLOOKUP(GD186,$FX$4:$FX$15,1,FALSE)=GD186,VLOOKUP(GE186,$FX$4:$FX$15,1,FALSE)=GE186,VLOOKUP(GF186,$FX$4:$FX$15,1,FALSE)=GF186,VLOOKUP(GG186,$FX$4:$FX$15,1,FALSE)=GG186,VLOOKUP(GH186,$FX$4:$FX$15,1,FALSE)=GH186,VLOOKUP(GI186,$FX$4:$FX$15,1,FALSE)=GI186),FZ186,""),"")</f>
        <v/>
      </c>
    </row>
    <row r="187" ht="14.25" customHeight="1">
      <c r="BQ187" s="19" t="inlineStr">
        <is>
          <t>Final</t>
        </is>
      </c>
      <c r="FZ187" s="79" t="n">
        <v>185</v>
      </c>
      <c r="GA187" s="3">
        <f>GB187&amp;GC187&amp;GD187&amp;GE187&amp;GF187&amp;GG187&amp;GH187&amp;GI187</f>
        <v/>
      </c>
      <c r="GB187" s="3" t="inlineStr">
        <is>
          <t>E</t>
        </is>
      </c>
      <c r="GC187" s="3" t="inlineStr">
        <is>
          <t>G</t>
        </is>
      </c>
      <c r="GD187" s="3" t="inlineStr">
        <is>
          <t>I</t>
        </is>
      </c>
      <c r="GE187" s="3" t="inlineStr">
        <is>
          <t>D</t>
        </is>
      </c>
      <c r="GF187" s="3" t="inlineStr">
        <is>
          <t>A</t>
        </is>
      </c>
      <c r="GG187" s="3" t="inlineStr">
        <is>
          <t>H</t>
        </is>
      </c>
      <c r="GH187" s="3" t="inlineStr">
        <is>
          <t>L</t>
        </is>
      </c>
      <c r="GI187" s="3" t="inlineStr">
        <is>
          <t>K</t>
        </is>
      </c>
      <c r="GJ187" s="9">
        <f>VLOOKUP(GB187,$FM$3:$FN$15,2,FALSE)</f>
        <v/>
      </c>
      <c r="GK187" s="9">
        <f>VLOOKUP(GC187,$FM$3:$FN$15,2,FALSE)</f>
        <v/>
      </c>
      <c r="GL187" s="9">
        <f>VLOOKUP(GD187,$FM$3:$FN$15,2,FALSE)</f>
        <v/>
      </c>
      <c r="GM187" s="9">
        <f>VLOOKUP(GE187,$FM$3:$FN$15,2,FALSE)</f>
        <v/>
      </c>
      <c r="GN187" s="9">
        <f>VLOOKUP(GF187,$FM$3:$FN$15,2,FALSE)</f>
        <v/>
      </c>
      <c r="GO187" s="9">
        <f>VLOOKUP(GG187,$FM$3:$FN$15,2,FALSE)</f>
        <v/>
      </c>
      <c r="GP187" s="9">
        <f>VLOOKUP(GH187,$FM$3:$FN$15,2,FALSE)</f>
        <v/>
      </c>
      <c r="GQ187" s="9">
        <f>VLOOKUP(GI187,$FM$3:$FN$15,2,FALSE)</f>
        <v/>
      </c>
      <c r="GR187" s="9">
        <f>IFERROR(IF(AND(VLOOKUP(GB187,$FX$4:$FX$15,1,FALSE)=GB187,VLOOKUP(GC187,$FX$4:$FX$15,1,FALSE)=GC187,VLOOKUP(GD187,$FX$4:$FX$15,1,FALSE)=GD187,VLOOKUP(GE187,$FX$4:$FX$15,1,FALSE)=GE187,VLOOKUP(GF187,$FX$4:$FX$15,1,FALSE)=GF187,VLOOKUP(GG187,$FX$4:$FX$15,1,FALSE)=GG187,VLOOKUP(GH187,$FX$4:$FX$15,1,FALSE)=GH187,VLOOKUP(GI187,$FX$4:$FX$15,1,FALSE)=GI187),FZ187,""),"")</f>
        <v/>
      </c>
    </row>
    <row r="188" ht="14.25" customHeight="1">
      <c r="BQ188" s="146" t="inlineStr">
        <is>
          <t>Match</t>
        </is>
      </c>
      <c r="BR188" s="26" t="inlineStr">
        <is>
          <t>Mitt tips</t>
        </is>
      </c>
      <c r="BS188" s="147" t="inlineStr">
        <is>
          <t>Resultat &amp; tabell</t>
        </is>
      </c>
      <c r="BT188" s="147" t="inlineStr">
        <is>
          <t>Utfall</t>
        </is>
      </c>
      <c r="BU188" s="147" t="inlineStr">
        <is>
          <t>Utfall likare</t>
        </is>
      </c>
      <c r="BV188" s="147" t="inlineStr">
        <is>
          <t>Poäng</t>
        </is>
      </c>
      <c r="FZ188" s="79" t="n">
        <v>186</v>
      </c>
      <c r="GA188" s="3">
        <f>GB188&amp;GC188&amp;GD188&amp;GE188&amp;GF188&amp;GG188&amp;GH188&amp;GI188</f>
        <v/>
      </c>
      <c r="GB188" s="3" t="inlineStr">
        <is>
          <t>E</t>
        </is>
      </c>
      <c r="GC188" s="3" t="inlineStr">
        <is>
          <t>G</t>
        </is>
      </c>
      <c r="GD188" s="3" t="inlineStr">
        <is>
          <t>J</t>
        </is>
      </c>
      <c r="GE188" s="3" t="inlineStr">
        <is>
          <t>D</t>
        </is>
      </c>
      <c r="GF188" s="3" t="inlineStr">
        <is>
          <t>A</t>
        </is>
      </c>
      <c r="GG188" s="3" t="inlineStr">
        <is>
          <t>H</t>
        </is>
      </c>
      <c r="GH188" s="3" t="inlineStr">
        <is>
          <t>L</t>
        </is>
      </c>
      <c r="GI188" s="3" t="inlineStr">
        <is>
          <t>I</t>
        </is>
      </c>
      <c r="GJ188" s="9">
        <f>VLOOKUP(GB188,$FM$3:$FN$15,2,FALSE)</f>
        <v/>
      </c>
      <c r="GK188" s="9">
        <f>VLOOKUP(GC188,$FM$3:$FN$15,2,FALSE)</f>
        <v/>
      </c>
      <c r="GL188" s="9">
        <f>VLOOKUP(GD188,$FM$3:$FN$15,2,FALSE)</f>
        <v/>
      </c>
      <c r="GM188" s="9">
        <f>VLOOKUP(GE188,$FM$3:$FN$15,2,FALSE)</f>
        <v/>
      </c>
      <c r="GN188" s="9">
        <f>VLOOKUP(GF188,$FM$3:$FN$15,2,FALSE)</f>
        <v/>
      </c>
      <c r="GO188" s="9">
        <f>VLOOKUP(GG188,$FM$3:$FN$15,2,FALSE)</f>
        <v/>
      </c>
      <c r="GP188" s="9">
        <f>VLOOKUP(GH188,$FM$3:$FN$15,2,FALSE)</f>
        <v/>
      </c>
      <c r="GQ188" s="9">
        <f>VLOOKUP(GI188,$FM$3:$FN$15,2,FALSE)</f>
        <v/>
      </c>
      <c r="GR188" s="9">
        <f>IFERROR(IF(AND(VLOOKUP(GB188,$FX$4:$FX$15,1,FALSE)=GB188,VLOOKUP(GC188,$FX$4:$FX$15,1,FALSE)=GC188,VLOOKUP(GD188,$FX$4:$FX$15,1,FALSE)=GD188,VLOOKUP(GE188,$FX$4:$FX$15,1,FALSE)=GE188,VLOOKUP(GF188,$FX$4:$FX$15,1,FALSE)=GF188,VLOOKUP(GG188,$FX$4:$FX$15,1,FALSE)=GG188,VLOOKUP(GH188,$FX$4:$FX$15,1,FALSE)=GH188,VLOOKUP(GI188,$FX$4:$FX$15,1,FALSE)=GI188),FZ188,""),"")</f>
        <v/>
      </c>
    </row>
    <row r="189" ht="14.25" customHeight="1">
      <c r="BQ189" s="13">
        <f>B158</f>
        <v/>
      </c>
      <c r="BR189" s="155">
        <f>D158</f>
        <v/>
      </c>
      <c r="BS189" s="156">
        <f>IF(OR('[1]Resultat &amp; tabell'!G158="",'[1]Resultat &amp; tabell'!I158=""),"",'[1]Resultat &amp; tabell'!D158)</f>
        <v/>
      </c>
      <c r="BT189" s="157">
        <f>IF(ISERROR(VLOOKUP(BR189,$BS$189:$BS$190,1,FALSE)),0,1)</f>
        <v/>
      </c>
      <c r="BU189" s="158">
        <f>BT189</f>
        <v/>
      </c>
      <c r="BV189" s="79">
        <f>BU189*8</f>
        <v/>
      </c>
      <c r="FZ189" s="79" t="n">
        <v>187</v>
      </c>
      <c r="GA189" s="3">
        <f>GB189&amp;GC189&amp;GD189&amp;GE189&amp;GF189&amp;GG189&amp;GH189&amp;GI189</f>
        <v/>
      </c>
      <c r="GB189" s="3" t="inlineStr">
        <is>
          <t>E</t>
        </is>
      </c>
      <c r="GC189" s="3" t="inlineStr">
        <is>
          <t>G</t>
        </is>
      </c>
      <c r="GD189" s="3" t="inlineStr">
        <is>
          <t>J</t>
        </is>
      </c>
      <c r="GE189" s="3" t="inlineStr">
        <is>
          <t>D</t>
        </is>
      </c>
      <c r="GF189" s="3" t="inlineStr">
        <is>
          <t>A</t>
        </is>
      </c>
      <c r="GG189" s="3" t="inlineStr">
        <is>
          <t>H</t>
        </is>
      </c>
      <c r="GH189" s="3" t="inlineStr">
        <is>
          <t>I</t>
        </is>
      </c>
      <c r="GI189" s="3" t="inlineStr">
        <is>
          <t>K</t>
        </is>
      </c>
      <c r="GJ189" s="9">
        <f>VLOOKUP(GB189,$FM$3:$FN$15,2,FALSE)</f>
        <v/>
      </c>
      <c r="GK189" s="9">
        <f>VLOOKUP(GC189,$FM$3:$FN$15,2,FALSE)</f>
        <v/>
      </c>
      <c r="GL189" s="9">
        <f>VLOOKUP(GD189,$FM$3:$FN$15,2,FALSE)</f>
        <v/>
      </c>
      <c r="GM189" s="9">
        <f>VLOOKUP(GE189,$FM$3:$FN$15,2,FALSE)</f>
        <v/>
      </c>
      <c r="GN189" s="9">
        <f>VLOOKUP(GF189,$FM$3:$FN$15,2,FALSE)</f>
        <v/>
      </c>
      <c r="GO189" s="9">
        <f>VLOOKUP(GG189,$FM$3:$FN$15,2,FALSE)</f>
        <v/>
      </c>
      <c r="GP189" s="9">
        <f>VLOOKUP(GH189,$FM$3:$FN$15,2,FALSE)</f>
        <v/>
      </c>
      <c r="GQ189" s="9">
        <f>VLOOKUP(GI189,$FM$3:$FN$15,2,FALSE)</f>
        <v/>
      </c>
      <c r="GR189" s="9">
        <f>IFERROR(IF(AND(VLOOKUP(GB189,$FX$4:$FX$15,1,FALSE)=GB189,VLOOKUP(GC189,$FX$4:$FX$15,1,FALSE)=GC189,VLOOKUP(GD189,$FX$4:$FX$15,1,FALSE)=GD189,VLOOKUP(GE189,$FX$4:$FX$15,1,FALSE)=GE189,VLOOKUP(GF189,$FX$4:$FX$15,1,FALSE)=GF189,VLOOKUP(GG189,$FX$4:$FX$15,1,FALSE)=GG189,VLOOKUP(GH189,$FX$4:$FX$15,1,FALSE)=GH189,VLOOKUP(GI189,$FX$4:$FX$15,1,FALSE)=GI189),FZ189,""),"")</f>
        <v/>
      </c>
    </row>
    <row r="190" ht="14.25" customHeight="1">
      <c r="BQ190" s="13">
        <f>B158</f>
        <v/>
      </c>
      <c r="BR190" s="155">
        <f>F158</f>
        <v/>
      </c>
      <c r="BS190" s="156">
        <f>IF(OR('[1]Resultat &amp; tabell'!G158="",'[1]Resultat &amp; tabell'!I158=""),"",'[1]Resultat &amp; tabell'!F158)</f>
        <v/>
      </c>
      <c r="BT190" s="157">
        <f>IF(ISERROR(VLOOKUP(BR190,$BS$189:$BS$190,1,FALSE)),0,1)</f>
        <v/>
      </c>
      <c r="BU190" s="158">
        <f>BT190</f>
        <v/>
      </c>
      <c r="BV190" s="79">
        <f>BU190*8</f>
        <v/>
      </c>
      <c r="FZ190" s="79" t="n">
        <v>188</v>
      </c>
      <c r="GA190" s="3">
        <f>GB190&amp;GC190&amp;GD190&amp;GE190&amp;GF190&amp;GG190&amp;GH190&amp;GI190</f>
        <v/>
      </c>
      <c r="GB190" s="3" t="inlineStr">
        <is>
          <t>E</t>
        </is>
      </c>
      <c r="GC190" s="3" t="inlineStr">
        <is>
          <t>J</t>
        </is>
      </c>
      <c r="GD190" s="3" t="inlineStr">
        <is>
          <t>I</t>
        </is>
      </c>
      <c r="GE190" s="3" t="inlineStr">
        <is>
          <t>D</t>
        </is>
      </c>
      <c r="GF190" s="3" t="inlineStr">
        <is>
          <t>A</t>
        </is>
      </c>
      <c r="GG190" s="3" t="inlineStr">
        <is>
          <t>F</t>
        </is>
      </c>
      <c r="GH190" s="3" t="inlineStr">
        <is>
          <t>L</t>
        </is>
      </c>
      <c r="GI190" s="3" t="inlineStr">
        <is>
          <t>K</t>
        </is>
      </c>
      <c r="GJ190" s="9">
        <f>VLOOKUP(GB190,$FM$3:$FN$15,2,FALSE)</f>
        <v/>
      </c>
      <c r="GK190" s="9">
        <f>VLOOKUP(GC190,$FM$3:$FN$15,2,FALSE)</f>
        <v/>
      </c>
      <c r="GL190" s="9">
        <f>VLOOKUP(GD190,$FM$3:$FN$15,2,FALSE)</f>
        <v/>
      </c>
      <c r="GM190" s="9">
        <f>VLOOKUP(GE190,$FM$3:$FN$15,2,FALSE)</f>
        <v/>
      </c>
      <c r="GN190" s="9">
        <f>VLOOKUP(GF190,$FM$3:$FN$15,2,FALSE)</f>
        <v/>
      </c>
      <c r="GO190" s="9">
        <f>VLOOKUP(GG190,$FM$3:$FN$15,2,FALSE)</f>
        <v/>
      </c>
      <c r="GP190" s="9">
        <f>VLOOKUP(GH190,$FM$3:$FN$15,2,FALSE)</f>
        <v/>
      </c>
      <c r="GQ190" s="9">
        <f>VLOOKUP(GI190,$FM$3:$FN$15,2,FALSE)</f>
        <v/>
      </c>
      <c r="GR190" s="9">
        <f>IFERROR(IF(AND(VLOOKUP(GB190,$FX$4:$FX$15,1,FALSE)=GB190,VLOOKUP(GC190,$FX$4:$FX$15,1,FALSE)=GC190,VLOOKUP(GD190,$FX$4:$FX$15,1,FALSE)=GD190,VLOOKUP(GE190,$FX$4:$FX$15,1,FALSE)=GE190,VLOOKUP(GF190,$FX$4:$FX$15,1,FALSE)=GF190,VLOOKUP(GG190,$FX$4:$FX$15,1,FALSE)=GG190,VLOOKUP(GH190,$FX$4:$FX$15,1,FALSE)=GH190,VLOOKUP(GI190,$FX$4:$FX$15,1,FALSE)=GI190),FZ190,""),"")</f>
        <v/>
      </c>
    </row>
    <row r="191" ht="14.25" customHeight="1">
      <c r="BU191" s="146" t="inlineStr">
        <is>
          <t>Summa</t>
        </is>
      </c>
      <c r="BV191" s="146">
        <f>SUM(BV189:BV190)</f>
        <v/>
      </c>
      <c r="FZ191" s="79" t="n">
        <v>189</v>
      </c>
      <c r="GA191" s="3">
        <f>GB191&amp;GC191&amp;GD191&amp;GE191&amp;GF191&amp;GG191&amp;GH191&amp;GI191</f>
        <v/>
      </c>
      <c r="GB191" s="3" t="inlineStr">
        <is>
          <t>H</t>
        </is>
      </c>
      <c r="GC191" s="3" t="inlineStr">
        <is>
          <t>J</t>
        </is>
      </c>
      <c r="GD191" s="3" t="inlineStr">
        <is>
          <t>E</t>
        </is>
      </c>
      <c r="GE191" s="3" t="inlineStr">
        <is>
          <t>D</t>
        </is>
      </c>
      <c r="GF191" s="3" t="inlineStr">
        <is>
          <t>A</t>
        </is>
      </c>
      <c r="GG191" s="3" t="inlineStr">
        <is>
          <t>F</t>
        </is>
      </c>
      <c r="GH191" s="3" t="inlineStr">
        <is>
          <t>L</t>
        </is>
      </c>
      <c r="GI191" s="3" t="inlineStr">
        <is>
          <t>K</t>
        </is>
      </c>
      <c r="GJ191" s="9">
        <f>VLOOKUP(GB191,$FM$3:$FN$15,2,FALSE)</f>
        <v/>
      </c>
      <c r="GK191" s="9">
        <f>VLOOKUP(GC191,$FM$3:$FN$15,2,FALSE)</f>
        <v/>
      </c>
      <c r="GL191" s="9">
        <f>VLOOKUP(GD191,$FM$3:$FN$15,2,FALSE)</f>
        <v/>
      </c>
      <c r="GM191" s="9">
        <f>VLOOKUP(GE191,$FM$3:$FN$15,2,FALSE)</f>
        <v/>
      </c>
      <c r="GN191" s="9">
        <f>VLOOKUP(GF191,$FM$3:$FN$15,2,FALSE)</f>
        <v/>
      </c>
      <c r="GO191" s="9">
        <f>VLOOKUP(GG191,$FM$3:$FN$15,2,FALSE)</f>
        <v/>
      </c>
      <c r="GP191" s="9">
        <f>VLOOKUP(GH191,$FM$3:$FN$15,2,FALSE)</f>
        <v/>
      </c>
      <c r="GQ191" s="9">
        <f>VLOOKUP(GI191,$FM$3:$FN$15,2,FALSE)</f>
        <v/>
      </c>
      <c r="GR191" s="9">
        <f>IFERROR(IF(AND(VLOOKUP(GB191,$FX$4:$FX$15,1,FALSE)=GB191,VLOOKUP(GC191,$FX$4:$FX$15,1,FALSE)=GC191,VLOOKUP(GD191,$FX$4:$FX$15,1,FALSE)=GD191,VLOOKUP(GE191,$FX$4:$FX$15,1,FALSE)=GE191,VLOOKUP(GF191,$FX$4:$FX$15,1,FALSE)=GF191,VLOOKUP(GG191,$FX$4:$FX$15,1,FALSE)=GG191,VLOOKUP(GH191,$FX$4:$FX$15,1,FALSE)=GH191,VLOOKUP(GI191,$FX$4:$FX$15,1,FALSE)=GI191),FZ191,""),"")</f>
        <v/>
      </c>
    </row>
    <row r="192" ht="14.25" customHeight="1">
      <c r="FZ192" s="79" t="n">
        <v>190</v>
      </c>
      <c r="GA192" s="3">
        <f>GB192&amp;GC192&amp;GD192&amp;GE192&amp;GF192&amp;GG192&amp;GH192&amp;GI192</f>
        <v/>
      </c>
      <c r="GB192" s="3" t="inlineStr">
        <is>
          <t>H</t>
        </is>
      </c>
      <c r="GC192" s="3" t="inlineStr">
        <is>
          <t>E</t>
        </is>
      </c>
      <c r="GD192" s="3" t="inlineStr">
        <is>
          <t>I</t>
        </is>
      </c>
      <c r="GE192" s="3" t="inlineStr">
        <is>
          <t>D</t>
        </is>
      </c>
      <c r="GF192" s="3" t="inlineStr">
        <is>
          <t>A</t>
        </is>
      </c>
      <c r="GG192" s="3" t="inlineStr">
        <is>
          <t>F</t>
        </is>
      </c>
      <c r="GH192" s="3" t="inlineStr">
        <is>
          <t>L</t>
        </is>
      </c>
      <c r="GI192" s="3" t="inlineStr">
        <is>
          <t>K</t>
        </is>
      </c>
      <c r="GJ192" s="9">
        <f>VLOOKUP(GB192,$FM$3:$FN$15,2,FALSE)</f>
        <v/>
      </c>
      <c r="GK192" s="9">
        <f>VLOOKUP(GC192,$FM$3:$FN$15,2,FALSE)</f>
        <v/>
      </c>
      <c r="GL192" s="9">
        <f>VLOOKUP(GD192,$FM$3:$FN$15,2,FALSE)</f>
        <v/>
      </c>
      <c r="GM192" s="9">
        <f>VLOOKUP(GE192,$FM$3:$FN$15,2,FALSE)</f>
        <v/>
      </c>
      <c r="GN192" s="9">
        <f>VLOOKUP(GF192,$FM$3:$FN$15,2,FALSE)</f>
        <v/>
      </c>
      <c r="GO192" s="9">
        <f>VLOOKUP(GG192,$FM$3:$FN$15,2,FALSE)</f>
        <v/>
      </c>
      <c r="GP192" s="9">
        <f>VLOOKUP(GH192,$FM$3:$FN$15,2,FALSE)</f>
        <v/>
      </c>
      <c r="GQ192" s="9">
        <f>VLOOKUP(GI192,$FM$3:$FN$15,2,FALSE)</f>
        <v/>
      </c>
      <c r="GR192" s="9">
        <f>IFERROR(IF(AND(VLOOKUP(GB192,$FX$4:$FX$15,1,FALSE)=GB192,VLOOKUP(GC192,$FX$4:$FX$15,1,FALSE)=GC192,VLOOKUP(GD192,$FX$4:$FX$15,1,FALSE)=GD192,VLOOKUP(GE192,$FX$4:$FX$15,1,FALSE)=GE192,VLOOKUP(GF192,$FX$4:$FX$15,1,FALSE)=GF192,VLOOKUP(GG192,$FX$4:$FX$15,1,FALSE)=GG192,VLOOKUP(GH192,$FX$4:$FX$15,1,FALSE)=GH192,VLOOKUP(GI192,$FX$4:$FX$15,1,FALSE)=GI192),FZ192,""),"")</f>
        <v/>
      </c>
    </row>
    <row r="193" ht="14.25" customHeight="1">
      <c r="FZ193" s="79" t="n">
        <v>191</v>
      </c>
      <c r="GA193" s="3">
        <f>GB193&amp;GC193&amp;GD193&amp;GE193&amp;GF193&amp;GG193&amp;GH193&amp;GI193</f>
        <v/>
      </c>
      <c r="GB193" s="3" t="inlineStr">
        <is>
          <t>H</t>
        </is>
      </c>
      <c r="GC193" s="3" t="inlineStr">
        <is>
          <t>J</t>
        </is>
      </c>
      <c r="GD193" s="3" t="inlineStr">
        <is>
          <t>E</t>
        </is>
      </c>
      <c r="GE193" s="3" t="inlineStr">
        <is>
          <t>D</t>
        </is>
      </c>
      <c r="GF193" s="3" t="inlineStr">
        <is>
          <t>A</t>
        </is>
      </c>
      <c r="GG193" s="3" t="inlineStr">
        <is>
          <t>F</t>
        </is>
      </c>
      <c r="GH193" s="3" t="inlineStr">
        <is>
          <t>L</t>
        </is>
      </c>
      <c r="GI193" s="3" t="inlineStr">
        <is>
          <t>I</t>
        </is>
      </c>
      <c r="GJ193" s="9">
        <f>VLOOKUP(GB193,$FM$3:$FN$15,2,FALSE)</f>
        <v/>
      </c>
      <c r="GK193" s="9">
        <f>VLOOKUP(GC193,$FM$3:$FN$15,2,FALSE)</f>
        <v/>
      </c>
      <c r="GL193" s="9">
        <f>VLOOKUP(GD193,$FM$3:$FN$15,2,FALSE)</f>
        <v/>
      </c>
      <c r="GM193" s="9">
        <f>VLOOKUP(GE193,$FM$3:$FN$15,2,FALSE)</f>
        <v/>
      </c>
      <c r="GN193" s="9">
        <f>VLOOKUP(GF193,$FM$3:$FN$15,2,FALSE)</f>
        <v/>
      </c>
      <c r="GO193" s="9">
        <f>VLOOKUP(GG193,$FM$3:$FN$15,2,FALSE)</f>
        <v/>
      </c>
      <c r="GP193" s="9">
        <f>VLOOKUP(GH193,$FM$3:$FN$15,2,FALSE)</f>
        <v/>
      </c>
      <c r="GQ193" s="9">
        <f>VLOOKUP(GI193,$FM$3:$FN$15,2,FALSE)</f>
        <v/>
      </c>
      <c r="GR193" s="9">
        <f>IFERROR(IF(AND(VLOOKUP(GB193,$FX$4:$FX$15,1,FALSE)=GB193,VLOOKUP(GC193,$FX$4:$FX$15,1,FALSE)=GC193,VLOOKUP(GD193,$FX$4:$FX$15,1,FALSE)=GD193,VLOOKUP(GE193,$FX$4:$FX$15,1,FALSE)=GE193,VLOOKUP(GF193,$FX$4:$FX$15,1,FALSE)=GF193,VLOOKUP(GG193,$FX$4:$FX$15,1,FALSE)=GG193,VLOOKUP(GH193,$FX$4:$FX$15,1,FALSE)=GH193,VLOOKUP(GI193,$FX$4:$FX$15,1,FALSE)=GI193),FZ193,""),"")</f>
        <v/>
      </c>
    </row>
    <row r="194" ht="14.25" customHeight="1">
      <c r="FZ194" s="79" t="n">
        <v>192</v>
      </c>
      <c r="GA194" s="3">
        <f>GB194&amp;GC194&amp;GD194&amp;GE194&amp;GF194&amp;GG194&amp;GH194&amp;GI194</f>
        <v/>
      </c>
      <c r="GB194" s="3" t="inlineStr">
        <is>
          <t>H</t>
        </is>
      </c>
      <c r="GC194" s="3" t="inlineStr">
        <is>
          <t>J</t>
        </is>
      </c>
      <c r="GD194" s="3" t="inlineStr">
        <is>
          <t>E</t>
        </is>
      </c>
      <c r="GE194" s="3" t="inlineStr">
        <is>
          <t>D</t>
        </is>
      </c>
      <c r="GF194" s="3" t="inlineStr">
        <is>
          <t>A</t>
        </is>
      </c>
      <c r="GG194" s="3" t="inlineStr">
        <is>
          <t>F</t>
        </is>
      </c>
      <c r="GH194" s="3" t="inlineStr">
        <is>
          <t>I</t>
        </is>
      </c>
      <c r="GI194" s="3" t="inlineStr">
        <is>
          <t>K</t>
        </is>
      </c>
      <c r="GJ194" s="9">
        <f>VLOOKUP(GB194,$FM$3:$FN$15,2,FALSE)</f>
        <v/>
      </c>
      <c r="GK194" s="9">
        <f>VLOOKUP(GC194,$FM$3:$FN$15,2,FALSE)</f>
        <v/>
      </c>
      <c r="GL194" s="9">
        <f>VLOOKUP(GD194,$FM$3:$FN$15,2,FALSE)</f>
        <v/>
      </c>
      <c r="GM194" s="9">
        <f>VLOOKUP(GE194,$FM$3:$FN$15,2,FALSE)</f>
        <v/>
      </c>
      <c r="GN194" s="9">
        <f>VLOOKUP(GF194,$FM$3:$FN$15,2,FALSE)</f>
        <v/>
      </c>
      <c r="GO194" s="9">
        <f>VLOOKUP(GG194,$FM$3:$FN$15,2,FALSE)</f>
        <v/>
      </c>
      <c r="GP194" s="9">
        <f>VLOOKUP(GH194,$FM$3:$FN$15,2,FALSE)</f>
        <v/>
      </c>
      <c r="GQ194" s="9">
        <f>VLOOKUP(GI194,$FM$3:$FN$15,2,FALSE)</f>
        <v/>
      </c>
      <c r="GR194" s="9">
        <f>IFERROR(IF(AND(VLOOKUP(GB194,$FX$4:$FX$15,1,FALSE)=GB194,VLOOKUP(GC194,$FX$4:$FX$15,1,FALSE)=GC194,VLOOKUP(GD194,$FX$4:$FX$15,1,FALSE)=GD194,VLOOKUP(GE194,$FX$4:$FX$15,1,FALSE)=GE194,VLOOKUP(GF194,$FX$4:$FX$15,1,FALSE)=GF194,VLOOKUP(GG194,$FX$4:$FX$15,1,FALSE)=GG194,VLOOKUP(GH194,$FX$4:$FX$15,1,FALSE)=GH194,VLOOKUP(GI194,$FX$4:$FX$15,1,FALSE)=GI194),FZ194,""),"")</f>
        <v/>
      </c>
    </row>
    <row r="195" ht="14.25" customHeight="1">
      <c r="FZ195" s="79" t="n">
        <v>193</v>
      </c>
      <c r="GA195" s="3">
        <f>GB195&amp;GC195&amp;GD195&amp;GE195&amp;GF195&amp;GG195&amp;GH195&amp;GI195</f>
        <v/>
      </c>
      <c r="GB195" s="3" t="inlineStr">
        <is>
          <t>E</t>
        </is>
      </c>
      <c r="GC195" s="3" t="inlineStr">
        <is>
          <t>G</t>
        </is>
      </c>
      <c r="GD195" s="3" t="inlineStr">
        <is>
          <t>J</t>
        </is>
      </c>
      <c r="GE195" s="3" t="inlineStr">
        <is>
          <t>D</t>
        </is>
      </c>
      <c r="GF195" s="3" t="inlineStr">
        <is>
          <t>A</t>
        </is>
      </c>
      <c r="GG195" s="3" t="inlineStr">
        <is>
          <t>F</t>
        </is>
      </c>
      <c r="GH195" s="3" t="inlineStr">
        <is>
          <t>L</t>
        </is>
      </c>
      <c r="GI195" s="3" t="inlineStr">
        <is>
          <t>K</t>
        </is>
      </c>
      <c r="GJ195" s="9">
        <f>VLOOKUP(GB195,$FM$3:$FN$15,2,FALSE)</f>
        <v/>
      </c>
      <c r="GK195" s="9">
        <f>VLOOKUP(GC195,$FM$3:$FN$15,2,FALSE)</f>
        <v/>
      </c>
      <c r="GL195" s="9">
        <f>VLOOKUP(GD195,$FM$3:$FN$15,2,FALSE)</f>
        <v/>
      </c>
      <c r="GM195" s="9">
        <f>VLOOKUP(GE195,$FM$3:$FN$15,2,FALSE)</f>
        <v/>
      </c>
      <c r="GN195" s="9">
        <f>VLOOKUP(GF195,$FM$3:$FN$15,2,FALSE)</f>
        <v/>
      </c>
      <c r="GO195" s="9">
        <f>VLOOKUP(GG195,$FM$3:$FN$15,2,FALSE)</f>
        <v/>
      </c>
      <c r="GP195" s="9">
        <f>VLOOKUP(GH195,$FM$3:$FN$15,2,FALSE)</f>
        <v/>
      </c>
      <c r="GQ195" s="9">
        <f>VLOOKUP(GI195,$FM$3:$FN$15,2,FALSE)</f>
        <v/>
      </c>
      <c r="GR195" s="9">
        <f>IFERROR(IF(AND(VLOOKUP(GB195,$FX$4:$FX$15,1,FALSE)=GB195,VLOOKUP(GC195,$FX$4:$FX$15,1,FALSE)=GC195,VLOOKUP(GD195,$FX$4:$FX$15,1,FALSE)=GD195,VLOOKUP(GE195,$FX$4:$FX$15,1,FALSE)=GE195,VLOOKUP(GF195,$FX$4:$FX$15,1,FALSE)=GF195,VLOOKUP(GG195,$FX$4:$FX$15,1,FALSE)=GG195,VLOOKUP(GH195,$FX$4:$FX$15,1,FALSE)=GH195,VLOOKUP(GI195,$FX$4:$FX$15,1,FALSE)=GI195),FZ195,""),"")</f>
        <v/>
      </c>
    </row>
    <row r="196" ht="14.25" customHeight="1">
      <c r="FZ196" s="79" t="n">
        <v>194</v>
      </c>
      <c r="GA196" s="3">
        <f>GB196&amp;GC196&amp;GD196&amp;GE196&amp;GF196&amp;GG196&amp;GH196&amp;GI196</f>
        <v/>
      </c>
      <c r="GB196" s="3" t="inlineStr">
        <is>
          <t>E</t>
        </is>
      </c>
      <c r="GC196" s="3" t="inlineStr">
        <is>
          <t>G</t>
        </is>
      </c>
      <c r="GD196" s="3" t="inlineStr">
        <is>
          <t>I</t>
        </is>
      </c>
      <c r="GE196" s="3" t="inlineStr">
        <is>
          <t>D</t>
        </is>
      </c>
      <c r="GF196" s="3" t="inlineStr">
        <is>
          <t>A</t>
        </is>
      </c>
      <c r="GG196" s="3" t="inlineStr">
        <is>
          <t>F</t>
        </is>
      </c>
      <c r="GH196" s="3" t="inlineStr">
        <is>
          <t>L</t>
        </is>
      </c>
      <c r="GI196" s="3" t="inlineStr">
        <is>
          <t>K</t>
        </is>
      </c>
      <c r="GJ196" s="9">
        <f>VLOOKUP(GB196,$FM$3:$FN$15,2,FALSE)</f>
        <v/>
      </c>
      <c r="GK196" s="9">
        <f>VLOOKUP(GC196,$FM$3:$FN$15,2,FALSE)</f>
        <v/>
      </c>
      <c r="GL196" s="9">
        <f>VLOOKUP(GD196,$FM$3:$FN$15,2,FALSE)</f>
        <v/>
      </c>
      <c r="GM196" s="9">
        <f>VLOOKUP(GE196,$FM$3:$FN$15,2,FALSE)</f>
        <v/>
      </c>
      <c r="GN196" s="9">
        <f>VLOOKUP(GF196,$FM$3:$FN$15,2,FALSE)</f>
        <v/>
      </c>
      <c r="GO196" s="9">
        <f>VLOOKUP(GG196,$FM$3:$FN$15,2,FALSE)</f>
        <v/>
      </c>
      <c r="GP196" s="9">
        <f>VLOOKUP(GH196,$FM$3:$FN$15,2,FALSE)</f>
        <v/>
      </c>
      <c r="GQ196" s="9">
        <f>VLOOKUP(GI196,$FM$3:$FN$15,2,FALSE)</f>
        <v/>
      </c>
      <c r="GR196" s="9">
        <f>IFERROR(IF(AND(VLOOKUP(GB196,$FX$4:$FX$15,1,FALSE)=GB196,VLOOKUP(GC196,$FX$4:$FX$15,1,FALSE)=GC196,VLOOKUP(GD196,$FX$4:$FX$15,1,FALSE)=GD196,VLOOKUP(GE196,$FX$4:$FX$15,1,FALSE)=GE196,VLOOKUP(GF196,$FX$4:$FX$15,1,FALSE)=GF196,VLOOKUP(GG196,$FX$4:$FX$15,1,FALSE)=GG196,VLOOKUP(GH196,$FX$4:$FX$15,1,FALSE)=GH196,VLOOKUP(GI196,$FX$4:$FX$15,1,FALSE)=GI196),FZ196,""),"")</f>
        <v/>
      </c>
    </row>
    <row r="197" ht="14.25" customHeight="1">
      <c r="FZ197" s="79" t="n">
        <v>195</v>
      </c>
      <c r="GA197" s="3">
        <f>GB197&amp;GC197&amp;GD197&amp;GE197&amp;GF197&amp;GG197&amp;GH197&amp;GI197</f>
        <v/>
      </c>
      <c r="GB197" s="3" t="inlineStr">
        <is>
          <t>E</t>
        </is>
      </c>
      <c r="GC197" s="3" t="inlineStr">
        <is>
          <t>G</t>
        </is>
      </c>
      <c r="GD197" s="3" t="inlineStr">
        <is>
          <t>J</t>
        </is>
      </c>
      <c r="GE197" s="3" t="inlineStr">
        <is>
          <t>D</t>
        </is>
      </c>
      <c r="GF197" s="3" t="inlineStr">
        <is>
          <t>A</t>
        </is>
      </c>
      <c r="GG197" s="3" t="inlineStr">
        <is>
          <t>F</t>
        </is>
      </c>
      <c r="GH197" s="3" t="inlineStr">
        <is>
          <t>L</t>
        </is>
      </c>
      <c r="GI197" s="3" t="inlineStr">
        <is>
          <t>I</t>
        </is>
      </c>
      <c r="GJ197" s="9">
        <f>VLOOKUP(GB197,$FM$3:$FN$15,2,FALSE)</f>
        <v/>
      </c>
      <c r="GK197" s="9">
        <f>VLOOKUP(GC197,$FM$3:$FN$15,2,FALSE)</f>
        <v/>
      </c>
      <c r="GL197" s="9">
        <f>VLOOKUP(GD197,$FM$3:$FN$15,2,FALSE)</f>
        <v/>
      </c>
      <c r="GM197" s="9">
        <f>VLOOKUP(GE197,$FM$3:$FN$15,2,FALSE)</f>
        <v/>
      </c>
      <c r="GN197" s="9">
        <f>VLOOKUP(GF197,$FM$3:$FN$15,2,FALSE)</f>
        <v/>
      </c>
      <c r="GO197" s="9">
        <f>VLOOKUP(GG197,$FM$3:$FN$15,2,FALSE)</f>
        <v/>
      </c>
      <c r="GP197" s="9">
        <f>VLOOKUP(GH197,$FM$3:$FN$15,2,FALSE)</f>
        <v/>
      </c>
      <c r="GQ197" s="9">
        <f>VLOOKUP(GI197,$FM$3:$FN$15,2,FALSE)</f>
        <v/>
      </c>
      <c r="GR197" s="9">
        <f>IFERROR(IF(AND(VLOOKUP(GB197,$FX$4:$FX$15,1,FALSE)=GB197,VLOOKUP(GC197,$FX$4:$FX$15,1,FALSE)=GC197,VLOOKUP(GD197,$FX$4:$FX$15,1,FALSE)=GD197,VLOOKUP(GE197,$FX$4:$FX$15,1,FALSE)=GE197,VLOOKUP(GF197,$FX$4:$FX$15,1,FALSE)=GF197,VLOOKUP(GG197,$FX$4:$FX$15,1,FALSE)=GG197,VLOOKUP(GH197,$FX$4:$FX$15,1,FALSE)=GH197,VLOOKUP(GI197,$FX$4:$FX$15,1,FALSE)=GI197),FZ197,""),"")</f>
        <v/>
      </c>
    </row>
    <row r="198" ht="14.25" customHeight="1">
      <c r="FZ198" s="79" t="n">
        <v>196</v>
      </c>
      <c r="GA198" s="3">
        <f>GB198&amp;GC198&amp;GD198&amp;GE198&amp;GF198&amp;GG198&amp;GH198&amp;GI198</f>
        <v/>
      </c>
      <c r="GB198" s="3" t="inlineStr">
        <is>
          <t>E</t>
        </is>
      </c>
      <c r="GC198" s="3" t="inlineStr">
        <is>
          <t>G</t>
        </is>
      </c>
      <c r="GD198" s="3" t="inlineStr">
        <is>
          <t>J</t>
        </is>
      </c>
      <c r="GE198" s="3" t="inlineStr">
        <is>
          <t>D</t>
        </is>
      </c>
      <c r="GF198" s="3" t="inlineStr">
        <is>
          <t>A</t>
        </is>
      </c>
      <c r="GG198" s="3" t="inlineStr">
        <is>
          <t>F</t>
        </is>
      </c>
      <c r="GH198" s="3" t="inlineStr">
        <is>
          <t>I</t>
        </is>
      </c>
      <c r="GI198" s="3" t="inlineStr">
        <is>
          <t>K</t>
        </is>
      </c>
      <c r="GJ198" s="9">
        <f>VLOOKUP(GB198,$FM$3:$FN$15,2,FALSE)</f>
        <v/>
      </c>
      <c r="GK198" s="9">
        <f>VLOOKUP(GC198,$FM$3:$FN$15,2,FALSE)</f>
        <v/>
      </c>
      <c r="GL198" s="9">
        <f>VLOOKUP(GD198,$FM$3:$FN$15,2,FALSE)</f>
        <v/>
      </c>
      <c r="GM198" s="9">
        <f>VLOOKUP(GE198,$FM$3:$FN$15,2,FALSE)</f>
        <v/>
      </c>
      <c r="GN198" s="9">
        <f>VLOOKUP(GF198,$FM$3:$FN$15,2,FALSE)</f>
        <v/>
      </c>
      <c r="GO198" s="9">
        <f>VLOOKUP(GG198,$FM$3:$FN$15,2,FALSE)</f>
        <v/>
      </c>
      <c r="GP198" s="9">
        <f>VLOOKUP(GH198,$FM$3:$FN$15,2,FALSE)</f>
        <v/>
      </c>
      <c r="GQ198" s="9">
        <f>VLOOKUP(GI198,$FM$3:$FN$15,2,FALSE)</f>
        <v/>
      </c>
      <c r="GR198" s="9">
        <f>IFERROR(IF(AND(VLOOKUP(GB198,$FX$4:$FX$15,1,FALSE)=GB198,VLOOKUP(GC198,$FX$4:$FX$15,1,FALSE)=GC198,VLOOKUP(GD198,$FX$4:$FX$15,1,FALSE)=GD198,VLOOKUP(GE198,$FX$4:$FX$15,1,FALSE)=GE198,VLOOKUP(GF198,$FX$4:$FX$15,1,FALSE)=GF198,VLOOKUP(GG198,$FX$4:$FX$15,1,FALSE)=GG198,VLOOKUP(GH198,$FX$4:$FX$15,1,FALSE)=GH198,VLOOKUP(GI198,$FX$4:$FX$15,1,FALSE)=GI198),FZ198,""),"")</f>
        <v/>
      </c>
    </row>
    <row r="199" ht="14.25" customHeight="1">
      <c r="FZ199" s="79" t="n">
        <v>197</v>
      </c>
      <c r="GA199" s="3">
        <f>GB199&amp;GC199&amp;GD199&amp;GE199&amp;GF199&amp;GG199&amp;GH199&amp;GI199</f>
        <v/>
      </c>
      <c r="GB199" s="3" t="inlineStr">
        <is>
          <t>H</t>
        </is>
      </c>
      <c r="GC199" s="3" t="inlineStr">
        <is>
          <t>G</t>
        </is>
      </c>
      <c r="GD199" s="3" t="inlineStr">
        <is>
          <t>E</t>
        </is>
      </c>
      <c r="GE199" s="3" t="inlineStr">
        <is>
          <t>D</t>
        </is>
      </c>
      <c r="GF199" s="3" t="inlineStr">
        <is>
          <t>A</t>
        </is>
      </c>
      <c r="GG199" s="3" t="inlineStr">
        <is>
          <t>F</t>
        </is>
      </c>
      <c r="GH199" s="3" t="inlineStr">
        <is>
          <t>L</t>
        </is>
      </c>
      <c r="GI199" s="3" t="inlineStr">
        <is>
          <t>K</t>
        </is>
      </c>
      <c r="GJ199" s="9">
        <f>VLOOKUP(GB199,$FM$3:$FN$15,2,FALSE)</f>
        <v/>
      </c>
      <c r="GK199" s="9">
        <f>VLOOKUP(GC199,$FM$3:$FN$15,2,FALSE)</f>
        <v/>
      </c>
      <c r="GL199" s="9">
        <f>VLOOKUP(GD199,$FM$3:$FN$15,2,FALSE)</f>
        <v/>
      </c>
      <c r="GM199" s="9">
        <f>VLOOKUP(GE199,$FM$3:$FN$15,2,FALSE)</f>
        <v/>
      </c>
      <c r="GN199" s="9">
        <f>VLOOKUP(GF199,$FM$3:$FN$15,2,FALSE)</f>
        <v/>
      </c>
      <c r="GO199" s="9">
        <f>VLOOKUP(GG199,$FM$3:$FN$15,2,FALSE)</f>
        <v/>
      </c>
      <c r="GP199" s="9">
        <f>VLOOKUP(GH199,$FM$3:$FN$15,2,FALSE)</f>
        <v/>
      </c>
      <c r="GQ199" s="9">
        <f>VLOOKUP(GI199,$FM$3:$FN$15,2,FALSE)</f>
        <v/>
      </c>
      <c r="GR199" s="9">
        <f>IFERROR(IF(AND(VLOOKUP(GB199,$FX$4:$FX$15,1,FALSE)=GB199,VLOOKUP(GC199,$FX$4:$FX$15,1,FALSE)=GC199,VLOOKUP(GD199,$FX$4:$FX$15,1,FALSE)=GD199,VLOOKUP(GE199,$FX$4:$FX$15,1,FALSE)=GE199,VLOOKUP(GF199,$FX$4:$FX$15,1,FALSE)=GF199,VLOOKUP(GG199,$FX$4:$FX$15,1,FALSE)=GG199,VLOOKUP(GH199,$FX$4:$FX$15,1,FALSE)=GH199,VLOOKUP(GI199,$FX$4:$FX$15,1,FALSE)=GI199),FZ199,""),"")</f>
        <v/>
      </c>
    </row>
    <row r="200" ht="14.25" customHeight="1">
      <c r="FZ200" s="79" t="n">
        <v>198</v>
      </c>
      <c r="GA200" s="3">
        <f>GB200&amp;GC200&amp;GD200&amp;GE200&amp;GF200&amp;GG200&amp;GH200&amp;GI200</f>
        <v/>
      </c>
      <c r="GB200" s="3" t="inlineStr">
        <is>
          <t>H</t>
        </is>
      </c>
      <c r="GC200" s="3" t="inlineStr">
        <is>
          <t>G</t>
        </is>
      </c>
      <c r="GD200" s="3" t="inlineStr">
        <is>
          <t>J</t>
        </is>
      </c>
      <c r="GE200" s="3" t="inlineStr">
        <is>
          <t>D</t>
        </is>
      </c>
      <c r="GF200" s="3" t="inlineStr">
        <is>
          <t>A</t>
        </is>
      </c>
      <c r="GG200" s="3" t="inlineStr">
        <is>
          <t>F</t>
        </is>
      </c>
      <c r="GH200" s="3" t="inlineStr">
        <is>
          <t>L</t>
        </is>
      </c>
      <c r="GI200" s="3" t="inlineStr">
        <is>
          <t>E</t>
        </is>
      </c>
      <c r="GJ200" s="9">
        <f>VLOOKUP(GB200,$FM$3:$FN$15,2,FALSE)</f>
        <v/>
      </c>
      <c r="GK200" s="9">
        <f>VLOOKUP(GC200,$FM$3:$FN$15,2,FALSE)</f>
        <v/>
      </c>
      <c r="GL200" s="9">
        <f>VLOOKUP(GD200,$FM$3:$FN$15,2,FALSE)</f>
        <v/>
      </c>
      <c r="GM200" s="9">
        <f>VLOOKUP(GE200,$FM$3:$FN$15,2,FALSE)</f>
        <v/>
      </c>
      <c r="GN200" s="9">
        <f>VLOOKUP(GF200,$FM$3:$FN$15,2,FALSE)</f>
        <v/>
      </c>
      <c r="GO200" s="9">
        <f>VLOOKUP(GG200,$FM$3:$FN$15,2,FALSE)</f>
        <v/>
      </c>
      <c r="GP200" s="9">
        <f>VLOOKUP(GH200,$FM$3:$FN$15,2,FALSE)</f>
        <v/>
      </c>
      <c r="GQ200" s="9">
        <f>VLOOKUP(GI200,$FM$3:$FN$15,2,FALSE)</f>
        <v/>
      </c>
      <c r="GR200" s="9">
        <f>IFERROR(IF(AND(VLOOKUP(GB200,$FX$4:$FX$15,1,FALSE)=GB200,VLOOKUP(GC200,$FX$4:$FX$15,1,FALSE)=GC200,VLOOKUP(GD200,$FX$4:$FX$15,1,FALSE)=GD200,VLOOKUP(GE200,$FX$4:$FX$15,1,FALSE)=GE200,VLOOKUP(GF200,$FX$4:$FX$15,1,FALSE)=GF200,VLOOKUP(GG200,$FX$4:$FX$15,1,FALSE)=GG200,VLOOKUP(GH200,$FX$4:$FX$15,1,FALSE)=GH200,VLOOKUP(GI200,$FX$4:$FX$15,1,FALSE)=GI200),FZ200,""),"")</f>
        <v/>
      </c>
    </row>
    <row r="201" ht="14.25" customHeight="1">
      <c r="FZ201" s="79" t="n">
        <v>199</v>
      </c>
      <c r="GA201" s="3">
        <f>GB201&amp;GC201&amp;GD201&amp;GE201&amp;GF201&amp;GG201&amp;GH201&amp;GI201</f>
        <v/>
      </c>
      <c r="GB201" s="3" t="inlineStr">
        <is>
          <t>H</t>
        </is>
      </c>
      <c r="GC201" s="3" t="inlineStr">
        <is>
          <t>G</t>
        </is>
      </c>
      <c r="GD201" s="3" t="inlineStr">
        <is>
          <t>J</t>
        </is>
      </c>
      <c r="GE201" s="3" t="inlineStr">
        <is>
          <t>D</t>
        </is>
      </c>
      <c r="GF201" s="3" t="inlineStr">
        <is>
          <t>A</t>
        </is>
      </c>
      <c r="GG201" s="3" t="inlineStr">
        <is>
          <t>F</t>
        </is>
      </c>
      <c r="GH201" s="3" t="inlineStr">
        <is>
          <t>E</t>
        </is>
      </c>
      <c r="GI201" s="3" t="inlineStr">
        <is>
          <t>K</t>
        </is>
      </c>
      <c r="GJ201" s="9">
        <f>VLOOKUP(GB201,$FM$3:$FN$15,2,FALSE)</f>
        <v/>
      </c>
      <c r="GK201" s="9">
        <f>VLOOKUP(GC201,$FM$3:$FN$15,2,FALSE)</f>
        <v/>
      </c>
      <c r="GL201" s="9">
        <f>VLOOKUP(GD201,$FM$3:$FN$15,2,FALSE)</f>
        <v/>
      </c>
      <c r="GM201" s="9">
        <f>VLOOKUP(GE201,$FM$3:$FN$15,2,FALSE)</f>
        <v/>
      </c>
      <c r="GN201" s="9">
        <f>VLOOKUP(GF201,$FM$3:$FN$15,2,FALSE)</f>
        <v/>
      </c>
      <c r="GO201" s="9">
        <f>VLOOKUP(GG201,$FM$3:$FN$15,2,FALSE)</f>
        <v/>
      </c>
      <c r="GP201" s="9">
        <f>VLOOKUP(GH201,$FM$3:$FN$15,2,FALSE)</f>
        <v/>
      </c>
      <c r="GQ201" s="9">
        <f>VLOOKUP(GI201,$FM$3:$FN$15,2,FALSE)</f>
        <v/>
      </c>
      <c r="GR201" s="9">
        <f>IFERROR(IF(AND(VLOOKUP(GB201,$FX$4:$FX$15,1,FALSE)=GB201,VLOOKUP(GC201,$FX$4:$FX$15,1,FALSE)=GC201,VLOOKUP(GD201,$FX$4:$FX$15,1,FALSE)=GD201,VLOOKUP(GE201,$FX$4:$FX$15,1,FALSE)=GE201,VLOOKUP(GF201,$FX$4:$FX$15,1,FALSE)=GF201,VLOOKUP(GG201,$FX$4:$FX$15,1,FALSE)=GG201,VLOOKUP(GH201,$FX$4:$FX$15,1,FALSE)=GH201,VLOOKUP(GI201,$FX$4:$FX$15,1,FALSE)=GI201),FZ201,""),"")</f>
        <v/>
      </c>
    </row>
    <row r="202" ht="14.25" customHeight="1">
      <c r="FZ202" s="79" t="n">
        <v>200</v>
      </c>
      <c r="GA202" s="3">
        <f>GB202&amp;GC202&amp;GD202&amp;GE202&amp;GF202&amp;GG202&amp;GH202&amp;GI202</f>
        <v/>
      </c>
      <c r="GB202" s="3" t="inlineStr">
        <is>
          <t>H</t>
        </is>
      </c>
      <c r="GC202" s="3" t="inlineStr">
        <is>
          <t>G</t>
        </is>
      </c>
      <c r="GD202" s="3" t="inlineStr">
        <is>
          <t>E</t>
        </is>
      </c>
      <c r="GE202" s="3" t="inlineStr">
        <is>
          <t>D</t>
        </is>
      </c>
      <c r="GF202" s="3" t="inlineStr">
        <is>
          <t>A</t>
        </is>
      </c>
      <c r="GG202" s="3" t="inlineStr">
        <is>
          <t>F</t>
        </is>
      </c>
      <c r="GH202" s="3" t="inlineStr">
        <is>
          <t>L</t>
        </is>
      </c>
      <c r="GI202" s="3" t="inlineStr">
        <is>
          <t>I</t>
        </is>
      </c>
      <c r="GJ202" s="9">
        <f>VLOOKUP(GB202,$FM$3:$FN$15,2,FALSE)</f>
        <v/>
      </c>
      <c r="GK202" s="9">
        <f>VLOOKUP(GC202,$FM$3:$FN$15,2,FALSE)</f>
        <v/>
      </c>
      <c r="GL202" s="9">
        <f>VLOOKUP(GD202,$FM$3:$FN$15,2,FALSE)</f>
        <v/>
      </c>
      <c r="GM202" s="9">
        <f>VLOOKUP(GE202,$FM$3:$FN$15,2,FALSE)</f>
        <v/>
      </c>
      <c r="GN202" s="9">
        <f>VLOOKUP(GF202,$FM$3:$FN$15,2,FALSE)</f>
        <v/>
      </c>
      <c r="GO202" s="9">
        <f>VLOOKUP(GG202,$FM$3:$FN$15,2,FALSE)</f>
        <v/>
      </c>
      <c r="GP202" s="9">
        <f>VLOOKUP(GH202,$FM$3:$FN$15,2,FALSE)</f>
        <v/>
      </c>
      <c r="GQ202" s="9">
        <f>VLOOKUP(GI202,$FM$3:$FN$15,2,FALSE)</f>
        <v/>
      </c>
      <c r="GR202" s="9">
        <f>IFERROR(IF(AND(VLOOKUP(GB202,$FX$4:$FX$15,1,FALSE)=GB202,VLOOKUP(GC202,$FX$4:$FX$15,1,FALSE)=GC202,VLOOKUP(GD202,$FX$4:$FX$15,1,FALSE)=GD202,VLOOKUP(GE202,$FX$4:$FX$15,1,FALSE)=GE202,VLOOKUP(GF202,$FX$4:$FX$15,1,FALSE)=GF202,VLOOKUP(GG202,$FX$4:$FX$15,1,FALSE)=GG202,VLOOKUP(GH202,$FX$4:$FX$15,1,FALSE)=GH202,VLOOKUP(GI202,$FX$4:$FX$15,1,FALSE)=GI202),FZ202,""),"")</f>
        <v/>
      </c>
    </row>
    <row r="203" ht="14.25" customHeight="1">
      <c r="FZ203" s="79" t="n">
        <v>201</v>
      </c>
      <c r="GA203" s="3">
        <f>GB203&amp;GC203&amp;GD203&amp;GE203&amp;GF203&amp;GG203&amp;GH203&amp;GI203</f>
        <v/>
      </c>
      <c r="GB203" s="3" t="inlineStr">
        <is>
          <t>H</t>
        </is>
      </c>
      <c r="GC203" s="3" t="inlineStr">
        <is>
          <t>G</t>
        </is>
      </c>
      <c r="GD203" s="3" t="inlineStr">
        <is>
          <t>E</t>
        </is>
      </c>
      <c r="GE203" s="3" t="inlineStr">
        <is>
          <t>D</t>
        </is>
      </c>
      <c r="GF203" s="3" t="inlineStr">
        <is>
          <t>A</t>
        </is>
      </c>
      <c r="GG203" s="3" t="inlineStr">
        <is>
          <t>F</t>
        </is>
      </c>
      <c r="GH203" s="3" t="inlineStr">
        <is>
          <t>I</t>
        </is>
      </c>
      <c r="GI203" s="3" t="inlineStr">
        <is>
          <t>K</t>
        </is>
      </c>
      <c r="GJ203" s="9">
        <f>VLOOKUP(GB203,$FM$3:$FN$15,2,FALSE)</f>
        <v/>
      </c>
      <c r="GK203" s="9">
        <f>VLOOKUP(GC203,$FM$3:$FN$15,2,FALSE)</f>
        <v/>
      </c>
      <c r="GL203" s="9">
        <f>VLOOKUP(GD203,$FM$3:$FN$15,2,FALSE)</f>
        <v/>
      </c>
      <c r="GM203" s="9">
        <f>VLOOKUP(GE203,$FM$3:$FN$15,2,FALSE)</f>
        <v/>
      </c>
      <c r="GN203" s="9">
        <f>VLOOKUP(GF203,$FM$3:$FN$15,2,FALSE)</f>
        <v/>
      </c>
      <c r="GO203" s="9">
        <f>VLOOKUP(GG203,$FM$3:$FN$15,2,FALSE)</f>
        <v/>
      </c>
      <c r="GP203" s="9">
        <f>VLOOKUP(GH203,$FM$3:$FN$15,2,FALSE)</f>
        <v/>
      </c>
      <c r="GQ203" s="9">
        <f>VLOOKUP(GI203,$FM$3:$FN$15,2,FALSE)</f>
        <v/>
      </c>
      <c r="GR203" s="9">
        <f>IFERROR(IF(AND(VLOOKUP(GB203,$FX$4:$FX$15,1,FALSE)=GB203,VLOOKUP(GC203,$FX$4:$FX$15,1,FALSE)=GC203,VLOOKUP(GD203,$FX$4:$FX$15,1,FALSE)=GD203,VLOOKUP(GE203,$FX$4:$FX$15,1,FALSE)=GE203,VLOOKUP(GF203,$FX$4:$FX$15,1,FALSE)=GF203,VLOOKUP(GG203,$FX$4:$FX$15,1,FALSE)=GG203,VLOOKUP(GH203,$FX$4:$FX$15,1,FALSE)=GH203,VLOOKUP(GI203,$FX$4:$FX$15,1,FALSE)=GI203),FZ203,""),"")</f>
        <v/>
      </c>
    </row>
    <row r="204" ht="14.25" customHeight="1">
      <c r="FZ204" s="79" t="n">
        <v>202</v>
      </c>
      <c r="GA204" s="3">
        <f>GB204&amp;GC204&amp;GD204&amp;GE204&amp;GF204&amp;GG204&amp;GH204&amp;GI204</f>
        <v/>
      </c>
      <c r="GB204" s="3" t="inlineStr">
        <is>
          <t>H</t>
        </is>
      </c>
      <c r="GC204" s="3" t="inlineStr">
        <is>
          <t>G</t>
        </is>
      </c>
      <c r="GD204" s="3" t="inlineStr">
        <is>
          <t>J</t>
        </is>
      </c>
      <c r="GE204" s="3" t="inlineStr">
        <is>
          <t>D</t>
        </is>
      </c>
      <c r="GF204" s="3" t="inlineStr">
        <is>
          <t>A</t>
        </is>
      </c>
      <c r="GG204" s="3" t="inlineStr">
        <is>
          <t>F</t>
        </is>
      </c>
      <c r="GH204" s="3" t="inlineStr">
        <is>
          <t>E</t>
        </is>
      </c>
      <c r="GI204" s="3" t="inlineStr">
        <is>
          <t>I</t>
        </is>
      </c>
      <c r="GJ204" s="9">
        <f>VLOOKUP(GB204,$FM$3:$FN$15,2,FALSE)</f>
        <v/>
      </c>
      <c r="GK204" s="9">
        <f>VLOOKUP(GC204,$FM$3:$FN$15,2,FALSE)</f>
        <v/>
      </c>
      <c r="GL204" s="9">
        <f>VLOOKUP(GD204,$FM$3:$FN$15,2,FALSE)</f>
        <v/>
      </c>
      <c r="GM204" s="9">
        <f>VLOOKUP(GE204,$FM$3:$FN$15,2,FALSE)</f>
        <v/>
      </c>
      <c r="GN204" s="9">
        <f>VLOOKUP(GF204,$FM$3:$FN$15,2,FALSE)</f>
        <v/>
      </c>
      <c r="GO204" s="9">
        <f>VLOOKUP(GG204,$FM$3:$FN$15,2,FALSE)</f>
        <v/>
      </c>
      <c r="GP204" s="9">
        <f>VLOOKUP(GH204,$FM$3:$FN$15,2,FALSE)</f>
        <v/>
      </c>
      <c r="GQ204" s="9">
        <f>VLOOKUP(GI204,$FM$3:$FN$15,2,FALSE)</f>
        <v/>
      </c>
      <c r="GR204" s="9">
        <f>IFERROR(IF(AND(VLOOKUP(GB204,$FX$4:$FX$15,1,FALSE)=GB204,VLOOKUP(GC204,$FX$4:$FX$15,1,FALSE)=GC204,VLOOKUP(GD204,$FX$4:$FX$15,1,FALSE)=GD204,VLOOKUP(GE204,$FX$4:$FX$15,1,FALSE)=GE204,VLOOKUP(GF204,$FX$4:$FX$15,1,FALSE)=GF204,VLOOKUP(GG204,$FX$4:$FX$15,1,FALSE)=GG204,VLOOKUP(GH204,$FX$4:$FX$15,1,FALSE)=GH204,VLOOKUP(GI204,$FX$4:$FX$15,1,FALSE)=GI204),FZ204,""),"")</f>
        <v/>
      </c>
    </row>
    <row r="205" ht="14.25" customHeight="1">
      <c r="FZ205" s="79" t="n">
        <v>203</v>
      </c>
      <c r="GA205" s="3">
        <f>GB205&amp;GC205&amp;GD205&amp;GE205&amp;GF205&amp;GG205&amp;GH205&amp;GI205</f>
        <v/>
      </c>
      <c r="GB205" s="3" t="inlineStr">
        <is>
          <t>H</t>
        </is>
      </c>
      <c r="GC205" s="3" t="inlineStr">
        <is>
          <t>J</t>
        </is>
      </c>
      <c r="GD205" s="3" t="inlineStr">
        <is>
          <t>I</t>
        </is>
      </c>
      <c r="GE205" s="3" t="inlineStr">
        <is>
          <t>C</t>
        </is>
      </c>
      <c r="GF205" s="3" t="inlineStr">
        <is>
          <t>A</t>
        </is>
      </c>
      <c r="GG205" s="3" t="inlineStr">
        <is>
          <t>G</t>
        </is>
      </c>
      <c r="GH205" s="3" t="inlineStr">
        <is>
          <t>L</t>
        </is>
      </c>
      <c r="GI205" s="3" t="inlineStr">
        <is>
          <t>K</t>
        </is>
      </c>
      <c r="GJ205" s="9">
        <f>VLOOKUP(GB205,$FM$3:$FN$15,2,FALSE)</f>
        <v/>
      </c>
      <c r="GK205" s="9">
        <f>VLOOKUP(GC205,$FM$3:$FN$15,2,FALSE)</f>
        <v/>
      </c>
      <c r="GL205" s="9">
        <f>VLOOKUP(GD205,$FM$3:$FN$15,2,FALSE)</f>
        <v/>
      </c>
      <c r="GM205" s="9">
        <f>VLOOKUP(GE205,$FM$3:$FN$15,2,FALSE)</f>
        <v/>
      </c>
      <c r="GN205" s="9">
        <f>VLOOKUP(GF205,$FM$3:$FN$15,2,FALSE)</f>
        <v/>
      </c>
      <c r="GO205" s="9">
        <f>VLOOKUP(GG205,$FM$3:$FN$15,2,FALSE)</f>
        <v/>
      </c>
      <c r="GP205" s="9">
        <f>VLOOKUP(GH205,$FM$3:$FN$15,2,FALSE)</f>
        <v/>
      </c>
      <c r="GQ205" s="9">
        <f>VLOOKUP(GI205,$FM$3:$FN$15,2,FALSE)</f>
        <v/>
      </c>
      <c r="GR205" s="9">
        <f>IFERROR(IF(AND(VLOOKUP(GB205,$FX$4:$FX$15,1,FALSE)=GB205,VLOOKUP(GC205,$FX$4:$FX$15,1,FALSE)=GC205,VLOOKUP(GD205,$FX$4:$FX$15,1,FALSE)=GD205,VLOOKUP(GE205,$FX$4:$FX$15,1,FALSE)=GE205,VLOOKUP(GF205,$FX$4:$FX$15,1,FALSE)=GF205,VLOOKUP(GG205,$FX$4:$FX$15,1,FALSE)=GG205,VLOOKUP(GH205,$FX$4:$FX$15,1,FALSE)=GH205,VLOOKUP(GI205,$FX$4:$FX$15,1,FALSE)=GI205),FZ205,""),"")</f>
        <v/>
      </c>
    </row>
    <row r="206" ht="14.25" customHeight="1">
      <c r="FZ206" s="79" t="n">
        <v>204</v>
      </c>
      <c r="GA206" s="3">
        <f>GB206&amp;GC206&amp;GD206&amp;GE206&amp;GF206&amp;GG206&amp;GH206&amp;GI206</f>
        <v/>
      </c>
      <c r="GB206" s="3" t="inlineStr">
        <is>
          <t>H</t>
        </is>
      </c>
      <c r="GC206" s="3" t="inlineStr">
        <is>
          <t>J</t>
        </is>
      </c>
      <c r="GD206" s="3" t="inlineStr">
        <is>
          <t>I</t>
        </is>
      </c>
      <c r="GE206" s="3" t="inlineStr">
        <is>
          <t>C</t>
        </is>
      </c>
      <c r="GF206" s="3" t="inlineStr">
        <is>
          <t>A</t>
        </is>
      </c>
      <c r="GG206" s="3" t="inlineStr">
        <is>
          <t>F</t>
        </is>
      </c>
      <c r="GH206" s="3" t="inlineStr">
        <is>
          <t>L</t>
        </is>
      </c>
      <c r="GI206" s="3" t="inlineStr">
        <is>
          <t>K</t>
        </is>
      </c>
      <c r="GJ206" s="9">
        <f>VLOOKUP(GB206,$FM$3:$FN$15,2,FALSE)</f>
        <v/>
      </c>
      <c r="GK206" s="9">
        <f>VLOOKUP(GC206,$FM$3:$FN$15,2,FALSE)</f>
        <v/>
      </c>
      <c r="GL206" s="9">
        <f>VLOOKUP(GD206,$FM$3:$FN$15,2,FALSE)</f>
        <v/>
      </c>
      <c r="GM206" s="9">
        <f>VLOOKUP(GE206,$FM$3:$FN$15,2,FALSE)</f>
        <v/>
      </c>
      <c r="GN206" s="9">
        <f>VLOOKUP(GF206,$FM$3:$FN$15,2,FALSE)</f>
        <v/>
      </c>
      <c r="GO206" s="9">
        <f>VLOOKUP(GG206,$FM$3:$FN$15,2,FALSE)</f>
        <v/>
      </c>
      <c r="GP206" s="9">
        <f>VLOOKUP(GH206,$FM$3:$FN$15,2,FALSE)</f>
        <v/>
      </c>
      <c r="GQ206" s="9">
        <f>VLOOKUP(GI206,$FM$3:$FN$15,2,FALSE)</f>
        <v/>
      </c>
      <c r="GR206" s="9">
        <f>IFERROR(IF(AND(VLOOKUP(GB206,$FX$4:$FX$15,1,FALSE)=GB206,VLOOKUP(GC206,$FX$4:$FX$15,1,FALSE)=GC206,VLOOKUP(GD206,$FX$4:$FX$15,1,FALSE)=GD206,VLOOKUP(GE206,$FX$4:$FX$15,1,FALSE)=GE206,VLOOKUP(GF206,$FX$4:$FX$15,1,FALSE)=GF206,VLOOKUP(GG206,$FX$4:$FX$15,1,FALSE)=GG206,VLOOKUP(GH206,$FX$4:$FX$15,1,FALSE)=GH206,VLOOKUP(GI206,$FX$4:$FX$15,1,FALSE)=GI206),FZ206,""),"")</f>
        <v/>
      </c>
    </row>
    <row r="207" ht="14.25" customHeight="1">
      <c r="FZ207" s="79" t="n">
        <v>205</v>
      </c>
      <c r="GA207" s="3">
        <f>GB207&amp;GC207&amp;GD207&amp;GE207&amp;GF207&amp;GG207&amp;GH207&amp;GI207</f>
        <v/>
      </c>
      <c r="GB207" s="3" t="inlineStr">
        <is>
          <t>I</t>
        </is>
      </c>
      <c r="GC207" s="3" t="inlineStr">
        <is>
          <t>G</t>
        </is>
      </c>
      <c r="GD207" s="3" t="inlineStr">
        <is>
          <t>J</t>
        </is>
      </c>
      <c r="GE207" s="3" t="inlineStr">
        <is>
          <t>C</t>
        </is>
      </c>
      <c r="GF207" s="3" t="inlineStr">
        <is>
          <t>A</t>
        </is>
      </c>
      <c r="GG207" s="3" t="inlineStr">
        <is>
          <t>F</t>
        </is>
      </c>
      <c r="GH207" s="3" t="inlineStr">
        <is>
          <t>L</t>
        </is>
      </c>
      <c r="GI207" s="3" t="inlineStr">
        <is>
          <t>K</t>
        </is>
      </c>
      <c r="GJ207" s="9">
        <f>VLOOKUP(GB207,$FM$3:$FN$15,2,FALSE)</f>
        <v/>
      </c>
      <c r="GK207" s="9">
        <f>VLOOKUP(GC207,$FM$3:$FN$15,2,FALSE)</f>
        <v/>
      </c>
      <c r="GL207" s="9">
        <f>VLOOKUP(GD207,$FM$3:$FN$15,2,FALSE)</f>
        <v/>
      </c>
      <c r="GM207" s="9">
        <f>VLOOKUP(GE207,$FM$3:$FN$15,2,FALSE)</f>
        <v/>
      </c>
      <c r="GN207" s="9">
        <f>VLOOKUP(GF207,$FM$3:$FN$15,2,FALSE)</f>
        <v/>
      </c>
      <c r="GO207" s="9">
        <f>VLOOKUP(GG207,$FM$3:$FN$15,2,FALSE)</f>
        <v/>
      </c>
      <c r="GP207" s="9">
        <f>VLOOKUP(GH207,$FM$3:$FN$15,2,FALSE)</f>
        <v/>
      </c>
      <c r="GQ207" s="9">
        <f>VLOOKUP(GI207,$FM$3:$FN$15,2,FALSE)</f>
        <v/>
      </c>
      <c r="GR207" s="9">
        <f>IFERROR(IF(AND(VLOOKUP(GB207,$FX$4:$FX$15,1,FALSE)=GB207,VLOOKUP(GC207,$FX$4:$FX$15,1,FALSE)=GC207,VLOOKUP(GD207,$FX$4:$FX$15,1,FALSE)=GD207,VLOOKUP(GE207,$FX$4:$FX$15,1,FALSE)=GE207,VLOOKUP(GF207,$FX$4:$FX$15,1,FALSE)=GF207,VLOOKUP(GG207,$FX$4:$FX$15,1,FALSE)=GG207,VLOOKUP(GH207,$FX$4:$FX$15,1,FALSE)=GH207,VLOOKUP(GI207,$FX$4:$FX$15,1,FALSE)=GI207),FZ207,""),"")</f>
        <v/>
      </c>
    </row>
    <row r="208" ht="14.25" customHeight="1">
      <c r="FZ208" s="79" t="n">
        <v>206</v>
      </c>
      <c r="GA208" s="3">
        <f>GB208&amp;GC208&amp;GD208&amp;GE208&amp;GF208&amp;GG208&amp;GH208&amp;GI208</f>
        <v/>
      </c>
      <c r="GB208" s="3" t="inlineStr">
        <is>
          <t>H</t>
        </is>
      </c>
      <c r="GC208" s="3" t="inlineStr">
        <is>
          <t>G</t>
        </is>
      </c>
      <c r="GD208" s="3" t="inlineStr">
        <is>
          <t>J</t>
        </is>
      </c>
      <c r="GE208" s="3" t="inlineStr">
        <is>
          <t>C</t>
        </is>
      </c>
      <c r="GF208" s="3" t="inlineStr">
        <is>
          <t>A</t>
        </is>
      </c>
      <c r="GG208" s="3" t="inlineStr">
        <is>
          <t>F</t>
        </is>
      </c>
      <c r="GH208" s="3" t="inlineStr">
        <is>
          <t>L</t>
        </is>
      </c>
      <c r="GI208" s="3" t="inlineStr">
        <is>
          <t>K</t>
        </is>
      </c>
      <c r="GJ208" s="9">
        <f>VLOOKUP(GB208,$FM$3:$FN$15,2,FALSE)</f>
        <v/>
      </c>
      <c r="GK208" s="9">
        <f>VLOOKUP(GC208,$FM$3:$FN$15,2,FALSE)</f>
        <v/>
      </c>
      <c r="GL208" s="9">
        <f>VLOOKUP(GD208,$FM$3:$FN$15,2,FALSE)</f>
        <v/>
      </c>
      <c r="GM208" s="9">
        <f>VLOOKUP(GE208,$FM$3:$FN$15,2,FALSE)</f>
        <v/>
      </c>
      <c r="GN208" s="9">
        <f>VLOOKUP(GF208,$FM$3:$FN$15,2,FALSE)</f>
        <v/>
      </c>
      <c r="GO208" s="9">
        <f>VLOOKUP(GG208,$FM$3:$FN$15,2,FALSE)</f>
        <v/>
      </c>
      <c r="GP208" s="9">
        <f>VLOOKUP(GH208,$FM$3:$FN$15,2,FALSE)</f>
        <v/>
      </c>
      <c r="GQ208" s="9">
        <f>VLOOKUP(GI208,$FM$3:$FN$15,2,FALSE)</f>
        <v/>
      </c>
      <c r="GR208" s="9">
        <f>IFERROR(IF(AND(VLOOKUP(GB208,$FX$4:$FX$15,1,FALSE)=GB208,VLOOKUP(GC208,$FX$4:$FX$15,1,FALSE)=GC208,VLOOKUP(GD208,$FX$4:$FX$15,1,FALSE)=GD208,VLOOKUP(GE208,$FX$4:$FX$15,1,FALSE)=GE208,VLOOKUP(GF208,$FX$4:$FX$15,1,FALSE)=GF208,VLOOKUP(GG208,$FX$4:$FX$15,1,FALSE)=GG208,VLOOKUP(GH208,$FX$4:$FX$15,1,FALSE)=GH208,VLOOKUP(GI208,$FX$4:$FX$15,1,FALSE)=GI208),FZ208,""),"")</f>
        <v/>
      </c>
    </row>
    <row r="209" ht="14.25" customHeight="1">
      <c r="FZ209" s="79" t="n">
        <v>207</v>
      </c>
      <c r="GA209" s="3">
        <f>GB209&amp;GC209&amp;GD209&amp;GE209&amp;GF209&amp;GG209&amp;GH209&amp;GI209</f>
        <v/>
      </c>
      <c r="GB209" s="3" t="inlineStr">
        <is>
          <t>H</t>
        </is>
      </c>
      <c r="GC209" s="3" t="inlineStr">
        <is>
          <t>G</t>
        </is>
      </c>
      <c r="GD209" s="3" t="inlineStr">
        <is>
          <t>I</t>
        </is>
      </c>
      <c r="GE209" s="3" t="inlineStr">
        <is>
          <t>C</t>
        </is>
      </c>
      <c r="GF209" s="3" t="inlineStr">
        <is>
          <t>A</t>
        </is>
      </c>
      <c r="GG209" s="3" t="inlineStr">
        <is>
          <t>F</t>
        </is>
      </c>
      <c r="GH209" s="3" t="inlineStr">
        <is>
          <t>L</t>
        </is>
      </c>
      <c r="GI209" s="3" t="inlineStr">
        <is>
          <t>K</t>
        </is>
      </c>
      <c r="GJ209" s="9">
        <f>VLOOKUP(GB209,$FM$3:$FN$15,2,FALSE)</f>
        <v/>
      </c>
      <c r="GK209" s="9">
        <f>VLOOKUP(GC209,$FM$3:$FN$15,2,FALSE)</f>
        <v/>
      </c>
      <c r="GL209" s="9">
        <f>VLOOKUP(GD209,$FM$3:$FN$15,2,FALSE)</f>
        <v/>
      </c>
      <c r="GM209" s="9">
        <f>VLOOKUP(GE209,$FM$3:$FN$15,2,FALSE)</f>
        <v/>
      </c>
      <c r="GN209" s="9">
        <f>VLOOKUP(GF209,$FM$3:$FN$15,2,FALSE)</f>
        <v/>
      </c>
      <c r="GO209" s="9">
        <f>VLOOKUP(GG209,$FM$3:$FN$15,2,FALSE)</f>
        <v/>
      </c>
      <c r="GP209" s="9">
        <f>VLOOKUP(GH209,$FM$3:$FN$15,2,FALSE)</f>
        <v/>
      </c>
      <c r="GQ209" s="9">
        <f>VLOOKUP(GI209,$FM$3:$FN$15,2,FALSE)</f>
        <v/>
      </c>
      <c r="GR209" s="9">
        <f>IFERROR(IF(AND(VLOOKUP(GB209,$FX$4:$FX$15,1,FALSE)=GB209,VLOOKUP(GC209,$FX$4:$FX$15,1,FALSE)=GC209,VLOOKUP(GD209,$FX$4:$FX$15,1,FALSE)=GD209,VLOOKUP(GE209,$FX$4:$FX$15,1,FALSE)=GE209,VLOOKUP(GF209,$FX$4:$FX$15,1,FALSE)=GF209,VLOOKUP(GG209,$FX$4:$FX$15,1,FALSE)=GG209,VLOOKUP(GH209,$FX$4:$FX$15,1,FALSE)=GH209,VLOOKUP(GI209,$FX$4:$FX$15,1,FALSE)=GI209),FZ209,""),"")</f>
        <v/>
      </c>
    </row>
    <row r="210" ht="14.25" customHeight="1">
      <c r="FZ210" s="79" t="n">
        <v>208</v>
      </c>
      <c r="GA210" s="3">
        <f>GB210&amp;GC210&amp;GD210&amp;GE210&amp;GF210&amp;GG210&amp;GH210&amp;GI210</f>
        <v/>
      </c>
      <c r="GB210" s="3" t="inlineStr">
        <is>
          <t>H</t>
        </is>
      </c>
      <c r="GC210" s="3" t="inlineStr">
        <is>
          <t>G</t>
        </is>
      </c>
      <c r="GD210" s="3" t="inlineStr">
        <is>
          <t>J</t>
        </is>
      </c>
      <c r="GE210" s="3" t="inlineStr">
        <is>
          <t>C</t>
        </is>
      </c>
      <c r="GF210" s="3" t="inlineStr">
        <is>
          <t>A</t>
        </is>
      </c>
      <c r="GG210" s="3" t="inlineStr">
        <is>
          <t>F</t>
        </is>
      </c>
      <c r="GH210" s="3" t="inlineStr">
        <is>
          <t>L</t>
        </is>
      </c>
      <c r="GI210" s="3" t="inlineStr">
        <is>
          <t>I</t>
        </is>
      </c>
      <c r="GJ210" s="9">
        <f>VLOOKUP(GB210,$FM$3:$FN$15,2,FALSE)</f>
        <v/>
      </c>
      <c r="GK210" s="9">
        <f>VLOOKUP(GC210,$FM$3:$FN$15,2,FALSE)</f>
        <v/>
      </c>
      <c r="GL210" s="9">
        <f>VLOOKUP(GD210,$FM$3:$FN$15,2,FALSE)</f>
        <v/>
      </c>
      <c r="GM210" s="9">
        <f>VLOOKUP(GE210,$FM$3:$FN$15,2,FALSE)</f>
        <v/>
      </c>
      <c r="GN210" s="9">
        <f>VLOOKUP(GF210,$FM$3:$FN$15,2,FALSE)</f>
        <v/>
      </c>
      <c r="GO210" s="9">
        <f>VLOOKUP(GG210,$FM$3:$FN$15,2,FALSE)</f>
        <v/>
      </c>
      <c r="GP210" s="9">
        <f>VLOOKUP(GH210,$FM$3:$FN$15,2,FALSE)</f>
        <v/>
      </c>
      <c r="GQ210" s="9">
        <f>VLOOKUP(GI210,$FM$3:$FN$15,2,FALSE)</f>
        <v/>
      </c>
      <c r="GR210" s="9">
        <f>IFERROR(IF(AND(VLOOKUP(GB210,$FX$4:$FX$15,1,FALSE)=GB210,VLOOKUP(GC210,$FX$4:$FX$15,1,FALSE)=GC210,VLOOKUP(GD210,$FX$4:$FX$15,1,FALSE)=GD210,VLOOKUP(GE210,$FX$4:$FX$15,1,FALSE)=GE210,VLOOKUP(GF210,$FX$4:$FX$15,1,FALSE)=GF210,VLOOKUP(GG210,$FX$4:$FX$15,1,FALSE)=GG210,VLOOKUP(GH210,$FX$4:$FX$15,1,FALSE)=GH210,VLOOKUP(GI210,$FX$4:$FX$15,1,FALSE)=GI210),FZ210,""),"")</f>
        <v/>
      </c>
    </row>
    <row r="211" ht="14.25" customHeight="1">
      <c r="FZ211" s="79" t="n">
        <v>209</v>
      </c>
      <c r="GA211" s="3">
        <f>GB211&amp;GC211&amp;GD211&amp;GE211&amp;GF211&amp;GG211&amp;GH211&amp;GI211</f>
        <v/>
      </c>
      <c r="GB211" s="3" t="inlineStr">
        <is>
          <t>H</t>
        </is>
      </c>
      <c r="GC211" s="3" t="inlineStr">
        <is>
          <t>G</t>
        </is>
      </c>
      <c r="GD211" s="3" t="inlineStr">
        <is>
          <t>J</t>
        </is>
      </c>
      <c r="GE211" s="3" t="inlineStr">
        <is>
          <t>C</t>
        </is>
      </c>
      <c r="GF211" s="3" t="inlineStr">
        <is>
          <t>A</t>
        </is>
      </c>
      <c r="GG211" s="3" t="inlineStr">
        <is>
          <t>F</t>
        </is>
      </c>
      <c r="GH211" s="3" t="inlineStr">
        <is>
          <t>I</t>
        </is>
      </c>
      <c r="GI211" s="3" t="inlineStr">
        <is>
          <t>K</t>
        </is>
      </c>
      <c r="GJ211" s="9">
        <f>VLOOKUP(GB211,$FM$3:$FN$15,2,FALSE)</f>
        <v/>
      </c>
      <c r="GK211" s="9">
        <f>VLOOKUP(GC211,$FM$3:$FN$15,2,FALSE)</f>
        <v/>
      </c>
      <c r="GL211" s="9">
        <f>VLOOKUP(GD211,$FM$3:$FN$15,2,FALSE)</f>
        <v/>
      </c>
      <c r="GM211" s="9">
        <f>VLOOKUP(GE211,$FM$3:$FN$15,2,FALSE)</f>
        <v/>
      </c>
      <c r="GN211" s="9">
        <f>VLOOKUP(GF211,$FM$3:$FN$15,2,FALSE)</f>
        <v/>
      </c>
      <c r="GO211" s="9">
        <f>VLOOKUP(GG211,$FM$3:$FN$15,2,FALSE)</f>
        <v/>
      </c>
      <c r="GP211" s="9">
        <f>VLOOKUP(GH211,$FM$3:$FN$15,2,FALSE)</f>
        <v/>
      </c>
      <c r="GQ211" s="9">
        <f>VLOOKUP(GI211,$FM$3:$FN$15,2,FALSE)</f>
        <v/>
      </c>
      <c r="GR211" s="9">
        <f>IFERROR(IF(AND(VLOOKUP(GB211,$FX$4:$FX$15,1,FALSE)=GB211,VLOOKUP(GC211,$FX$4:$FX$15,1,FALSE)=GC211,VLOOKUP(GD211,$FX$4:$FX$15,1,FALSE)=GD211,VLOOKUP(GE211,$FX$4:$FX$15,1,FALSE)=GE211,VLOOKUP(GF211,$FX$4:$FX$15,1,FALSE)=GF211,VLOOKUP(GG211,$FX$4:$FX$15,1,FALSE)=GG211,VLOOKUP(GH211,$FX$4:$FX$15,1,FALSE)=GH211,VLOOKUP(GI211,$FX$4:$FX$15,1,FALSE)=GI211),FZ211,""),"")</f>
        <v/>
      </c>
    </row>
    <row r="212" ht="14.25" customHeight="1">
      <c r="FZ212" s="79" t="n">
        <v>210</v>
      </c>
      <c r="GA212" s="3">
        <f>GB212&amp;GC212&amp;GD212&amp;GE212&amp;GF212&amp;GG212&amp;GH212&amp;GI212</f>
        <v/>
      </c>
      <c r="GB212" s="3" t="inlineStr">
        <is>
          <t>E</t>
        </is>
      </c>
      <c r="GC212" s="3" t="inlineStr">
        <is>
          <t>J</t>
        </is>
      </c>
      <c r="GD212" s="3" t="inlineStr">
        <is>
          <t>I</t>
        </is>
      </c>
      <c r="GE212" s="3" t="inlineStr">
        <is>
          <t>C</t>
        </is>
      </c>
      <c r="GF212" s="3" t="inlineStr">
        <is>
          <t>A</t>
        </is>
      </c>
      <c r="GG212" s="3" t="inlineStr">
        <is>
          <t>H</t>
        </is>
      </c>
      <c r="GH212" s="3" t="inlineStr">
        <is>
          <t>L</t>
        </is>
      </c>
      <c r="GI212" s="3" t="inlineStr">
        <is>
          <t>K</t>
        </is>
      </c>
      <c r="GJ212" s="9">
        <f>VLOOKUP(GB212,$FM$3:$FN$15,2,FALSE)</f>
        <v/>
      </c>
      <c r="GK212" s="9">
        <f>VLOOKUP(GC212,$FM$3:$FN$15,2,FALSE)</f>
        <v/>
      </c>
      <c r="GL212" s="9">
        <f>VLOOKUP(GD212,$FM$3:$FN$15,2,FALSE)</f>
        <v/>
      </c>
      <c r="GM212" s="9">
        <f>VLOOKUP(GE212,$FM$3:$FN$15,2,FALSE)</f>
        <v/>
      </c>
      <c r="GN212" s="9">
        <f>VLOOKUP(GF212,$FM$3:$FN$15,2,FALSE)</f>
        <v/>
      </c>
      <c r="GO212" s="9">
        <f>VLOOKUP(GG212,$FM$3:$FN$15,2,FALSE)</f>
        <v/>
      </c>
      <c r="GP212" s="9">
        <f>VLOOKUP(GH212,$FM$3:$FN$15,2,FALSE)</f>
        <v/>
      </c>
      <c r="GQ212" s="9">
        <f>VLOOKUP(GI212,$FM$3:$FN$15,2,FALSE)</f>
        <v/>
      </c>
      <c r="GR212" s="9">
        <f>IFERROR(IF(AND(VLOOKUP(GB212,$FX$4:$FX$15,1,FALSE)=GB212,VLOOKUP(GC212,$FX$4:$FX$15,1,FALSE)=GC212,VLOOKUP(GD212,$FX$4:$FX$15,1,FALSE)=GD212,VLOOKUP(GE212,$FX$4:$FX$15,1,FALSE)=GE212,VLOOKUP(GF212,$FX$4:$FX$15,1,FALSE)=GF212,VLOOKUP(GG212,$FX$4:$FX$15,1,FALSE)=GG212,VLOOKUP(GH212,$FX$4:$FX$15,1,FALSE)=GH212,VLOOKUP(GI212,$FX$4:$FX$15,1,FALSE)=GI212),FZ212,""),"")</f>
        <v/>
      </c>
    </row>
    <row r="213" ht="14.25" customHeight="1">
      <c r="FZ213" s="79" t="n">
        <v>211</v>
      </c>
      <c r="GA213" s="3">
        <f>GB213&amp;GC213&amp;GD213&amp;GE213&amp;GF213&amp;GG213&amp;GH213&amp;GI213</f>
        <v/>
      </c>
      <c r="GB213" s="3" t="inlineStr">
        <is>
          <t>E</t>
        </is>
      </c>
      <c r="GC213" s="3" t="inlineStr">
        <is>
          <t>J</t>
        </is>
      </c>
      <c r="GD213" s="3" t="inlineStr">
        <is>
          <t>I</t>
        </is>
      </c>
      <c r="GE213" s="3" t="inlineStr">
        <is>
          <t>C</t>
        </is>
      </c>
      <c r="GF213" s="3" t="inlineStr">
        <is>
          <t>A</t>
        </is>
      </c>
      <c r="GG213" s="3" t="inlineStr">
        <is>
          <t>G</t>
        </is>
      </c>
      <c r="GH213" s="3" t="inlineStr">
        <is>
          <t>L</t>
        </is>
      </c>
      <c r="GI213" s="3" t="inlineStr">
        <is>
          <t>K</t>
        </is>
      </c>
      <c r="GJ213" s="9">
        <f>VLOOKUP(GB213,$FM$3:$FN$15,2,FALSE)</f>
        <v/>
      </c>
      <c r="GK213" s="9">
        <f>VLOOKUP(GC213,$FM$3:$FN$15,2,FALSE)</f>
        <v/>
      </c>
      <c r="GL213" s="9">
        <f>VLOOKUP(GD213,$FM$3:$FN$15,2,FALSE)</f>
        <v/>
      </c>
      <c r="GM213" s="9">
        <f>VLOOKUP(GE213,$FM$3:$FN$15,2,FALSE)</f>
        <v/>
      </c>
      <c r="GN213" s="9">
        <f>VLOOKUP(GF213,$FM$3:$FN$15,2,FALSE)</f>
        <v/>
      </c>
      <c r="GO213" s="9">
        <f>VLOOKUP(GG213,$FM$3:$FN$15,2,FALSE)</f>
        <v/>
      </c>
      <c r="GP213" s="9">
        <f>VLOOKUP(GH213,$FM$3:$FN$15,2,FALSE)</f>
        <v/>
      </c>
      <c r="GQ213" s="9">
        <f>VLOOKUP(GI213,$FM$3:$FN$15,2,FALSE)</f>
        <v/>
      </c>
      <c r="GR213" s="9">
        <f>IFERROR(IF(AND(VLOOKUP(GB213,$FX$4:$FX$15,1,FALSE)=GB213,VLOOKUP(GC213,$FX$4:$FX$15,1,FALSE)=GC213,VLOOKUP(GD213,$FX$4:$FX$15,1,FALSE)=GD213,VLOOKUP(GE213,$FX$4:$FX$15,1,FALSE)=GE213,VLOOKUP(GF213,$FX$4:$FX$15,1,FALSE)=GF213,VLOOKUP(GG213,$FX$4:$FX$15,1,FALSE)=GG213,VLOOKUP(GH213,$FX$4:$FX$15,1,FALSE)=GH213,VLOOKUP(GI213,$FX$4:$FX$15,1,FALSE)=GI213),FZ213,""),"")</f>
        <v/>
      </c>
    </row>
    <row r="214" ht="14.25" customHeight="1">
      <c r="FZ214" s="79" t="n">
        <v>212</v>
      </c>
      <c r="GA214" s="3">
        <f>GB214&amp;GC214&amp;GD214&amp;GE214&amp;GF214&amp;GG214&amp;GH214&amp;GI214</f>
        <v/>
      </c>
      <c r="GB214" s="3" t="inlineStr">
        <is>
          <t>E</t>
        </is>
      </c>
      <c r="GC214" s="3" t="inlineStr">
        <is>
          <t>G</t>
        </is>
      </c>
      <c r="GD214" s="3" t="inlineStr">
        <is>
          <t>J</t>
        </is>
      </c>
      <c r="GE214" s="3" t="inlineStr">
        <is>
          <t>C</t>
        </is>
      </c>
      <c r="GF214" s="3" t="inlineStr">
        <is>
          <t>A</t>
        </is>
      </c>
      <c r="GG214" s="3" t="inlineStr">
        <is>
          <t>H</t>
        </is>
      </c>
      <c r="GH214" s="3" t="inlineStr">
        <is>
          <t>L</t>
        </is>
      </c>
      <c r="GI214" s="3" t="inlineStr">
        <is>
          <t>K</t>
        </is>
      </c>
      <c r="GJ214" s="9">
        <f>VLOOKUP(GB214,$FM$3:$FN$15,2,FALSE)</f>
        <v/>
      </c>
      <c r="GK214" s="9">
        <f>VLOOKUP(GC214,$FM$3:$FN$15,2,FALSE)</f>
        <v/>
      </c>
      <c r="GL214" s="9">
        <f>VLOOKUP(GD214,$FM$3:$FN$15,2,FALSE)</f>
        <v/>
      </c>
      <c r="GM214" s="9">
        <f>VLOOKUP(GE214,$FM$3:$FN$15,2,FALSE)</f>
        <v/>
      </c>
      <c r="GN214" s="9">
        <f>VLOOKUP(GF214,$FM$3:$FN$15,2,FALSE)</f>
        <v/>
      </c>
      <c r="GO214" s="9">
        <f>VLOOKUP(GG214,$FM$3:$FN$15,2,FALSE)</f>
        <v/>
      </c>
      <c r="GP214" s="9">
        <f>VLOOKUP(GH214,$FM$3:$FN$15,2,FALSE)</f>
        <v/>
      </c>
      <c r="GQ214" s="9">
        <f>VLOOKUP(GI214,$FM$3:$FN$15,2,FALSE)</f>
        <v/>
      </c>
      <c r="GR214" s="9">
        <f>IFERROR(IF(AND(VLOOKUP(GB214,$FX$4:$FX$15,1,FALSE)=GB214,VLOOKUP(GC214,$FX$4:$FX$15,1,FALSE)=GC214,VLOOKUP(GD214,$FX$4:$FX$15,1,FALSE)=GD214,VLOOKUP(GE214,$FX$4:$FX$15,1,FALSE)=GE214,VLOOKUP(GF214,$FX$4:$FX$15,1,FALSE)=GF214,VLOOKUP(GG214,$FX$4:$FX$15,1,FALSE)=GG214,VLOOKUP(GH214,$FX$4:$FX$15,1,FALSE)=GH214,VLOOKUP(GI214,$FX$4:$FX$15,1,FALSE)=GI214),FZ214,""),"")</f>
        <v/>
      </c>
    </row>
    <row r="215" ht="14.25" customHeight="1">
      <c r="FZ215" s="79" t="n">
        <v>213</v>
      </c>
      <c r="GA215" s="3">
        <f>GB215&amp;GC215&amp;GD215&amp;GE215&amp;GF215&amp;GG215&amp;GH215&amp;GI215</f>
        <v/>
      </c>
      <c r="GB215" s="3" t="inlineStr">
        <is>
          <t>E</t>
        </is>
      </c>
      <c r="GC215" s="3" t="inlineStr">
        <is>
          <t>G</t>
        </is>
      </c>
      <c r="GD215" s="3" t="inlineStr">
        <is>
          <t>I</t>
        </is>
      </c>
      <c r="GE215" s="3" t="inlineStr">
        <is>
          <t>C</t>
        </is>
      </c>
      <c r="GF215" s="3" t="inlineStr">
        <is>
          <t>A</t>
        </is>
      </c>
      <c r="GG215" s="3" t="inlineStr">
        <is>
          <t>H</t>
        </is>
      </c>
      <c r="GH215" s="3" t="inlineStr">
        <is>
          <t>L</t>
        </is>
      </c>
      <c r="GI215" s="3" t="inlineStr">
        <is>
          <t>K</t>
        </is>
      </c>
      <c r="GJ215" s="9">
        <f>VLOOKUP(GB215,$FM$3:$FN$15,2,FALSE)</f>
        <v/>
      </c>
      <c r="GK215" s="9">
        <f>VLOOKUP(GC215,$FM$3:$FN$15,2,FALSE)</f>
        <v/>
      </c>
      <c r="GL215" s="9">
        <f>VLOOKUP(GD215,$FM$3:$FN$15,2,FALSE)</f>
        <v/>
      </c>
      <c r="GM215" s="9">
        <f>VLOOKUP(GE215,$FM$3:$FN$15,2,FALSE)</f>
        <v/>
      </c>
      <c r="GN215" s="9">
        <f>VLOOKUP(GF215,$FM$3:$FN$15,2,FALSE)</f>
        <v/>
      </c>
      <c r="GO215" s="9">
        <f>VLOOKUP(GG215,$FM$3:$FN$15,2,FALSE)</f>
        <v/>
      </c>
      <c r="GP215" s="9">
        <f>VLOOKUP(GH215,$FM$3:$FN$15,2,FALSE)</f>
        <v/>
      </c>
      <c r="GQ215" s="9">
        <f>VLOOKUP(GI215,$FM$3:$FN$15,2,FALSE)</f>
        <v/>
      </c>
      <c r="GR215" s="9">
        <f>IFERROR(IF(AND(VLOOKUP(GB215,$FX$4:$FX$15,1,FALSE)=GB215,VLOOKUP(GC215,$FX$4:$FX$15,1,FALSE)=GC215,VLOOKUP(GD215,$FX$4:$FX$15,1,FALSE)=GD215,VLOOKUP(GE215,$FX$4:$FX$15,1,FALSE)=GE215,VLOOKUP(GF215,$FX$4:$FX$15,1,FALSE)=GF215,VLOOKUP(GG215,$FX$4:$FX$15,1,FALSE)=GG215,VLOOKUP(GH215,$FX$4:$FX$15,1,FALSE)=GH215,VLOOKUP(GI215,$FX$4:$FX$15,1,FALSE)=GI215),FZ215,""),"")</f>
        <v/>
      </c>
    </row>
    <row r="216" ht="14.25" customHeight="1">
      <c r="FZ216" s="79" t="n">
        <v>214</v>
      </c>
      <c r="GA216" s="3">
        <f>GB216&amp;GC216&amp;GD216&amp;GE216&amp;GF216&amp;GG216&amp;GH216&amp;GI216</f>
        <v/>
      </c>
      <c r="GB216" s="3" t="inlineStr">
        <is>
          <t>E</t>
        </is>
      </c>
      <c r="GC216" s="3" t="inlineStr">
        <is>
          <t>G</t>
        </is>
      </c>
      <c r="GD216" s="3" t="inlineStr">
        <is>
          <t>J</t>
        </is>
      </c>
      <c r="GE216" s="3" t="inlineStr">
        <is>
          <t>C</t>
        </is>
      </c>
      <c r="GF216" s="3" t="inlineStr">
        <is>
          <t>A</t>
        </is>
      </c>
      <c r="GG216" s="3" t="inlineStr">
        <is>
          <t>H</t>
        </is>
      </c>
      <c r="GH216" s="3" t="inlineStr">
        <is>
          <t>L</t>
        </is>
      </c>
      <c r="GI216" s="3" t="inlineStr">
        <is>
          <t>I</t>
        </is>
      </c>
      <c r="GJ216" s="9">
        <f>VLOOKUP(GB216,$FM$3:$FN$15,2,FALSE)</f>
        <v/>
      </c>
      <c r="GK216" s="9">
        <f>VLOOKUP(GC216,$FM$3:$FN$15,2,FALSE)</f>
        <v/>
      </c>
      <c r="GL216" s="9">
        <f>VLOOKUP(GD216,$FM$3:$FN$15,2,FALSE)</f>
        <v/>
      </c>
      <c r="GM216" s="9">
        <f>VLOOKUP(GE216,$FM$3:$FN$15,2,FALSE)</f>
        <v/>
      </c>
      <c r="GN216" s="9">
        <f>VLOOKUP(GF216,$FM$3:$FN$15,2,FALSE)</f>
        <v/>
      </c>
      <c r="GO216" s="9">
        <f>VLOOKUP(GG216,$FM$3:$FN$15,2,FALSE)</f>
        <v/>
      </c>
      <c r="GP216" s="9">
        <f>VLOOKUP(GH216,$FM$3:$FN$15,2,FALSE)</f>
        <v/>
      </c>
      <c r="GQ216" s="9">
        <f>VLOOKUP(GI216,$FM$3:$FN$15,2,FALSE)</f>
        <v/>
      </c>
      <c r="GR216" s="9">
        <f>IFERROR(IF(AND(VLOOKUP(GB216,$FX$4:$FX$15,1,FALSE)=GB216,VLOOKUP(GC216,$FX$4:$FX$15,1,FALSE)=GC216,VLOOKUP(GD216,$FX$4:$FX$15,1,FALSE)=GD216,VLOOKUP(GE216,$FX$4:$FX$15,1,FALSE)=GE216,VLOOKUP(GF216,$FX$4:$FX$15,1,FALSE)=GF216,VLOOKUP(GG216,$FX$4:$FX$15,1,FALSE)=GG216,VLOOKUP(GH216,$FX$4:$FX$15,1,FALSE)=GH216,VLOOKUP(GI216,$FX$4:$FX$15,1,FALSE)=GI216),FZ216,""),"")</f>
        <v/>
      </c>
    </row>
    <row r="217" ht="14.25" customHeight="1">
      <c r="FZ217" s="79" t="n">
        <v>215</v>
      </c>
      <c r="GA217" s="3">
        <f>GB217&amp;GC217&amp;GD217&amp;GE217&amp;GF217&amp;GG217&amp;GH217&amp;GI217</f>
        <v/>
      </c>
      <c r="GB217" s="3" t="inlineStr">
        <is>
          <t>E</t>
        </is>
      </c>
      <c r="GC217" s="3" t="inlineStr">
        <is>
          <t>G</t>
        </is>
      </c>
      <c r="GD217" s="3" t="inlineStr">
        <is>
          <t>J</t>
        </is>
      </c>
      <c r="GE217" s="3" t="inlineStr">
        <is>
          <t>C</t>
        </is>
      </c>
      <c r="GF217" s="3" t="inlineStr">
        <is>
          <t>A</t>
        </is>
      </c>
      <c r="GG217" s="3" t="inlineStr">
        <is>
          <t>H</t>
        </is>
      </c>
      <c r="GH217" s="3" t="inlineStr">
        <is>
          <t>I</t>
        </is>
      </c>
      <c r="GI217" s="3" t="inlineStr">
        <is>
          <t>K</t>
        </is>
      </c>
      <c r="GJ217" s="9">
        <f>VLOOKUP(GB217,$FM$3:$FN$15,2,FALSE)</f>
        <v/>
      </c>
      <c r="GK217" s="9">
        <f>VLOOKUP(GC217,$FM$3:$FN$15,2,FALSE)</f>
        <v/>
      </c>
      <c r="GL217" s="9">
        <f>VLOOKUP(GD217,$FM$3:$FN$15,2,FALSE)</f>
        <v/>
      </c>
      <c r="GM217" s="9">
        <f>VLOOKUP(GE217,$FM$3:$FN$15,2,FALSE)</f>
        <v/>
      </c>
      <c r="GN217" s="9">
        <f>VLOOKUP(GF217,$FM$3:$FN$15,2,FALSE)</f>
        <v/>
      </c>
      <c r="GO217" s="9">
        <f>VLOOKUP(GG217,$FM$3:$FN$15,2,FALSE)</f>
        <v/>
      </c>
      <c r="GP217" s="9">
        <f>VLOOKUP(GH217,$FM$3:$FN$15,2,FALSE)</f>
        <v/>
      </c>
      <c r="GQ217" s="9">
        <f>VLOOKUP(GI217,$FM$3:$FN$15,2,FALSE)</f>
        <v/>
      </c>
      <c r="GR217" s="9">
        <f>IFERROR(IF(AND(VLOOKUP(GB217,$FX$4:$FX$15,1,FALSE)=GB217,VLOOKUP(GC217,$FX$4:$FX$15,1,FALSE)=GC217,VLOOKUP(GD217,$FX$4:$FX$15,1,FALSE)=GD217,VLOOKUP(GE217,$FX$4:$FX$15,1,FALSE)=GE217,VLOOKUP(GF217,$FX$4:$FX$15,1,FALSE)=GF217,VLOOKUP(GG217,$FX$4:$FX$15,1,FALSE)=GG217,VLOOKUP(GH217,$FX$4:$FX$15,1,FALSE)=GH217,VLOOKUP(GI217,$FX$4:$FX$15,1,FALSE)=GI217),FZ217,""),"")</f>
        <v/>
      </c>
    </row>
    <row r="218" ht="14.25" customHeight="1">
      <c r="FZ218" s="79" t="n">
        <v>216</v>
      </c>
      <c r="GA218" s="3">
        <f>GB218&amp;GC218&amp;GD218&amp;GE218&amp;GF218&amp;GG218&amp;GH218&amp;GI218</f>
        <v/>
      </c>
      <c r="GB218" s="3" t="inlineStr">
        <is>
          <t>E</t>
        </is>
      </c>
      <c r="GC218" s="3" t="inlineStr">
        <is>
          <t>J</t>
        </is>
      </c>
      <c r="GD218" s="3" t="inlineStr">
        <is>
          <t>I</t>
        </is>
      </c>
      <c r="GE218" s="3" t="inlineStr">
        <is>
          <t>C</t>
        </is>
      </c>
      <c r="GF218" s="3" t="inlineStr">
        <is>
          <t>A</t>
        </is>
      </c>
      <c r="GG218" s="3" t="inlineStr">
        <is>
          <t>F</t>
        </is>
      </c>
      <c r="GH218" s="3" t="inlineStr">
        <is>
          <t>L</t>
        </is>
      </c>
      <c r="GI218" s="3" t="inlineStr">
        <is>
          <t>K</t>
        </is>
      </c>
      <c r="GJ218" s="9">
        <f>VLOOKUP(GB218,$FM$3:$FN$15,2,FALSE)</f>
        <v/>
      </c>
      <c r="GK218" s="9">
        <f>VLOOKUP(GC218,$FM$3:$FN$15,2,FALSE)</f>
        <v/>
      </c>
      <c r="GL218" s="9">
        <f>VLOOKUP(GD218,$FM$3:$FN$15,2,FALSE)</f>
        <v/>
      </c>
      <c r="GM218" s="9">
        <f>VLOOKUP(GE218,$FM$3:$FN$15,2,FALSE)</f>
        <v/>
      </c>
      <c r="GN218" s="9">
        <f>VLOOKUP(GF218,$FM$3:$FN$15,2,FALSE)</f>
        <v/>
      </c>
      <c r="GO218" s="9">
        <f>VLOOKUP(GG218,$FM$3:$FN$15,2,FALSE)</f>
        <v/>
      </c>
      <c r="GP218" s="9">
        <f>VLOOKUP(GH218,$FM$3:$FN$15,2,FALSE)</f>
        <v/>
      </c>
      <c r="GQ218" s="9">
        <f>VLOOKUP(GI218,$FM$3:$FN$15,2,FALSE)</f>
        <v/>
      </c>
      <c r="GR218" s="9">
        <f>IFERROR(IF(AND(VLOOKUP(GB218,$FX$4:$FX$15,1,FALSE)=GB218,VLOOKUP(GC218,$FX$4:$FX$15,1,FALSE)=GC218,VLOOKUP(GD218,$FX$4:$FX$15,1,FALSE)=GD218,VLOOKUP(GE218,$FX$4:$FX$15,1,FALSE)=GE218,VLOOKUP(GF218,$FX$4:$FX$15,1,FALSE)=GF218,VLOOKUP(GG218,$FX$4:$FX$15,1,FALSE)=GG218,VLOOKUP(GH218,$FX$4:$FX$15,1,FALSE)=GH218,VLOOKUP(GI218,$FX$4:$FX$15,1,FALSE)=GI218),FZ218,""),"")</f>
        <v/>
      </c>
    </row>
    <row r="219" ht="14.25" customHeight="1">
      <c r="FZ219" s="79" t="n">
        <v>217</v>
      </c>
      <c r="GA219" s="3">
        <f>GB219&amp;GC219&amp;GD219&amp;GE219&amp;GF219&amp;GG219&amp;GH219&amp;GI219</f>
        <v/>
      </c>
      <c r="GB219" s="3" t="inlineStr">
        <is>
          <t>H</t>
        </is>
      </c>
      <c r="GC219" s="3" t="inlineStr">
        <is>
          <t>J</t>
        </is>
      </c>
      <c r="GD219" s="3" t="inlineStr">
        <is>
          <t>E</t>
        </is>
      </c>
      <c r="GE219" s="3" t="inlineStr">
        <is>
          <t>C</t>
        </is>
      </c>
      <c r="GF219" s="3" t="inlineStr">
        <is>
          <t>A</t>
        </is>
      </c>
      <c r="GG219" s="3" t="inlineStr">
        <is>
          <t>F</t>
        </is>
      </c>
      <c r="GH219" s="3" t="inlineStr">
        <is>
          <t>L</t>
        </is>
      </c>
      <c r="GI219" s="3" t="inlineStr">
        <is>
          <t>K</t>
        </is>
      </c>
      <c r="GJ219" s="9">
        <f>VLOOKUP(GB219,$FM$3:$FN$15,2,FALSE)</f>
        <v/>
      </c>
      <c r="GK219" s="9">
        <f>VLOOKUP(GC219,$FM$3:$FN$15,2,FALSE)</f>
        <v/>
      </c>
      <c r="GL219" s="9">
        <f>VLOOKUP(GD219,$FM$3:$FN$15,2,FALSE)</f>
        <v/>
      </c>
      <c r="GM219" s="9">
        <f>VLOOKUP(GE219,$FM$3:$FN$15,2,FALSE)</f>
        <v/>
      </c>
      <c r="GN219" s="9">
        <f>VLOOKUP(GF219,$FM$3:$FN$15,2,FALSE)</f>
        <v/>
      </c>
      <c r="GO219" s="9">
        <f>VLOOKUP(GG219,$FM$3:$FN$15,2,FALSE)</f>
        <v/>
      </c>
      <c r="GP219" s="9">
        <f>VLOOKUP(GH219,$FM$3:$FN$15,2,FALSE)</f>
        <v/>
      </c>
      <c r="GQ219" s="9">
        <f>VLOOKUP(GI219,$FM$3:$FN$15,2,FALSE)</f>
        <v/>
      </c>
      <c r="GR219" s="9">
        <f>IFERROR(IF(AND(VLOOKUP(GB219,$FX$4:$FX$15,1,FALSE)=GB219,VLOOKUP(GC219,$FX$4:$FX$15,1,FALSE)=GC219,VLOOKUP(GD219,$FX$4:$FX$15,1,FALSE)=GD219,VLOOKUP(GE219,$FX$4:$FX$15,1,FALSE)=GE219,VLOOKUP(GF219,$FX$4:$FX$15,1,FALSE)=GF219,VLOOKUP(GG219,$FX$4:$FX$15,1,FALSE)=GG219,VLOOKUP(GH219,$FX$4:$FX$15,1,FALSE)=GH219,VLOOKUP(GI219,$FX$4:$FX$15,1,FALSE)=GI219),FZ219,""),"")</f>
        <v/>
      </c>
    </row>
    <row r="220" ht="14.25" customHeight="1">
      <c r="FZ220" s="79" t="n">
        <v>218</v>
      </c>
      <c r="GA220" s="3">
        <f>GB220&amp;GC220&amp;GD220&amp;GE220&amp;GF220&amp;GG220&amp;GH220&amp;GI220</f>
        <v/>
      </c>
      <c r="GB220" s="3" t="inlineStr">
        <is>
          <t>H</t>
        </is>
      </c>
      <c r="GC220" s="3" t="inlineStr">
        <is>
          <t>E</t>
        </is>
      </c>
      <c r="GD220" s="3" t="inlineStr">
        <is>
          <t>I</t>
        </is>
      </c>
      <c r="GE220" s="3" t="inlineStr">
        <is>
          <t>C</t>
        </is>
      </c>
      <c r="GF220" s="3" t="inlineStr">
        <is>
          <t>A</t>
        </is>
      </c>
      <c r="GG220" s="3" t="inlineStr">
        <is>
          <t>F</t>
        </is>
      </c>
      <c r="GH220" s="3" t="inlineStr">
        <is>
          <t>L</t>
        </is>
      </c>
      <c r="GI220" s="3" t="inlineStr">
        <is>
          <t>K</t>
        </is>
      </c>
      <c r="GJ220" s="9">
        <f>VLOOKUP(GB220,$FM$3:$FN$15,2,FALSE)</f>
        <v/>
      </c>
      <c r="GK220" s="9">
        <f>VLOOKUP(GC220,$FM$3:$FN$15,2,FALSE)</f>
        <v/>
      </c>
      <c r="GL220" s="9">
        <f>VLOOKUP(GD220,$FM$3:$FN$15,2,FALSE)</f>
        <v/>
      </c>
      <c r="GM220" s="9">
        <f>VLOOKUP(GE220,$FM$3:$FN$15,2,FALSE)</f>
        <v/>
      </c>
      <c r="GN220" s="9">
        <f>VLOOKUP(GF220,$FM$3:$FN$15,2,FALSE)</f>
        <v/>
      </c>
      <c r="GO220" s="9">
        <f>VLOOKUP(GG220,$FM$3:$FN$15,2,FALSE)</f>
        <v/>
      </c>
      <c r="GP220" s="9">
        <f>VLOOKUP(GH220,$FM$3:$FN$15,2,FALSE)</f>
        <v/>
      </c>
      <c r="GQ220" s="9">
        <f>VLOOKUP(GI220,$FM$3:$FN$15,2,FALSE)</f>
        <v/>
      </c>
      <c r="GR220" s="9">
        <f>IFERROR(IF(AND(VLOOKUP(GB220,$FX$4:$FX$15,1,FALSE)=GB220,VLOOKUP(GC220,$FX$4:$FX$15,1,FALSE)=GC220,VLOOKUP(GD220,$FX$4:$FX$15,1,FALSE)=GD220,VLOOKUP(GE220,$FX$4:$FX$15,1,FALSE)=GE220,VLOOKUP(GF220,$FX$4:$FX$15,1,FALSE)=GF220,VLOOKUP(GG220,$FX$4:$FX$15,1,FALSE)=GG220,VLOOKUP(GH220,$FX$4:$FX$15,1,FALSE)=GH220,VLOOKUP(GI220,$FX$4:$FX$15,1,FALSE)=GI220),FZ220,""),"")</f>
        <v/>
      </c>
    </row>
    <row r="221" ht="14.25" customHeight="1">
      <c r="FZ221" s="79" t="n">
        <v>219</v>
      </c>
      <c r="GA221" s="3">
        <f>GB221&amp;GC221&amp;GD221&amp;GE221&amp;GF221&amp;GG221&amp;GH221&amp;GI221</f>
        <v/>
      </c>
      <c r="GB221" s="3" t="inlineStr">
        <is>
          <t>H</t>
        </is>
      </c>
      <c r="GC221" s="3" t="inlineStr">
        <is>
          <t>J</t>
        </is>
      </c>
      <c r="GD221" s="3" t="inlineStr">
        <is>
          <t>E</t>
        </is>
      </c>
      <c r="GE221" s="3" t="inlineStr">
        <is>
          <t>C</t>
        </is>
      </c>
      <c r="GF221" s="3" t="inlineStr">
        <is>
          <t>A</t>
        </is>
      </c>
      <c r="GG221" s="3" t="inlineStr">
        <is>
          <t>F</t>
        </is>
      </c>
      <c r="GH221" s="3" t="inlineStr">
        <is>
          <t>L</t>
        </is>
      </c>
      <c r="GI221" s="3" t="inlineStr">
        <is>
          <t>I</t>
        </is>
      </c>
      <c r="GJ221" s="9">
        <f>VLOOKUP(GB221,$FM$3:$FN$15,2,FALSE)</f>
        <v/>
      </c>
      <c r="GK221" s="9">
        <f>VLOOKUP(GC221,$FM$3:$FN$15,2,FALSE)</f>
        <v/>
      </c>
      <c r="GL221" s="9">
        <f>VLOOKUP(GD221,$FM$3:$FN$15,2,FALSE)</f>
        <v/>
      </c>
      <c r="GM221" s="9">
        <f>VLOOKUP(GE221,$FM$3:$FN$15,2,FALSE)</f>
        <v/>
      </c>
      <c r="GN221" s="9">
        <f>VLOOKUP(GF221,$FM$3:$FN$15,2,FALSE)</f>
        <v/>
      </c>
      <c r="GO221" s="9">
        <f>VLOOKUP(GG221,$FM$3:$FN$15,2,FALSE)</f>
        <v/>
      </c>
      <c r="GP221" s="9">
        <f>VLOOKUP(GH221,$FM$3:$FN$15,2,FALSE)</f>
        <v/>
      </c>
      <c r="GQ221" s="9">
        <f>VLOOKUP(GI221,$FM$3:$FN$15,2,FALSE)</f>
        <v/>
      </c>
      <c r="GR221" s="9">
        <f>IFERROR(IF(AND(VLOOKUP(GB221,$FX$4:$FX$15,1,FALSE)=GB221,VLOOKUP(GC221,$FX$4:$FX$15,1,FALSE)=GC221,VLOOKUP(GD221,$FX$4:$FX$15,1,FALSE)=GD221,VLOOKUP(GE221,$FX$4:$FX$15,1,FALSE)=GE221,VLOOKUP(GF221,$FX$4:$FX$15,1,FALSE)=GF221,VLOOKUP(GG221,$FX$4:$FX$15,1,FALSE)=GG221,VLOOKUP(GH221,$FX$4:$FX$15,1,FALSE)=GH221,VLOOKUP(GI221,$FX$4:$FX$15,1,FALSE)=GI221),FZ221,""),"")</f>
        <v/>
      </c>
    </row>
    <row r="222" ht="14.25" customHeight="1">
      <c r="FZ222" s="79" t="n">
        <v>220</v>
      </c>
      <c r="GA222" s="3">
        <f>GB222&amp;GC222&amp;GD222&amp;GE222&amp;GF222&amp;GG222&amp;GH222&amp;GI222</f>
        <v/>
      </c>
      <c r="GB222" s="3" t="inlineStr">
        <is>
          <t>H</t>
        </is>
      </c>
      <c r="GC222" s="3" t="inlineStr">
        <is>
          <t>J</t>
        </is>
      </c>
      <c r="GD222" s="3" t="inlineStr">
        <is>
          <t>E</t>
        </is>
      </c>
      <c r="GE222" s="3" t="inlineStr">
        <is>
          <t>C</t>
        </is>
      </c>
      <c r="GF222" s="3" t="inlineStr">
        <is>
          <t>A</t>
        </is>
      </c>
      <c r="GG222" s="3" t="inlineStr">
        <is>
          <t>F</t>
        </is>
      </c>
      <c r="GH222" s="3" t="inlineStr">
        <is>
          <t>I</t>
        </is>
      </c>
      <c r="GI222" s="3" t="inlineStr">
        <is>
          <t>K</t>
        </is>
      </c>
      <c r="GJ222" s="9">
        <f>VLOOKUP(GB222,$FM$3:$FN$15,2,FALSE)</f>
        <v/>
      </c>
      <c r="GK222" s="9">
        <f>VLOOKUP(GC222,$FM$3:$FN$15,2,FALSE)</f>
        <v/>
      </c>
      <c r="GL222" s="9">
        <f>VLOOKUP(GD222,$FM$3:$FN$15,2,FALSE)</f>
        <v/>
      </c>
      <c r="GM222" s="9">
        <f>VLOOKUP(GE222,$FM$3:$FN$15,2,FALSE)</f>
        <v/>
      </c>
      <c r="GN222" s="9">
        <f>VLOOKUP(GF222,$FM$3:$FN$15,2,FALSE)</f>
        <v/>
      </c>
      <c r="GO222" s="9">
        <f>VLOOKUP(GG222,$FM$3:$FN$15,2,FALSE)</f>
        <v/>
      </c>
      <c r="GP222" s="9">
        <f>VLOOKUP(GH222,$FM$3:$FN$15,2,FALSE)</f>
        <v/>
      </c>
      <c r="GQ222" s="9">
        <f>VLOOKUP(GI222,$FM$3:$FN$15,2,FALSE)</f>
        <v/>
      </c>
      <c r="GR222" s="9">
        <f>IFERROR(IF(AND(VLOOKUP(GB222,$FX$4:$FX$15,1,FALSE)=GB222,VLOOKUP(GC222,$FX$4:$FX$15,1,FALSE)=GC222,VLOOKUP(GD222,$FX$4:$FX$15,1,FALSE)=GD222,VLOOKUP(GE222,$FX$4:$FX$15,1,FALSE)=GE222,VLOOKUP(GF222,$FX$4:$FX$15,1,FALSE)=GF222,VLOOKUP(GG222,$FX$4:$FX$15,1,FALSE)=GG222,VLOOKUP(GH222,$FX$4:$FX$15,1,FALSE)=GH222,VLOOKUP(GI222,$FX$4:$FX$15,1,FALSE)=GI222),FZ222,""),"")</f>
        <v/>
      </c>
    </row>
    <row r="223" ht="14.25" customHeight="1">
      <c r="FZ223" s="79" t="n">
        <v>221</v>
      </c>
      <c r="GA223" s="3">
        <f>GB223&amp;GC223&amp;GD223&amp;GE223&amp;GF223&amp;GG223&amp;GH223&amp;GI223</f>
        <v/>
      </c>
      <c r="GB223" s="3" t="inlineStr">
        <is>
          <t>E</t>
        </is>
      </c>
      <c r="GC223" s="3" t="inlineStr">
        <is>
          <t>G</t>
        </is>
      </c>
      <c r="GD223" s="3" t="inlineStr">
        <is>
          <t>J</t>
        </is>
      </c>
      <c r="GE223" s="3" t="inlineStr">
        <is>
          <t>C</t>
        </is>
      </c>
      <c r="GF223" s="3" t="inlineStr">
        <is>
          <t>A</t>
        </is>
      </c>
      <c r="GG223" s="3" t="inlineStr">
        <is>
          <t>F</t>
        </is>
      </c>
      <c r="GH223" s="3" t="inlineStr">
        <is>
          <t>L</t>
        </is>
      </c>
      <c r="GI223" s="3" t="inlineStr">
        <is>
          <t>K</t>
        </is>
      </c>
      <c r="GJ223" s="9">
        <f>VLOOKUP(GB223,$FM$3:$FN$15,2,FALSE)</f>
        <v/>
      </c>
      <c r="GK223" s="9">
        <f>VLOOKUP(GC223,$FM$3:$FN$15,2,FALSE)</f>
        <v/>
      </c>
      <c r="GL223" s="9">
        <f>VLOOKUP(GD223,$FM$3:$FN$15,2,FALSE)</f>
        <v/>
      </c>
      <c r="GM223" s="9">
        <f>VLOOKUP(GE223,$FM$3:$FN$15,2,FALSE)</f>
        <v/>
      </c>
      <c r="GN223" s="9">
        <f>VLOOKUP(GF223,$FM$3:$FN$15,2,FALSE)</f>
        <v/>
      </c>
      <c r="GO223" s="9">
        <f>VLOOKUP(GG223,$FM$3:$FN$15,2,FALSE)</f>
        <v/>
      </c>
      <c r="GP223" s="9">
        <f>VLOOKUP(GH223,$FM$3:$FN$15,2,FALSE)</f>
        <v/>
      </c>
      <c r="GQ223" s="9">
        <f>VLOOKUP(GI223,$FM$3:$FN$15,2,FALSE)</f>
        <v/>
      </c>
      <c r="GR223" s="9">
        <f>IFERROR(IF(AND(VLOOKUP(GB223,$FX$4:$FX$15,1,FALSE)=GB223,VLOOKUP(GC223,$FX$4:$FX$15,1,FALSE)=GC223,VLOOKUP(GD223,$FX$4:$FX$15,1,FALSE)=GD223,VLOOKUP(GE223,$FX$4:$FX$15,1,FALSE)=GE223,VLOOKUP(GF223,$FX$4:$FX$15,1,FALSE)=GF223,VLOOKUP(GG223,$FX$4:$FX$15,1,FALSE)=GG223,VLOOKUP(GH223,$FX$4:$FX$15,1,FALSE)=GH223,VLOOKUP(GI223,$FX$4:$FX$15,1,FALSE)=GI223),FZ223,""),"")</f>
        <v/>
      </c>
    </row>
    <row r="224" ht="14.25" customHeight="1">
      <c r="FZ224" s="79" t="n">
        <v>222</v>
      </c>
      <c r="GA224" s="3">
        <f>GB224&amp;GC224&amp;GD224&amp;GE224&amp;GF224&amp;GG224&amp;GH224&amp;GI224</f>
        <v/>
      </c>
      <c r="GB224" s="3" t="inlineStr">
        <is>
          <t>E</t>
        </is>
      </c>
      <c r="GC224" s="3" t="inlineStr">
        <is>
          <t>G</t>
        </is>
      </c>
      <c r="GD224" s="3" t="inlineStr">
        <is>
          <t>I</t>
        </is>
      </c>
      <c r="GE224" s="3" t="inlineStr">
        <is>
          <t>C</t>
        </is>
      </c>
      <c r="GF224" s="3" t="inlineStr">
        <is>
          <t>A</t>
        </is>
      </c>
      <c r="GG224" s="3" t="inlineStr">
        <is>
          <t>F</t>
        </is>
      </c>
      <c r="GH224" s="3" t="inlineStr">
        <is>
          <t>L</t>
        </is>
      </c>
      <c r="GI224" s="3" t="inlineStr">
        <is>
          <t>K</t>
        </is>
      </c>
      <c r="GJ224" s="9">
        <f>VLOOKUP(GB224,$FM$3:$FN$15,2,FALSE)</f>
        <v/>
      </c>
      <c r="GK224" s="9">
        <f>VLOOKUP(GC224,$FM$3:$FN$15,2,FALSE)</f>
        <v/>
      </c>
      <c r="GL224" s="9">
        <f>VLOOKUP(GD224,$FM$3:$FN$15,2,FALSE)</f>
        <v/>
      </c>
      <c r="GM224" s="9">
        <f>VLOOKUP(GE224,$FM$3:$FN$15,2,FALSE)</f>
        <v/>
      </c>
      <c r="GN224" s="9">
        <f>VLOOKUP(GF224,$FM$3:$FN$15,2,FALSE)</f>
        <v/>
      </c>
      <c r="GO224" s="9">
        <f>VLOOKUP(GG224,$FM$3:$FN$15,2,FALSE)</f>
        <v/>
      </c>
      <c r="GP224" s="9">
        <f>VLOOKUP(GH224,$FM$3:$FN$15,2,FALSE)</f>
        <v/>
      </c>
      <c r="GQ224" s="9">
        <f>VLOOKUP(GI224,$FM$3:$FN$15,2,FALSE)</f>
        <v/>
      </c>
      <c r="GR224" s="9">
        <f>IFERROR(IF(AND(VLOOKUP(GB224,$FX$4:$FX$15,1,FALSE)=GB224,VLOOKUP(GC224,$FX$4:$FX$15,1,FALSE)=GC224,VLOOKUP(GD224,$FX$4:$FX$15,1,FALSE)=GD224,VLOOKUP(GE224,$FX$4:$FX$15,1,FALSE)=GE224,VLOOKUP(GF224,$FX$4:$FX$15,1,FALSE)=GF224,VLOOKUP(GG224,$FX$4:$FX$15,1,FALSE)=GG224,VLOOKUP(GH224,$FX$4:$FX$15,1,FALSE)=GH224,VLOOKUP(GI224,$FX$4:$FX$15,1,FALSE)=GI224),FZ224,""),"")</f>
        <v/>
      </c>
    </row>
    <row r="225" ht="14.25" customHeight="1">
      <c r="FZ225" s="79" t="n">
        <v>223</v>
      </c>
      <c r="GA225" s="3">
        <f>GB225&amp;GC225&amp;GD225&amp;GE225&amp;GF225&amp;GG225&amp;GH225&amp;GI225</f>
        <v/>
      </c>
      <c r="GB225" s="3" t="inlineStr">
        <is>
          <t>E</t>
        </is>
      </c>
      <c r="GC225" s="3" t="inlineStr">
        <is>
          <t>G</t>
        </is>
      </c>
      <c r="GD225" s="3" t="inlineStr">
        <is>
          <t>J</t>
        </is>
      </c>
      <c r="GE225" s="3" t="inlineStr">
        <is>
          <t>C</t>
        </is>
      </c>
      <c r="GF225" s="3" t="inlineStr">
        <is>
          <t>A</t>
        </is>
      </c>
      <c r="GG225" s="3" t="inlineStr">
        <is>
          <t>F</t>
        </is>
      </c>
      <c r="GH225" s="3" t="inlineStr">
        <is>
          <t>L</t>
        </is>
      </c>
      <c r="GI225" s="3" t="inlineStr">
        <is>
          <t>I</t>
        </is>
      </c>
      <c r="GJ225" s="9">
        <f>VLOOKUP(GB225,$FM$3:$FN$15,2,FALSE)</f>
        <v/>
      </c>
      <c r="GK225" s="9">
        <f>VLOOKUP(GC225,$FM$3:$FN$15,2,FALSE)</f>
        <v/>
      </c>
      <c r="GL225" s="9">
        <f>VLOOKUP(GD225,$FM$3:$FN$15,2,FALSE)</f>
        <v/>
      </c>
      <c r="GM225" s="9">
        <f>VLOOKUP(GE225,$FM$3:$FN$15,2,FALSE)</f>
        <v/>
      </c>
      <c r="GN225" s="9">
        <f>VLOOKUP(GF225,$FM$3:$FN$15,2,FALSE)</f>
        <v/>
      </c>
      <c r="GO225" s="9">
        <f>VLOOKUP(GG225,$FM$3:$FN$15,2,FALSE)</f>
        <v/>
      </c>
      <c r="GP225" s="9">
        <f>VLOOKUP(GH225,$FM$3:$FN$15,2,FALSE)</f>
        <v/>
      </c>
      <c r="GQ225" s="9">
        <f>VLOOKUP(GI225,$FM$3:$FN$15,2,FALSE)</f>
        <v/>
      </c>
      <c r="GR225" s="9">
        <f>IFERROR(IF(AND(VLOOKUP(GB225,$FX$4:$FX$15,1,FALSE)=GB225,VLOOKUP(GC225,$FX$4:$FX$15,1,FALSE)=GC225,VLOOKUP(GD225,$FX$4:$FX$15,1,FALSE)=GD225,VLOOKUP(GE225,$FX$4:$FX$15,1,FALSE)=GE225,VLOOKUP(GF225,$FX$4:$FX$15,1,FALSE)=GF225,VLOOKUP(GG225,$FX$4:$FX$15,1,FALSE)=GG225,VLOOKUP(GH225,$FX$4:$FX$15,1,FALSE)=GH225,VLOOKUP(GI225,$FX$4:$FX$15,1,FALSE)=GI225),FZ225,""),"")</f>
        <v/>
      </c>
    </row>
    <row r="226" ht="14.25" customHeight="1">
      <c r="FZ226" s="79" t="n">
        <v>224</v>
      </c>
      <c r="GA226" s="3">
        <f>GB226&amp;GC226&amp;GD226&amp;GE226&amp;GF226&amp;GG226&amp;GH226&amp;GI226</f>
        <v/>
      </c>
      <c r="GB226" s="3" t="inlineStr">
        <is>
          <t>E</t>
        </is>
      </c>
      <c r="GC226" s="3" t="inlineStr">
        <is>
          <t>G</t>
        </is>
      </c>
      <c r="GD226" s="3" t="inlineStr">
        <is>
          <t>J</t>
        </is>
      </c>
      <c r="GE226" s="3" t="inlineStr">
        <is>
          <t>C</t>
        </is>
      </c>
      <c r="GF226" s="3" t="inlineStr">
        <is>
          <t>A</t>
        </is>
      </c>
      <c r="GG226" s="3" t="inlineStr">
        <is>
          <t>F</t>
        </is>
      </c>
      <c r="GH226" s="3" t="inlineStr">
        <is>
          <t>I</t>
        </is>
      </c>
      <c r="GI226" s="3" t="inlineStr">
        <is>
          <t>K</t>
        </is>
      </c>
      <c r="GJ226" s="9">
        <f>VLOOKUP(GB226,$FM$3:$FN$15,2,FALSE)</f>
        <v/>
      </c>
      <c r="GK226" s="9">
        <f>VLOOKUP(GC226,$FM$3:$FN$15,2,FALSE)</f>
        <v/>
      </c>
      <c r="GL226" s="9">
        <f>VLOOKUP(GD226,$FM$3:$FN$15,2,FALSE)</f>
        <v/>
      </c>
      <c r="GM226" s="9">
        <f>VLOOKUP(GE226,$FM$3:$FN$15,2,FALSE)</f>
        <v/>
      </c>
      <c r="GN226" s="9">
        <f>VLOOKUP(GF226,$FM$3:$FN$15,2,FALSE)</f>
        <v/>
      </c>
      <c r="GO226" s="9">
        <f>VLOOKUP(GG226,$FM$3:$FN$15,2,FALSE)</f>
        <v/>
      </c>
      <c r="GP226" s="9">
        <f>VLOOKUP(GH226,$FM$3:$FN$15,2,FALSE)</f>
        <v/>
      </c>
      <c r="GQ226" s="9">
        <f>VLOOKUP(GI226,$FM$3:$FN$15,2,FALSE)</f>
        <v/>
      </c>
      <c r="GR226" s="9">
        <f>IFERROR(IF(AND(VLOOKUP(GB226,$FX$4:$FX$15,1,FALSE)=GB226,VLOOKUP(GC226,$FX$4:$FX$15,1,FALSE)=GC226,VLOOKUP(GD226,$FX$4:$FX$15,1,FALSE)=GD226,VLOOKUP(GE226,$FX$4:$FX$15,1,FALSE)=GE226,VLOOKUP(GF226,$FX$4:$FX$15,1,FALSE)=GF226,VLOOKUP(GG226,$FX$4:$FX$15,1,FALSE)=GG226,VLOOKUP(GH226,$FX$4:$FX$15,1,FALSE)=GH226,VLOOKUP(GI226,$FX$4:$FX$15,1,FALSE)=GI226),FZ226,""),"")</f>
        <v/>
      </c>
    </row>
    <row r="227" ht="14.25" customHeight="1">
      <c r="FZ227" s="79" t="n">
        <v>225</v>
      </c>
      <c r="GA227" s="3">
        <f>GB227&amp;GC227&amp;GD227&amp;GE227&amp;GF227&amp;GG227&amp;GH227&amp;GI227</f>
        <v/>
      </c>
      <c r="GB227" s="3" t="inlineStr">
        <is>
          <t>H</t>
        </is>
      </c>
      <c r="GC227" s="3" t="inlineStr">
        <is>
          <t>G</t>
        </is>
      </c>
      <c r="GD227" s="3" t="inlineStr">
        <is>
          <t>E</t>
        </is>
      </c>
      <c r="GE227" s="3" t="inlineStr">
        <is>
          <t>C</t>
        </is>
      </c>
      <c r="GF227" s="3" t="inlineStr">
        <is>
          <t>A</t>
        </is>
      </c>
      <c r="GG227" s="3" t="inlineStr">
        <is>
          <t>F</t>
        </is>
      </c>
      <c r="GH227" s="3" t="inlineStr">
        <is>
          <t>L</t>
        </is>
      </c>
      <c r="GI227" s="3" t="inlineStr">
        <is>
          <t>K</t>
        </is>
      </c>
      <c r="GJ227" s="9">
        <f>VLOOKUP(GB227,$FM$3:$FN$15,2,FALSE)</f>
        <v/>
      </c>
      <c r="GK227" s="9">
        <f>VLOOKUP(GC227,$FM$3:$FN$15,2,FALSE)</f>
        <v/>
      </c>
      <c r="GL227" s="9">
        <f>VLOOKUP(GD227,$FM$3:$FN$15,2,FALSE)</f>
        <v/>
      </c>
      <c r="GM227" s="9">
        <f>VLOOKUP(GE227,$FM$3:$FN$15,2,FALSE)</f>
        <v/>
      </c>
      <c r="GN227" s="9">
        <f>VLOOKUP(GF227,$FM$3:$FN$15,2,FALSE)</f>
        <v/>
      </c>
      <c r="GO227" s="9">
        <f>VLOOKUP(GG227,$FM$3:$FN$15,2,FALSE)</f>
        <v/>
      </c>
      <c r="GP227" s="9">
        <f>VLOOKUP(GH227,$FM$3:$FN$15,2,FALSE)</f>
        <v/>
      </c>
      <c r="GQ227" s="9">
        <f>VLOOKUP(GI227,$FM$3:$FN$15,2,FALSE)</f>
        <v/>
      </c>
      <c r="GR227" s="9">
        <f>IFERROR(IF(AND(VLOOKUP(GB227,$FX$4:$FX$15,1,FALSE)=GB227,VLOOKUP(GC227,$FX$4:$FX$15,1,FALSE)=GC227,VLOOKUP(GD227,$FX$4:$FX$15,1,FALSE)=GD227,VLOOKUP(GE227,$FX$4:$FX$15,1,FALSE)=GE227,VLOOKUP(GF227,$FX$4:$FX$15,1,FALSE)=GF227,VLOOKUP(GG227,$FX$4:$FX$15,1,FALSE)=GG227,VLOOKUP(GH227,$FX$4:$FX$15,1,FALSE)=GH227,VLOOKUP(GI227,$FX$4:$FX$15,1,FALSE)=GI227),FZ227,""),"")</f>
        <v/>
      </c>
    </row>
    <row r="228" ht="14.25" customHeight="1">
      <c r="FZ228" s="79" t="n">
        <v>226</v>
      </c>
      <c r="GA228" s="3">
        <f>GB228&amp;GC228&amp;GD228&amp;GE228&amp;GF228&amp;GG228&amp;GH228&amp;GI228</f>
        <v/>
      </c>
      <c r="GB228" s="3" t="inlineStr">
        <is>
          <t>H</t>
        </is>
      </c>
      <c r="GC228" s="3" t="inlineStr">
        <is>
          <t>G</t>
        </is>
      </c>
      <c r="GD228" s="3" t="inlineStr">
        <is>
          <t>J</t>
        </is>
      </c>
      <c r="GE228" s="3" t="inlineStr">
        <is>
          <t>C</t>
        </is>
      </c>
      <c r="GF228" s="3" t="inlineStr">
        <is>
          <t>A</t>
        </is>
      </c>
      <c r="GG228" s="3" t="inlineStr">
        <is>
          <t>F</t>
        </is>
      </c>
      <c r="GH228" s="3" t="inlineStr">
        <is>
          <t>L</t>
        </is>
      </c>
      <c r="GI228" s="3" t="inlineStr">
        <is>
          <t>E</t>
        </is>
      </c>
      <c r="GJ228" s="9">
        <f>VLOOKUP(GB228,$FM$3:$FN$15,2,FALSE)</f>
        <v/>
      </c>
      <c r="GK228" s="9">
        <f>VLOOKUP(GC228,$FM$3:$FN$15,2,FALSE)</f>
        <v/>
      </c>
      <c r="GL228" s="9">
        <f>VLOOKUP(GD228,$FM$3:$FN$15,2,FALSE)</f>
        <v/>
      </c>
      <c r="GM228" s="9">
        <f>VLOOKUP(GE228,$FM$3:$FN$15,2,FALSE)</f>
        <v/>
      </c>
      <c r="GN228" s="9">
        <f>VLOOKUP(GF228,$FM$3:$FN$15,2,FALSE)</f>
        <v/>
      </c>
      <c r="GO228" s="9">
        <f>VLOOKUP(GG228,$FM$3:$FN$15,2,FALSE)</f>
        <v/>
      </c>
      <c r="GP228" s="9">
        <f>VLOOKUP(GH228,$FM$3:$FN$15,2,FALSE)</f>
        <v/>
      </c>
      <c r="GQ228" s="9">
        <f>VLOOKUP(GI228,$FM$3:$FN$15,2,FALSE)</f>
        <v/>
      </c>
      <c r="GR228" s="9">
        <f>IFERROR(IF(AND(VLOOKUP(GB228,$FX$4:$FX$15,1,FALSE)=GB228,VLOOKUP(GC228,$FX$4:$FX$15,1,FALSE)=GC228,VLOOKUP(GD228,$FX$4:$FX$15,1,FALSE)=GD228,VLOOKUP(GE228,$FX$4:$FX$15,1,FALSE)=GE228,VLOOKUP(GF228,$FX$4:$FX$15,1,FALSE)=GF228,VLOOKUP(GG228,$FX$4:$FX$15,1,FALSE)=GG228,VLOOKUP(GH228,$FX$4:$FX$15,1,FALSE)=GH228,VLOOKUP(GI228,$FX$4:$FX$15,1,FALSE)=GI228),FZ228,""),"")</f>
        <v/>
      </c>
    </row>
    <row r="229" ht="14.25" customHeight="1">
      <c r="FZ229" s="79" t="n">
        <v>227</v>
      </c>
      <c r="GA229" s="3">
        <f>GB229&amp;GC229&amp;GD229&amp;GE229&amp;GF229&amp;GG229&amp;GH229&amp;GI229</f>
        <v/>
      </c>
      <c r="GB229" s="3" t="inlineStr">
        <is>
          <t>H</t>
        </is>
      </c>
      <c r="GC229" s="3" t="inlineStr">
        <is>
          <t>G</t>
        </is>
      </c>
      <c r="GD229" s="3" t="inlineStr">
        <is>
          <t>J</t>
        </is>
      </c>
      <c r="GE229" s="3" t="inlineStr">
        <is>
          <t>C</t>
        </is>
      </c>
      <c r="GF229" s="3" t="inlineStr">
        <is>
          <t>A</t>
        </is>
      </c>
      <c r="GG229" s="3" t="inlineStr">
        <is>
          <t>F</t>
        </is>
      </c>
      <c r="GH229" s="3" t="inlineStr">
        <is>
          <t>E</t>
        </is>
      </c>
      <c r="GI229" s="3" t="inlineStr">
        <is>
          <t>K</t>
        </is>
      </c>
      <c r="GJ229" s="9">
        <f>VLOOKUP(GB229,$FM$3:$FN$15,2,FALSE)</f>
        <v/>
      </c>
      <c r="GK229" s="9">
        <f>VLOOKUP(GC229,$FM$3:$FN$15,2,FALSE)</f>
        <v/>
      </c>
      <c r="GL229" s="9">
        <f>VLOOKUP(GD229,$FM$3:$FN$15,2,FALSE)</f>
        <v/>
      </c>
      <c r="GM229" s="9">
        <f>VLOOKUP(GE229,$FM$3:$FN$15,2,FALSE)</f>
        <v/>
      </c>
      <c r="GN229" s="9">
        <f>VLOOKUP(GF229,$FM$3:$FN$15,2,FALSE)</f>
        <v/>
      </c>
      <c r="GO229" s="9">
        <f>VLOOKUP(GG229,$FM$3:$FN$15,2,FALSE)</f>
        <v/>
      </c>
      <c r="GP229" s="9">
        <f>VLOOKUP(GH229,$FM$3:$FN$15,2,FALSE)</f>
        <v/>
      </c>
      <c r="GQ229" s="9">
        <f>VLOOKUP(GI229,$FM$3:$FN$15,2,FALSE)</f>
        <v/>
      </c>
      <c r="GR229" s="9">
        <f>IFERROR(IF(AND(VLOOKUP(GB229,$FX$4:$FX$15,1,FALSE)=GB229,VLOOKUP(GC229,$FX$4:$FX$15,1,FALSE)=GC229,VLOOKUP(GD229,$FX$4:$FX$15,1,FALSE)=GD229,VLOOKUP(GE229,$FX$4:$FX$15,1,FALSE)=GE229,VLOOKUP(GF229,$FX$4:$FX$15,1,FALSE)=GF229,VLOOKUP(GG229,$FX$4:$FX$15,1,FALSE)=GG229,VLOOKUP(GH229,$FX$4:$FX$15,1,FALSE)=GH229,VLOOKUP(GI229,$FX$4:$FX$15,1,FALSE)=GI229),FZ229,""),"")</f>
        <v/>
      </c>
    </row>
    <row r="230" ht="14.25" customHeight="1">
      <c r="FZ230" s="79" t="n">
        <v>228</v>
      </c>
      <c r="GA230" s="3">
        <f>GB230&amp;GC230&amp;GD230&amp;GE230&amp;GF230&amp;GG230&amp;GH230&amp;GI230</f>
        <v/>
      </c>
      <c r="GB230" s="3" t="inlineStr">
        <is>
          <t>H</t>
        </is>
      </c>
      <c r="GC230" s="3" t="inlineStr">
        <is>
          <t>G</t>
        </is>
      </c>
      <c r="GD230" s="3" t="inlineStr">
        <is>
          <t>E</t>
        </is>
      </c>
      <c r="GE230" s="3" t="inlineStr">
        <is>
          <t>C</t>
        </is>
      </c>
      <c r="GF230" s="3" t="inlineStr">
        <is>
          <t>A</t>
        </is>
      </c>
      <c r="GG230" s="3" t="inlineStr">
        <is>
          <t>F</t>
        </is>
      </c>
      <c r="GH230" s="3" t="inlineStr">
        <is>
          <t>L</t>
        </is>
      </c>
      <c r="GI230" s="3" t="inlineStr">
        <is>
          <t>I</t>
        </is>
      </c>
      <c r="GJ230" s="9">
        <f>VLOOKUP(GB230,$FM$3:$FN$15,2,FALSE)</f>
        <v/>
      </c>
      <c r="GK230" s="9">
        <f>VLOOKUP(GC230,$FM$3:$FN$15,2,FALSE)</f>
        <v/>
      </c>
      <c r="GL230" s="9">
        <f>VLOOKUP(GD230,$FM$3:$FN$15,2,FALSE)</f>
        <v/>
      </c>
      <c r="GM230" s="9">
        <f>VLOOKUP(GE230,$FM$3:$FN$15,2,FALSE)</f>
        <v/>
      </c>
      <c r="GN230" s="9">
        <f>VLOOKUP(GF230,$FM$3:$FN$15,2,FALSE)</f>
        <v/>
      </c>
      <c r="GO230" s="9">
        <f>VLOOKUP(GG230,$FM$3:$FN$15,2,FALSE)</f>
        <v/>
      </c>
      <c r="GP230" s="9">
        <f>VLOOKUP(GH230,$FM$3:$FN$15,2,FALSE)</f>
        <v/>
      </c>
      <c r="GQ230" s="9">
        <f>VLOOKUP(GI230,$FM$3:$FN$15,2,FALSE)</f>
        <v/>
      </c>
      <c r="GR230" s="9">
        <f>IFERROR(IF(AND(VLOOKUP(GB230,$FX$4:$FX$15,1,FALSE)=GB230,VLOOKUP(GC230,$FX$4:$FX$15,1,FALSE)=GC230,VLOOKUP(GD230,$FX$4:$FX$15,1,FALSE)=GD230,VLOOKUP(GE230,$FX$4:$FX$15,1,FALSE)=GE230,VLOOKUP(GF230,$FX$4:$FX$15,1,FALSE)=GF230,VLOOKUP(GG230,$FX$4:$FX$15,1,FALSE)=GG230,VLOOKUP(GH230,$FX$4:$FX$15,1,FALSE)=GH230,VLOOKUP(GI230,$FX$4:$FX$15,1,FALSE)=GI230),FZ230,""),"")</f>
        <v/>
      </c>
    </row>
    <row r="231" ht="14.25" customHeight="1">
      <c r="FZ231" s="79" t="n">
        <v>229</v>
      </c>
      <c r="GA231" s="3">
        <f>GB231&amp;GC231&amp;GD231&amp;GE231&amp;GF231&amp;GG231&amp;GH231&amp;GI231</f>
        <v/>
      </c>
      <c r="GB231" s="3" t="inlineStr">
        <is>
          <t>H</t>
        </is>
      </c>
      <c r="GC231" s="3" t="inlineStr">
        <is>
          <t>G</t>
        </is>
      </c>
      <c r="GD231" s="3" t="inlineStr">
        <is>
          <t>E</t>
        </is>
      </c>
      <c r="GE231" s="3" t="inlineStr">
        <is>
          <t>C</t>
        </is>
      </c>
      <c r="GF231" s="3" t="inlineStr">
        <is>
          <t>A</t>
        </is>
      </c>
      <c r="GG231" s="3" t="inlineStr">
        <is>
          <t>F</t>
        </is>
      </c>
      <c r="GH231" s="3" t="inlineStr">
        <is>
          <t>I</t>
        </is>
      </c>
      <c r="GI231" s="3" t="inlineStr">
        <is>
          <t>K</t>
        </is>
      </c>
      <c r="GJ231" s="9">
        <f>VLOOKUP(GB231,$FM$3:$FN$15,2,FALSE)</f>
        <v/>
      </c>
      <c r="GK231" s="9">
        <f>VLOOKUP(GC231,$FM$3:$FN$15,2,FALSE)</f>
        <v/>
      </c>
      <c r="GL231" s="9">
        <f>VLOOKUP(GD231,$FM$3:$FN$15,2,FALSE)</f>
        <v/>
      </c>
      <c r="GM231" s="9">
        <f>VLOOKUP(GE231,$FM$3:$FN$15,2,FALSE)</f>
        <v/>
      </c>
      <c r="GN231" s="9">
        <f>VLOOKUP(GF231,$FM$3:$FN$15,2,FALSE)</f>
        <v/>
      </c>
      <c r="GO231" s="9">
        <f>VLOOKUP(GG231,$FM$3:$FN$15,2,FALSE)</f>
        <v/>
      </c>
      <c r="GP231" s="9">
        <f>VLOOKUP(GH231,$FM$3:$FN$15,2,FALSE)</f>
        <v/>
      </c>
      <c r="GQ231" s="9">
        <f>VLOOKUP(GI231,$FM$3:$FN$15,2,FALSE)</f>
        <v/>
      </c>
      <c r="GR231" s="9">
        <f>IFERROR(IF(AND(VLOOKUP(GB231,$FX$4:$FX$15,1,FALSE)=GB231,VLOOKUP(GC231,$FX$4:$FX$15,1,FALSE)=GC231,VLOOKUP(GD231,$FX$4:$FX$15,1,FALSE)=GD231,VLOOKUP(GE231,$FX$4:$FX$15,1,FALSE)=GE231,VLOOKUP(GF231,$FX$4:$FX$15,1,FALSE)=GF231,VLOOKUP(GG231,$FX$4:$FX$15,1,FALSE)=GG231,VLOOKUP(GH231,$FX$4:$FX$15,1,FALSE)=GH231,VLOOKUP(GI231,$FX$4:$FX$15,1,FALSE)=GI231),FZ231,""),"")</f>
        <v/>
      </c>
    </row>
    <row r="232" ht="14.25" customHeight="1">
      <c r="FZ232" s="79" t="n">
        <v>230</v>
      </c>
      <c r="GA232" s="3">
        <f>GB232&amp;GC232&amp;GD232&amp;GE232&amp;GF232&amp;GG232&amp;GH232&amp;GI232</f>
        <v/>
      </c>
      <c r="GB232" s="3" t="inlineStr">
        <is>
          <t>H</t>
        </is>
      </c>
      <c r="GC232" s="3" t="inlineStr">
        <is>
          <t>G</t>
        </is>
      </c>
      <c r="GD232" s="3" t="inlineStr">
        <is>
          <t>J</t>
        </is>
      </c>
      <c r="GE232" s="3" t="inlineStr">
        <is>
          <t>C</t>
        </is>
      </c>
      <c r="GF232" s="3" t="inlineStr">
        <is>
          <t>A</t>
        </is>
      </c>
      <c r="GG232" s="3" t="inlineStr">
        <is>
          <t>F</t>
        </is>
      </c>
      <c r="GH232" s="3" t="inlineStr">
        <is>
          <t>E</t>
        </is>
      </c>
      <c r="GI232" s="3" t="inlineStr">
        <is>
          <t>I</t>
        </is>
      </c>
      <c r="GJ232" s="9">
        <f>VLOOKUP(GB232,$FM$3:$FN$15,2,FALSE)</f>
        <v/>
      </c>
      <c r="GK232" s="9">
        <f>VLOOKUP(GC232,$FM$3:$FN$15,2,FALSE)</f>
        <v/>
      </c>
      <c r="GL232" s="9">
        <f>VLOOKUP(GD232,$FM$3:$FN$15,2,FALSE)</f>
        <v/>
      </c>
      <c r="GM232" s="9">
        <f>VLOOKUP(GE232,$FM$3:$FN$15,2,FALSE)</f>
        <v/>
      </c>
      <c r="GN232" s="9">
        <f>VLOOKUP(GF232,$FM$3:$FN$15,2,FALSE)</f>
        <v/>
      </c>
      <c r="GO232" s="9">
        <f>VLOOKUP(GG232,$FM$3:$FN$15,2,FALSE)</f>
        <v/>
      </c>
      <c r="GP232" s="9">
        <f>VLOOKUP(GH232,$FM$3:$FN$15,2,FALSE)</f>
        <v/>
      </c>
      <c r="GQ232" s="9">
        <f>VLOOKUP(GI232,$FM$3:$FN$15,2,FALSE)</f>
        <v/>
      </c>
      <c r="GR232" s="9">
        <f>IFERROR(IF(AND(VLOOKUP(GB232,$FX$4:$FX$15,1,FALSE)=GB232,VLOOKUP(GC232,$FX$4:$FX$15,1,FALSE)=GC232,VLOOKUP(GD232,$FX$4:$FX$15,1,FALSE)=GD232,VLOOKUP(GE232,$FX$4:$FX$15,1,FALSE)=GE232,VLOOKUP(GF232,$FX$4:$FX$15,1,FALSE)=GF232,VLOOKUP(GG232,$FX$4:$FX$15,1,FALSE)=GG232,VLOOKUP(GH232,$FX$4:$FX$15,1,FALSE)=GH232,VLOOKUP(GI232,$FX$4:$FX$15,1,FALSE)=GI232),FZ232,""),"")</f>
        <v/>
      </c>
    </row>
    <row r="233" ht="14.25" customHeight="1">
      <c r="FZ233" s="79" t="n">
        <v>231</v>
      </c>
      <c r="GA233" s="3">
        <f>GB233&amp;GC233&amp;GD233&amp;GE233&amp;GF233&amp;GG233&amp;GH233&amp;GI233</f>
        <v/>
      </c>
      <c r="GB233" s="3" t="inlineStr">
        <is>
          <t>H</t>
        </is>
      </c>
      <c r="GC233" s="3" t="inlineStr">
        <is>
          <t>J</t>
        </is>
      </c>
      <c r="GD233" s="3" t="inlineStr">
        <is>
          <t>I</t>
        </is>
      </c>
      <c r="GE233" s="3" t="inlineStr">
        <is>
          <t>C</t>
        </is>
      </c>
      <c r="GF233" s="3" t="inlineStr">
        <is>
          <t>A</t>
        </is>
      </c>
      <c r="GG233" s="3" t="inlineStr">
        <is>
          <t>D</t>
        </is>
      </c>
      <c r="GH233" s="3" t="inlineStr">
        <is>
          <t>L</t>
        </is>
      </c>
      <c r="GI233" s="3" t="inlineStr">
        <is>
          <t>K</t>
        </is>
      </c>
      <c r="GJ233" s="9">
        <f>VLOOKUP(GB233,$FM$3:$FN$15,2,FALSE)</f>
        <v/>
      </c>
      <c r="GK233" s="9">
        <f>VLOOKUP(GC233,$FM$3:$FN$15,2,FALSE)</f>
        <v/>
      </c>
      <c r="GL233" s="9">
        <f>VLOOKUP(GD233,$FM$3:$FN$15,2,FALSE)</f>
        <v/>
      </c>
      <c r="GM233" s="9">
        <f>VLOOKUP(GE233,$FM$3:$FN$15,2,FALSE)</f>
        <v/>
      </c>
      <c r="GN233" s="9">
        <f>VLOOKUP(GF233,$FM$3:$FN$15,2,FALSE)</f>
        <v/>
      </c>
      <c r="GO233" s="9">
        <f>VLOOKUP(GG233,$FM$3:$FN$15,2,FALSE)</f>
        <v/>
      </c>
      <c r="GP233" s="9">
        <f>VLOOKUP(GH233,$FM$3:$FN$15,2,FALSE)</f>
        <v/>
      </c>
      <c r="GQ233" s="9">
        <f>VLOOKUP(GI233,$FM$3:$FN$15,2,FALSE)</f>
        <v/>
      </c>
      <c r="GR233" s="9">
        <f>IFERROR(IF(AND(VLOOKUP(GB233,$FX$4:$FX$15,1,FALSE)=GB233,VLOOKUP(GC233,$FX$4:$FX$15,1,FALSE)=GC233,VLOOKUP(GD233,$FX$4:$FX$15,1,FALSE)=GD233,VLOOKUP(GE233,$FX$4:$FX$15,1,FALSE)=GE233,VLOOKUP(GF233,$FX$4:$FX$15,1,FALSE)=GF233,VLOOKUP(GG233,$FX$4:$FX$15,1,FALSE)=GG233,VLOOKUP(GH233,$FX$4:$FX$15,1,FALSE)=GH233,VLOOKUP(GI233,$FX$4:$FX$15,1,FALSE)=GI233),FZ233,""),"")</f>
        <v/>
      </c>
    </row>
    <row r="234" ht="14.25" customHeight="1">
      <c r="FZ234" s="79" t="n">
        <v>232</v>
      </c>
      <c r="GA234" s="3">
        <f>GB234&amp;GC234&amp;GD234&amp;GE234&amp;GF234&amp;GG234&amp;GH234&amp;GI234</f>
        <v/>
      </c>
      <c r="GB234" s="3" t="inlineStr">
        <is>
          <t>I</t>
        </is>
      </c>
      <c r="GC234" s="3" t="inlineStr">
        <is>
          <t>G</t>
        </is>
      </c>
      <c r="GD234" s="3" t="inlineStr">
        <is>
          <t>J</t>
        </is>
      </c>
      <c r="GE234" s="3" t="inlineStr">
        <is>
          <t>C</t>
        </is>
      </c>
      <c r="GF234" s="3" t="inlineStr">
        <is>
          <t>A</t>
        </is>
      </c>
      <c r="GG234" s="3" t="inlineStr">
        <is>
          <t>D</t>
        </is>
      </c>
      <c r="GH234" s="3" t="inlineStr">
        <is>
          <t>L</t>
        </is>
      </c>
      <c r="GI234" s="3" t="inlineStr">
        <is>
          <t>K</t>
        </is>
      </c>
      <c r="GJ234" s="9">
        <f>VLOOKUP(GB234,$FM$3:$FN$15,2,FALSE)</f>
        <v/>
      </c>
      <c r="GK234" s="9">
        <f>VLOOKUP(GC234,$FM$3:$FN$15,2,FALSE)</f>
        <v/>
      </c>
      <c r="GL234" s="9">
        <f>VLOOKUP(GD234,$FM$3:$FN$15,2,FALSE)</f>
        <v/>
      </c>
      <c r="GM234" s="9">
        <f>VLOOKUP(GE234,$FM$3:$FN$15,2,FALSE)</f>
        <v/>
      </c>
      <c r="GN234" s="9">
        <f>VLOOKUP(GF234,$FM$3:$FN$15,2,FALSE)</f>
        <v/>
      </c>
      <c r="GO234" s="9">
        <f>VLOOKUP(GG234,$FM$3:$FN$15,2,FALSE)</f>
        <v/>
      </c>
      <c r="GP234" s="9">
        <f>VLOOKUP(GH234,$FM$3:$FN$15,2,FALSE)</f>
        <v/>
      </c>
      <c r="GQ234" s="9">
        <f>VLOOKUP(GI234,$FM$3:$FN$15,2,FALSE)</f>
        <v/>
      </c>
      <c r="GR234" s="9">
        <f>IFERROR(IF(AND(VLOOKUP(GB234,$FX$4:$FX$15,1,FALSE)=GB234,VLOOKUP(GC234,$FX$4:$FX$15,1,FALSE)=GC234,VLOOKUP(GD234,$FX$4:$FX$15,1,FALSE)=GD234,VLOOKUP(GE234,$FX$4:$FX$15,1,FALSE)=GE234,VLOOKUP(GF234,$FX$4:$FX$15,1,FALSE)=GF234,VLOOKUP(GG234,$FX$4:$FX$15,1,FALSE)=GG234,VLOOKUP(GH234,$FX$4:$FX$15,1,FALSE)=GH234,VLOOKUP(GI234,$FX$4:$FX$15,1,FALSE)=GI234),FZ234,""),"")</f>
        <v/>
      </c>
    </row>
    <row r="235" ht="14.25" customHeight="1">
      <c r="FZ235" s="79" t="n">
        <v>233</v>
      </c>
      <c r="GA235" s="3">
        <f>GB235&amp;GC235&amp;GD235&amp;GE235&amp;GF235&amp;GG235&amp;GH235&amp;GI235</f>
        <v/>
      </c>
      <c r="GB235" s="3" t="inlineStr">
        <is>
          <t>H</t>
        </is>
      </c>
      <c r="GC235" s="3" t="inlineStr">
        <is>
          <t>G</t>
        </is>
      </c>
      <c r="GD235" s="3" t="inlineStr">
        <is>
          <t>J</t>
        </is>
      </c>
      <c r="GE235" s="3" t="inlineStr">
        <is>
          <t>C</t>
        </is>
      </c>
      <c r="GF235" s="3" t="inlineStr">
        <is>
          <t>A</t>
        </is>
      </c>
      <c r="GG235" s="3" t="inlineStr">
        <is>
          <t>D</t>
        </is>
      </c>
      <c r="GH235" s="3" t="inlineStr">
        <is>
          <t>L</t>
        </is>
      </c>
      <c r="GI235" s="3" t="inlineStr">
        <is>
          <t>K</t>
        </is>
      </c>
      <c r="GJ235" s="9">
        <f>VLOOKUP(GB235,$FM$3:$FN$15,2,FALSE)</f>
        <v/>
      </c>
      <c r="GK235" s="9">
        <f>VLOOKUP(GC235,$FM$3:$FN$15,2,FALSE)</f>
        <v/>
      </c>
      <c r="GL235" s="9">
        <f>VLOOKUP(GD235,$FM$3:$FN$15,2,FALSE)</f>
        <v/>
      </c>
      <c r="GM235" s="9">
        <f>VLOOKUP(GE235,$FM$3:$FN$15,2,FALSE)</f>
        <v/>
      </c>
      <c r="GN235" s="9">
        <f>VLOOKUP(GF235,$FM$3:$FN$15,2,FALSE)</f>
        <v/>
      </c>
      <c r="GO235" s="9">
        <f>VLOOKUP(GG235,$FM$3:$FN$15,2,FALSE)</f>
        <v/>
      </c>
      <c r="GP235" s="9">
        <f>VLOOKUP(GH235,$FM$3:$FN$15,2,FALSE)</f>
        <v/>
      </c>
      <c r="GQ235" s="9">
        <f>VLOOKUP(GI235,$FM$3:$FN$15,2,FALSE)</f>
        <v/>
      </c>
      <c r="GR235" s="9">
        <f>IFERROR(IF(AND(VLOOKUP(GB235,$FX$4:$FX$15,1,FALSE)=GB235,VLOOKUP(GC235,$FX$4:$FX$15,1,FALSE)=GC235,VLOOKUP(GD235,$FX$4:$FX$15,1,FALSE)=GD235,VLOOKUP(GE235,$FX$4:$FX$15,1,FALSE)=GE235,VLOOKUP(GF235,$FX$4:$FX$15,1,FALSE)=GF235,VLOOKUP(GG235,$FX$4:$FX$15,1,FALSE)=GG235,VLOOKUP(GH235,$FX$4:$FX$15,1,FALSE)=GH235,VLOOKUP(GI235,$FX$4:$FX$15,1,FALSE)=GI235),FZ235,""),"")</f>
        <v/>
      </c>
    </row>
    <row r="236" ht="14.25" customHeight="1">
      <c r="FZ236" s="79" t="n">
        <v>234</v>
      </c>
      <c r="GA236" s="3">
        <f>GB236&amp;GC236&amp;GD236&amp;GE236&amp;GF236&amp;GG236&amp;GH236&amp;GI236</f>
        <v/>
      </c>
      <c r="GB236" s="3" t="inlineStr">
        <is>
          <t>H</t>
        </is>
      </c>
      <c r="GC236" s="3" t="inlineStr">
        <is>
          <t>G</t>
        </is>
      </c>
      <c r="GD236" s="3" t="inlineStr">
        <is>
          <t>I</t>
        </is>
      </c>
      <c r="GE236" s="3" t="inlineStr">
        <is>
          <t>C</t>
        </is>
      </c>
      <c r="GF236" s="3" t="inlineStr">
        <is>
          <t>A</t>
        </is>
      </c>
      <c r="GG236" s="3" t="inlineStr">
        <is>
          <t>D</t>
        </is>
      </c>
      <c r="GH236" s="3" t="inlineStr">
        <is>
          <t>L</t>
        </is>
      </c>
      <c r="GI236" s="3" t="inlineStr">
        <is>
          <t>K</t>
        </is>
      </c>
      <c r="GJ236" s="9">
        <f>VLOOKUP(GB236,$FM$3:$FN$15,2,FALSE)</f>
        <v/>
      </c>
      <c r="GK236" s="9">
        <f>VLOOKUP(GC236,$FM$3:$FN$15,2,FALSE)</f>
        <v/>
      </c>
      <c r="GL236" s="9">
        <f>VLOOKUP(GD236,$FM$3:$FN$15,2,FALSE)</f>
        <v/>
      </c>
      <c r="GM236" s="9">
        <f>VLOOKUP(GE236,$FM$3:$FN$15,2,FALSE)</f>
        <v/>
      </c>
      <c r="GN236" s="9">
        <f>VLOOKUP(GF236,$FM$3:$FN$15,2,FALSE)</f>
        <v/>
      </c>
      <c r="GO236" s="9">
        <f>VLOOKUP(GG236,$FM$3:$FN$15,2,FALSE)</f>
        <v/>
      </c>
      <c r="GP236" s="9">
        <f>VLOOKUP(GH236,$FM$3:$FN$15,2,FALSE)</f>
        <v/>
      </c>
      <c r="GQ236" s="9">
        <f>VLOOKUP(GI236,$FM$3:$FN$15,2,FALSE)</f>
        <v/>
      </c>
      <c r="GR236" s="9">
        <f>IFERROR(IF(AND(VLOOKUP(GB236,$FX$4:$FX$15,1,FALSE)=GB236,VLOOKUP(GC236,$FX$4:$FX$15,1,FALSE)=GC236,VLOOKUP(GD236,$FX$4:$FX$15,1,FALSE)=GD236,VLOOKUP(GE236,$FX$4:$FX$15,1,FALSE)=GE236,VLOOKUP(GF236,$FX$4:$FX$15,1,FALSE)=GF236,VLOOKUP(GG236,$FX$4:$FX$15,1,FALSE)=GG236,VLOOKUP(GH236,$FX$4:$FX$15,1,FALSE)=GH236,VLOOKUP(GI236,$FX$4:$FX$15,1,FALSE)=GI236),FZ236,""),"")</f>
        <v/>
      </c>
    </row>
    <row r="237" ht="14.25" customHeight="1">
      <c r="FZ237" s="79" t="n">
        <v>235</v>
      </c>
      <c r="GA237" s="3">
        <f>GB237&amp;GC237&amp;GD237&amp;GE237&amp;GF237&amp;GG237&amp;GH237&amp;GI237</f>
        <v/>
      </c>
      <c r="GB237" s="3" t="inlineStr">
        <is>
          <t>H</t>
        </is>
      </c>
      <c r="GC237" s="3" t="inlineStr">
        <is>
          <t>G</t>
        </is>
      </c>
      <c r="GD237" s="3" t="inlineStr">
        <is>
          <t>J</t>
        </is>
      </c>
      <c r="GE237" s="3" t="inlineStr">
        <is>
          <t>C</t>
        </is>
      </c>
      <c r="GF237" s="3" t="inlineStr">
        <is>
          <t>A</t>
        </is>
      </c>
      <c r="GG237" s="3" t="inlineStr">
        <is>
          <t>D</t>
        </is>
      </c>
      <c r="GH237" s="3" t="inlineStr">
        <is>
          <t>L</t>
        </is>
      </c>
      <c r="GI237" s="3" t="inlineStr">
        <is>
          <t>I</t>
        </is>
      </c>
      <c r="GJ237" s="9">
        <f>VLOOKUP(GB237,$FM$3:$FN$15,2,FALSE)</f>
        <v/>
      </c>
      <c r="GK237" s="9">
        <f>VLOOKUP(GC237,$FM$3:$FN$15,2,FALSE)</f>
        <v/>
      </c>
      <c r="GL237" s="9">
        <f>VLOOKUP(GD237,$FM$3:$FN$15,2,FALSE)</f>
        <v/>
      </c>
      <c r="GM237" s="9">
        <f>VLOOKUP(GE237,$FM$3:$FN$15,2,FALSE)</f>
        <v/>
      </c>
      <c r="GN237" s="9">
        <f>VLOOKUP(GF237,$FM$3:$FN$15,2,FALSE)</f>
        <v/>
      </c>
      <c r="GO237" s="9">
        <f>VLOOKUP(GG237,$FM$3:$FN$15,2,FALSE)</f>
        <v/>
      </c>
      <c r="GP237" s="9">
        <f>VLOOKUP(GH237,$FM$3:$FN$15,2,FALSE)</f>
        <v/>
      </c>
      <c r="GQ237" s="9">
        <f>VLOOKUP(GI237,$FM$3:$FN$15,2,FALSE)</f>
        <v/>
      </c>
      <c r="GR237" s="9">
        <f>IFERROR(IF(AND(VLOOKUP(GB237,$FX$4:$FX$15,1,FALSE)=GB237,VLOOKUP(GC237,$FX$4:$FX$15,1,FALSE)=GC237,VLOOKUP(GD237,$FX$4:$FX$15,1,FALSE)=GD237,VLOOKUP(GE237,$FX$4:$FX$15,1,FALSE)=GE237,VLOOKUP(GF237,$FX$4:$FX$15,1,FALSE)=GF237,VLOOKUP(GG237,$FX$4:$FX$15,1,FALSE)=GG237,VLOOKUP(GH237,$FX$4:$FX$15,1,FALSE)=GH237,VLOOKUP(GI237,$FX$4:$FX$15,1,FALSE)=GI237),FZ237,""),"")</f>
        <v/>
      </c>
    </row>
    <row r="238" ht="14.25" customHeight="1">
      <c r="FZ238" s="79" t="n">
        <v>236</v>
      </c>
      <c r="GA238" s="3">
        <f>GB238&amp;GC238&amp;GD238&amp;GE238&amp;GF238&amp;GG238&amp;GH238&amp;GI238</f>
        <v/>
      </c>
      <c r="GB238" s="3" t="inlineStr">
        <is>
          <t>H</t>
        </is>
      </c>
      <c r="GC238" s="3" t="inlineStr">
        <is>
          <t>G</t>
        </is>
      </c>
      <c r="GD238" s="3" t="inlineStr">
        <is>
          <t>J</t>
        </is>
      </c>
      <c r="GE238" s="3" t="inlineStr">
        <is>
          <t>C</t>
        </is>
      </c>
      <c r="GF238" s="3" t="inlineStr">
        <is>
          <t>A</t>
        </is>
      </c>
      <c r="GG238" s="3" t="inlineStr">
        <is>
          <t>D</t>
        </is>
      </c>
      <c r="GH238" s="3" t="inlineStr">
        <is>
          <t>I</t>
        </is>
      </c>
      <c r="GI238" s="3" t="inlineStr">
        <is>
          <t>K</t>
        </is>
      </c>
      <c r="GJ238" s="9">
        <f>VLOOKUP(GB238,$FM$3:$FN$15,2,FALSE)</f>
        <v/>
      </c>
      <c r="GK238" s="9">
        <f>VLOOKUP(GC238,$FM$3:$FN$15,2,FALSE)</f>
        <v/>
      </c>
      <c r="GL238" s="9">
        <f>VLOOKUP(GD238,$FM$3:$FN$15,2,FALSE)</f>
        <v/>
      </c>
      <c r="GM238" s="9">
        <f>VLOOKUP(GE238,$FM$3:$FN$15,2,FALSE)</f>
        <v/>
      </c>
      <c r="GN238" s="9">
        <f>VLOOKUP(GF238,$FM$3:$FN$15,2,FALSE)</f>
        <v/>
      </c>
      <c r="GO238" s="9">
        <f>VLOOKUP(GG238,$FM$3:$FN$15,2,FALSE)</f>
        <v/>
      </c>
      <c r="GP238" s="9">
        <f>VLOOKUP(GH238,$FM$3:$FN$15,2,FALSE)</f>
        <v/>
      </c>
      <c r="GQ238" s="9">
        <f>VLOOKUP(GI238,$FM$3:$FN$15,2,FALSE)</f>
        <v/>
      </c>
      <c r="GR238" s="9">
        <f>IFERROR(IF(AND(VLOOKUP(GB238,$FX$4:$FX$15,1,FALSE)=GB238,VLOOKUP(GC238,$FX$4:$FX$15,1,FALSE)=GC238,VLOOKUP(GD238,$FX$4:$FX$15,1,FALSE)=GD238,VLOOKUP(GE238,$FX$4:$FX$15,1,FALSE)=GE238,VLOOKUP(GF238,$FX$4:$FX$15,1,FALSE)=GF238,VLOOKUP(GG238,$FX$4:$FX$15,1,FALSE)=GG238,VLOOKUP(GH238,$FX$4:$FX$15,1,FALSE)=GH238,VLOOKUP(GI238,$FX$4:$FX$15,1,FALSE)=GI238),FZ238,""),"")</f>
        <v/>
      </c>
    </row>
    <row r="239" ht="14.25" customHeight="1">
      <c r="FZ239" s="79" t="n">
        <v>237</v>
      </c>
      <c r="GA239" s="3">
        <f>GB239&amp;GC239&amp;GD239&amp;GE239&amp;GF239&amp;GG239&amp;GH239&amp;GI239</f>
        <v/>
      </c>
      <c r="GB239" s="3" t="inlineStr">
        <is>
          <t>C</t>
        </is>
      </c>
      <c r="GC239" s="3" t="inlineStr">
        <is>
          <t>J</t>
        </is>
      </c>
      <c r="GD239" s="3" t="inlineStr">
        <is>
          <t>I</t>
        </is>
      </c>
      <c r="GE239" s="3" t="inlineStr">
        <is>
          <t>D</t>
        </is>
      </c>
      <c r="GF239" s="3" t="inlineStr">
        <is>
          <t>A</t>
        </is>
      </c>
      <c r="GG239" s="3" t="inlineStr">
        <is>
          <t>F</t>
        </is>
      </c>
      <c r="GH239" s="3" t="inlineStr">
        <is>
          <t>L</t>
        </is>
      </c>
      <c r="GI239" s="3" t="inlineStr">
        <is>
          <t>K</t>
        </is>
      </c>
      <c r="GJ239" s="9">
        <f>VLOOKUP(GB239,$FM$3:$FN$15,2,FALSE)</f>
        <v/>
      </c>
      <c r="GK239" s="9">
        <f>VLOOKUP(GC239,$FM$3:$FN$15,2,FALSE)</f>
        <v/>
      </c>
      <c r="GL239" s="9">
        <f>VLOOKUP(GD239,$FM$3:$FN$15,2,FALSE)</f>
        <v/>
      </c>
      <c r="GM239" s="9">
        <f>VLOOKUP(GE239,$FM$3:$FN$15,2,FALSE)</f>
        <v/>
      </c>
      <c r="GN239" s="9">
        <f>VLOOKUP(GF239,$FM$3:$FN$15,2,FALSE)</f>
        <v/>
      </c>
      <c r="GO239" s="9">
        <f>VLOOKUP(GG239,$FM$3:$FN$15,2,FALSE)</f>
        <v/>
      </c>
      <c r="GP239" s="9">
        <f>VLOOKUP(GH239,$FM$3:$FN$15,2,FALSE)</f>
        <v/>
      </c>
      <c r="GQ239" s="9">
        <f>VLOOKUP(GI239,$FM$3:$FN$15,2,FALSE)</f>
        <v/>
      </c>
      <c r="GR239" s="9">
        <f>IFERROR(IF(AND(VLOOKUP(GB239,$FX$4:$FX$15,1,FALSE)=GB239,VLOOKUP(GC239,$FX$4:$FX$15,1,FALSE)=GC239,VLOOKUP(GD239,$FX$4:$FX$15,1,FALSE)=GD239,VLOOKUP(GE239,$FX$4:$FX$15,1,FALSE)=GE239,VLOOKUP(GF239,$FX$4:$FX$15,1,FALSE)=GF239,VLOOKUP(GG239,$FX$4:$FX$15,1,FALSE)=GG239,VLOOKUP(GH239,$FX$4:$FX$15,1,FALSE)=GH239,VLOOKUP(GI239,$FX$4:$FX$15,1,FALSE)=GI239),FZ239,""),"")</f>
        <v/>
      </c>
    </row>
    <row r="240" ht="14.25" customHeight="1">
      <c r="FZ240" s="79" t="n">
        <v>238</v>
      </c>
      <c r="GA240" s="3">
        <f>GB240&amp;GC240&amp;GD240&amp;GE240&amp;GF240&amp;GG240&amp;GH240&amp;GI240</f>
        <v/>
      </c>
      <c r="GB240" s="3" t="inlineStr">
        <is>
          <t>H</t>
        </is>
      </c>
      <c r="GC240" s="3" t="inlineStr">
        <is>
          <t>J</t>
        </is>
      </c>
      <c r="GD240" s="3" t="inlineStr">
        <is>
          <t>F</t>
        </is>
      </c>
      <c r="GE240" s="3" t="inlineStr">
        <is>
          <t>C</t>
        </is>
      </c>
      <c r="GF240" s="3" t="inlineStr">
        <is>
          <t>A</t>
        </is>
      </c>
      <c r="GG240" s="3" t="inlineStr">
        <is>
          <t>D</t>
        </is>
      </c>
      <c r="GH240" s="3" t="inlineStr">
        <is>
          <t>L</t>
        </is>
      </c>
      <c r="GI240" s="3" t="inlineStr">
        <is>
          <t>K</t>
        </is>
      </c>
      <c r="GJ240" s="9">
        <f>VLOOKUP(GB240,$FM$3:$FN$15,2,FALSE)</f>
        <v/>
      </c>
      <c r="GK240" s="9">
        <f>VLOOKUP(GC240,$FM$3:$FN$15,2,FALSE)</f>
        <v/>
      </c>
      <c r="GL240" s="9">
        <f>VLOOKUP(GD240,$FM$3:$FN$15,2,FALSE)</f>
        <v/>
      </c>
      <c r="GM240" s="9">
        <f>VLOOKUP(GE240,$FM$3:$FN$15,2,FALSE)</f>
        <v/>
      </c>
      <c r="GN240" s="9">
        <f>VLOOKUP(GF240,$FM$3:$FN$15,2,FALSE)</f>
        <v/>
      </c>
      <c r="GO240" s="9">
        <f>VLOOKUP(GG240,$FM$3:$FN$15,2,FALSE)</f>
        <v/>
      </c>
      <c r="GP240" s="9">
        <f>VLOOKUP(GH240,$FM$3:$FN$15,2,FALSE)</f>
        <v/>
      </c>
      <c r="GQ240" s="9">
        <f>VLOOKUP(GI240,$FM$3:$FN$15,2,FALSE)</f>
        <v/>
      </c>
      <c r="GR240" s="9">
        <f>IFERROR(IF(AND(VLOOKUP(GB240,$FX$4:$FX$15,1,FALSE)=GB240,VLOOKUP(GC240,$FX$4:$FX$15,1,FALSE)=GC240,VLOOKUP(GD240,$FX$4:$FX$15,1,FALSE)=GD240,VLOOKUP(GE240,$FX$4:$FX$15,1,FALSE)=GE240,VLOOKUP(GF240,$FX$4:$FX$15,1,FALSE)=GF240,VLOOKUP(GG240,$FX$4:$FX$15,1,FALSE)=GG240,VLOOKUP(GH240,$FX$4:$FX$15,1,FALSE)=GH240,VLOOKUP(GI240,$FX$4:$FX$15,1,FALSE)=GI240),FZ240,""),"")</f>
        <v/>
      </c>
    </row>
    <row r="241" ht="14.25" customHeight="1">
      <c r="FZ241" s="79" t="n">
        <v>239</v>
      </c>
      <c r="GA241" s="3">
        <f>GB241&amp;GC241&amp;GD241&amp;GE241&amp;GF241&amp;GG241&amp;GH241&amp;GI241</f>
        <v/>
      </c>
      <c r="GB241" s="3" t="inlineStr">
        <is>
          <t>H</t>
        </is>
      </c>
      <c r="GC241" s="3" t="inlineStr">
        <is>
          <t>F</t>
        </is>
      </c>
      <c r="GD241" s="3" t="inlineStr">
        <is>
          <t>I</t>
        </is>
      </c>
      <c r="GE241" s="3" t="inlineStr">
        <is>
          <t>C</t>
        </is>
      </c>
      <c r="GF241" s="3" t="inlineStr">
        <is>
          <t>A</t>
        </is>
      </c>
      <c r="GG241" s="3" t="inlineStr">
        <is>
          <t>D</t>
        </is>
      </c>
      <c r="GH241" s="3" t="inlineStr">
        <is>
          <t>L</t>
        </is>
      </c>
      <c r="GI241" s="3" t="inlineStr">
        <is>
          <t>K</t>
        </is>
      </c>
      <c r="GJ241" s="9">
        <f>VLOOKUP(GB241,$FM$3:$FN$15,2,FALSE)</f>
        <v/>
      </c>
      <c r="GK241" s="9">
        <f>VLOOKUP(GC241,$FM$3:$FN$15,2,FALSE)</f>
        <v/>
      </c>
      <c r="GL241" s="9">
        <f>VLOOKUP(GD241,$FM$3:$FN$15,2,FALSE)</f>
        <v/>
      </c>
      <c r="GM241" s="9">
        <f>VLOOKUP(GE241,$FM$3:$FN$15,2,FALSE)</f>
        <v/>
      </c>
      <c r="GN241" s="9">
        <f>VLOOKUP(GF241,$FM$3:$FN$15,2,FALSE)</f>
        <v/>
      </c>
      <c r="GO241" s="9">
        <f>VLOOKUP(GG241,$FM$3:$FN$15,2,FALSE)</f>
        <v/>
      </c>
      <c r="GP241" s="9">
        <f>VLOOKUP(GH241,$FM$3:$FN$15,2,FALSE)</f>
        <v/>
      </c>
      <c r="GQ241" s="9">
        <f>VLOOKUP(GI241,$FM$3:$FN$15,2,FALSE)</f>
        <v/>
      </c>
      <c r="GR241" s="9">
        <f>IFERROR(IF(AND(VLOOKUP(GB241,$FX$4:$FX$15,1,FALSE)=GB241,VLOOKUP(GC241,$FX$4:$FX$15,1,FALSE)=GC241,VLOOKUP(GD241,$FX$4:$FX$15,1,FALSE)=GD241,VLOOKUP(GE241,$FX$4:$FX$15,1,FALSE)=GE241,VLOOKUP(GF241,$FX$4:$FX$15,1,FALSE)=GF241,VLOOKUP(GG241,$FX$4:$FX$15,1,FALSE)=GG241,VLOOKUP(GH241,$FX$4:$FX$15,1,FALSE)=GH241,VLOOKUP(GI241,$FX$4:$FX$15,1,FALSE)=GI241),FZ241,""),"")</f>
        <v/>
      </c>
    </row>
    <row r="242" ht="14.25" customHeight="1">
      <c r="FZ242" s="79" t="n">
        <v>240</v>
      </c>
      <c r="GA242" s="3">
        <f>GB242&amp;GC242&amp;GD242&amp;GE242&amp;GF242&amp;GG242&amp;GH242&amp;GI242</f>
        <v/>
      </c>
      <c r="GB242" s="3" t="inlineStr">
        <is>
          <t>H</t>
        </is>
      </c>
      <c r="GC242" s="3" t="inlineStr">
        <is>
          <t>J</t>
        </is>
      </c>
      <c r="GD242" s="3" t="inlineStr">
        <is>
          <t>F</t>
        </is>
      </c>
      <c r="GE242" s="3" t="inlineStr">
        <is>
          <t>C</t>
        </is>
      </c>
      <c r="GF242" s="3" t="inlineStr">
        <is>
          <t>A</t>
        </is>
      </c>
      <c r="GG242" s="3" t="inlineStr">
        <is>
          <t>D</t>
        </is>
      </c>
      <c r="GH242" s="3" t="inlineStr">
        <is>
          <t>L</t>
        </is>
      </c>
      <c r="GI242" s="3" t="inlineStr">
        <is>
          <t>I</t>
        </is>
      </c>
      <c r="GJ242" s="9">
        <f>VLOOKUP(GB242,$FM$3:$FN$15,2,FALSE)</f>
        <v/>
      </c>
      <c r="GK242" s="9">
        <f>VLOOKUP(GC242,$FM$3:$FN$15,2,FALSE)</f>
        <v/>
      </c>
      <c r="GL242" s="9">
        <f>VLOOKUP(GD242,$FM$3:$FN$15,2,FALSE)</f>
        <v/>
      </c>
      <c r="GM242" s="9">
        <f>VLOOKUP(GE242,$FM$3:$FN$15,2,FALSE)</f>
        <v/>
      </c>
      <c r="GN242" s="9">
        <f>VLOOKUP(GF242,$FM$3:$FN$15,2,FALSE)</f>
        <v/>
      </c>
      <c r="GO242" s="9">
        <f>VLOOKUP(GG242,$FM$3:$FN$15,2,FALSE)</f>
        <v/>
      </c>
      <c r="GP242" s="9">
        <f>VLOOKUP(GH242,$FM$3:$FN$15,2,FALSE)</f>
        <v/>
      </c>
      <c r="GQ242" s="9">
        <f>VLOOKUP(GI242,$FM$3:$FN$15,2,FALSE)</f>
        <v/>
      </c>
      <c r="GR242" s="9">
        <f>IFERROR(IF(AND(VLOOKUP(GB242,$FX$4:$FX$15,1,FALSE)=GB242,VLOOKUP(GC242,$FX$4:$FX$15,1,FALSE)=GC242,VLOOKUP(GD242,$FX$4:$FX$15,1,FALSE)=GD242,VLOOKUP(GE242,$FX$4:$FX$15,1,FALSE)=GE242,VLOOKUP(GF242,$FX$4:$FX$15,1,FALSE)=GF242,VLOOKUP(GG242,$FX$4:$FX$15,1,FALSE)=GG242,VLOOKUP(GH242,$FX$4:$FX$15,1,FALSE)=GH242,VLOOKUP(GI242,$FX$4:$FX$15,1,FALSE)=GI242),FZ242,""),"")</f>
        <v/>
      </c>
    </row>
    <row r="243" ht="14.25" customHeight="1">
      <c r="FZ243" s="79" t="n">
        <v>241</v>
      </c>
      <c r="GA243" s="3">
        <f>GB243&amp;GC243&amp;GD243&amp;GE243&amp;GF243&amp;GG243&amp;GH243&amp;GI243</f>
        <v/>
      </c>
      <c r="GB243" s="3" t="inlineStr">
        <is>
          <t>H</t>
        </is>
      </c>
      <c r="GC243" s="3" t="inlineStr">
        <is>
          <t>J</t>
        </is>
      </c>
      <c r="GD243" s="3" t="inlineStr">
        <is>
          <t>F</t>
        </is>
      </c>
      <c r="GE243" s="3" t="inlineStr">
        <is>
          <t>C</t>
        </is>
      </c>
      <c r="GF243" s="3" t="inlineStr">
        <is>
          <t>A</t>
        </is>
      </c>
      <c r="GG243" s="3" t="inlineStr">
        <is>
          <t>D</t>
        </is>
      </c>
      <c r="GH243" s="3" t="inlineStr">
        <is>
          <t>I</t>
        </is>
      </c>
      <c r="GI243" s="3" t="inlineStr">
        <is>
          <t>K</t>
        </is>
      </c>
      <c r="GJ243" s="9">
        <f>VLOOKUP(GB243,$FM$3:$FN$15,2,FALSE)</f>
        <v/>
      </c>
      <c r="GK243" s="9">
        <f>VLOOKUP(GC243,$FM$3:$FN$15,2,FALSE)</f>
        <v/>
      </c>
      <c r="GL243" s="9">
        <f>VLOOKUP(GD243,$FM$3:$FN$15,2,FALSE)</f>
        <v/>
      </c>
      <c r="GM243" s="9">
        <f>VLOOKUP(GE243,$FM$3:$FN$15,2,FALSE)</f>
        <v/>
      </c>
      <c r="GN243" s="9">
        <f>VLOOKUP(GF243,$FM$3:$FN$15,2,FALSE)</f>
        <v/>
      </c>
      <c r="GO243" s="9">
        <f>VLOOKUP(GG243,$FM$3:$FN$15,2,FALSE)</f>
        <v/>
      </c>
      <c r="GP243" s="9">
        <f>VLOOKUP(GH243,$FM$3:$FN$15,2,FALSE)</f>
        <v/>
      </c>
      <c r="GQ243" s="9">
        <f>VLOOKUP(GI243,$FM$3:$FN$15,2,FALSE)</f>
        <v/>
      </c>
      <c r="GR243" s="9">
        <f>IFERROR(IF(AND(VLOOKUP(GB243,$FX$4:$FX$15,1,FALSE)=GB243,VLOOKUP(GC243,$FX$4:$FX$15,1,FALSE)=GC243,VLOOKUP(GD243,$FX$4:$FX$15,1,FALSE)=GD243,VLOOKUP(GE243,$FX$4:$FX$15,1,FALSE)=GE243,VLOOKUP(GF243,$FX$4:$FX$15,1,FALSE)=GF243,VLOOKUP(GG243,$FX$4:$FX$15,1,FALSE)=GG243,VLOOKUP(GH243,$FX$4:$FX$15,1,FALSE)=GH243,VLOOKUP(GI243,$FX$4:$FX$15,1,FALSE)=GI243),FZ243,""),"")</f>
        <v/>
      </c>
    </row>
    <row r="244" ht="14.25" customHeight="1">
      <c r="FZ244" s="79" t="n">
        <v>242</v>
      </c>
      <c r="GA244" s="3">
        <f>GB244&amp;GC244&amp;GD244&amp;GE244&amp;GF244&amp;GG244&amp;GH244&amp;GI244</f>
        <v/>
      </c>
      <c r="GB244" s="3" t="inlineStr">
        <is>
          <t>C</t>
        </is>
      </c>
      <c r="GC244" s="3" t="inlineStr">
        <is>
          <t>G</t>
        </is>
      </c>
      <c r="GD244" s="3" t="inlineStr">
        <is>
          <t>J</t>
        </is>
      </c>
      <c r="GE244" s="3" t="inlineStr">
        <is>
          <t>D</t>
        </is>
      </c>
      <c r="GF244" s="3" t="inlineStr">
        <is>
          <t>A</t>
        </is>
      </c>
      <c r="GG244" s="3" t="inlineStr">
        <is>
          <t>F</t>
        </is>
      </c>
      <c r="GH244" s="3" t="inlineStr">
        <is>
          <t>L</t>
        </is>
      </c>
      <c r="GI244" s="3" t="inlineStr">
        <is>
          <t>K</t>
        </is>
      </c>
      <c r="GJ244" s="9">
        <f>VLOOKUP(GB244,$FM$3:$FN$15,2,FALSE)</f>
        <v/>
      </c>
      <c r="GK244" s="9">
        <f>VLOOKUP(GC244,$FM$3:$FN$15,2,FALSE)</f>
        <v/>
      </c>
      <c r="GL244" s="9">
        <f>VLOOKUP(GD244,$FM$3:$FN$15,2,FALSE)</f>
        <v/>
      </c>
      <c r="GM244" s="9">
        <f>VLOOKUP(GE244,$FM$3:$FN$15,2,FALSE)</f>
        <v/>
      </c>
      <c r="GN244" s="9">
        <f>VLOOKUP(GF244,$FM$3:$FN$15,2,FALSE)</f>
        <v/>
      </c>
      <c r="GO244" s="9">
        <f>VLOOKUP(GG244,$FM$3:$FN$15,2,FALSE)</f>
        <v/>
      </c>
      <c r="GP244" s="9">
        <f>VLOOKUP(GH244,$FM$3:$FN$15,2,FALSE)</f>
        <v/>
      </c>
      <c r="GQ244" s="9">
        <f>VLOOKUP(GI244,$FM$3:$FN$15,2,FALSE)</f>
        <v/>
      </c>
      <c r="GR244" s="9">
        <f>IFERROR(IF(AND(VLOOKUP(GB244,$FX$4:$FX$15,1,FALSE)=GB244,VLOOKUP(GC244,$FX$4:$FX$15,1,FALSE)=GC244,VLOOKUP(GD244,$FX$4:$FX$15,1,FALSE)=GD244,VLOOKUP(GE244,$FX$4:$FX$15,1,FALSE)=GE244,VLOOKUP(GF244,$FX$4:$FX$15,1,FALSE)=GF244,VLOOKUP(GG244,$FX$4:$FX$15,1,FALSE)=GG244,VLOOKUP(GH244,$FX$4:$FX$15,1,FALSE)=GH244,VLOOKUP(GI244,$FX$4:$FX$15,1,FALSE)=GI244),FZ244,""),"")</f>
        <v/>
      </c>
    </row>
    <row r="245" ht="14.25" customHeight="1">
      <c r="FZ245" s="79" t="n">
        <v>243</v>
      </c>
      <c r="GA245" s="3">
        <f>GB245&amp;GC245&amp;GD245&amp;GE245&amp;GF245&amp;GG245&amp;GH245&amp;GI245</f>
        <v/>
      </c>
      <c r="GB245" s="3" t="inlineStr">
        <is>
          <t>C</t>
        </is>
      </c>
      <c r="GC245" s="3" t="inlineStr">
        <is>
          <t>G</t>
        </is>
      </c>
      <c r="GD245" s="3" t="inlineStr">
        <is>
          <t>I</t>
        </is>
      </c>
      <c r="GE245" s="3" t="inlineStr">
        <is>
          <t>D</t>
        </is>
      </c>
      <c r="GF245" s="3" t="inlineStr">
        <is>
          <t>A</t>
        </is>
      </c>
      <c r="GG245" s="3" t="inlineStr">
        <is>
          <t>F</t>
        </is>
      </c>
      <c r="GH245" s="3" t="inlineStr">
        <is>
          <t>L</t>
        </is>
      </c>
      <c r="GI245" s="3" t="inlineStr">
        <is>
          <t>K</t>
        </is>
      </c>
      <c r="GJ245" s="9">
        <f>VLOOKUP(GB245,$FM$3:$FN$15,2,FALSE)</f>
        <v/>
      </c>
      <c r="GK245" s="9">
        <f>VLOOKUP(GC245,$FM$3:$FN$15,2,FALSE)</f>
        <v/>
      </c>
      <c r="GL245" s="9">
        <f>VLOOKUP(GD245,$FM$3:$FN$15,2,FALSE)</f>
        <v/>
      </c>
      <c r="GM245" s="9">
        <f>VLOOKUP(GE245,$FM$3:$FN$15,2,FALSE)</f>
        <v/>
      </c>
      <c r="GN245" s="9">
        <f>VLOOKUP(GF245,$FM$3:$FN$15,2,FALSE)</f>
        <v/>
      </c>
      <c r="GO245" s="9">
        <f>VLOOKUP(GG245,$FM$3:$FN$15,2,FALSE)</f>
        <v/>
      </c>
      <c r="GP245" s="9">
        <f>VLOOKUP(GH245,$FM$3:$FN$15,2,FALSE)</f>
        <v/>
      </c>
      <c r="GQ245" s="9">
        <f>VLOOKUP(GI245,$FM$3:$FN$15,2,FALSE)</f>
        <v/>
      </c>
      <c r="GR245" s="9">
        <f>IFERROR(IF(AND(VLOOKUP(GB245,$FX$4:$FX$15,1,FALSE)=GB245,VLOOKUP(GC245,$FX$4:$FX$15,1,FALSE)=GC245,VLOOKUP(GD245,$FX$4:$FX$15,1,FALSE)=GD245,VLOOKUP(GE245,$FX$4:$FX$15,1,FALSE)=GE245,VLOOKUP(GF245,$FX$4:$FX$15,1,FALSE)=GF245,VLOOKUP(GG245,$FX$4:$FX$15,1,FALSE)=GG245,VLOOKUP(GH245,$FX$4:$FX$15,1,FALSE)=GH245,VLOOKUP(GI245,$FX$4:$FX$15,1,FALSE)=GI245),FZ245,""),"")</f>
        <v/>
      </c>
    </row>
    <row r="246" ht="14.25" customHeight="1">
      <c r="FZ246" s="79" t="n">
        <v>244</v>
      </c>
      <c r="GA246" s="3">
        <f>GB246&amp;GC246&amp;GD246&amp;GE246&amp;GF246&amp;GG246&amp;GH246&amp;GI246</f>
        <v/>
      </c>
      <c r="GB246" s="3" t="inlineStr">
        <is>
          <t>C</t>
        </is>
      </c>
      <c r="GC246" s="3" t="inlineStr">
        <is>
          <t>G</t>
        </is>
      </c>
      <c r="GD246" s="3" t="inlineStr">
        <is>
          <t>J</t>
        </is>
      </c>
      <c r="GE246" s="3" t="inlineStr">
        <is>
          <t>D</t>
        </is>
      </c>
      <c r="GF246" s="3" t="inlineStr">
        <is>
          <t>A</t>
        </is>
      </c>
      <c r="GG246" s="3" t="inlineStr">
        <is>
          <t>F</t>
        </is>
      </c>
      <c r="GH246" s="3" t="inlineStr">
        <is>
          <t>L</t>
        </is>
      </c>
      <c r="GI246" s="3" t="inlineStr">
        <is>
          <t>I</t>
        </is>
      </c>
      <c r="GJ246" s="9">
        <f>VLOOKUP(GB246,$FM$3:$FN$15,2,FALSE)</f>
        <v/>
      </c>
      <c r="GK246" s="9">
        <f>VLOOKUP(GC246,$FM$3:$FN$15,2,FALSE)</f>
        <v/>
      </c>
      <c r="GL246" s="9">
        <f>VLOOKUP(GD246,$FM$3:$FN$15,2,FALSE)</f>
        <v/>
      </c>
      <c r="GM246" s="9">
        <f>VLOOKUP(GE246,$FM$3:$FN$15,2,FALSE)</f>
        <v/>
      </c>
      <c r="GN246" s="9">
        <f>VLOOKUP(GF246,$FM$3:$FN$15,2,FALSE)</f>
        <v/>
      </c>
      <c r="GO246" s="9">
        <f>VLOOKUP(GG246,$FM$3:$FN$15,2,FALSE)</f>
        <v/>
      </c>
      <c r="GP246" s="9">
        <f>VLOOKUP(GH246,$FM$3:$FN$15,2,FALSE)</f>
        <v/>
      </c>
      <c r="GQ246" s="9">
        <f>VLOOKUP(GI246,$FM$3:$FN$15,2,FALSE)</f>
        <v/>
      </c>
      <c r="GR246" s="9">
        <f>IFERROR(IF(AND(VLOOKUP(GB246,$FX$4:$FX$15,1,FALSE)=GB246,VLOOKUP(GC246,$FX$4:$FX$15,1,FALSE)=GC246,VLOOKUP(GD246,$FX$4:$FX$15,1,FALSE)=GD246,VLOOKUP(GE246,$FX$4:$FX$15,1,FALSE)=GE246,VLOOKUP(GF246,$FX$4:$FX$15,1,FALSE)=GF246,VLOOKUP(GG246,$FX$4:$FX$15,1,FALSE)=GG246,VLOOKUP(GH246,$FX$4:$FX$15,1,FALSE)=GH246,VLOOKUP(GI246,$FX$4:$FX$15,1,FALSE)=GI246),FZ246,""),"")</f>
        <v/>
      </c>
    </row>
    <row r="247" ht="14.25" customHeight="1">
      <c r="FZ247" s="79" t="n">
        <v>245</v>
      </c>
      <c r="GA247" s="3">
        <f>GB247&amp;GC247&amp;GD247&amp;GE247&amp;GF247&amp;GG247&amp;GH247&amp;GI247</f>
        <v/>
      </c>
      <c r="GB247" s="3" t="inlineStr">
        <is>
          <t>C</t>
        </is>
      </c>
      <c r="GC247" s="3" t="inlineStr">
        <is>
          <t>G</t>
        </is>
      </c>
      <c r="GD247" s="3" t="inlineStr">
        <is>
          <t>J</t>
        </is>
      </c>
      <c r="GE247" s="3" t="inlineStr">
        <is>
          <t>D</t>
        </is>
      </c>
      <c r="GF247" s="3" t="inlineStr">
        <is>
          <t>A</t>
        </is>
      </c>
      <c r="GG247" s="3" t="inlineStr">
        <is>
          <t>F</t>
        </is>
      </c>
      <c r="GH247" s="3" t="inlineStr">
        <is>
          <t>I</t>
        </is>
      </c>
      <c r="GI247" s="3" t="inlineStr">
        <is>
          <t>K</t>
        </is>
      </c>
      <c r="GJ247" s="9">
        <f>VLOOKUP(GB247,$FM$3:$FN$15,2,FALSE)</f>
        <v/>
      </c>
      <c r="GK247" s="9">
        <f>VLOOKUP(GC247,$FM$3:$FN$15,2,FALSE)</f>
        <v/>
      </c>
      <c r="GL247" s="9">
        <f>VLOOKUP(GD247,$FM$3:$FN$15,2,FALSE)</f>
        <v/>
      </c>
      <c r="GM247" s="9">
        <f>VLOOKUP(GE247,$FM$3:$FN$15,2,FALSE)</f>
        <v/>
      </c>
      <c r="GN247" s="9">
        <f>VLOOKUP(GF247,$FM$3:$FN$15,2,FALSE)</f>
        <v/>
      </c>
      <c r="GO247" s="9">
        <f>VLOOKUP(GG247,$FM$3:$FN$15,2,FALSE)</f>
        <v/>
      </c>
      <c r="GP247" s="9">
        <f>VLOOKUP(GH247,$FM$3:$FN$15,2,FALSE)</f>
        <v/>
      </c>
      <c r="GQ247" s="9">
        <f>VLOOKUP(GI247,$FM$3:$FN$15,2,FALSE)</f>
        <v/>
      </c>
      <c r="GR247" s="9">
        <f>IFERROR(IF(AND(VLOOKUP(GB247,$FX$4:$FX$15,1,FALSE)=GB247,VLOOKUP(GC247,$FX$4:$FX$15,1,FALSE)=GC247,VLOOKUP(GD247,$FX$4:$FX$15,1,FALSE)=GD247,VLOOKUP(GE247,$FX$4:$FX$15,1,FALSE)=GE247,VLOOKUP(GF247,$FX$4:$FX$15,1,FALSE)=GF247,VLOOKUP(GG247,$FX$4:$FX$15,1,FALSE)=GG247,VLOOKUP(GH247,$FX$4:$FX$15,1,FALSE)=GH247,VLOOKUP(GI247,$FX$4:$FX$15,1,FALSE)=GI247),FZ247,""),"")</f>
        <v/>
      </c>
    </row>
    <row r="248" ht="14.25" customHeight="1">
      <c r="FZ248" s="79" t="n">
        <v>246</v>
      </c>
      <c r="GA248" s="3">
        <f>GB248&amp;GC248&amp;GD248&amp;GE248&amp;GF248&amp;GG248&amp;GH248&amp;GI248</f>
        <v/>
      </c>
      <c r="GB248" s="3" t="inlineStr">
        <is>
          <t>H</t>
        </is>
      </c>
      <c r="GC248" s="3" t="inlineStr">
        <is>
          <t>G</t>
        </is>
      </c>
      <c r="GD248" s="3" t="inlineStr">
        <is>
          <t>F</t>
        </is>
      </c>
      <c r="GE248" s="3" t="inlineStr">
        <is>
          <t>C</t>
        </is>
      </c>
      <c r="GF248" s="3" t="inlineStr">
        <is>
          <t>A</t>
        </is>
      </c>
      <c r="GG248" s="3" t="inlineStr">
        <is>
          <t>D</t>
        </is>
      </c>
      <c r="GH248" s="3" t="inlineStr">
        <is>
          <t>L</t>
        </is>
      </c>
      <c r="GI248" s="3" t="inlineStr">
        <is>
          <t>K</t>
        </is>
      </c>
      <c r="GJ248" s="9">
        <f>VLOOKUP(GB248,$FM$3:$FN$15,2,FALSE)</f>
        <v/>
      </c>
      <c r="GK248" s="9">
        <f>VLOOKUP(GC248,$FM$3:$FN$15,2,FALSE)</f>
        <v/>
      </c>
      <c r="GL248" s="9">
        <f>VLOOKUP(GD248,$FM$3:$FN$15,2,FALSE)</f>
        <v/>
      </c>
      <c r="GM248" s="9">
        <f>VLOOKUP(GE248,$FM$3:$FN$15,2,FALSE)</f>
        <v/>
      </c>
      <c r="GN248" s="9">
        <f>VLOOKUP(GF248,$FM$3:$FN$15,2,FALSE)</f>
        <v/>
      </c>
      <c r="GO248" s="9">
        <f>VLOOKUP(GG248,$FM$3:$FN$15,2,FALSE)</f>
        <v/>
      </c>
      <c r="GP248" s="9">
        <f>VLOOKUP(GH248,$FM$3:$FN$15,2,FALSE)</f>
        <v/>
      </c>
      <c r="GQ248" s="9">
        <f>VLOOKUP(GI248,$FM$3:$FN$15,2,FALSE)</f>
        <v/>
      </c>
      <c r="GR248" s="9">
        <f>IFERROR(IF(AND(VLOOKUP(GB248,$FX$4:$FX$15,1,FALSE)=GB248,VLOOKUP(GC248,$FX$4:$FX$15,1,FALSE)=GC248,VLOOKUP(GD248,$FX$4:$FX$15,1,FALSE)=GD248,VLOOKUP(GE248,$FX$4:$FX$15,1,FALSE)=GE248,VLOOKUP(GF248,$FX$4:$FX$15,1,FALSE)=GF248,VLOOKUP(GG248,$FX$4:$FX$15,1,FALSE)=GG248,VLOOKUP(GH248,$FX$4:$FX$15,1,FALSE)=GH248,VLOOKUP(GI248,$FX$4:$FX$15,1,FALSE)=GI248),FZ248,""),"")</f>
        <v/>
      </c>
    </row>
    <row r="249" ht="14.25" customHeight="1">
      <c r="FZ249" s="79" t="n">
        <v>247</v>
      </c>
      <c r="GA249" s="3">
        <f>GB249&amp;GC249&amp;GD249&amp;GE249&amp;GF249&amp;GG249&amp;GH249&amp;GI249</f>
        <v/>
      </c>
      <c r="GB249" s="3" t="inlineStr">
        <is>
          <t>C</t>
        </is>
      </c>
      <c r="GC249" s="3" t="inlineStr">
        <is>
          <t>G</t>
        </is>
      </c>
      <c r="GD249" s="3" t="inlineStr">
        <is>
          <t>J</t>
        </is>
      </c>
      <c r="GE249" s="3" t="inlineStr">
        <is>
          <t>D</t>
        </is>
      </c>
      <c r="GF249" s="3" t="inlineStr">
        <is>
          <t>A</t>
        </is>
      </c>
      <c r="GG249" s="3" t="inlineStr">
        <is>
          <t>F</t>
        </is>
      </c>
      <c r="GH249" s="3" t="inlineStr">
        <is>
          <t>L</t>
        </is>
      </c>
      <c r="GI249" s="3" t="inlineStr">
        <is>
          <t>H</t>
        </is>
      </c>
      <c r="GJ249" s="9">
        <f>VLOOKUP(GB249,$FM$3:$FN$15,2,FALSE)</f>
        <v/>
      </c>
      <c r="GK249" s="9">
        <f>VLOOKUP(GC249,$FM$3:$FN$15,2,FALSE)</f>
        <v/>
      </c>
      <c r="GL249" s="9">
        <f>VLOOKUP(GD249,$FM$3:$FN$15,2,FALSE)</f>
        <v/>
      </c>
      <c r="GM249" s="9">
        <f>VLOOKUP(GE249,$FM$3:$FN$15,2,FALSE)</f>
        <v/>
      </c>
      <c r="GN249" s="9">
        <f>VLOOKUP(GF249,$FM$3:$FN$15,2,FALSE)</f>
        <v/>
      </c>
      <c r="GO249" s="9">
        <f>VLOOKUP(GG249,$FM$3:$FN$15,2,FALSE)</f>
        <v/>
      </c>
      <c r="GP249" s="9">
        <f>VLOOKUP(GH249,$FM$3:$FN$15,2,FALSE)</f>
        <v/>
      </c>
      <c r="GQ249" s="9">
        <f>VLOOKUP(GI249,$FM$3:$FN$15,2,FALSE)</f>
        <v/>
      </c>
      <c r="GR249" s="9">
        <f>IFERROR(IF(AND(VLOOKUP(GB249,$FX$4:$FX$15,1,FALSE)=GB249,VLOOKUP(GC249,$FX$4:$FX$15,1,FALSE)=GC249,VLOOKUP(GD249,$FX$4:$FX$15,1,FALSE)=GD249,VLOOKUP(GE249,$FX$4:$FX$15,1,FALSE)=GE249,VLOOKUP(GF249,$FX$4:$FX$15,1,FALSE)=GF249,VLOOKUP(GG249,$FX$4:$FX$15,1,FALSE)=GG249,VLOOKUP(GH249,$FX$4:$FX$15,1,FALSE)=GH249,VLOOKUP(GI249,$FX$4:$FX$15,1,FALSE)=GI249),FZ249,""),"")</f>
        <v/>
      </c>
    </row>
    <row r="250" ht="14.25" customHeight="1">
      <c r="FZ250" s="79" t="n">
        <v>248</v>
      </c>
      <c r="GA250" s="3">
        <f>GB250&amp;GC250&amp;GD250&amp;GE250&amp;GF250&amp;GG250&amp;GH250&amp;GI250</f>
        <v/>
      </c>
      <c r="GB250" s="3" t="inlineStr">
        <is>
          <t>H</t>
        </is>
      </c>
      <c r="GC250" s="3" t="inlineStr">
        <is>
          <t>G</t>
        </is>
      </c>
      <c r="GD250" s="3" t="inlineStr">
        <is>
          <t>J</t>
        </is>
      </c>
      <c r="GE250" s="3" t="inlineStr">
        <is>
          <t>C</t>
        </is>
      </c>
      <c r="GF250" s="3" t="inlineStr">
        <is>
          <t>A</t>
        </is>
      </c>
      <c r="GG250" s="3" t="inlineStr">
        <is>
          <t>F</t>
        </is>
      </c>
      <c r="GH250" s="3" t="inlineStr">
        <is>
          <t>D</t>
        </is>
      </c>
      <c r="GI250" s="3" t="inlineStr">
        <is>
          <t>K</t>
        </is>
      </c>
      <c r="GJ250" s="9">
        <f>VLOOKUP(GB250,$FM$3:$FN$15,2,FALSE)</f>
        <v/>
      </c>
      <c r="GK250" s="9">
        <f>VLOOKUP(GC250,$FM$3:$FN$15,2,FALSE)</f>
        <v/>
      </c>
      <c r="GL250" s="9">
        <f>VLOOKUP(GD250,$FM$3:$FN$15,2,FALSE)</f>
        <v/>
      </c>
      <c r="GM250" s="9">
        <f>VLOOKUP(GE250,$FM$3:$FN$15,2,FALSE)</f>
        <v/>
      </c>
      <c r="GN250" s="9">
        <f>VLOOKUP(GF250,$FM$3:$FN$15,2,FALSE)</f>
        <v/>
      </c>
      <c r="GO250" s="9">
        <f>VLOOKUP(GG250,$FM$3:$FN$15,2,FALSE)</f>
        <v/>
      </c>
      <c r="GP250" s="9">
        <f>VLOOKUP(GH250,$FM$3:$FN$15,2,FALSE)</f>
        <v/>
      </c>
      <c r="GQ250" s="9">
        <f>VLOOKUP(GI250,$FM$3:$FN$15,2,FALSE)</f>
        <v/>
      </c>
      <c r="GR250" s="9">
        <f>IFERROR(IF(AND(VLOOKUP(GB250,$FX$4:$FX$15,1,FALSE)=GB250,VLOOKUP(GC250,$FX$4:$FX$15,1,FALSE)=GC250,VLOOKUP(GD250,$FX$4:$FX$15,1,FALSE)=GD250,VLOOKUP(GE250,$FX$4:$FX$15,1,FALSE)=GE250,VLOOKUP(GF250,$FX$4:$FX$15,1,FALSE)=GF250,VLOOKUP(GG250,$FX$4:$FX$15,1,FALSE)=GG250,VLOOKUP(GH250,$FX$4:$FX$15,1,FALSE)=GH250,VLOOKUP(GI250,$FX$4:$FX$15,1,FALSE)=GI250),FZ250,""),"")</f>
        <v/>
      </c>
    </row>
    <row r="251" ht="14.25" customHeight="1">
      <c r="FZ251" s="79" t="n">
        <v>249</v>
      </c>
      <c r="GA251" s="3">
        <f>GB251&amp;GC251&amp;GD251&amp;GE251&amp;GF251&amp;GG251&amp;GH251&amp;GI251</f>
        <v/>
      </c>
      <c r="GB251" s="3" t="inlineStr">
        <is>
          <t>H</t>
        </is>
      </c>
      <c r="GC251" s="3" t="inlineStr">
        <is>
          <t>G</t>
        </is>
      </c>
      <c r="GD251" s="3" t="inlineStr">
        <is>
          <t>F</t>
        </is>
      </c>
      <c r="GE251" s="3" t="inlineStr">
        <is>
          <t>C</t>
        </is>
      </c>
      <c r="GF251" s="3" t="inlineStr">
        <is>
          <t>A</t>
        </is>
      </c>
      <c r="GG251" s="3" t="inlineStr">
        <is>
          <t>D</t>
        </is>
      </c>
      <c r="GH251" s="3" t="inlineStr">
        <is>
          <t>L</t>
        </is>
      </c>
      <c r="GI251" s="3" t="inlineStr">
        <is>
          <t>I</t>
        </is>
      </c>
      <c r="GJ251" s="9">
        <f>VLOOKUP(GB251,$FM$3:$FN$15,2,FALSE)</f>
        <v/>
      </c>
      <c r="GK251" s="9">
        <f>VLOOKUP(GC251,$FM$3:$FN$15,2,FALSE)</f>
        <v/>
      </c>
      <c r="GL251" s="9">
        <f>VLOOKUP(GD251,$FM$3:$FN$15,2,FALSE)</f>
        <v/>
      </c>
      <c r="GM251" s="9">
        <f>VLOOKUP(GE251,$FM$3:$FN$15,2,FALSE)</f>
        <v/>
      </c>
      <c r="GN251" s="9">
        <f>VLOOKUP(GF251,$FM$3:$FN$15,2,FALSE)</f>
        <v/>
      </c>
      <c r="GO251" s="9">
        <f>VLOOKUP(GG251,$FM$3:$FN$15,2,FALSE)</f>
        <v/>
      </c>
      <c r="GP251" s="9">
        <f>VLOOKUP(GH251,$FM$3:$FN$15,2,FALSE)</f>
        <v/>
      </c>
      <c r="GQ251" s="9">
        <f>VLOOKUP(GI251,$FM$3:$FN$15,2,FALSE)</f>
        <v/>
      </c>
      <c r="GR251" s="9">
        <f>IFERROR(IF(AND(VLOOKUP(GB251,$FX$4:$FX$15,1,FALSE)=GB251,VLOOKUP(GC251,$FX$4:$FX$15,1,FALSE)=GC251,VLOOKUP(GD251,$FX$4:$FX$15,1,FALSE)=GD251,VLOOKUP(GE251,$FX$4:$FX$15,1,FALSE)=GE251,VLOOKUP(GF251,$FX$4:$FX$15,1,FALSE)=GF251,VLOOKUP(GG251,$FX$4:$FX$15,1,FALSE)=GG251,VLOOKUP(GH251,$FX$4:$FX$15,1,FALSE)=GH251,VLOOKUP(GI251,$FX$4:$FX$15,1,FALSE)=GI251),FZ251,""),"")</f>
        <v/>
      </c>
    </row>
    <row r="252" ht="14.25" customHeight="1">
      <c r="FZ252" s="79" t="n">
        <v>250</v>
      </c>
      <c r="GA252" s="3">
        <f>GB252&amp;GC252&amp;GD252&amp;GE252&amp;GF252&amp;GG252&amp;GH252&amp;GI252</f>
        <v/>
      </c>
      <c r="GB252" s="3" t="inlineStr">
        <is>
          <t>H</t>
        </is>
      </c>
      <c r="GC252" s="3" t="inlineStr">
        <is>
          <t>G</t>
        </is>
      </c>
      <c r="GD252" s="3" t="inlineStr">
        <is>
          <t>F</t>
        </is>
      </c>
      <c r="GE252" s="3" t="inlineStr">
        <is>
          <t>C</t>
        </is>
      </c>
      <c r="GF252" s="3" t="inlineStr">
        <is>
          <t>A</t>
        </is>
      </c>
      <c r="GG252" s="3" t="inlineStr">
        <is>
          <t>D</t>
        </is>
      </c>
      <c r="GH252" s="3" t="inlineStr">
        <is>
          <t>I</t>
        </is>
      </c>
      <c r="GI252" s="3" t="inlineStr">
        <is>
          <t>K</t>
        </is>
      </c>
      <c r="GJ252" s="9">
        <f>VLOOKUP(GB252,$FM$3:$FN$15,2,FALSE)</f>
        <v/>
      </c>
      <c r="GK252" s="9">
        <f>VLOOKUP(GC252,$FM$3:$FN$15,2,FALSE)</f>
        <v/>
      </c>
      <c r="GL252" s="9">
        <f>VLOOKUP(GD252,$FM$3:$FN$15,2,FALSE)</f>
        <v/>
      </c>
      <c r="GM252" s="9">
        <f>VLOOKUP(GE252,$FM$3:$FN$15,2,FALSE)</f>
        <v/>
      </c>
      <c r="GN252" s="9">
        <f>VLOOKUP(GF252,$FM$3:$FN$15,2,FALSE)</f>
        <v/>
      </c>
      <c r="GO252" s="9">
        <f>VLOOKUP(GG252,$FM$3:$FN$15,2,FALSE)</f>
        <v/>
      </c>
      <c r="GP252" s="9">
        <f>VLOOKUP(GH252,$FM$3:$FN$15,2,FALSE)</f>
        <v/>
      </c>
      <c r="GQ252" s="9">
        <f>VLOOKUP(GI252,$FM$3:$FN$15,2,FALSE)</f>
        <v/>
      </c>
      <c r="GR252" s="9">
        <f>IFERROR(IF(AND(VLOOKUP(GB252,$FX$4:$FX$15,1,FALSE)=GB252,VLOOKUP(GC252,$FX$4:$FX$15,1,FALSE)=GC252,VLOOKUP(GD252,$FX$4:$FX$15,1,FALSE)=GD252,VLOOKUP(GE252,$FX$4:$FX$15,1,FALSE)=GE252,VLOOKUP(GF252,$FX$4:$FX$15,1,FALSE)=GF252,VLOOKUP(GG252,$FX$4:$FX$15,1,FALSE)=GG252,VLOOKUP(GH252,$FX$4:$FX$15,1,FALSE)=GH252,VLOOKUP(GI252,$FX$4:$FX$15,1,FALSE)=GI252),FZ252,""),"")</f>
        <v/>
      </c>
    </row>
    <row r="253" ht="14.25" customHeight="1">
      <c r="FZ253" s="79" t="n">
        <v>251</v>
      </c>
      <c r="GA253" s="3">
        <f>GB253&amp;GC253&amp;GD253&amp;GE253&amp;GF253&amp;GG253&amp;GH253&amp;GI253</f>
        <v/>
      </c>
      <c r="GB253" s="3" t="inlineStr">
        <is>
          <t>H</t>
        </is>
      </c>
      <c r="GC253" s="3" t="inlineStr">
        <is>
          <t>G</t>
        </is>
      </c>
      <c r="GD253" s="3" t="inlineStr">
        <is>
          <t>J</t>
        </is>
      </c>
      <c r="GE253" s="3" t="inlineStr">
        <is>
          <t>C</t>
        </is>
      </c>
      <c r="GF253" s="3" t="inlineStr">
        <is>
          <t>A</t>
        </is>
      </c>
      <c r="GG253" s="3" t="inlineStr">
        <is>
          <t>F</t>
        </is>
      </c>
      <c r="GH253" s="3" t="inlineStr">
        <is>
          <t>D</t>
        </is>
      </c>
      <c r="GI253" s="3" t="inlineStr">
        <is>
          <t>I</t>
        </is>
      </c>
      <c r="GJ253" s="9">
        <f>VLOOKUP(GB253,$FM$3:$FN$15,2,FALSE)</f>
        <v/>
      </c>
      <c r="GK253" s="9">
        <f>VLOOKUP(GC253,$FM$3:$FN$15,2,FALSE)</f>
        <v/>
      </c>
      <c r="GL253" s="9">
        <f>VLOOKUP(GD253,$FM$3:$FN$15,2,FALSE)</f>
        <v/>
      </c>
      <c r="GM253" s="9">
        <f>VLOOKUP(GE253,$FM$3:$FN$15,2,FALSE)</f>
        <v/>
      </c>
      <c r="GN253" s="9">
        <f>VLOOKUP(GF253,$FM$3:$FN$15,2,FALSE)</f>
        <v/>
      </c>
      <c r="GO253" s="9">
        <f>VLOOKUP(GG253,$FM$3:$FN$15,2,FALSE)</f>
        <v/>
      </c>
      <c r="GP253" s="9">
        <f>VLOOKUP(GH253,$FM$3:$FN$15,2,FALSE)</f>
        <v/>
      </c>
      <c r="GQ253" s="9">
        <f>VLOOKUP(GI253,$FM$3:$FN$15,2,FALSE)</f>
        <v/>
      </c>
      <c r="GR253" s="9">
        <f>IFERROR(IF(AND(VLOOKUP(GB253,$FX$4:$FX$15,1,FALSE)=GB253,VLOOKUP(GC253,$FX$4:$FX$15,1,FALSE)=GC253,VLOOKUP(GD253,$FX$4:$FX$15,1,FALSE)=GD253,VLOOKUP(GE253,$FX$4:$FX$15,1,FALSE)=GE253,VLOOKUP(GF253,$FX$4:$FX$15,1,FALSE)=GF253,VLOOKUP(GG253,$FX$4:$FX$15,1,FALSE)=GG253,VLOOKUP(GH253,$FX$4:$FX$15,1,FALSE)=GH253,VLOOKUP(GI253,$FX$4:$FX$15,1,FALSE)=GI253),FZ253,""),"")</f>
        <v/>
      </c>
    </row>
    <row r="254" ht="14.25" customHeight="1">
      <c r="FZ254" s="79" t="n">
        <v>252</v>
      </c>
      <c r="GA254" s="3">
        <f>GB254&amp;GC254&amp;GD254&amp;GE254&amp;GF254&amp;GG254&amp;GH254&amp;GI254</f>
        <v/>
      </c>
      <c r="GB254" s="3" t="inlineStr">
        <is>
          <t>E</t>
        </is>
      </c>
      <c r="GC254" s="3" t="inlineStr">
        <is>
          <t>J</t>
        </is>
      </c>
      <c r="GD254" s="3" t="inlineStr">
        <is>
          <t>I</t>
        </is>
      </c>
      <c r="GE254" s="3" t="inlineStr">
        <is>
          <t>C</t>
        </is>
      </c>
      <c r="GF254" s="3" t="inlineStr">
        <is>
          <t>A</t>
        </is>
      </c>
      <c r="GG254" s="3" t="inlineStr">
        <is>
          <t>D</t>
        </is>
      </c>
      <c r="GH254" s="3" t="inlineStr">
        <is>
          <t>L</t>
        </is>
      </c>
      <c r="GI254" s="3" t="inlineStr">
        <is>
          <t>K</t>
        </is>
      </c>
      <c r="GJ254" s="9">
        <f>VLOOKUP(GB254,$FM$3:$FN$15,2,FALSE)</f>
        <v/>
      </c>
      <c r="GK254" s="9">
        <f>VLOOKUP(GC254,$FM$3:$FN$15,2,FALSE)</f>
        <v/>
      </c>
      <c r="GL254" s="9">
        <f>VLOOKUP(GD254,$FM$3:$FN$15,2,FALSE)</f>
        <v/>
      </c>
      <c r="GM254" s="9">
        <f>VLOOKUP(GE254,$FM$3:$FN$15,2,FALSE)</f>
        <v/>
      </c>
      <c r="GN254" s="9">
        <f>VLOOKUP(GF254,$FM$3:$FN$15,2,FALSE)</f>
        <v/>
      </c>
      <c r="GO254" s="9">
        <f>VLOOKUP(GG254,$FM$3:$FN$15,2,FALSE)</f>
        <v/>
      </c>
      <c r="GP254" s="9">
        <f>VLOOKUP(GH254,$FM$3:$FN$15,2,FALSE)</f>
        <v/>
      </c>
      <c r="GQ254" s="9">
        <f>VLOOKUP(GI254,$FM$3:$FN$15,2,FALSE)</f>
        <v/>
      </c>
      <c r="GR254" s="9">
        <f>IFERROR(IF(AND(VLOOKUP(GB254,$FX$4:$FX$15,1,FALSE)=GB254,VLOOKUP(GC254,$FX$4:$FX$15,1,FALSE)=GC254,VLOOKUP(GD254,$FX$4:$FX$15,1,FALSE)=GD254,VLOOKUP(GE254,$FX$4:$FX$15,1,FALSE)=GE254,VLOOKUP(GF254,$FX$4:$FX$15,1,FALSE)=GF254,VLOOKUP(GG254,$FX$4:$FX$15,1,FALSE)=GG254,VLOOKUP(GH254,$FX$4:$FX$15,1,FALSE)=GH254,VLOOKUP(GI254,$FX$4:$FX$15,1,FALSE)=GI254),FZ254,""),"")</f>
        <v/>
      </c>
    </row>
    <row r="255" ht="14.25" customHeight="1">
      <c r="FZ255" s="79" t="n">
        <v>253</v>
      </c>
      <c r="GA255" s="3">
        <f>GB255&amp;GC255&amp;GD255&amp;GE255&amp;GF255&amp;GG255&amp;GH255&amp;GI255</f>
        <v/>
      </c>
      <c r="GB255" s="3" t="inlineStr">
        <is>
          <t>H</t>
        </is>
      </c>
      <c r="GC255" s="3" t="inlineStr">
        <is>
          <t>J</t>
        </is>
      </c>
      <c r="GD255" s="3" t="inlineStr">
        <is>
          <t>E</t>
        </is>
      </c>
      <c r="GE255" s="3" t="inlineStr">
        <is>
          <t>C</t>
        </is>
      </c>
      <c r="GF255" s="3" t="inlineStr">
        <is>
          <t>A</t>
        </is>
      </c>
      <c r="GG255" s="3" t="inlineStr">
        <is>
          <t>D</t>
        </is>
      </c>
      <c r="GH255" s="3" t="inlineStr">
        <is>
          <t>L</t>
        </is>
      </c>
      <c r="GI255" s="3" t="inlineStr">
        <is>
          <t>K</t>
        </is>
      </c>
      <c r="GJ255" s="9">
        <f>VLOOKUP(GB255,$FM$3:$FN$15,2,FALSE)</f>
        <v/>
      </c>
      <c r="GK255" s="9">
        <f>VLOOKUP(GC255,$FM$3:$FN$15,2,FALSE)</f>
        <v/>
      </c>
      <c r="GL255" s="9">
        <f>VLOOKUP(GD255,$FM$3:$FN$15,2,FALSE)</f>
        <v/>
      </c>
      <c r="GM255" s="9">
        <f>VLOOKUP(GE255,$FM$3:$FN$15,2,FALSE)</f>
        <v/>
      </c>
      <c r="GN255" s="9">
        <f>VLOOKUP(GF255,$FM$3:$FN$15,2,FALSE)</f>
        <v/>
      </c>
      <c r="GO255" s="9">
        <f>VLOOKUP(GG255,$FM$3:$FN$15,2,FALSE)</f>
        <v/>
      </c>
      <c r="GP255" s="9">
        <f>VLOOKUP(GH255,$FM$3:$FN$15,2,FALSE)</f>
        <v/>
      </c>
      <c r="GQ255" s="9">
        <f>VLOOKUP(GI255,$FM$3:$FN$15,2,FALSE)</f>
        <v/>
      </c>
      <c r="GR255" s="9">
        <f>IFERROR(IF(AND(VLOOKUP(GB255,$FX$4:$FX$15,1,FALSE)=GB255,VLOOKUP(GC255,$FX$4:$FX$15,1,FALSE)=GC255,VLOOKUP(GD255,$FX$4:$FX$15,1,FALSE)=GD255,VLOOKUP(GE255,$FX$4:$FX$15,1,FALSE)=GE255,VLOOKUP(GF255,$FX$4:$FX$15,1,FALSE)=GF255,VLOOKUP(GG255,$FX$4:$FX$15,1,FALSE)=GG255,VLOOKUP(GH255,$FX$4:$FX$15,1,FALSE)=GH255,VLOOKUP(GI255,$FX$4:$FX$15,1,FALSE)=GI255),FZ255,""),"")</f>
        <v/>
      </c>
    </row>
    <row r="256" ht="14.25" customHeight="1">
      <c r="FZ256" s="79" t="n">
        <v>254</v>
      </c>
      <c r="GA256" s="3">
        <f>GB256&amp;GC256&amp;GD256&amp;GE256&amp;GF256&amp;GG256&amp;GH256&amp;GI256</f>
        <v/>
      </c>
      <c r="GB256" s="3" t="inlineStr">
        <is>
          <t>H</t>
        </is>
      </c>
      <c r="GC256" s="3" t="inlineStr">
        <is>
          <t>E</t>
        </is>
      </c>
      <c r="GD256" s="3" t="inlineStr">
        <is>
          <t>I</t>
        </is>
      </c>
      <c r="GE256" s="3" t="inlineStr">
        <is>
          <t>C</t>
        </is>
      </c>
      <c r="GF256" s="3" t="inlineStr">
        <is>
          <t>A</t>
        </is>
      </c>
      <c r="GG256" s="3" t="inlineStr">
        <is>
          <t>D</t>
        </is>
      </c>
      <c r="GH256" s="3" t="inlineStr">
        <is>
          <t>L</t>
        </is>
      </c>
      <c r="GI256" s="3" t="inlineStr">
        <is>
          <t>K</t>
        </is>
      </c>
      <c r="GJ256" s="9">
        <f>VLOOKUP(GB256,$FM$3:$FN$15,2,FALSE)</f>
        <v/>
      </c>
      <c r="GK256" s="9">
        <f>VLOOKUP(GC256,$FM$3:$FN$15,2,FALSE)</f>
        <v/>
      </c>
      <c r="GL256" s="9">
        <f>VLOOKUP(GD256,$FM$3:$FN$15,2,FALSE)</f>
        <v/>
      </c>
      <c r="GM256" s="9">
        <f>VLOOKUP(GE256,$FM$3:$FN$15,2,FALSE)</f>
        <v/>
      </c>
      <c r="GN256" s="9">
        <f>VLOOKUP(GF256,$FM$3:$FN$15,2,FALSE)</f>
        <v/>
      </c>
      <c r="GO256" s="9">
        <f>VLOOKUP(GG256,$FM$3:$FN$15,2,FALSE)</f>
        <v/>
      </c>
      <c r="GP256" s="9">
        <f>VLOOKUP(GH256,$FM$3:$FN$15,2,FALSE)</f>
        <v/>
      </c>
      <c r="GQ256" s="9">
        <f>VLOOKUP(GI256,$FM$3:$FN$15,2,FALSE)</f>
        <v/>
      </c>
      <c r="GR256" s="9">
        <f>IFERROR(IF(AND(VLOOKUP(GB256,$FX$4:$FX$15,1,FALSE)=GB256,VLOOKUP(GC256,$FX$4:$FX$15,1,FALSE)=GC256,VLOOKUP(GD256,$FX$4:$FX$15,1,FALSE)=GD256,VLOOKUP(GE256,$FX$4:$FX$15,1,FALSE)=GE256,VLOOKUP(GF256,$FX$4:$FX$15,1,FALSE)=GF256,VLOOKUP(GG256,$FX$4:$FX$15,1,FALSE)=GG256,VLOOKUP(GH256,$FX$4:$FX$15,1,FALSE)=GH256,VLOOKUP(GI256,$FX$4:$FX$15,1,FALSE)=GI256),FZ256,""),"")</f>
        <v/>
      </c>
    </row>
    <row r="257" ht="14.25" customHeight="1">
      <c r="FZ257" s="79" t="n">
        <v>255</v>
      </c>
      <c r="GA257" s="3">
        <f>GB257&amp;GC257&amp;GD257&amp;GE257&amp;GF257&amp;GG257&amp;GH257&amp;GI257</f>
        <v/>
      </c>
      <c r="GB257" s="3" t="inlineStr">
        <is>
          <t>H</t>
        </is>
      </c>
      <c r="GC257" s="3" t="inlineStr">
        <is>
          <t>J</t>
        </is>
      </c>
      <c r="GD257" s="3" t="inlineStr">
        <is>
          <t>E</t>
        </is>
      </c>
      <c r="GE257" s="3" t="inlineStr">
        <is>
          <t>C</t>
        </is>
      </c>
      <c r="GF257" s="3" t="inlineStr">
        <is>
          <t>A</t>
        </is>
      </c>
      <c r="GG257" s="3" t="inlineStr">
        <is>
          <t>D</t>
        </is>
      </c>
      <c r="GH257" s="3" t="inlineStr">
        <is>
          <t>L</t>
        </is>
      </c>
      <c r="GI257" s="3" t="inlineStr">
        <is>
          <t>I</t>
        </is>
      </c>
      <c r="GJ257" s="9">
        <f>VLOOKUP(GB257,$FM$3:$FN$15,2,FALSE)</f>
        <v/>
      </c>
      <c r="GK257" s="9">
        <f>VLOOKUP(GC257,$FM$3:$FN$15,2,FALSE)</f>
        <v/>
      </c>
      <c r="GL257" s="9">
        <f>VLOOKUP(GD257,$FM$3:$FN$15,2,FALSE)</f>
        <v/>
      </c>
      <c r="GM257" s="9">
        <f>VLOOKUP(GE257,$FM$3:$FN$15,2,FALSE)</f>
        <v/>
      </c>
      <c r="GN257" s="9">
        <f>VLOOKUP(GF257,$FM$3:$FN$15,2,FALSE)</f>
        <v/>
      </c>
      <c r="GO257" s="9">
        <f>VLOOKUP(GG257,$FM$3:$FN$15,2,FALSE)</f>
        <v/>
      </c>
      <c r="GP257" s="9">
        <f>VLOOKUP(GH257,$FM$3:$FN$15,2,FALSE)</f>
        <v/>
      </c>
      <c r="GQ257" s="9">
        <f>VLOOKUP(GI257,$FM$3:$FN$15,2,FALSE)</f>
        <v/>
      </c>
      <c r="GR257" s="9">
        <f>IFERROR(IF(AND(VLOOKUP(GB257,$FX$4:$FX$15,1,FALSE)=GB257,VLOOKUP(GC257,$FX$4:$FX$15,1,FALSE)=GC257,VLOOKUP(GD257,$FX$4:$FX$15,1,FALSE)=GD257,VLOOKUP(GE257,$FX$4:$FX$15,1,FALSE)=GE257,VLOOKUP(GF257,$FX$4:$FX$15,1,FALSE)=GF257,VLOOKUP(GG257,$FX$4:$FX$15,1,FALSE)=GG257,VLOOKUP(GH257,$FX$4:$FX$15,1,FALSE)=GH257,VLOOKUP(GI257,$FX$4:$FX$15,1,FALSE)=GI257),FZ257,""),"")</f>
        <v/>
      </c>
    </row>
    <row r="258" ht="14.25" customHeight="1">
      <c r="FZ258" s="79" t="n">
        <v>256</v>
      </c>
      <c r="GA258" s="3">
        <f>GB258&amp;GC258&amp;GD258&amp;GE258&amp;GF258&amp;GG258&amp;GH258&amp;GI258</f>
        <v/>
      </c>
      <c r="GB258" s="3" t="inlineStr">
        <is>
          <t>H</t>
        </is>
      </c>
      <c r="GC258" s="3" t="inlineStr">
        <is>
          <t>J</t>
        </is>
      </c>
      <c r="GD258" s="3" t="inlineStr">
        <is>
          <t>E</t>
        </is>
      </c>
      <c r="GE258" s="3" t="inlineStr">
        <is>
          <t>C</t>
        </is>
      </c>
      <c r="GF258" s="3" t="inlineStr">
        <is>
          <t>A</t>
        </is>
      </c>
      <c r="GG258" s="3" t="inlineStr">
        <is>
          <t>D</t>
        </is>
      </c>
      <c r="GH258" s="3" t="inlineStr">
        <is>
          <t>I</t>
        </is>
      </c>
      <c r="GI258" s="3" t="inlineStr">
        <is>
          <t>K</t>
        </is>
      </c>
      <c r="GJ258" s="9">
        <f>VLOOKUP(GB258,$FM$3:$FN$15,2,FALSE)</f>
        <v/>
      </c>
      <c r="GK258" s="9">
        <f>VLOOKUP(GC258,$FM$3:$FN$15,2,FALSE)</f>
        <v/>
      </c>
      <c r="GL258" s="9">
        <f>VLOOKUP(GD258,$FM$3:$FN$15,2,FALSE)</f>
        <v/>
      </c>
      <c r="GM258" s="9">
        <f>VLOOKUP(GE258,$FM$3:$FN$15,2,FALSE)</f>
        <v/>
      </c>
      <c r="GN258" s="9">
        <f>VLOOKUP(GF258,$FM$3:$FN$15,2,FALSE)</f>
        <v/>
      </c>
      <c r="GO258" s="9">
        <f>VLOOKUP(GG258,$FM$3:$FN$15,2,FALSE)</f>
        <v/>
      </c>
      <c r="GP258" s="9">
        <f>VLOOKUP(GH258,$FM$3:$FN$15,2,FALSE)</f>
        <v/>
      </c>
      <c r="GQ258" s="9">
        <f>VLOOKUP(GI258,$FM$3:$FN$15,2,FALSE)</f>
        <v/>
      </c>
      <c r="GR258" s="9">
        <f>IFERROR(IF(AND(VLOOKUP(GB258,$FX$4:$FX$15,1,FALSE)=GB258,VLOOKUP(GC258,$FX$4:$FX$15,1,FALSE)=GC258,VLOOKUP(GD258,$FX$4:$FX$15,1,FALSE)=GD258,VLOOKUP(GE258,$FX$4:$FX$15,1,FALSE)=GE258,VLOOKUP(GF258,$FX$4:$FX$15,1,FALSE)=GF258,VLOOKUP(GG258,$FX$4:$FX$15,1,FALSE)=GG258,VLOOKUP(GH258,$FX$4:$FX$15,1,FALSE)=GH258,VLOOKUP(GI258,$FX$4:$FX$15,1,FALSE)=GI258),FZ258,""),"")</f>
        <v/>
      </c>
    </row>
    <row r="259" ht="14.25" customHeight="1">
      <c r="FZ259" s="79" t="n">
        <v>257</v>
      </c>
      <c r="GA259" s="3">
        <f>GB259&amp;GC259&amp;GD259&amp;GE259&amp;GF259&amp;GG259&amp;GH259&amp;GI259</f>
        <v/>
      </c>
      <c r="GB259" s="3" t="inlineStr">
        <is>
          <t>E</t>
        </is>
      </c>
      <c r="GC259" s="3" t="inlineStr">
        <is>
          <t>G</t>
        </is>
      </c>
      <c r="GD259" s="3" t="inlineStr">
        <is>
          <t>J</t>
        </is>
      </c>
      <c r="GE259" s="3" t="inlineStr">
        <is>
          <t>C</t>
        </is>
      </c>
      <c r="GF259" s="3" t="inlineStr">
        <is>
          <t>A</t>
        </is>
      </c>
      <c r="GG259" s="3" t="inlineStr">
        <is>
          <t>D</t>
        </is>
      </c>
      <c r="GH259" s="3" t="inlineStr">
        <is>
          <t>L</t>
        </is>
      </c>
      <c r="GI259" s="3" t="inlineStr">
        <is>
          <t>K</t>
        </is>
      </c>
      <c r="GJ259" s="9">
        <f>VLOOKUP(GB259,$FM$3:$FN$15,2,FALSE)</f>
        <v/>
      </c>
      <c r="GK259" s="9">
        <f>VLOOKUP(GC259,$FM$3:$FN$15,2,FALSE)</f>
        <v/>
      </c>
      <c r="GL259" s="9">
        <f>VLOOKUP(GD259,$FM$3:$FN$15,2,FALSE)</f>
        <v/>
      </c>
      <c r="GM259" s="9">
        <f>VLOOKUP(GE259,$FM$3:$FN$15,2,FALSE)</f>
        <v/>
      </c>
      <c r="GN259" s="9">
        <f>VLOOKUP(GF259,$FM$3:$FN$15,2,FALSE)</f>
        <v/>
      </c>
      <c r="GO259" s="9">
        <f>VLOOKUP(GG259,$FM$3:$FN$15,2,FALSE)</f>
        <v/>
      </c>
      <c r="GP259" s="9">
        <f>VLOOKUP(GH259,$FM$3:$FN$15,2,FALSE)</f>
        <v/>
      </c>
      <c r="GQ259" s="9">
        <f>VLOOKUP(GI259,$FM$3:$FN$15,2,FALSE)</f>
        <v/>
      </c>
      <c r="GR259" s="9">
        <f>IFERROR(IF(AND(VLOOKUP(GB259,$FX$4:$FX$15,1,FALSE)=GB259,VLOOKUP(GC259,$FX$4:$FX$15,1,FALSE)=GC259,VLOOKUP(GD259,$FX$4:$FX$15,1,FALSE)=GD259,VLOOKUP(GE259,$FX$4:$FX$15,1,FALSE)=GE259,VLOOKUP(GF259,$FX$4:$FX$15,1,FALSE)=GF259,VLOOKUP(GG259,$FX$4:$FX$15,1,FALSE)=GG259,VLOOKUP(GH259,$FX$4:$FX$15,1,FALSE)=GH259,VLOOKUP(GI259,$FX$4:$FX$15,1,FALSE)=GI259),FZ259,""),"")</f>
        <v/>
      </c>
    </row>
    <row r="260" ht="14.25" customHeight="1">
      <c r="FZ260" s="79" t="n">
        <v>258</v>
      </c>
      <c r="GA260" s="3">
        <f>GB260&amp;GC260&amp;GD260&amp;GE260&amp;GF260&amp;GG260&amp;GH260&amp;GI260</f>
        <v/>
      </c>
      <c r="GB260" s="3" t="inlineStr">
        <is>
          <t>E</t>
        </is>
      </c>
      <c r="GC260" s="3" t="inlineStr">
        <is>
          <t>G</t>
        </is>
      </c>
      <c r="GD260" s="3" t="inlineStr">
        <is>
          <t>I</t>
        </is>
      </c>
      <c r="GE260" s="3" t="inlineStr">
        <is>
          <t>C</t>
        </is>
      </c>
      <c r="GF260" s="3" t="inlineStr">
        <is>
          <t>A</t>
        </is>
      </c>
      <c r="GG260" s="3" t="inlineStr">
        <is>
          <t>D</t>
        </is>
      </c>
      <c r="GH260" s="3" t="inlineStr">
        <is>
          <t>L</t>
        </is>
      </c>
      <c r="GI260" s="3" t="inlineStr">
        <is>
          <t>K</t>
        </is>
      </c>
      <c r="GJ260" s="9">
        <f>VLOOKUP(GB260,$FM$3:$FN$15,2,FALSE)</f>
        <v/>
      </c>
      <c r="GK260" s="9">
        <f>VLOOKUP(GC260,$FM$3:$FN$15,2,FALSE)</f>
        <v/>
      </c>
      <c r="GL260" s="9">
        <f>VLOOKUP(GD260,$FM$3:$FN$15,2,FALSE)</f>
        <v/>
      </c>
      <c r="GM260" s="9">
        <f>VLOOKUP(GE260,$FM$3:$FN$15,2,FALSE)</f>
        <v/>
      </c>
      <c r="GN260" s="9">
        <f>VLOOKUP(GF260,$FM$3:$FN$15,2,FALSE)</f>
        <v/>
      </c>
      <c r="GO260" s="9">
        <f>VLOOKUP(GG260,$FM$3:$FN$15,2,FALSE)</f>
        <v/>
      </c>
      <c r="GP260" s="9">
        <f>VLOOKUP(GH260,$FM$3:$FN$15,2,FALSE)</f>
        <v/>
      </c>
      <c r="GQ260" s="9">
        <f>VLOOKUP(GI260,$FM$3:$FN$15,2,FALSE)</f>
        <v/>
      </c>
      <c r="GR260" s="9">
        <f>IFERROR(IF(AND(VLOOKUP(GB260,$FX$4:$FX$15,1,FALSE)=GB260,VLOOKUP(GC260,$FX$4:$FX$15,1,FALSE)=GC260,VLOOKUP(GD260,$FX$4:$FX$15,1,FALSE)=GD260,VLOOKUP(GE260,$FX$4:$FX$15,1,FALSE)=GE260,VLOOKUP(GF260,$FX$4:$FX$15,1,FALSE)=GF260,VLOOKUP(GG260,$FX$4:$FX$15,1,FALSE)=GG260,VLOOKUP(GH260,$FX$4:$FX$15,1,FALSE)=GH260,VLOOKUP(GI260,$FX$4:$FX$15,1,FALSE)=GI260),FZ260,""),"")</f>
        <v/>
      </c>
    </row>
    <row r="261" ht="14.25" customHeight="1">
      <c r="FZ261" s="79" t="n">
        <v>259</v>
      </c>
      <c r="GA261" s="3">
        <f>GB261&amp;GC261&amp;GD261&amp;GE261&amp;GF261&amp;GG261&amp;GH261&amp;GI261</f>
        <v/>
      </c>
      <c r="GB261" s="3" t="inlineStr">
        <is>
          <t>E</t>
        </is>
      </c>
      <c r="GC261" s="3" t="inlineStr">
        <is>
          <t>G</t>
        </is>
      </c>
      <c r="GD261" s="3" t="inlineStr">
        <is>
          <t>J</t>
        </is>
      </c>
      <c r="GE261" s="3" t="inlineStr">
        <is>
          <t>C</t>
        </is>
      </c>
      <c r="GF261" s="3" t="inlineStr">
        <is>
          <t>A</t>
        </is>
      </c>
      <c r="GG261" s="3" t="inlineStr">
        <is>
          <t>D</t>
        </is>
      </c>
      <c r="GH261" s="3" t="inlineStr">
        <is>
          <t>L</t>
        </is>
      </c>
      <c r="GI261" s="3" t="inlineStr">
        <is>
          <t>I</t>
        </is>
      </c>
      <c r="GJ261" s="9">
        <f>VLOOKUP(GB261,$FM$3:$FN$15,2,FALSE)</f>
        <v/>
      </c>
      <c r="GK261" s="9">
        <f>VLOOKUP(GC261,$FM$3:$FN$15,2,FALSE)</f>
        <v/>
      </c>
      <c r="GL261" s="9">
        <f>VLOOKUP(GD261,$FM$3:$FN$15,2,FALSE)</f>
        <v/>
      </c>
      <c r="GM261" s="9">
        <f>VLOOKUP(GE261,$FM$3:$FN$15,2,FALSE)</f>
        <v/>
      </c>
      <c r="GN261" s="9">
        <f>VLOOKUP(GF261,$FM$3:$FN$15,2,FALSE)</f>
        <v/>
      </c>
      <c r="GO261" s="9">
        <f>VLOOKUP(GG261,$FM$3:$FN$15,2,FALSE)</f>
        <v/>
      </c>
      <c r="GP261" s="9">
        <f>VLOOKUP(GH261,$FM$3:$FN$15,2,FALSE)</f>
        <v/>
      </c>
      <c r="GQ261" s="9">
        <f>VLOOKUP(GI261,$FM$3:$FN$15,2,FALSE)</f>
        <v/>
      </c>
      <c r="GR261" s="9">
        <f>IFERROR(IF(AND(VLOOKUP(GB261,$FX$4:$FX$15,1,FALSE)=GB261,VLOOKUP(GC261,$FX$4:$FX$15,1,FALSE)=GC261,VLOOKUP(GD261,$FX$4:$FX$15,1,FALSE)=GD261,VLOOKUP(GE261,$FX$4:$FX$15,1,FALSE)=GE261,VLOOKUP(GF261,$FX$4:$FX$15,1,FALSE)=GF261,VLOOKUP(GG261,$FX$4:$FX$15,1,FALSE)=GG261,VLOOKUP(GH261,$FX$4:$FX$15,1,FALSE)=GH261,VLOOKUP(GI261,$FX$4:$FX$15,1,FALSE)=GI261),FZ261,""),"")</f>
        <v/>
      </c>
    </row>
    <row r="262" ht="14.25" customHeight="1">
      <c r="FZ262" s="79" t="n">
        <v>260</v>
      </c>
      <c r="GA262" s="3">
        <f>GB262&amp;GC262&amp;GD262&amp;GE262&amp;GF262&amp;GG262&amp;GH262&amp;GI262</f>
        <v/>
      </c>
      <c r="GB262" s="3" t="inlineStr">
        <is>
          <t>E</t>
        </is>
      </c>
      <c r="GC262" s="3" t="inlineStr">
        <is>
          <t>G</t>
        </is>
      </c>
      <c r="GD262" s="3" t="inlineStr">
        <is>
          <t>J</t>
        </is>
      </c>
      <c r="GE262" s="3" t="inlineStr">
        <is>
          <t>C</t>
        </is>
      </c>
      <c r="GF262" s="3" t="inlineStr">
        <is>
          <t>A</t>
        </is>
      </c>
      <c r="GG262" s="3" t="inlineStr">
        <is>
          <t>D</t>
        </is>
      </c>
      <c r="GH262" s="3" t="inlineStr">
        <is>
          <t>I</t>
        </is>
      </c>
      <c r="GI262" s="3" t="inlineStr">
        <is>
          <t>K</t>
        </is>
      </c>
      <c r="GJ262" s="9">
        <f>VLOOKUP(GB262,$FM$3:$FN$15,2,FALSE)</f>
        <v/>
      </c>
      <c r="GK262" s="9">
        <f>VLOOKUP(GC262,$FM$3:$FN$15,2,FALSE)</f>
        <v/>
      </c>
      <c r="GL262" s="9">
        <f>VLOOKUP(GD262,$FM$3:$FN$15,2,FALSE)</f>
        <v/>
      </c>
      <c r="GM262" s="9">
        <f>VLOOKUP(GE262,$FM$3:$FN$15,2,FALSE)</f>
        <v/>
      </c>
      <c r="GN262" s="9">
        <f>VLOOKUP(GF262,$FM$3:$FN$15,2,FALSE)</f>
        <v/>
      </c>
      <c r="GO262" s="9">
        <f>VLOOKUP(GG262,$FM$3:$FN$15,2,FALSE)</f>
        <v/>
      </c>
      <c r="GP262" s="9">
        <f>VLOOKUP(GH262,$FM$3:$FN$15,2,FALSE)</f>
        <v/>
      </c>
      <c r="GQ262" s="9">
        <f>VLOOKUP(GI262,$FM$3:$FN$15,2,FALSE)</f>
        <v/>
      </c>
      <c r="GR262" s="9">
        <f>IFERROR(IF(AND(VLOOKUP(GB262,$FX$4:$FX$15,1,FALSE)=GB262,VLOOKUP(GC262,$FX$4:$FX$15,1,FALSE)=GC262,VLOOKUP(GD262,$FX$4:$FX$15,1,FALSE)=GD262,VLOOKUP(GE262,$FX$4:$FX$15,1,FALSE)=GE262,VLOOKUP(GF262,$FX$4:$FX$15,1,FALSE)=GF262,VLOOKUP(GG262,$FX$4:$FX$15,1,FALSE)=GG262,VLOOKUP(GH262,$FX$4:$FX$15,1,FALSE)=GH262,VLOOKUP(GI262,$FX$4:$FX$15,1,FALSE)=GI262),FZ262,""),"")</f>
        <v/>
      </c>
    </row>
    <row r="263" ht="14.25" customHeight="1">
      <c r="FZ263" s="79" t="n">
        <v>261</v>
      </c>
      <c r="GA263" s="3">
        <f>GB263&amp;GC263&amp;GD263&amp;GE263&amp;GF263&amp;GG263&amp;GH263&amp;GI263</f>
        <v/>
      </c>
      <c r="GB263" s="3" t="inlineStr">
        <is>
          <t>H</t>
        </is>
      </c>
      <c r="GC263" s="3" t="inlineStr">
        <is>
          <t>G</t>
        </is>
      </c>
      <c r="GD263" s="3" t="inlineStr">
        <is>
          <t>E</t>
        </is>
      </c>
      <c r="GE263" s="3" t="inlineStr">
        <is>
          <t>C</t>
        </is>
      </c>
      <c r="GF263" s="3" t="inlineStr">
        <is>
          <t>A</t>
        </is>
      </c>
      <c r="GG263" s="3" t="inlineStr">
        <is>
          <t>D</t>
        </is>
      </c>
      <c r="GH263" s="3" t="inlineStr">
        <is>
          <t>L</t>
        </is>
      </c>
      <c r="GI263" s="3" t="inlineStr">
        <is>
          <t>K</t>
        </is>
      </c>
      <c r="GJ263" s="9">
        <f>VLOOKUP(GB263,$FM$3:$FN$15,2,FALSE)</f>
        <v/>
      </c>
      <c r="GK263" s="9">
        <f>VLOOKUP(GC263,$FM$3:$FN$15,2,FALSE)</f>
        <v/>
      </c>
      <c r="GL263" s="9">
        <f>VLOOKUP(GD263,$FM$3:$FN$15,2,FALSE)</f>
        <v/>
      </c>
      <c r="GM263" s="9">
        <f>VLOOKUP(GE263,$FM$3:$FN$15,2,FALSE)</f>
        <v/>
      </c>
      <c r="GN263" s="9">
        <f>VLOOKUP(GF263,$FM$3:$FN$15,2,FALSE)</f>
        <v/>
      </c>
      <c r="GO263" s="9">
        <f>VLOOKUP(GG263,$FM$3:$FN$15,2,FALSE)</f>
        <v/>
      </c>
      <c r="GP263" s="9">
        <f>VLOOKUP(GH263,$FM$3:$FN$15,2,FALSE)</f>
        <v/>
      </c>
      <c r="GQ263" s="9">
        <f>VLOOKUP(GI263,$FM$3:$FN$15,2,FALSE)</f>
        <v/>
      </c>
      <c r="GR263" s="9">
        <f>IFERROR(IF(AND(VLOOKUP(GB263,$FX$4:$FX$15,1,FALSE)=GB263,VLOOKUP(GC263,$FX$4:$FX$15,1,FALSE)=GC263,VLOOKUP(GD263,$FX$4:$FX$15,1,FALSE)=GD263,VLOOKUP(GE263,$FX$4:$FX$15,1,FALSE)=GE263,VLOOKUP(GF263,$FX$4:$FX$15,1,FALSE)=GF263,VLOOKUP(GG263,$FX$4:$FX$15,1,FALSE)=GG263,VLOOKUP(GH263,$FX$4:$FX$15,1,FALSE)=GH263,VLOOKUP(GI263,$FX$4:$FX$15,1,FALSE)=GI263),FZ263,""),"")</f>
        <v/>
      </c>
    </row>
    <row r="264" ht="14.25" customHeight="1">
      <c r="FZ264" s="79" t="n">
        <v>262</v>
      </c>
      <c r="GA264" s="3">
        <f>GB264&amp;GC264&amp;GD264&amp;GE264&amp;GF264&amp;GG264&amp;GH264&amp;GI264</f>
        <v/>
      </c>
      <c r="GB264" s="3" t="inlineStr">
        <is>
          <t>H</t>
        </is>
      </c>
      <c r="GC264" s="3" t="inlineStr">
        <is>
          <t>G</t>
        </is>
      </c>
      <c r="GD264" s="3" t="inlineStr">
        <is>
          <t>J</t>
        </is>
      </c>
      <c r="GE264" s="3" t="inlineStr">
        <is>
          <t>C</t>
        </is>
      </c>
      <c r="GF264" s="3" t="inlineStr">
        <is>
          <t>A</t>
        </is>
      </c>
      <c r="GG264" s="3" t="inlineStr">
        <is>
          <t>D</t>
        </is>
      </c>
      <c r="GH264" s="3" t="inlineStr">
        <is>
          <t>L</t>
        </is>
      </c>
      <c r="GI264" s="3" t="inlineStr">
        <is>
          <t>E</t>
        </is>
      </c>
      <c r="GJ264" s="9">
        <f>VLOOKUP(GB264,$FM$3:$FN$15,2,FALSE)</f>
        <v/>
      </c>
      <c r="GK264" s="9">
        <f>VLOOKUP(GC264,$FM$3:$FN$15,2,FALSE)</f>
        <v/>
      </c>
      <c r="GL264" s="9">
        <f>VLOOKUP(GD264,$FM$3:$FN$15,2,FALSE)</f>
        <v/>
      </c>
      <c r="GM264" s="9">
        <f>VLOOKUP(GE264,$FM$3:$FN$15,2,FALSE)</f>
        <v/>
      </c>
      <c r="GN264" s="9">
        <f>VLOOKUP(GF264,$FM$3:$FN$15,2,FALSE)</f>
        <v/>
      </c>
      <c r="GO264" s="9">
        <f>VLOOKUP(GG264,$FM$3:$FN$15,2,FALSE)</f>
        <v/>
      </c>
      <c r="GP264" s="9">
        <f>VLOOKUP(GH264,$FM$3:$FN$15,2,FALSE)</f>
        <v/>
      </c>
      <c r="GQ264" s="9">
        <f>VLOOKUP(GI264,$FM$3:$FN$15,2,FALSE)</f>
        <v/>
      </c>
      <c r="GR264" s="9">
        <f>IFERROR(IF(AND(VLOOKUP(GB264,$FX$4:$FX$15,1,FALSE)=GB264,VLOOKUP(GC264,$FX$4:$FX$15,1,FALSE)=GC264,VLOOKUP(GD264,$FX$4:$FX$15,1,FALSE)=GD264,VLOOKUP(GE264,$FX$4:$FX$15,1,FALSE)=GE264,VLOOKUP(GF264,$FX$4:$FX$15,1,FALSE)=GF264,VLOOKUP(GG264,$FX$4:$FX$15,1,FALSE)=GG264,VLOOKUP(GH264,$FX$4:$FX$15,1,FALSE)=GH264,VLOOKUP(GI264,$FX$4:$FX$15,1,FALSE)=GI264),FZ264,""),"")</f>
        <v/>
      </c>
    </row>
    <row r="265" ht="14.25" customHeight="1">
      <c r="FZ265" s="79" t="n">
        <v>263</v>
      </c>
      <c r="GA265" s="3">
        <f>GB265&amp;GC265&amp;GD265&amp;GE265&amp;GF265&amp;GG265&amp;GH265&amp;GI265</f>
        <v/>
      </c>
      <c r="GB265" s="3" t="inlineStr">
        <is>
          <t>H</t>
        </is>
      </c>
      <c r="GC265" s="3" t="inlineStr">
        <is>
          <t>G</t>
        </is>
      </c>
      <c r="GD265" s="3" t="inlineStr">
        <is>
          <t>J</t>
        </is>
      </c>
      <c r="GE265" s="3" t="inlineStr">
        <is>
          <t>C</t>
        </is>
      </c>
      <c r="GF265" s="3" t="inlineStr">
        <is>
          <t>A</t>
        </is>
      </c>
      <c r="GG265" s="3" t="inlineStr">
        <is>
          <t>D</t>
        </is>
      </c>
      <c r="GH265" s="3" t="inlineStr">
        <is>
          <t>E</t>
        </is>
      </c>
      <c r="GI265" s="3" t="inlineStr">
        <is>
          <t>K</t>
        </is>
      </c>
      <c r="GJ265" s="9">
        <f>VLOOKUP(GB265,$FM$3:$FN$15,2,FALSE)</f>
        <v/>
      </c>
      <c r="GK265" s="9">
        <f>VLOOKUP(GC265,$FM$3:$FN$15,2,FALSE)</f>
        <v/>
      </c>
      <c r="GL265" s="9">
        <f>VLOOKUP(GD265,$FM$3:$FN$15,2,FALSE)</f>
        <v/>
      </c>
      <c r="GM265" s="9">
        <f>VLOOKUP(GE265,$FM$3:$FN$15,2,FALSE)</f>
        <v/>
      </c>
      <c r="GN265" s="9">
        <f>VLOOKUP(GF265,$FM$3:$FN$15,2,FALSE)</f>
        <v/>
      </c>
      <c r="GO265" s="9">
        <f>VLOOKUP(GG265,$FM$3:$FN$15,2,FALSE)</f>
        <v/>
      </c>
      <c r="GP265" s="9">
        <f>VLOOKUP(GH265,$FM$3:$FN$15,2,FALSE)</f>
        <v/>
      </c>
      <c r="GQ265" s="9">
        <f>VLOOKUP(GI265,$FM$3:$FN$15,2,FALSE)</f>
        <v/>
      </c>
      <c r="GR265" s="9">
        <f>IFERROR(IF(AND(VLOOKUP(GB265,$FX$4:$FX$15,1,FALSE)=GB265,VLOOKUP(GC265,$FX$4:$FX$15,1,FALSE)=GC265,VLOOKUP(GD265,$FX$4:$FX$15,1,FALSE)=GD265,VLOOKUP(GE265,$FX$4:$FX$15,1,FALSE)=GE265,VLOOKUP(GF265,$FX$4:$FX$15,1,FALSE)=GF265,VLOOKUP(GG265,$FX$4:$FX$15,1,FALSE)=GG265,VLOOKUP(GH265,$FX$4:$FX$15,1,FALSE)=GH265,VLOOKUP(GI265,$FX$4:$FX$15,1,FALSE)=GI265),FZ265,""),"")</f>
        <v/>
      </c>
    </row>
    <row r="266" ht="14.25" customHeight="1">
      <c r="FZ266" s="79" t="n">
        <v>264</v>
      </c>
      <c r="GA266" s="3">
        <f>GB266&amp;GC266&amp;GD266&amp;GE266&amp;GF266&amp;GG266&amp;GH266&amp;GI266</f>
        <v/>
      </c>
      <c r="GB266" s="3" t="inlineStr">
        <is>
          <t>H</t>
        </is>
      </c>
      <c r="GC266" s="3" t="inlineStr">
        <is>
          <t>G</t>
        </is>
      </c>
      <c r="GD266" s="3" t="inlineStr">
        <is>
          <t>E</t>
        </is>
      </c>
      <c r="GE266" s="3" t="inlineStr">
        <is>
          <t>C</t>
        </is>
      </c>
      <c r="GF266" s="3" t="inlineStr">
        <is>
          <t>A</t>
        </is>
      </c>
      <c r="GG266" s="3" t="inlineStr">
        <is>
          <t>D</t>
        </is>
      </c>
      <c r="GH266" s="3" t="inlineStr">
        <is>
          <t>L</t>
        </is>
      </c>
      <c r="GI266" s="3" t="inlineStr">
        <is>
          <t>I</t>
        </is>
      </c>
      <c r="GJ266" s="9">
        <f>VLOOKUP(GB266,$FM$3:$FN$15,2,FALSE)</f>
        <v/>
      </c>
      <c r="GK266" s="9">
        <f>VLOOKUP(GC266,$FM$3:$FN$15,2,FALSE)</f>
        <v/>
      </c>
      <c r="GL266" s="9">
        <f>VLOOKUP(GD266,$FM$3:$FN$15,2,FALSE)</f>
        <v/>
      </c>
      <c r="GM266" s="9">
        <f>VLOOKUP(GE266,$FM$3:$FN$15,2,FALSE)</f>
        <v/>
      </c>
      <c r="GN266" s="9">
        <f>VLOOKUP(GF266,$FM$3:$FN$15,2,FALSE)</f>
        <v/>
      </c>
      <c r="GO266" s="9">
        <f>VLOOKUP(GG266,$FM$3:$FN$15,2,FALSE)</f>
        <v/>
      </c>
      <c r="GP266" s="9">
        <f>VLOOKUP(GH266,$FM$3:$FN$15,2,FALSE)</f>
        <v/>
      </c>
      <c r="GQ266" s="9">
        <f>VLOOKUP(GI266,$FM$3:$FN$15,2,FALSE)</f>
        <v/>
      </c>
      <c r="GR266" s="9">
        <f>IFERROR(IF(AND(VLOOKUP(GB266,$FX$4:$FX$15,1,FALSE)=GB266,VLOOKUP(GC266,$FX$4:$FX$15,1,FALSE)=GC266,VLOOKUP(GD266,$FX$4:$FX$15,1,FALSE)=GD266,VLOOKUP(GE266,$FX$4:$FX$15,1,FALSE)=GE266,VLOOKUP(GF266,$FX$4:$FX$15,1,FALSE)=GF266,VLOOKUP(GG266,$FX$4:$FX$15,1,FALSE)=GG266,VLOOKUP(GH266,$FX$4:$FX$15,1,FALSE)=GH266,VLOOKUP(GI266,$FX$4:$FX$15,1,FALSE)=GI266),FZ266,""),"")</f>
        <v/>
      </c>
    </row>
    <row r="267" ht="14.25" customHeight="1">
      <c r="FZ267" s="79" t="n">
        <v>265</v>
      </c>
      <c r="GA267" s="3">
        <f>GB267&amp;GC267&amp;GD267&amp;GE267&amp;GF267&amp;GG267&amp;GH267&amp;GI267</f>
        <v/>
      </c>
      <c r="GB267" s="3" t="inlineStr">
        <is>
          <t>H</t>
        </is>
      </c>
      <c r="GC267" s="3" t="inlineStr">
        <is>
          <t>G</t>
        </is>
      </c>
      <c r="GD267" s="3" t="inlineStr">
        <is>
          <t>E</t>
        </is>
      </c>
      <c r="GE267" s="3" t="inlineStr">
        <is>
          <t>C</t>
        </is>
      </c>
      <c r="GF267" s="3" t="inlineStr">
        <is>
          <t>A</t>
        </is>
      </c>
      <c r="GG267" s="3" t="inlineStr">
        <is>
          <t>D</t>
        </is>
      </c>
      <c r="GH267" s="3" t="inlineStr">
        <is>
          <t>I</t>
        </is>
      </c>
      <c r="GI267" s="3" t="inlineStr">
        <is>
          <t>K</t>
        </is>
      </c>
      <c r="GJ267" s="9">
        <f>VLOOKUP(GB267,$FM$3:$FN$15,2,FALSE)</f>
        <v/>
      </c>
      <c r="GK267" s="9">
        <f>VLOOKUP(GC267,$FM$3:$FN$15,2,FALSE)</f>
        <v/>
      </c>
      <c r="GL267" s="9">
        <f>VLOOKUP(GD267,$FM$3:$FN$15,2,FALSE)</f>
        <v/>
      </c>
      <c r="GM267" s="9">
        <f>VLOOKUP(GE267,$FM$3:$FN$15,2,FALSE)</f>
        <v/>
      </c>
      <c r="GN267" s="9">
        <f>VLOOKUP(GF267,$FM$3:$FN$15,2,FALSE)</f>
        <v/>
      </c>
      <c r="GO267" s="9">
        <f>VLOOKUP(GG267,$FM$3:$FN$15,2,FALSE)</f>
        <v/>
      </c>
      <c r="GP267" s="9">
        <f>VLOOKUP(GH267,$FM$3:$FN$15,2,FALSE)</f>
        <v/>
      </c>
      <c r="GQ267" s="9">
        <f>VLOOKUP(GI267,$FM$3:$FN$15,2,FALSE)</f>
        <v/>
      </c>
      <c r="GR267" s="9">
        <f>IFERROR(IF(AND(VLOOKUP(GB267,$FX$4:$FX$15,1,FALSE)=GB267,VLOOKUP(GC267,$FX$4:$FX$15,1,FALSE)=GC267,VLOOKUP(GD267,$FX$4:$FX$15,1,FALSE)=GD267,VLOOKUP(GE267,$FX$4:$FX$15,1,FALSE)=GE267,VLOOKUP(GF267,$FX$4:$FX$15,1,FALSE)=GF267,VLOOKUP(GG267,$FX$4:$FX$15,1,FALSE)=GG267,VLOOKUP(GH267,$FX$4:$FX$15,1,FALSE)=GH267,VLOOKUP(GI267,$FX$4:$FX$15,1,FALSE)=GI267),FZ267,""),"")</f>
        <v/>
      </c>
    </row>
    <row r="268" ht="14.25" customHeight="1">
      <c r="FZ268" s="79" t="n">
        <v>266</v>
      </c>
      <c r="GA268" s="3">
        <f>GB268&amp;GC268&amp;GD268&amp;GE268&amp;GF268&amp;GG268&amp;GH268&amp;GI268</f>
        <v/>
      </c>
      <c r="GB268" s="3" t="inlineStr">
        <is>
          <t>H</t>
        </is>
      </c>
      <c r="GC268" s="3" t="inlineStr">
        <is>
          <t>G</t>
        </is>
      </c>
      <c r="GD268" s="3" t="inlineStr">
        <is>
          <t>J</t>
        </is>
      </c>
      <c r="GE268" s="3" t="inlineStr">
        <is>
          <t>C</t>
        </is>
      </c>
      <c r="GF268" s="3" t="inlineStr">
        <is>
          <t>A</t>
        </is>
      </c>
      <c r="GG268" s="3" t="inlineStr">
        <is>
          <t>D</t>
        </is>
      </c>
      <c r="GH268" s="3" t="inlineStr">
        <is>
          <t>E</t>
        </is>
      </c>
      <c r="GI268" s="3" t="inlineStr">
        <is>
          <t>I</t>
        </is>
      </c>
      <c r="GJ268" s="9">
        <f>VLOOKUP(GB268,$FM$3:$FN$15,2,FALSE)</f>
        <v/>
      </c>
      <c r="GK268" s="9">
        <f>VLOOKUP(GC268,$FM$3:$FN$15,2,FALSE)</f>
        <v/>
      </c>
      <c r="GL268" s="9">
        <f>VLOOKUP(GD268,$FM$3:$FN$15,2,FALSE)</f>
        <v/>
      </c>
      <c r="GM268" s="9">
        <f>VLOOKUP(GE268,$FM$3:$FN$15,2,FALSE)</f>
        <v/>
      </c>
      <c r="GN268" s="9">
        <f>VLOOKUP(GF268,$FM$3:$FN$15,2,FALSE)</f>
        <v/>
      </c>
      <c r="GO268" s="9">
        <f>VLOOKUP(GG268,$FM$3:$FN$15,2,FALSE)</f>
        <v/>
      </c>
      <c r="GP268" s="9">
        <f>VLOOKUP(GH268,$FM$3:$FN$15,2,FALSE)</f>
        <v/>
      </c>
      <c r="GQ268" s="9">
        <f>VLOOKUP(GI268,$FM$3:$FN$15,2,FALSE)</f>
        <v/>
      </c>
      <c r="GR268" s="9">
        <f>IFERROR(IF(AND(VLOOKUP(GB268,$FX$4:$FX$15,1,FALSE)=GB268,VLOOKUP(GC268,$FX$4:$FX$15,1,FALSE)=GC268,VLOOKUP(GD268,$FX$4:$FX$15,1,FALSE)=GD268,VLOOKUP(GE268,$FX$4:$FX$15,1,FALSE)=GE268,VLOOKUP(GF268,$FX$4:$FX$15,1,FALSE)=GF268,VLOOKUP(GG268,$FX$4:$FX$15,1,FALSE)=GG268,VLOOKUP(GH268,$FX$4:$FX$15,1,FALSE)=GH268,VLOOKUP(GI268,$FX$4:$FX$15,1,FALSE)=GI268),FZ268,""),"")</f>
        <v/>
      </c>
    </row>
    <row r="269" ht="14.25" customHeight="1">
      <c r="FZ269" s="79" t="n">
        <v>267</v>
      </c>
      <c r="GA269" s="3">
        <f>GB269&amp;GC269&amp;GD269&amp;GE269&amp;GF269&amp;GG269&amp;GH269&amp;GI269</f>
        <v/>
      </c>
      <c r="GB269" s="3" t="inlineStr">
        <is>
          <t>C</t>
        </is>
      </c>
      <c r="GC269" s="3" t="inlineStr">
        <is>
          <t>J</t>
        </is>
      </c>
      <c r="GD269" s="3" t="inlineStr">
        <is>
          <t>E</t>
        </is>
      </c>
      <c r="GE269" s="3" t="inlineStr">
        <is>
          <t>D</t>
        </is>
      </c>
      <c r="GF269" s="3" t="inlineStr">
        <is>
          <t>A</t>
        </is>
      </c>
      <c r="GG269" s="3" t="inlineStr">
        <is>
          <t>F</t>
        </is>
      </c>
      <c r="GH269" s="3" t="inlineStr">
        <is>
          <t>L</t>
        </is>
      </c>
      <c r="GI269" s="3" t="inlineStr">
        <is>
          <t>K</t>
        </is>
      </c>
      <c r="GJ269" s="9">
        <f>VLOOKUP(GB269,$FM$3:$FN$15,2,FALSE)</f>
        <v/>
      </c>
      <c r="GK269" s="9">
        <f>VLOOKUP(GC269,$FM$3:$FN$15,2,FALSE)</f>
        <v/>
      </c>
      <c r="GL269" s="9">
        <f>VLOOKUP(GD269,$FM$3:$FN$15,2,FALSE)</f>
        <v/>
      </c>
      <c r="GM269" s="9">
        <f>VLOOKUP(GE269,$FM$3:$FN$15,2,FALSE)</f>
        <v/>
      </c>
      <c r="GN269" s="9">
        <f>VLOOKUP(GF269,$FM$3:$FN$15,2,FALSE)</f>
        <v/>
      </c>
      <c r="GO269" s="9">
        <f>VLOOKUP(GG269,$FM$3:$FN$15,2,FALSE)</f>
        <v/>
      </c>
      <c r="GP269" s="9">
        <f>VLOOKUP(GH269,$FM$3:$FN$15,2,FALSE)</f>
        <v/>
      </c>
      <c r="GQ269" s="9">
        <f>VLOOKUP(GI269,$FM$3:$FN$15,2,FALSE)</f>
        <v/>
      </c>
      <c r="GR269" s="9">
        <f>IFERROR(IF(AND(VLOOKUP(GB269,$FX$4:$FX$15,1,FALSE)=GB269,VLOOKUP(GC269,$FX$4:$FX$15,1,FALSE)=GC269,VLOOKUP(GD269,$FX$4:$FX$15,1,FALSE)=GD269,VLOOKUP(GE269,$FX$4:$FX$15,1,FALSE)=GE269,VLOOKUP(GF269,$FX$4:$FX$15,1,FALSE)=GF269,VLOOKUP(GG269,$FX$4:$FX$15,1,FALSE)=GG269,VLOOKUP(GH269,$FX$4:$FX$15,1,FALSE)=GH269,VLOOKUP(GI269,$FX$4:$FX$15,1,FALSE)=GI269),FZ269,""),"")</f>
        <v/>
      </c>
    </row>
    <row r="270" ht="14.25" customHeight="1">
      <c r="FZ270" s="79" t="n">
        <v>268</v>
      </c>
      <c r="GA270" s="3">
        <f>GB270&amp;GC270&amp;GD270&amp;GE270&amp;GF270&amp;GG270&amp;GH270&amp;GI270</f>
        <v/>
      </c>
      <c r="GB270" s="3" t="inlineStr">
        <is>
          <t>C</t>
        </is>
      </c>
      <c r="GC270" s="3" t="inlineStr">
        <is>
          <t>E</t>
        </is>
      </c>
      <c r="GD270" s="3" t="inlineStr">
        <is>
          <t>I</t>
        </is>
      </c>
      <c r="GE270" s="3" t="inlineStr">
        <is>
          <t>D</t>
        </is>
      </c>
      <c r="GF270" s="3" t="inlineStr">
        <is>
          <t>A</t>
        </is>
      </c>
      <c r="GG270" s="3" t="inlineStr">
        <is>
          <t>F</t>
        </is>
      </c>
      <c r="GH270" s="3" t="inlineStr">
        <is>
          <t>L</t>
        </is>
      </c>
      <c r="GI270" s="3" t="inlineStr">
        <is>
          <t>K</t>
        </is>
      </c>
      <c r="GJ270" s="9">
        <f>VLOOKUP(GB270,$FM$3:$FN$15,2,FALSE)</f>
        <v/>
      </c>
      <c r="GK270" s="9">
        <f>VLOOKUP(GC270,$FM$3:$FN$15,2,FALSE)</f>
        <v/>
      </c>
      <c r="GL270" s="9">
        <f>VLOOKUP(GD270,$FM$3:$FN$15,2,FALSE)</f>
        <v/>
      </c>
      <c r="GM270" s="9">
        <f>VLOOKUP(GE270,$FM$3:$FN$15,2,FALSE)</f>
        <v/>
      </c>
      <c r="GN270" s="9">
        <f>VLOOKUP(GF270,$FM$3:$FN$15,2,FALSE)</f>
        <v/>
      </c>
      <c r="GO270" s="9">
        <f>VLOOKUP(GG270,$FM$3:$FN$15,2,FALSE)</f>
        <v/>
      </c>
      <c r="GP270" s="9">
        <f>VLOOKUP(GH270,$FM$3:$FN$15,2,FALSE)</f>
        <v/>
      </c>
      <c r="GQ270" s="9">
        <f>VLOOKUP(GI270,$FM$3:$FN$15,2,FALSE)</f>
        <v/>
      </c>
      <c r="GR270" s="9">
        <f>IFERROR(IF(AND(VLOOKUP(GB270,$FX$4:$FX$15,1,FALSE)=GB270,VLOOKUP(GC270,$FX$4:$FX$15,1,FALSE)=GC270,VLOOKUP(GD270,$FX$4:$FX$15,1,FALSE)=GD270,VLOOKUP(GE270,$FX$4:$FX$15,1,FALSE)=GE270,VLOOKUP(GF270,$FX$4:$FX$15,1,FALSE)=GF270,VLOOKUP(GG270,$FX$4:$FX$15,1,FALSE)=GG270,VLOOKUP(GH270,$FX$4:$FX$15,1,FALSE)=GH270,VLOOKUP(GI270,$FX$4:$FX$15,1,FALSE)=GI270),FZ270,""),"")</f>
        <v/>
      </c>
    </row>
    <row r="271" ht="14.25" customHeight="1">
      <c r="FZ271" s="79" t="n">
        <v>269</v>
      </c>
      <c r="GA271" s="3">
        <f>GB271&amp;GC271&amp;GD271&amp;GE271&amp;GF271&amp;GG271&amp;GH271&amp;GI271</f>
        <v/>
      </c>
      <c r="GB271" s="3" t="inlineStr">
        <is>
          <t>C</t>
        </is>
      </c>
      <c r="GC271" s="3" t="inlineStr">
        <is>
          <t>J</t>
        </is>
      </c>
      <c r="GD271" s="3" t="inlineStr">
        <is>
          <t>E</t>
        </is>
      </c>
      <c r="GE271" s="3" t="inlineStr">
        <is>
          <t>D</t>
        </is>
      </c>
      <c r="GF271" s="3" t="inlineStr">
        <is>
          <t>A</t>
        </is>
      </c>
      <c r="GG271" s="3" t="inlineStr">
        <is>
          <t>F</t>
        </is>
      </c>
      <c r="GH271" s="3" t="inlineStr">
        <is>
          <t>L</t>
        </is>
      </c>
      <c r="GI271" s="3" t="inlineStr">
        <is>
          <t>I</t>
        </is>
      </c>
      <c r="GJ271" s="9">
        <f>VLOOKUP(GB271,$FM$3:$FN$15,2,FALSE)</f>
        <v/>
      </c>
      <c r="GK271" s="9">
        <f>VLOOKUP(GC271,$FM$3:$FN$15,2,FALSE)</f>
        <v/>
      </c>
      <c r="GL271" s="9">
        <f>VLOOKUP(GD271,$FM$3:$FN$15,2,FALSE)</f>
        <v/>
      </c>
      <c r="GM271" s="9">
        <f>VLOOKUP(GE271,$FM$3:$FN$15,2,FALSE)</f>
        <v/>
      </c>
      <c r="GN271" s="9">
        <f>VLOOKUP(GF271,$FM$3:$FN$15,2,FALSE)</f>
        <v/>
      </c>
      <c r="GO271" s="9">
        <f>VLOOKUP(GG271,$FM$3:$FN$15,2,FALSE)</f>
        <v/>
      </c>
      <c r="GP271" s="9">
        <f>VLOOKUP(GH271,$FM$3:$FN$15,2,FALSE)</f>
        <v/>
      </c>
      <c r="GQ271" s="9">
        <f>VLOOKUP(GI271,$FM$3:$FN$15,2,FALSE)</f>
        <v/>
      </c>
      <c r="GR271" s="9">
        <f>IFERROR(IF(AND(VLOOKUP(GB271,$FX$4:$FX$15,1,FALSE)=GB271,VLOOKUP(GC271,$FX$4:$FX$15,1,FALSE)=GC271,VLOOKUP(GD271,$FX$4:$FX$15,1,FALSE)=GD271,VLOOKUP(GE271,$FX$4:$FX$15,1,FALSE)=GE271,VLOOKUP(GF271,$FX$4:$FX$15,1,FALSE)=GF271,VLOOKUP(GG271,$FX$4:$FX$15,1,FALSE)=GG271,VLOOKUP(GH271,$FX$4:$FX$15,1,FALSE)=GH271,VLOOKUP(GI271,$FX$4:$FX$15,1,FALSE)=GI271),FZ271,""),"")</f>
        <v/>
      </c>
    </row>
    <row r="272" ht="14.25" customHeight="1">
      <c r="FZ272" s="79" t="n">
        <v>270</v>
      </c>
      <c r="GA272" s="3">
        <f>GB272&amp;GC272&amp;GD272&amp;GE272&amp;GF272&amp;GG272&amp;GH272&amp;GI272</f>
        <v/>
      </c>
      <c r="GB272" s="3" t="inlineStr">
        <is>
          <t>C</t>
        </is>
      </c>
      <c r="GC272" s="3" t="inlineStr">
        <is>
          <t>J</t>
        </is>
      </c>
      <c r="GD272" s="3" t="inlineStr">
        <is>
          <t>E</t>
        </is>
      </c>
      <c r="GE272" s="3" t="inlineStr">
        <is>
          <t>D</t>
        </is>
      </c>
      <c r="GF272" s="3" t="inlineStr">
        <is>
          <t>A</t>
        </is>
      </c>
      <c r="GG272" s="3" t="inlineStr">
        <is>
          <t>F</t>
        </is>
      </c>
      <c r="GH272" s="3" t="inlineStr">
        <is>
          <t>I</t>
        </is>
      </c>
      <c r="GI272" s="3" t="inlineStr">
        <is>
          <t>K</t>
        </is>
      </c>
      <c r="GJ272" s="9">
        <f>VLOOKUP(GB272,$FM$3:$FN$15,2,FALSE)</f>
        <v/>
      </c>
      <c r="GK272" s="9">
        <f>VLOOKUP(GC272,$FM$3:$FN$15,2,FALSE)</f>
        <v/>
      </c>
      <c r="GL272" s="9">
        <f>VLOOKUP(GD272,$FM$3:$FN$15,2,FALSE)</f>
        <v/>
      </c>
      <c r="GM272" s="9">
        <f>VLOOKUP(GE272,$FM$3:$FN$15,2,FALSE)</f>
        <v/>
      </c>
      <c r="GN272" s="9">
        <f>VLOOKUP(GF272,$FM$3:$FN$15,2,FALSE)</f>
        <v/>
      </c>
      <c r="GO272" s="9">
        <f>VLOOKUP(GG272,$FM$3:$FN$15,2,FALSE)</f>
        <v/>
      </c>
      <c r="GP272" s="9">
        <f>VLOOKUP(GH272,$FM$3:$FN$15,2,FALSE)</f>
        <v/>
      </c>
      <c r="GQ272" s="9">
        <f>VLOOKUP(GI272,$FM$3:$FN$15,2,FALSE)</f>
        <v/>
      </c>
      <c r="GR272" s="9">
        <f>IFERROR(IF(AND(VLOOKUP(GB272,$FX$4:$FX$15,1,FALSE)=GB272,VLOOKUP(GC272,$FX$4:$FX$15,1,FALSE)=GC272,VLOOKUP(GD272,$FX$4:$FX$15,1,FALSE)=GD272,VLOOKUP(GE272,$FX$4:$FX$15,1,FALSE)=GE272,VLOOKUP(GF272,$FX$4:$FX$15,1,FALSE)=GF272,VLOOKUP(GG272,$FX$4:$FX$15,1,FALSE)=GG272,VLOOKUP(GH272,$FX$4:$FX$15,1,FALSE)=GH272,VLOOKUP(GI272,$FX$4:$FX$15,1,FALSE)=GI272),FZ272,""),"")</f>
        <v/>
      </c>
    </row>
    <row r="273" ht="14.25" customHeight="1">
      <c r="FZ273" s="79" t="n">
        <v>271</v>
      </c>
      <c r="GA273" s="3">
        <f>GB273&amp;GC273&amp;GD273&amp;GE273&amp;GF273&amp;GG273&amp;GH273&amp;GI273</f>
        <v/>
      </c>
      <c r="GB273" s="3" t="inlineStr">
        <is>
          <t>H</t>
        </is>
      </c>
      <c r="GC273" s="3" t="inlineStr">
        <is>
          <t>E</t>
        </is>
      </c>
      <c r="GD273" s="3" t="inlineStr">
        <is>
          <t>F</t>
        </is>
      </c>
      <c r="GE273" s="3" t="inlineStr">
        <is>
          <t>C</t>
        </is>
      </c>
      <c r="GF273" s="3" t="inlineStr">
        <is>
          <t>A</t>
        </is>
      </c>
      <c r="GG273" s="3" t="inlineStr">
        <is>
          <t>D</t>
        </is>
      </c>
      <c r="GH273" s="3" t="inlineStr">
        <is>
          <t>L</t>
        </is>
      </c>
      <c r="GI273" s="3" t="inlineStr">
        <is>
          <t>K</t>
        </is>
      </c>
      <c r="GJ273" s="9">
        <f>VLOOKUP(GB273,$FM$3:$FN$15,2,FALSE)</f>
        <v/>
      </c>
      <c r="GK273" s="9">
        <f>VLOOKUP(GC273,$FM$3:$FN$15,2,FALSE)</f>
        <v/>
      </c>
      <c r="GL273" s="9">
        <f>VLOOKUP(GD273,$FM$3:$FN$15,2,FALSE)</f>
        <v/>
      </c>
      <c r="GM273" s="9">
        <f>VLOOKUP(GE273,$FM$3:$FN$15,2,FALSE)</f>
        <v/>
      </c>
      <c r="GN273" s="9">
        <f>VLOOKUP(GF273,$FM$3:$FN$15,2,FALSE)</f>
        <v/>
      </c>
      <c r="GO273" s="9">
        <f>VLOOKUP(GG273,$FM$3:$FN$15,2,FALSE)</f>
        <v/>
      </c>
      <c r="GP273" s="9">
        <f>VLOOKUP(GH273,$FM$3:$FN$15,2,FALSE)</f>
        <v/>
      </c>
      <c r="GQ273" s="9">
        <f>VLOOKUP(GI273,$FM$3:$FN$15,2,FALSE)</f>
        <v/>
      </c>
      <c r="GR273" s="9">
        <f>IFERROR(IF(AND(VLOOKUP(GB273,$FX$4:$FX$15,1,FALSE)=GB273,VLOOKUP(GC273,$FX$4:$FX$15,1,FALSE)=GC273,VLOOKUP(GD273,$FX$4:$FX$15,1,FALSE)=GD273,VLOOKUP(GE273,$FX$4:$FX$15,1,FALSE)=GE273,VLOOKUP(GF273,$FX$4:$FX$15,1,FALSE)=GF273,VLOOKUP(GG273,$FX$4:$FX$15,1,FALSE)=GG273,VLOOKUP(GH273,$FX$4:$FX$15,1,FALSE)=GH273,VLOOKUP(GI273,$FX$4:$FX$15,1,FALSE)=GI273),FZ273,""),"")</f>
        <v/>
      </c>
    </row>
    <row r="274" ht="14.25" customHeight="1">
      <c r="FZ274" s="79" t="n">
        <v>272</v>
      </c>
      <c r="GA274" s="3">
        <f>GB274&amp;GC274&amp;GD274&amp;GE274&amp;GF274&amp;GG274&amp;GH274&amp;GI274</f>
        <v/>
      </c>
      <c r="GB274" s="3" t="inlineStr">
        <is>
          <t>H</t>
        </is>
      </c>
      <c r="GC274" s="3" t="inlineStr">
        <is>
          <t>J</t>
        </is>
      </c>
      <c r="GD274" s="3" t="inlineStr">
        <is>
          <t>F</t>
        </is>
      </c>
      <c r="GE274" s="3" t="inlineStr">
        <is>
          <t>C</t>
        </is>
      </c>
      <c r="GF274" s="3" t="inlineStr">
        <is>
          <t>A</t>
        </is>
      </c>
      <c r="GG274" s="3" t="inlineStr">
        <is>
          <t>D</t>
        </is>
      </c>
      <c r="GH274" s="3" t="inlineStr">
        <is>
          <t>L</t>
        </is>
      </c>
      <c r="GI274" s="3" t="inlineStr">
        <is>
          <t>E</t>
        </is>
      </c>
      <c r="GJ274" s="9">
        <f>VLOOKUP(GB274,$FM$3:$FN$15,2,FALSE)</f>
        <v/>
      </c>
      <c r="GK274" s="9">
        <f>VLOOKUP(GC274,$FM$3:$FN$15,2,FALSE)</f>
        <v/>
      </c>
      <c r="GL274" s="9">
        <f>VLOOKUP(GD274,$FM$3:$FN$15,2,FALSE)</f>
        <v/>
      </c>
      <c r="GM274" s="9">
        <f>VLOOKUP(GE274,$FM$3:$FN$15,2,FALSE)</f>
        <v/>
      </c>
      <c r="GN274" s="9">
        <f>VLOOKUP(GF274,$FM$3:$FN$15,2,FALSE)</f>
        <v/>
      </c>
      <c r="GO274" s="9">
        <f>VLOOKUP(GG274,$FM$3:$FN$15,2,FALSE)</f>
        <v/>
      </c>
      <c r="GP274" s="9">
        <f>VLOOKUP(GH274,$FM$3:$FN$15,2,FALSE)</f>
        <v/>
      </c>
      <c r="GQ274" s="9">
        <f>VLOOKUP(GI274,$FM$3:$FN$15,2,FALSE)</f>
        <v/>
      </c>
      <c r="GR274" s="9">
        <f>IFERROR(IF(AND(VLOOKUP(GB274,$FX$4:$FX$15,1,FALSE)=GB274,VLOOKUP(GC274,$FX$4:$FX$15,1,FALSE)=GC274,VLOOKUP(GD274,$FX$4:$FX$15,1,FALSE)=GD274,VLOOKUP(GE274,$FX$4:$FX$15,1,FALSE)=GE274,VLOOKUP(GF274,$FX$4:$FX$15,1,FALSE)=GF274,VLOOKUP(GG274,$FX$4:$FX$15,1,FALSE)=GG274,VLOOKUP(GH274,$FX$4:$FX$15,1,FALSE)=GH274,VLOOKUP(GI274,$FX$4:$FX$15,1,FALSE)=GI274),FZ274,""),"")</f>
        <v/>
      </c>
    </row>
    <row r="275" ht="14.25" customHeight="1">
      <c r="FZ275" s="79" t="n">
        <v>273</v>
      </c>
      <c r="GA275" s="3">
        <f>GB275&amp;GC275&amp;GD275&amp;GE275&amp;GF275&amp;GG275&amp;GH275&amp;GI275</f>
        <v/>
      </c>
      <c r="GB275" s="3" t="inlineStr">
        <is>
          <t>H</t>
        </is>
      </c>
      <c r="GC275" s="3" t="inlineStr">
        <is>
          <t>J</t>
        </is>
      </c>
      <c r="GD275" s="3" t="inlineStr">
        <is>
          <t>E</t>
        </is>
      </c>
      <c r="GE275" s="3" t="inlineStr">
        <is>
          <t>C</t>
        </is>
      </c>
      <c r="GF275" s="3" t="inlineStr">
        <is>
          <t>A</t>
        </is>
      </c>
      <c r="GG275" s="3" t="inlineStr">
        <is>
          <t>F</t>
        </is>
      </c>
      <c r="GH275" s="3" t="inlineStr">
        <is>
          <t>D</t>
        </is>
      </c>
      <c r="GI275" s="3" t="inlineStr">
        <is>
          <t>K</t>
        </is>
      </c>
      <c r="GJ275" s="9">
        <f>VLOOKUP(GB275,$FM$3:$FN$15,2,FALSE)</f>
        <v/>
      </c>
      <c r="GK275" s="9">
        <f>VLOOKUP(GC275,$FM$3:$FN$15,2,FALSE)</f>
        <v/>
      </c>
      <c r="GL275" s="9">
        <f>VLOOKUP(GD275,$FM$3:$FN$15,2,FALSE)</f>
        <v/>
      </c>
      <c r="GM275" s="9">
        <f>VLOOKUP(GE275,$FM$3:$FN$15,2,FALSE)</f>
        <v/>
      </c>
      <c r="GN275" s="9">
        <f>VLOOKUP(GF275,$FM$3:$FN$15,2,FALSE)</f>
        <v/>
      </c>
      <c r="GO275" s="9">
        <f>VLOOKUP(GG275,$FM$3:$FN$15,2,FALSE)</f>
        <v/>
      </c>
      <c r="GP275" s="9">
        <f>VLOOKUP(GH275,$FM$3:$FN$15,2,FALSE)</f>
        <v/>
      </c>
      <c r="GQ275" s="9">
        <f>VLOOKUP(GI275,$FM$3:$FN$15,2,FALSE)</f>
        <v/>
      </c>
      <c r="GR275" s="9">
        <f>IFERROR(IF(AND(VLOOKUP(GB275,$FX$4:$FX$15,1,FALSE)=GB275,VLOOKUP(GC275,$FX$4:$FX$15,1,FALSE)=GC275,VLOOKUP(GD275,$FX$4:$FX$15,1,FALSE)=GD275,VLOOKUP(GE275,$FX$4:$FX$15,1,FALSE)=GE275,VLOOKUP(GF275,$FX$4:$FX$15,1,FALSE)=GF275,VLOOKUP(GG275,$FX$4:$FX$15,1,FALSE)=GG275,VLOOKUP(GH275,$FX$4:$FX$15,1,FALSE)=GH275,VLOOKUP(GI275,$FX$4:$FX$15,1,FALSE)=GI275),FZ275,""),"")</f>
        <v/>
      </c>
    </row>
    <row r="276" ht="14.25" customHeight="1">
      <c r="FZ276" s="79" t="n">
        <v>274</v>
      </c>
      <c r="GA276" s="3">
        <f>GB276&amp;GC276&amp;GD276&amp;GE276&amp;GF276&amp;GG276&amp;GH276&amp;GI276</f>
        <v/>
      </c>
      <c r="GB276" s="3" t="inlineStr">
        <is>
          <t>H</t>
        </is>
      </c>
      <c r="GC276" s="3" t="inlineStr">
        <is>
          <t>E</t>
        </is>
      </c>
      <c r="GD276" s="3" t="inlineStr">
        <is>
          <t>F</t>
        </is>
      </c>
      <c r="GE276" s="3" t="inlineStr">
        <is>
          <t>C</t>
        </is>
      </c>
      <c r="GF276" s="3" t="inlineStr">
        <is>
          <t>A</t>
        </is>
      </c>
      <c r="GG276" s="3" t="inlineStr">
        <is>
          <t>D</t>
        </is>
      </c>
      <c r="GH276" s="3" t="inlineStr">
        <is>
          <t>L</t>
        </is>
      </c>
      <c r="GI276" s="3" t="inlineStr">
        <is>
          <t>I</t>
        </is>
      </c>
      <c r="GJ276" s="9">
        <f>VLOOKUP(GB276,$FM$3:$FN$15,2,FALSE)</f>
        <v/>
      </c>
      <c r="GK276" s="9">
        <f>VLOOKUP(GC276,$FM$3:$FN$15,2,FALSE)</f>
        <v/>
      </c>
      <c r="GL276" s="9">
        <f>VLOOKUP(GD276,$FM$3:$FN$15,2,FALSE)</f>
        <v/>
      </c>
      <c r="GM276" s="9">
        <f>VLOOKUP(GE276,$FM$3:$FN$15,2,FALSE)</f>
        <v/>
      </c>
      <c r="GN276" s="9">
        <f>VLOOKUP(GF276,$FM$3:$FN$15,2,FALSE)</f>
        <v/>
      </c>
      <c r="GO276" s="9">
        <f>VLOOKUP(GG276,$FM$3:$FN$15,2,FALSE)</f>
        <v/>
      </c>
      <c r="GP276" s="9">
        <f>VLOOKUP(GH276,$FM$3:$FN$15,2,FALSE)</f>
        <v/>
      </c>
      <c r="GQ276" s="9">
        <f>VLOOKUP(GI276,$FM$3:$FN$15,2,FALSE)</f>
        <v/>
      </c>
      <c r="GR276" s="9">
        <f>IFERROR(IF(AND(VLOOKUP(GB276,$FX$4:$FX$15,1,FALSE)=GB276,VLOOKUP(GC276,$FX$4:$FX$15,1,FALSE)=GC276,VLOOKUP(GD276,$FX$4:$FX$15,1,FALSE)=GD276,VLOOKUP(GE276,$FX$4:$FX$15,1,FALSE)=GE276,VLOOKUP(GF276,$FX$4:$FX$15,1,FALSE)=GF276,VLOOKUP(GG276,$FX$4:$FX$15,1,FALSE)=GG276,VLOOKUP(GH276,$FX$4:$FX$15,1,FALSE)=GH276,VLOOKUP(GI276,$FX$4:$FX$15,1,FALSE)=GI276),FZ276,""),"")</f>
        <v/>
      </c>
    </row>
    <row r="277" ht="14.25" customHeight="1">
      <c r="FZ277" s="79" t="n">
        <v>275</v>
      </c>
      <c r="GA277" s="3">
        <f>GB277&amp;GC277&amp;GD277&amp;GE277&amp;GF277&amp;GG277&amp;GH277&amp;GI277</f>
        <v/>
      </c>
      <c r="GB277" s="3" t="inlineStr">
        <is>
          <t>H</t>
        </is>
      </c>
      <c r="GC277" s="3" t="inlineStr">
        <is>
          <t>E</t>
        </is>
      </c>
      <c r="GD277" s="3" t="inlineStr">
        <is>
          <t>F</t>
        </is>
      </c>
      <c r="GE277" s="3" t="inlineStr">
        <is>
          <t>C</t>
        </is>
      </c>
      <c r="GF277" s="3" t="inlineStr">
        <is>
          <t>A</t>
        </is>
      </c>
      <c r="GG277" s="3" t="inlineStr">
        <is>
          <t>D</t>
        </is>
      </c>
      <c r="GH277" s="3" t="inlineStr">
        <is>
          <t>I</t>
        </is>
      </c>
      <c r="GI277" s="3" t="inlineStr">
        <is>
          <t>K</t>
        </is>
      </c>
      <c r="GJ277" s="9">
        <f>VLOOKUP(GB277,$FM$3:$FN$15,2,FALSE)</f>
        <v/>
      </c>
      <c r="GK277" s="9">
        <f>VLOOKUP(GC277,$FM$3:$FN$15,2,FALSE)</f>
        <v/>
      </c>
      <c r="GL277" s="9">
        <f>VLOOKUP(GD277,$FM$3:$FN$15,2,FALSE)</f>
        <v/>
      </c>
      <c r="GM277" s="9">
        <f>VLOOKUP(GE277,$FM$3:$FN$15,2,FALSE)</f>
        <v/>
      </c>
      <c r="GN277" s="9">
        <f>VLOOKUP(GF277,$FM$3:$FN$15,2,FALSE)</f>
        <v/>
      </c>
      <c r="GO277" s="9">
        <f>VLOOKUP(GG277,$FM$3:$FN$15,2,FALSE)</f>
        <v/>
      </c>
      <c r="GP277" s="9">
        <f>VLOOKUP(GH277,$FM$3:$FN$15,2,FALSE)</f>
        <v/>
      </c>
      <c r="GQ277" s="9">
        <f>VLOOKUP(GI277,$FM$3:$FN$15,2,FALSE)</f>
        <v/>
      </c>
      <c r="GR277" s="9">
        <f>IFERROR(IF(AND(VLOOKUP(GB277,$FX$4:$FX$15,1,FALSE)=GB277,VLOOKUP(GC277,$FX$4:$FX$15,1,FALSE)=GC277,VLOOKUP(GD277,$FX$4:$FX$15,1,FALSE)=GD277,VLOOKUP(GE277,$FX$4:$FX$15,1,FALSE)=GE277,VLOOKUP(GF277,$FX$4:$FX$15,1,FALSE)=GF277,VLOOKUP(GG277,$FX$4:$FX$15,1,FALSE)=GG277,VLOOKUP(GH277,$FX$4:$FX$15,1,FALSE)=GH277,VLOOKUP(GI277,$FX$4:$FX$15,1,FALSE)=GI277),FZ277,""),"")</f>
        <v/>
      </c>
    </row>
    <row r="278" ht="14.25" customHeight="1">
      <c r="FZ278" s="79" t="n">
        <v>276</v>
      </c>
      <c r="GA278" s="3">
        <f>GB278&amp;GC278&amp;GD278&amp;GE278&amp;GF278&amp;GG278&amp;GH278&amp;GI278</f>
        <v/>
      </c>
      <c r="GB278" s="3" t="inlineStr">
        <is>
          <t>H</t>
        </is>
      </c>
      <c r="GC278" s="3" t="inlineStr">
        <is>
          <t>J</t>
        </is>
      </c>
      <c r="GD278" s="3" t="inlineStr">
        <is>
          <t>E</t>
        </is>
      </c>
      <c r="GE278" s="3" t="inlineStr">
        <is>
          <t>C</t>
        </is>
      </c>
      <c r="GF278" s="3" t="inlineStr">
        <is>
          <t>A</t>
        </is>
      </c>
      <c r="GG278" s="3" t="inlineStr">
        <is>
          <t>F</t>
        </is>
      </c>
      <c r="GH278" s="3" t="inlineStr">
        <is>
          <t>D</t>
        </is>
      </c>
      <c r="GI278" s="3" t="inlineStr">
        <is>
          <t>I</t>
        </is>
      </c>
      <c r="GJ278" s="9">
        <f>VLOOKUP(GB278,$FM$3:$FN$15,2,FALSE)</f>
        <v/>
      </c>
      <c r="GK278" s="9">
        <f>VLOOKUP(GC278,$FM$3:$FN$15,2,FALSE)</f>
        <v/>
      </c>
      <c r="GL278" s="9">
        <f>VLOOKUP(GD278,$FM$3:$FN$15,2,FALSE)</f>
        <v/>
      </c>
      <c r="GM278" s="9">
        <f>VLOOKUP(GE278,$FM$3:$FN$15,2,FALSE)</f>
        <v/>
      </c>
      <c r="GN278" s="9">
        <f>VLOOKUP(GF278,$FM$3:$FN$15,2,FALSE)</f>
        <v/>
      </c>
      <c r="GO278" s="9">
        <f>VLOOKUP(GG278,$FM$3:$FN$15,2,FALSE)</f>
        <v/>
      </c>
      <c r="GP278" s="9">
        <f>VLOOKUP(GH278,$FM$3:$FN$15,2,FALSE)</f>
        <v/>
      </c>
      <c r="GQ278" s="9">
        <f>VLOOKUP(GI278,$FM$3:$FN$15,2,FALSE)</f>
        <v/>
      </c>
      <c r="GR278" s="9">
        <f>IFERROR(IF(AND(VLOOKUP(GB278,$FX$4:$FX$15,1,FALSE)=GB278,VLOOKUP(GC278,$FX$4:$FX$15,1,FALSE)=GC278,VLOOKUP(GD278,$FX$4:$FX$15,1,FALSE)=GD278,VLOOKUP(GE278,$FX$4:$FX$15,1,FALSE)=GE278,VLOOKUP(GF278,$FX$4:$FX$15,1,FALSE)=GF278,VLOOKUP(GG278,$FX$4:$FX$15,1,FALSE)=GG278,VLOOKUP(GH278,$FX$4:$FX$15,1,FALSE)=GH278,VLOOKUP(GI278,$FX$4:$FX$15,1,FALSE)=GI278),FZ278,""),"")</f>
        <v/>
      </c>
    </row>
    <row r="279" ht="14.25" customHeight="1">
      <c r="FZ279" s="79" t="n">
        <v>277</v>
      </c>
      <c r="GA279" s="3">
        <f>GB279&amp;GC279&amp;GD279&amp;GE279&amp;GF279&amp;GG279&amp;GH279&amp;GI279</f>
        <v/>
      </c>
      <c r="GB279" s="3" t="inlineStr">
        <is>
          <t>C</t>
        </is>
      </c>
      <c r="GC279" s="3" t="inlineStr">
        <is>
          <t>G</t>
        </is>
      </c>
      <c r="GD279" s="3" t="inlineStr">
        <is>
          <t>E</t>
        </is>
      </c>
      <c r="GE279" s="3" t="inlineStr">
        <is>
          <t>D</t>
        </is>
      </c>
      <c r="GF279" s="3" t="inlineStr">
        <is>
          <t>A</t>
        </is>
      </c>
      <c r="GG279" s="3" t="inlineStr">
        <is>
          <t>F</t>
        </is>
      </c>
      <c r="GH279" s="3" t="inlineStr">
        <is>
          <t>L</t>
        </is>
      </c>
      <c r="GI279" s="3" t="inlineStr">
        <is>
          <t>K</t>
        </is>
      </c>
      <c r="GJ279" s="9">
        <f>VLOOKUP(GB279,$FM$3:$FN$15,2,FALSE)</f>
        <v/>
      </c>
      <c r="GK279" s="9">
        <f>VLOOKUP(GC279,$FM$3:$FN$15,2,FALSE)</f>
        <v/>
      </c>
      <c r="GL279" s="9">
        <f>VLOOKUP(GD279,$FM$3:$FN$15,2,FALSE)</f>
        <v/>
      </c>
      <c r="GM279" s="9">
        <f>VLOOKUP(GE279,$FM$3:$FN$15,2,FALSE)</f>
        <v/>
      </c>
      <c r="GN279" s="9">
        <f>VLOOKUP(GF279,$FM$3:$FN$15,2,FALSE)</f>
        <v/>
      </c>
      <c r="GO279" s="9">
        <f>VLOOKUP(GG279,$FM$3:$FN$15,2,FALSE)</f>
        <v/>
      </c>
      <c r="GP279" s="9">
        <f>VLOOKUP(GH279,$FM$3:$FN$15,2,FALSE)</f>
        <v/>
      </c>
      <c r="GQ279" s="9">
        <f>VLOOKUP(GI279,$FM$3:$FN$15,2,FALSE)</f>
        <v/>
      </c>
      <c r="GR279" s="9">
        <f>IFERROR(IF(AND(VLOOKUP(GB279,$FX$4:$FX$15,1,FALSE)=GB279,VLOOKUP(GC279,$FX$4:$FX$15,1,FALSE)=GC279,VLOOKUP(GD279,$FX$4:$FX$15,1,FALSE)=GD279,VLOOKUP(GE279,$FX$4:$FX$15,1,FALSE)=GE279,VLOOKUP(GF279,$FX$4:$FX$15,1,FALSE)=GF279,VLOOKUP(GG279,$FX$4:$FX$15,1,FALSE)=GG279,VLOOKUP(GH279,$FX$4:$FX$15,1,FALSE)=GH279,VLOOKUP(GI279,$FX$4:$FX$15,1,FALSE)=GI279),FZ279,""),"")</f>
        <v/>
      </c>
    </row>
    <row r="280" ht="14.25" customHeight="1">
      <c r="FZ280" s="79" t="n">
        <v>278</v>
      </c>
      <c r="GA280" s="3">
        <f>GB280&amp;GC280&amp;GD280&amp;GE280&amp;GF280&amp;GG280&amp;GH280&amp;GI280</f>
        <v/>
      </c>
      <c r="GB280" s="3" t="inlineStr">
        <is>
          <t>C</t>
        </is>
      </c>
      <c r="GC280" s="3" t="inlineStr">
        <is>
          <t>G</t>
        </is>
      </c>
      <c r="GD280" s="3" t="inlineStr">
        <is>
          <t>J</t>
        </is>
      </c>
      <c r="GE280" s="3" t="inlineStr">
        <is>
          <t>D</t>
        </is>
      </c>
      <c r="GF280" s="3" t="inlineStr">
        <is>
          <t>A</t>
        </is>
      </c>
      <c r="GG280" s="3" t="inlineStr">
        <is>
          <t>F</t>
        </is>
      </c>
      <c r="GH280" s="3" t="inlineStr">
        <is>
          <t>L</t>
        </is>
      </c>
      <c r="GI280" s="3" t="inlineStr">
        <is>
          <t>E</t>
        </is>
      </c>
      <c r="GJ280" s="9">
        <f>VLOOKUP(GB280,$FM$3:$FN$15,2,FALSE)</f>
        <v/>
      </c>
      <c r="GK280" s="9">
        <f>VLOOKUP(GC280,$FM$3:$FN$15,2,FALSE)</f>
        <v/>
      </c>
      <c r="GL280" s="9">
        <f>VLOOKUP(GD280,$FM$3:$FN$15,2,FALSE)</f>
        <v/>
      </c>
      <c r="GM280" s="9">
        <f>VLOOKUP(GE280,$FM$3:$FN$15,2,FALSE)</f>
        <v/>
      </c>
      <c r="GN280" s="9">
        <f>VLOOKUP(GF280,$FM$3:$FN$15,2,FALSE)</f>
        <v/>
      </c>
      <c r="GO280" s="9">
        <f>VLOOKUP(GG280,$FM$3:$FN$15,2,FALSE)</f>
        <v/>
      </c>
      <c r="GP280" s="9">
        <f>VLOOKUP(GH280,$FM$3:$FN$15,2,FALSE)</f>
        <v/>
      </c>
      <c r="GQ280" s="9">
        <f>VLOOKUP(GI280,$FM$3:$FN$15,2,FALSE)</f>
        <v/>
      </c>
      <c r="GR280" s="9">
        <f>IFERROR(IF(AND(VLOOKUP(GB280,$FX$4:$FX$15,1,FALSE)=GB280,VLOOKUP(GC280,$FX$4:$FX$15,1,FALSE)=GC280,VLOOKUP(GD280,$FX$4:$FX$15,1,FALSE)=GD280,VLOOKUP(GE280,$FX$4:$FX$15,1,FALSE)=GE280,VLOOKUP(GF280,$FX$4:$FX$15,1,FALSE)=GF280,VLOOKUP(GG280,$FX$4:$FX$15,1,FALSE)=GG280,VLOOKUP(GH280,$FX$4:$FX$15,1,FALSE)=GH280,VLOOKUP(GI280,$FX$4:$FX$15,1,FALSE)=GI280),FZ280,""),"")</f>
        <v/>
      </c>
    </row>
    <row r="281" ht="14.25" customHeight="1">
      <c r="FZ281" s="79" t="n">
        <v>279</v>
      </c>
      <c r="GA281" s="3">
        <f>GB281&amp;GC281&amp;GD281&amp;GE281&amp;GF281&amp;GG281&amp;GH281&amp;GI281</f>
        <v/>
      </c>
      <c r="GB281" s="3" t="inlineStr">
        <is>
          <t>C</t>
        </is>
      </c>
      <c r="GC281" s="3" t="inlineStr">
        <is>
          <t>G</t>
        </is>
      </c>
      <c r="GD281" s="3" t="inlineStr">
        <is>
          <t>J</t>
        </is>
      </c>
      <c r="GE281" s="3" t="inlineStr">
        <is>
          <t>D</t>
        </is>
      </c>
      <c r="GF281" s="3" t="inlineStr">
        <is>
          <t>A</t>
        </is>
      </c>
      <c r="GG281" s="3" t="inlineStr">
        <is>
          <t>F</t>
        </is>
      </c>
      <c r="GH281" s="3" t="inlineStr">
        <is>
          <t>E</t>
        </is>
      </c>
      <c r="GI281" s="3" t="inlineStr">
        <is>
          <t>K</t>
        </is>
      </c>
      <c r="GJ281" s="9">
        <f>VLOOKUP(GB281,$FM$3:$FN$15,2,FALSE)</f>
        <v/>
      </c>
      <c r="GK281" s="9">
        <f>VLOOKUP(GC281,$FM$3:$FN$15,2,FALSE)</f>
        <v/>
      </c>
      <c r="GL281" s="9">
        <f>VLOOKUP(GD281,$FM$3:$FN$15,2,FALSE)</f>
        <v/>
      </c>
      <c r="GM281" s="9">
        <f>VLOOKUP(GE281,$FM$3:$FN$15,2,FALSE)</f>
        <v/>
      </c>
      <c r="GN281" s="9">
        <f>VLOOKUP(GF281,$FM$3:$FN$15,2,FALSE)</f>
        <v/>
      </c>
      <c r="GO281" s="9">
        <f>VLOOKUP(GG281,$FM$3:$FN$15,2,FALSE)</f>
        <v/>
      </c>
      <c r="GP281" s="9">
        <f>VLOOKUP(GH281,$FM$3:$FN$15,2,FALSE)</f>
        <v/>
      </c>
      <c r="GQ281" s="9">
        <f>VLOOKUP(GI281,$FM$3:$FN$15,2,FALSE)</f>
        <v/>
      </c>
      <c r="GR281" s="9">
        <f>IFERROR(IF(AND(VLOOKUP(GB281,$FX$4:$FX$15,1,FALSE)=GB281,VLOOKUP(GC281,$FX$4:$FX$15,1,FALSE)=GC281,VLOOKUP(GD281,$FX$4:$FX$15,1,FALSE)=GD281,VLOOKUP(GE281,$FX$4:$FX$15,1,FALSE)=GE281,VLOOKUP(GF281,$FX$4:$FX$15,1,FALSE)=GF281,VLOOKUP(GG281,$FX$4:$FX$15,1,FALSE)=GG281,VLOOKUP(GH281,$FX$4:$FX$15,1,FALSE)=GH281,VLOOKUP(GI281,$FX$4:$FX$15,1,FALSE)=GI281),FZ281,""),"")</f>
        <v/>
      </c>
    </row>
    <row r="282" ht="14.25" customHeight="1">
      <c r="FZ282" s="79" t="n">
        <v>280</v>
      </c>
      <c r="GA282" s="3">
        <f>GB282&amp;GC282&amp;GD282&amp;GE282&amp;GF282&amp;GG282&amp;GH282&amp;GI282</f>
        <v/>
      </c>
      <c r="GB282" s="3" t="inlineStr">
        <is>
          <t>C</t>
        </is>
      </c>
      <c r="GC282" s="3" t="inlineStr">
        <is>
          <t>G</t>
        </is>
      </c>
      <c r="GD282" s="3" t="inlineStr">
        <is>
          <t>E</t>
        </is>
      </c>
      <c r="GE282" s="3" t="inlineStr">
        <is>
          <t>D</t>
        </is>
      </c>
      <c r="GF282" s="3" t="inlineStr">
        <is>
          <t>A</t>
        </is>
      </c>
      <c r="GG282" s="3" t="inlineStr">
        <is>
          <t>F</t>
        </is>
      </c>
      <c r="GH282" s="3" t="inlineStr">
        <is>
          <t>L</t>
        </is>
      </c>
      <c r="GI282" s="3" t="inlineStr">
        <is>
          <t>I</t>
        </is>
      </c>
      <c r="GJ282" s="9">
        <f>VLOOKUP(GB282,$FM$3:$FN$15,2,FALSE)</f>
        <v/>
      </c>
      <c r="GK282" s="9">
        <f>VLOOKUP(GC282,$FM$3:$FN$15,2,FALSE)</f>
        <v/>
      </c>
      <c r="GL282" s="9">
        <f>VLOOKUP(GD282,$FM$3:$FN$15,2,FALSE)</f>
        <v/>
      </c>
      <c r="GM282" s="9">
        <f>VLOOKUP(GE282,$FM$3:$FN$15,2,FALSE)</f>
        <v/>
      </c>
      <c r="GN282" s="9">
        <f>VLOOKUP(GF282,$FM$3:$FN$15,2,FALSE)</f>
        <v/>
      </c>
      <c r="GO282" s="9">
        <f>VLOOKUP(GG282,$FM$3:$FN$15,2,FALSE)</f>
        <v/>
      </c>
      <c r="GP282" s="9">
        <f>VLOOKUP(GH282,$FM$3:$FN$15,2,FALSE)</f>
        <v/>
      </c>
      <c r="GQ282" s="9">
        <f>VLOOKUP(GI282,$FM$3:$FN$15,2,FALSE)</f>
        <v/>
      </c>
      <c r="GR282" s="9">
        <f>IFERROR(IF(AND(VLOOKUP(GB282,$FX$4:$FX$15,1,FALSE)=GB282,VLOOKUP(GC282,$FX$4:$FX$15,1,FALSE)=GC282,VLOOKUP(GD282,$FX$4:$FX$15,1,FALSE)=GD282,VLOOKUP(GE282,$FX$4:$FX$15,1,FALSE)=GE282,VLOOKUP(GF282,$FX$4:$FX$15,1,FALSE)=GF282,VLOOKUP(GG282,$FX$4:$FX$15,1,FALSE)=GG282,VLOOKUP(GH282,$FX$4:$FX$15,1,FALSE)=GH282,VLOOKUP(GI282,$FX$4:$FX$15,1,FALSE)=GI282),FZ282,""),"")</f>
        <v/>
      </c>
    </row>
    <row r="283" ht="14.25" customHeight="1">
      <c r="FZ283" s="79" t="n">
        <v>281</v>
      </c>
      <c r="GA283" s="3">
        <f>GB283&amp;GC283&amp;GD283&amp;GE283&amp;GF283&amp;GG283&amp;GH283&amp;GI283</f>
        <v/>
      </c>
      <c r="GB283" s="3" t="inlineStr">
        <is>
          <t>C</t>
        </is>
      </c>
      <c r="GC283" s="3" t="inlineStr">
        <is>
          <t>G</t>
        </is>
      </c>
      <c r="GD283" s="3" t="inlineStr">
        <is>
          <t>E</t>
        </is>
      </c>
      <c r="GE283" s="3" t="inlineStr">
        <is>
          <t>D</t>
        </is>
      </c>
      <c r="GF283" s="3" t="inlineStr">
        <is>
          <t>A</t>
        </is>
      </c>
      <c r="GG283" s="3" t="inlineStr">
        <is>
          <t>F</t>
        </is>
      </c>
      <c r="GH283" s="3" t="inlineStr">
        <is>
          <t>I</t>
        </is>
      </c>
      <c r="GI283" s="3" t="inlineStr">
        <is>
          <t>K</t>
        </is>
      </c>
      <c r="GJ283" s="9">
        <f>VLOOKUP(GB283,$FM$3:$FN$15,2,FALSE)</f>
        <v/>
      </c>
      <c r="GK283" s="9">
        <f>VLOOKUP(GC283,$FM$3:$FN$15,2,FALSE)</f>
        <v/>
      </c>
      <c r="GL283" s="9">
        <f>VLOOKUP(GD283,$FM$3:$FN$15,2,FALSE)</f>
        <v/>
      </c>
      <c r="GM283" s="9">
        <f>VLOOKUP(GE283,$FM$3:$FN$15,2,FALSE)</f>
        <v/>
      </c>
      <c r="GN283" s="9">
        <f>VLOOKUP(GF283,$FM$3:$FN$15,2,FALSE)</f>
        <v/>
      </c>
      <c r="GO283" s="9">
        <f>VLOOKUP(GG283,$FM$3:$FN$15,2,FALSE)</f>
        <v/>
      </c>
      <c r="GP283" s="9">
        <f>VLOOKUP(GH283,$FM$3:$FN$15,2,FALSE)</f>
        <v/>
      </c>
      <c r="GQ283" s="9">
        <f>VLOOKUP(GI283,$FM$3:$FN$15,2,FALSE)</f>
        <v/>
      </c>
      <c r="GR283" s="9">
        <f>IFERROR(IF(AND(VLOOKUP(GB283,$FX$4:$FX$15,1,FALSE)=GB283,VLOOKUP(GC283,$FX$4:$FX$15,1,FALSE)=GC283,VLOOKUP(GD283,$FX$4:$FX$15,1,FALSE)=GD283,VLOOKUP(GE283,$FX$4:$FX$15,1,FALSE)=GE283,VLOOKUP(GF283,$FX$4:$FX$15,1,FALSE)=GF283,VLOOKUP(GG283,$FX$4:$FX$15,1,FALSE)=GG283,VLOOKUP(GH283,$FX$4:$FX$15,1,FALSE)=GH283,VLOOKUP(GI283,$FX$4:$FX$15,1,FALSE)=GI283),FZ283,""),"")</f>
        <v/>
      </c>
    </row>
    <row r="284" ht="14.25" customHeight="1">
      <c r="FZ284" s="79" t="n">
        <v>282</v>
      </c>
      <c r="GA284" s="3">
        <f>GB284&amp;GC284&amp;GD284&amp;GE284&amp;GF284&amp;GG284&amp;GH284&amp;GI284</f>
        <v/>
      </c>
      <c r="GB284" s="3" t="inlineStr">
        <is>
          <t>C</t>
        </is>
      </c>
      <c r="GC284" s="3" t="inlineStr">
        <is>
          <t>G</t>
        </is>
      </c>
      <c r="GD284" s="3" t="inlineStr">
        <is>
          <t>J</t>
        </is>
      </c>
      <c r="GE284" s="3" t="inlineStr">
        <is>
          <t>D</t>
        </is>
      </c>
      <c r="GF284" s="3" t="inlineStr">
        <is>
          <t>A</t>
        </is>
      </c>
      <c r="GG284" s="3" t="inlineStr">
        <is>
          <t>F</t>
        </is>
      </c>
      <c r="GH284" s="3" t="inlineStr">
        <is>
          <t>E</t>
        </is>
      </c>
      <c r="GI284" s="3" t="inlineStr">
        <is>
          <t>I</t>
        </is>
      </c>
      <c r="GJ284" s="9">
        <f>VLOOKUP(GB284,$FM$3:$FN$15,2,FALSE)</f>
        <v/>
      </c>
      <c r="GK284" s="9">
        <f>VLOOKUP(GC284,$FM$3:$FN$15,2,FALSE)</f>
        <v/>
      </c>
      <c r="GL284" s="9">
        <f>VLOOKUP(GD284,$FM$3:$FN$15,2,FALSE)</f>
        <v/>
      </c>
      <c r="GM284" s="9">
        <f>VLOOKUP(GE284,$FM$3:$FN$15,2,FALSE)</f>
        <v/>
      </c>
      <c r="GN284" s="9">
        <f>VLOOKUP(GF284,$FM$3:$FN$15,2,FALSE)</f>
        <v/>
      </c>
      <c r="GO284" s="9">
        <f>VLOOKUP(GG284,$FM$3:$FN$15,2,FALSE)</f>
        <v/>
      </c>
      <c r="GP284" s="9">
        <f>VLOOKUP(GH284,$FM$3:$FN$15,2,FALSE)</f>
        <v/>
      </c>
      <c r="GQ284" s="9">
        <f>VLOOKUP(GI284,$FM$3:$FN$15,2,FALSE)</f>
        <v/>
      </c>
      <c r="GR284" s="9">
        <f>IFERROR(IF(AND(VLOOKUP(GB284,$FX$4:$FX$15,1,FALSE)=GB284,VLOOKUP(GC284,$FX$4:$FX$15,1,FALSE)=GC284,VLOOKUP(GD284,$FX$4:$FX$15,1,FALSE)=GD284,VLOOKUP(GE284,$FX$4:$FX$15,1,FALSE)=GE284,VLOOKUP(GF284,$FX$4:$FX$15,1,FALSE)=GF284,VLOOKUP(GG284,$FX$4:$FX$15,1,FALSE)=GG284,VLOOKUP(GH284,$FX$4:$FX$15,1,FALSE)=GH284,VLOOKUP(GI284,$FX$4:$FX$15,1,FALSE)=GI284),FZ284,""),"")</f>
        <v/>
      </c>
    </row>
    <row r="285" ht="14.25" customHeight="1">
      <c r="FZ285" s="79" t="n">
        <v>283</v>
      </c>
      <c r="GA285" s="3">
        <f>GB285&amp;GC285&amp;GD285&amp;GE285&amp;GF285&amp;GG285&amp;GH285&amp;GI285</f>
        <v/>
      </c>
      <c r="GB285" s="3" t="inlineStr">
        <is>
          <t>H</t>
        </is>
      </c>
      <c r="GC285" s="3" t="inlineStr">
        <is>
          <t>G</t>
        </is>
      </c>
      <c r="GD285" s="3" t="inlineStr">
        <is>
          <t>F</t>
        </is>
      </c>
      <c r="GE285" s="3" t="inlineStr">
        <is>
          <t>C</t>
        </is>
      </c>
      <c r="GF285" s="3" t="inlineStr">
        <is>
          <t>A</t>
        </is>
      </c>
      <c r="GG285" s="3" t="inlineStr">
        <is>
          <t>D</t>
        </is>
      </c>
      <c r="GH285" s="3" t="inlineStr">
        <is>
          <t>L</t>
        </is>
      </c>
      <c r="GI285" s="3" t="inlineStr">
        <is>
          <t>E</t>
        </is>
      </c>
      <c r="GJ285" s="9">
        <f>VLOOKUP(GB285,$FM$3:$FN$15,2,FALSE)</f>
        <v/>
      </c>
      <c r="GK285" s="9">
        <f>VLOOKUP(GC285,$FM$3:$FN$15,2,FALSE)</f>
        <v/>
      </c>
      <c r="GL285" s="9">
        <f>VLOOKUP(GD285,$FM$3:$FN$15,2,FALSE)</f>
        <v/>
      </c>
      <c r="GM285" s="9">
        <f>VLOOKUP(GE285,$FM$3:$FN$15,2,FALSE)</f>
        <v/>
      </c>
      <c r="GN285" s="9">
        <f>VLOOKUP(GF285,$FM$3:$FN$15,2,FALSE)</f>
        <v/>
      </c>
      <c r="GO285" s="9">
        <f>VLOOKUP(GG285,$FM$3:$FN$15,2,FALSE)</f>
        <v/>
      </c>
      <c r="GP285" s="9">
        <f>VLOOKUP(GH285,$FM$3:$FN$15,2,FALSE)</f>
        <v/>
      </c>
      <c r="GQ285" s="9">
        <f>VLOOKUP(GI285,$FM$3:$FN$15,2,FALSE)</f>
        <v/>
      </c>
      <c r="GR285" s="9">
        <f>IFERROR(IF(AND(VLOOKUP(GB285,$FX$4:$FX$15,1,FALSE)=GB285,VLOOKUP(GC285,$FX$4:$FX$15,1,FALSE)=GC285,VLOOKUP(GD285,$FX$4:$FX$15,1,FALSE)=GD285,VLOOKUP(GE285,$FX$4:$FX$15,1,FALSE)=GE285,VLOOKUP(GF285,$FX$4:$FX$15,1,FALSE)=GF285,VLOOKUP(GG285,$FX$4:$FX$15,1,FALSE)=GG285,VLOOKUP(GH285,$FX$4:$FX$15,1,FALSE)=GH285,VLOOKUP(GI285,$FX$4:$FX$15,1,FALSE)=GI285),FZ285,""),"")</f>
        <v/>
      </c>
    </row>
    <row r="286" ht="14.25" customHeight="1">
      <c r="FZ286" s="79" t="n">
        <v>284</v>
      </c>
      <c r="GA286" s="3">
        <f>GB286&amp;GC286&amp;GD286&amp;GE286&amp;GF286&amp;GG286&amp;GH286&amp;GI286</f>
        <v/>
      </c>
      <c r="GB286" s="3" t="inlineStr">
        <is>
          <t>H</t>
        </is>
      </c>
      <c r="GC286" s="3" t="inlineStr">
        <is>
          <t>G</t>
        </is>
      </c>
      <c r="GD286" s="3" t="inlineStr">
        <is>
          <t>E</t>
        </is>
      </c>
      <c r="GE286" s="3" t="inlineStr">
        <is>
          <t>C</t>
        </is>
      </c>
      <c r="GF286" s="3" t="inlineStr">
        <is>
          <t>A</t>
        </is>
      </c>
      <c r="GG286" s="3" t="inlineStr">
        <is>
          <t>F</t>
        </is>
      </c>
      <c r="GH286" s="3" t="inlineStr">
        <is>
          <t>D</t>
        </is>
      </c>
      <c r="GI286" s="3" t="inlineStr">
        <is>
          <t>K</t>
        </is>
      </c>
      <c r="GJ286" s="9">
        <f>VLOOKUP(GB286,$FM$3:$FN$15,2,FALSE)</f>
        <v/>
      </c>
      <c r="GK286" s="9">
        <f>VLOOKUP(GC286,$FM$3:$FN$15,2,FALSE)</f>
        <v/>
      </c>
      <c r="GL286" s="9">
        <f>VLOOKUP(GD286,$FM$3:$FN$15,2,FALSE)</f>
        <v/>
      </c>
      <c r="GM286" s="9">
        <f>VLOOKUP(GE286,$FM$3:$FN$15,2,FALSE)</f>
        <v/>
      </c>
      <c r="GN286" s="9">
        <f>VLOOKUP(GF286,$FM$3:$FN$15,2,FALSE)</f>
        <v/>
      </c>
      <c r="GO286" s="9">
        <f>VLOOKUP(GG286,$FM$3:$FN$15,2,FALSE)</f>
        <v/>
      </c>
      <c r="GP286" s="9">
        <f>VLOOKUP(GH286,$FM$3:$FN$15,2,FALSE)</f>
        <v/>
      </c>
      <c r="GQ286" s="9">
        <f>VLOOKUP(GI286,$FM$3:$FN$15,2,FALSE)</f>
        <v/>
      </c>
      <c r="GR286" s="9">
        <f>IFERROR(IF(AND(VLOOKUP(GB286,$FX$4:$FX$15,1,FALSE)=GB286,VLOOKUP(GC286,$FX$4:$FX$15,1,FALSE)=GC286,VLOOKUP(GD286,$FX$4:$FX$15,1,FALSE)=GD286,VLOOKUP(GE286,$FX$4:$FX$15,1,FALSE)=GE286,VLOOKUP(GF286,$FX$4:$FX$15,1,FALSE)=GF286,VLOOKUP(GG286,$FX$4:$FX$15,1,FALSE)=GG286,VLOOKUP(GH286,$FX$4:$FX$15,1,FALSE)=GH286,VLOOKUP(GI286,$FX$4:$FX$15,1,FALSE)=GI286),FZ286,""),"")</f>
        <v/>
      </c>
    </row>
    <row r="287" ht="14.25" customHeight="1">
      <c r="FZ287" s="79" t="n">
        <v>285</v>
      </c>
      <c r="GA287" s="3">
        <f>GB287&amp;GC287&amp;GD287&amp;GE287&amp;GF287&amp;GG287&amp;GH287&amp;GI287</f>
        <v/>
      </c>
      <c r="GB287" s="3" t="inlineStr">
        <is>
          <t>H</t>
        </is>
      </c>
      <c r="GC287" s="3" t="inlineStr">
        <is>
          <t>G</t>
        </is>
      </c>
      <c r="GD287" s="3" t="inlineStr">
        <is>
          <t>J</t>
        </is>
      </c>
      <c r="GE287" s="3" t="inlineStr">
        <is>
          <t>C</t>
        </is>
      </c>
      <c r="GF287" s="3" t="inlineStr">
        <is>
          <t>A</t>
        </is>
      </c>
      <c r="GG287" s="3" t="inlineStr">
        <is>
          <t>F</t>
        </is>
      </c>
      <c r="GH287" s="3" t="inlineStr">
        <is>
          <t>D</t>
        </is>
      </c>
      <c r="GI287" s="3" t="inlineStr">
        <is>
          <t>E</t>
        </is>
      </c>
      <c r="GJ287" s="9">
        <f>VLOOKUP(GB287,$FM$3:$FN$15,2,FALSE)</f>
        <v/>
      </c>
      <c r="GK287" s="9">
        <f>VLOOKUP(GC287,$FM$3:$FN$15,2,FALSE)</f>
        <v/>
      </c>
      <c r="GL287" s="9">
        <f>VLOOKUP(GD287,$FM$3:$FN$15,2,FALSE)</f>
        <v/>
      </c>
      <c r="GM287" s="9">
        <f>VLOOKUP(GE287,$FM$3:$FN$15,2,FALSE)</f>
        <v/>
      </c>
      <c r="GN287" s="9">
        <f>VLOOKUP(GF287,$FM$3:$FN$15,2,FALSE)</f>
        <v/>
      </c>
      <c r="GO287" s="9">
        <f>VLOOKUP(GG287,$FM$3:$FN$15,2,FALSE)</f>
        <v/>
      </c>
      <c r="GP287" s="9">
        <f>VLOOKUP(GH287,$FM$3:$FN$15,2,FALSE)</f>
        <v/>
      </c>
      <c r="GQ287" s="9">
        <f>VLOOKUP(GI287,$FM$3:$FN$15,2,FALSE)</f>
        <v/>
      </c>
      <c r="GR287" s="9">
        <f>IFERROR(IF(AND(VLOOKUP(GB287,$FX$4:$FX$15,1,FALSE)=GB287,VLOOKUP(GC287,$FX$4:$FX$15,1,FALSE)=GC287,VLOOKUP(GD287,$FX$4:$FX$15,1,FALSE)=GD287,VLOOKUP(GE287,$FX$4:$FX$15,1,FALSE)=GE287,VLOOKUP(GF287,$FX$4:$FX$15,1,FALSE)=GF287,VLOOKUP(GG287,$FX$4:$FX$15,1,FALSE)=GG287,VLOOKUP(GH287,$FX$4:$FX$15,1,FALSE)=GH287,VLOOKUP(GI287,$FX$4:$FX$15,1,FALSE)=GI287),FZ287,""),"")</f>
        <v/>
      </c>
    </row>
    <row r="288" ht="14.25" customHeight="1">
      <c r="FZ288" s="79" t="n">
        <v>286</v>
      </c>
      <c r="GA288" s="3">
        <f>GB288&amp;GC288&amp;GD288&amp;GE288&amp;GF288&amp;GG288&amp;GH288&amp;GI288</f>
        <v/>
      </c>
      <c r="GB288" s="3" t="inlineStr">
        <is>
          <t>H</t>
        </is>
      </c>
      <c r="GC288" s="3" t="inlineStr">
        <is>
          <t>G</t>
        </is>
      </c>
      <c r="GD288" s="3" t="inlineStr">
        <is>
          <t>E</t>
        </is>
      </c>
      <c r="GE288" s="3" t="inlineStr">
        <is>
          <t>C</t>
        </is>
      </c>
      <c r="GF288" s="3" t="inlineStr">
        <is>
          <t>A</t>
        </is>
      </c>
      <c r="GG288" s="3" t="inlineStr">
        <is>
          <t>F</t>
        </is>
      </c>
      <c r="GH288" s="3" t="inlineStr">
        <is>
          <t>D</t>
        </is>
      </c>
      <c r="GI288" s="3" t="inlineStr">
        <is>
          <t>I</t>
        </is>
      </c>
      <c r="GJ288" s="9">
        <f>VLOOKUP(GB288,$FM$3:$FN$15,2,FALSE)</f>
        <v/>
      </c>
      <c r="GK288" s="9">
        <f>VLOOKUP(GC288,$FM$3:$FN$15,2,FALSE)</f>
        <v/>
      </c>
      <c r="GL288" s="9">
        <f>VLOOKUP(GD288,$FM$3:$FN$15,2,FALSE)</f>
        <v/>
      </c>
      <c r="GM288" s="9">
        <f>VLOOKUP(GE288,$FM$3:$FN$15,2,FALSE)</f>
        <v/>
      </c>
      <c r="GN288" s="9">
        <f>VLOOKUP(GF288,$FM$3:$FN$15,2,FALSE)</f>
        <v/>
      </c>
      <c r="GO288" s="9">
        <f>VLOOKUP(GG288,$FM$3:$FN$15,2,FALSE)</f>
        <v/>
      </c>
      <c r="GP288" s="9">
        <f>VLOOKUP(GH288,$FM$3:$FN$15,2,FALSE)</f>
        <v/>
      </c>
      <c r="GQ288" s="9">
        <f>VLOOKUP(GI288,$FM$3:$FN$15,2,FALSE)</f>
        <v/>
      </c>
      <c r="GR288" s="9">
        <f>IFERROR(IF(AND(VLOOKUP(GB288,$FX$4:$FX$15,1,FALSE)=GB288,VLOOKUP(GC288,$FX$4:$FX$15,1,FALSE)=GC288,VLOOKUP(GD288,$FX$4:$FX$15,1,FALSE)=GD288,VLOOKUP(GE288,$FX$4:$FX$15,1,FALSE)=GE288,VLOOKUP(GF288,$FX$4:$FX$15,1,FALSE)=GF288,VLOOKUP(GG288,$FX$4:$FX$15,1,FALSE)=GG288,VLOOKUP(GH288,$FX$4:$FX$15,1,FALSE)=GH288,VLOOKUP(GI288,$FX$4:$FX$15,1,FALSE)=GI288),FZ288,""),"")</f>
        <v/>
      </c>
    </row>
    <row r="289" ht="14.25" customHeight="1">
      <c r="FZ289" s="79" t="n">
        <v>287</v>
      </c>
      <c r="GA289" s="3">
        <f>GB289&amp;GC289&amp;GD289&amp;GE289&amp;GF289&amp;GG289&amp;GH289&amp;GI289</f>
        <v/>
      </c>
      <c r="GB289" s="3" t="inlineStr">
        <is>
          <t>H</t>
        </is>
      </c>
      <c r="GC289" s="3" t="inlineStr">
        <is>
          <t>J</t>
        </is>
      </c>
      <c r="GD289" s="3" t="inlineStr">
        <is>
          <t>B</t>
        </is>
      </c>
      <c r="GE289" s="3" t="inlineStr">
        <is>
          <t>A</t>
        </is>
      </c>
      <c r="GF289" s="3" t="inlineStr">
        <is>
          <t>I</t>
        </is>
      </c>
      <c r="GG289" s="3" t="inlineStr">
        <is>
          <t>G</t>
        </is>
      </c>
      <c r="GH289" s="3" t="inlineStr">
        <is>
          <t>L</t>
        </is>
      </c>
      <c r="GI289" s="3" t="inlineStr">
        <is>
          <t>K</t>
        </is>
      </c>
      <c r="GJ289" s="9">
        <f>VLOOKUP(GB289,$FM$3:$FN$15,2,FALSE)</f>
        <v/>
      </c>
      <c r="GK289" s="9">
        <f>VLOOKUP(GC289,$FM$3:$FN$15,2,FALSE)</f>
        <v/>
      </c>
      <c r="GL289" s="9">
        <f>VLOOKUP(GD289,$FM$3:$FN$15,2,FALSE)</f>
        <v/>
      </c>
      <c r="GM289" s="9">
        <f>VLOOKUP(GE289,$FM$3:$FN$15,2,FALSE)</f>
        <v/>
      </c>
      <c r="GN289" s="9">
        <f>VLOOKUP(GF289,$FM$3:$FN$15,2,FALSE)</f>
        <v/>
      </c>
      <c r="GO289" s="9">
        <f>VLOOKUP(GG289,$FM$3:$FN$15,2,FALSE)</f>
        <v/>
      </c>
      <c r="GP289" s="9">
        <f>VLOOKUP(GH289,$FM$3:$FN$15,2,FALSE)</f>
        <v/>
      </c>
      <c r="GQ289" s="9">
        <f>VLOOKUP(GI289,$FM$3:$FN$15,2,FALSE)</f>
        <v/>
      </c>
      <c r="GR289" s="9">
        <f>IFERROR(IF(AND(VLOOKUP(GB289,$FX$4:$FX$15,1,FALSE)=GB289,VLOOKUP(GC289,$FX$4:$FX$15,1,FALSE)=GC289,VLOOKUP(GD289,$FX$4:$FX$15,1,FALSE)=GD289,VLOOKUP(GE289,$FX$4:$FX$15,1,FALSE)=GE289,VLOOKUP(GF289,$FX$4:$FX$15,1,FALSE)=GF289,VLOOKUP(GG289,$FX$4:$FX$15,1,FALSE)=GG289,VLOOKUP(GH289,$FX$4:$FX$15,1,FALSE)=GH289,VLOOKUP(GI289,$FX$4:$FX$15,1,FALSE)=GI289),FZ289,""),"")</f>
        <v/>
      </c>
    </row>
    <row r="290" ht="14.25" customHeight="1">
      <c r="FZ290" s="79" t="n">
        <v>288</v>
      </c>
      <c r="GA290" s="3">
        <f>GB290&amp;GC290&amp;GD290&amp;GE290&amp;GF290&amp;GG290&amp;GH290&amp;GI290</f>
        <v/>
      </c>
      <c r="GB290" s="3" t="inlineStr">
        <is>
          <t>H</t>
        </is>
      </c>
      <c r="GC290" s="3" t="inlineStr">
        <is>
          <t>J</t>
        </is>
      </c>
      <c r="GD290" s="3" t="inlineStr">
        <is>
          <t>B</t>
        </is>
      </c>
      <c r="GE290" s="3" t="inlineStr">
        <is>
          <t>A</t>
        </is>
      </c>
      <c r="GF290" s="3" t="inlineStr">
        <is>
          <t>I</t>
        </is>
      </c>
      <c r="GG290" s="3" t="inlineStr">
        <is>
          <t>F</t>
        </is>
      </c>
      <c r="GH290" s="3" t="inlineStr">
        <is>
          <t>L</t>
        </is>
      </c>
      <c r="GI290" s="3" t="inlineStr">
        <is>
          <t>K</t>
        </is>
      </c>
      <c r="GJ290" s="9">
        <f>VLOOKUP(GB290,$FM$3:$FN$15,2,FALSE)</f>
        <v/>
      </c>
      <c r="GK290" s="9">
        <f>VLOOKUP(GC290,$FM$3:$FN$15,2,FALSE)</f>
        <v/>
      </c>
      <c r="GL290" s="9">
        <f>VLOOKUP(GD290,$FM$3:$FN$15,2,FALSE)</f>
        <v/>
      </c>
      <c r="GM290" s="9">
        <f>VLOOKUP(GE290,$FM$3:$FN$15,2,FALSE)</f>
        <v/>
      </c>
      <c r="GN290" s="9">
        <f>VLOOKUP(GF290,$FM$3:$FN$15,2,FALSE)</f>
        <v/>
      </c>
      <c r="GO290" s="9">
        <f>VLOOKUP(GG290,$FM$3:$FN$15,2,FALSE)</f>
        <v/>
      </c>
      <c r="GP290" s="9">
        <f>VLOOKUP(GH290,$FM$3:$FN$15,2,FALSE)</f>
        <v/>
      </c>
      <c r="GQ290" s="9">
        <f>VLOOKUP(GI290,$FM$3:$FN$15,2,FALSE)</f>
        <v/>
      </c>
      <c r="GR290" s="9">
        <f>IFERROR(IF(AND(VLOOKUP(GB290,$FX$4:$FX$15,1,FALSE)=GB290,VLOOKUP(GC290,$FX$4:$FX$15,1,FALSE)=GC290,VLOOKUP(GD290,$FX$4:$FX$15,1,FALSE)=GD290,VLOOKUP(GE290,$FX$4:$FX$15,1,FALSE)=GE290,VLOOKUP(GF290,$FX$4:$FX$15,1,FALSE)=GF290,VLOOKUP(GG290,$FX$4:$FX$15,1,FALSE)=GG290,VLOOKUP(GH290,$FX$4:$FX$15,1,FALSE)=GH290,VLOOKUP(GI290,$FX$4:$FX$15,1,FALSE)=GI290),FZ290,""),"")</f>
        <v/>
      </c>
    </row>
    <row r="291" ht="14.25" customHeight="1">
      <c r="FZ291" s="79" t="n">
        <v>289</v>
      </c>
      <c r="GA291" s="3">
        <f>GB291&amp;GC291&amp;GD291&amp;GE291&amp;GF291&amp;GG291&amp;GH291&amp;GI291</f>
        <v/>
      </c>
      <c r="GB291" s="3" t="inlineStr">
        <is>
          <t>I</t>
        </is>
      </c>
      <c r="GC291" s="3" t="inlineStr">
        <is>
          <t>J</t>
        </is>
      </c>
      <c r="GD291" s="3" t="inlineStr">
        <is>
          <t>B</t>
        </is>
      </c>
      <c r="GE291" s="3" t="inlineStr">
        <is>
          <t>F</t>
        </is>
      </c>
      <c r="GF291" s="3" t="inlineStr">
        <is>
          <t>A</t>
        </is>
      </c>
      <c r="GG291" s="3" t="inlineStr">
        <is>
          <t>G</t>
        </is>
      </c>
      <c r="GH291" s="3" t="inlineStr">
        <is>
          <t>L</t>
        </is>
      </c>
      <c r="GI291" s="3" t="inlineStr">
        <is>
          <t>K</t>
        </is>
      </c>
      <c r="GJ291" s="9">
        <f>VLOOKUP(GB291,$FM$3:$FN$15,2,FALSE)</f>
        <v/>
      </c>
      <c r="GK291" s="9">
        <f>VLOOKUP(GC291,$FM$3:$FN$15,2,FALSE)</f>
        <v/>
      </c>
      <c r="GL291" s="9">
        <f>VLOOKUP(GD291,$FM$3:$FN$15,2,FALSE)</f>
        <v/>
      </c>
      <c r="GM291" s="9">
        <f>VLOOKUP(GE291,$FM$3:$FN$15,2,FALSE)</f>
        <v/>
      </c>
      <c r="GN291" s="9">
        <f>VLOOKUP(GF291,$FM$3:$FN$15,2,FALSE)</f>
        <v/>
      </c>
      <c r="GO291" s="9">
        <f>VLOOKUP(GG291,$FM$3:$FN$15,2,FALSE)</f>
        <v/>
      </c>
      <c r="GP291" s="9">
        <f>VLOOKUP(GH291,$FM$3:$FN$15,2,FALSE)</f>
        <v/>
      </c>
      <c r="GQ291" s="9">
        <f>VLOOKUP(GI291,$FM$3:$FN$15,2,FALSE)</f>
        <v/>
      </c>
      <c r="GR291" s="9">
        <f>IFERROR(IF(AND(VLOOKUP(GB291,$FX$4:$FX$15,1,FALSE)=GB291,VLOOKUP(GC291,$FX$4:$FX$15,1,FALSE)=GC291,VLOOKUP(GD291,$FX$4:$FX$15,1,FALSE)=GD291,VLOOKUP(GE291,$FX$4:$FX$15,1,FALSE)=GE291,VLOOKUP(GF291,$FX$4:$FX$15,1,FALSE)=GF291,VLOOKUP(GG291,$FX$4:$FX$15,1,FALSE)=GG291,VLOOKUP(GH291,$FX$4:$FX$15,1,FALSE)=GH291,VLOOKUP(GI291,$FX$4:$FX$15,1,FALSE)=GI291),FZ291,""),"")</f>
        <v/>
      </c>
    </row>
    <row r="292" ht="14.25" customHeight="1">
      <c r="FZ292" s="79" t="n">
        <v>290</v>
      </c>
      <c r="GA292" s="3">
        <f>GB292&amp;GC292&amp;GD292&amp;GE292&amp;GF292&amp;GG292&amp;GH292&amp;GI292</f>
        <v/>
      </c>
      <c r="GB292" s="3" t="inlineStr">
        <is>
          <t>H</t>
        </is>
      </c>
      <c r="GC292" s="3" t="inlineStr">
        <is>
          <t>J</t>
        </is>
      </c>
      <c r="GD292" s="3" t="inlineStr">
        <is>
          <t>B</t>
        </is>
      </c>
      <c r="GE292" s="3" t="inlineStr">
        <is>
          <t>F</t>
        </is>
      </c>
      <c r="GF292" s="3" t="inlineStr">
        <is>
          <t>A</t>
        </is>
      </c>
      <c r="GG292" s="3" t="inlineStr">
        <is>
          <t>G</t>
        </is>
      </c>
      <c r="GH292" s="3" t="inlineStr">
        <is>
          <t>L</t>
        </is>
      </c>
      <c r="GI292" s="3" t="inlineStr">
        <is>
          <t>K</t>
        </is>
      </c>
      <c r="GJ292" s="9">
        <f>VLOOKUP(GB292,$FM$3:$FN$15,2,FALSE)</f>
        <v/>
      </c>
      <c r="GK292" s="9">
        <f>VLOOKUP(GC292,$FM$3:$FN$15,2,FALSE)</f>
        <v/>
      </c>
      <c r="GL292" s="9">
        <f>VLOOKUP(GD292,$FM$3:$FN$15,2,FALSE)</f>
        <v/>
      </c>
      <c r="GM292" s="9">
        <f>VLOOKUP(GE292,$FM$3:$FN$15,2,FALSE)</f>
        <v/>
      </c>
      <c r="GN292" s="9">
        <f>VLOOKUP(GF292,$FM$3:$FN$15,2,FALSE)</f>
        <v/>
      </c>
      <c r="GO292" s="9">
        <f>VLOOKUP(GG292,$FM$3:$FN$15,2,FALSE)</f>
        <v/>
      </c>
      <c r="GP292" s="9">
        <f>VLOOKUP(GH292,$FM$3:$FN$15,2,FALSE)</f>
        <v/>
      </c>
      <c r="GQ292" s="9">
        <f>VLOOKUP(GI292,$FM$3:$FN$15,2,FALSE)</f>
        <v/>
      </c>
      <c r="GR292" s="9">
        <f>IFERROR(IF(AND(VLOOKUP(GB292,$FX$4:$FX$15,1,FALSE)=GB292,VLOOKUP(GC292,$FX$4:$FX$15,1,FALSE)=GC292,VLOOKUP(GD292,$FX$4:$FX$15,1,FALSE)=GD292,VLOOKUP(GE292,$FX$4:$FX$15,1,FALSE)=GE292,VLOOKUP(GF292,$FX$4:$FX$15,1,FALSE)=GF292,VLOOKUP(GG292,$FX$4:$FX$15,1,FALSE)=GG292,VLOOKUP(GH292,$FX$4:$FX$15,1,FALSE)=GH292,VLOOKUP(GI292,$FX$4:$FX$15,1,FALSE)=GI292),FZ292,""),"")</f>
        <v/>
      </c>
    </row>
    <row r="293" ht="14.25" customHeight="1">
      <c r="FZ293" s="79" t="n">
        <v>291</v>
      </c>
      <c r="GA293" s="3">
        <f>GB293&amp;GC293&amp;GD293&amp;GE293&amp;GF293&amp;GG293&amp;GH293&amp;GI293</f>
        <v/>
      </c>
      <c r="GB293" s="3" t="inlineStr">
        <is>
          <t>H</t>
        </is>
      </c>
      <c r="GC293" s="3" t="inlineStr">
        <is>
          <t>G</t>
        </is>
      </c>
      <c r="GD293" s="3" t="inlineStr">
        <is>
          <t>B</t>
        </is>
      </c>
      <c r="GE293" s="3" t="inlineStr">
        <is>
          <t>A</t>
        </is>
      </c>
      <c r="GF293" s="3" t="inlineStr">
        <is>
          <t>I</t>
        </is>
      </c>
      <c r="GG293" s="3" t="inlineStr">
        <is>
          <t>F</t>
        </is>
      </c>
      <c r="GH293" s="3" t="inlineStr">
        <is>
          <t>L</t>
        </is>
      </c>
      <c r="GI293" s="3" t="inlineStr">
        <is>
          <t>K</t>
        </is>
      </c>
      <c r="GJ293" s="9">
        <f>VLOOKUP(GB293,$FM$3:$FN$15,2,FALSE)</f>
        <v/>
      </c>
      <c r="GK293" s="9">
        <f>VLOOKUP(GC293,$FM$3:$FN$15,2,FALSE)</f>
        <v/>
      </c>
      <c r="GL293" s="9">
        <f>VLOOKUP(GD293,$FM$3:$FN$15,2,FALSE)</f>
        <v/>
      </c>
      <c r="GM293" s="9">
        <f>VLOOKUP(GE293,$FM$3:$FN$15,2,FALSE)</f>
        <v/>
      </c>
      <c r="GN293" s="9">
        <f>VLOOKUP(GF293,$FM$3:$FN$15,2,FALSE)</f>
        <v/>
      </c>
      <c r="GO293" s="9">
        <f>VLOOKUP(GG293,$FM$3:$FN$15,2,FALSE)</f>
        <v/>
      </c>
      <c r="GP293" s="9">
        <f>VLOOKUP(GH293,$FM$3:$FN$15,2,FALSE)</f>
        <v/>
      </c>
      <c r="GQ293" s="9">
        <f>VLOOKUP(GI293,$FM$3:$FN$15,2,FALSE)</f>
        <v/>
      </c>
      <c r="GR293" s="9">
        <f>IFERROR(IF(AND(VLOOKUP(GB293,$FX$4:$FX$15,1,FALSE)=GB293,VLOOKUP(GC293,$FX$4:$FX$15,1,FALSE)=GC293,VLOOKUP(GD293,$FX$4:$FX$15,1,FALSE)=GD293,VLOOKUP(GE293,$FX$4:$FX$15,1,FALSE)=GE293,VLOOKUP(GF293,$FX$4:$FX$15,1,FALSE)=GF293,VLOOKUP(GG293,$FX$4:$FX$15,1,FALSE)=GG293,VLOOKUP(GH293,$FX$4:$FX$15,1,FALSE)=GH293,VLOOKUP(GI293,$FX$4:$FX$15,1,FALSE)=GI293),FZ293,""),"")</f>
        <v/>
      </c>
    </row>
    <row r="294" ht="14.25" customHeight="1">
      <c r="FZ294" s="79" t="n">
        <v>292</v>
      </c>
      <c r="GA294" s="3">
        <f>GB294&amp;GC294&amp;GD294&amp;GE294&amp;GF294&amp;GG294&amp;GH294&amp;GI294</f>
        <v/>
      </c>
      <c r="GB294" s="3" t="inlineStr">
        <is>
          <t>H</t>
        </is>
      </c>
      <c r="GC294" s="3" t="inlineStr">
        <is>
          <t>J</t>
        </is>
      </c>
      <c r="GD294" s="3" t="inlineStr">
        <is>
          <t>B</t>
        </is>
      </c>
      <c r="GE294" s="3" t="inlineStr">
        <is>
          <t>F</t>
        </is>
      </c>
      <c r="GF294" s="3" t="inlineStr">
        <is>
          <t>A</t>
        </is>
      </c>
      <c r="GG294" s="3" t="inlineStr">
        <is>
          <t>G</t>
        </is>
      </c>
      <c r="GH294" s="3" t="inlineStr">
        <is>
          <t>L</t>
        </is>
      </c>
      <c r="GI294" s="3" t="inlineStr">
        <is>
          <t>I</t>
        </is>
      </c>
      <c r="GJ294" s="9">
        <f>VLOOKUP(GB294,$FM$3:$FN$15,2,FALSE)</f>
        <v/>
      </c>
      <c r="GK294" s="9">
        <f>VLOOKUP(GC294,$FM$3:$FN$15,2,FALSE)</f>
        <v/>
      </c>
      <c r="GL294" s="9">
        <f>VLOOKUP(GD294,$FM$3:$FN$15,2,FALSE)</f>
        <v/>
      </c>
      <c r="GM294" s="9">
        <f>VLOOKUP(GE294,$FM$3:$FN$15,2,FALSE)</f>
        <v/>
      </c>
      <c r="GN294" s="9">
        <f>VLOOKUP(GF294,$FM$3:$FN$15,2,FALSE)</f>
        <v/>
      </c>
      <c r="GO294" s="9">
        <f>VLOOKUP(GG294,$FM$3:$FN$15,2,FALSE)</f>
        <v/>
      </c>
      <c r="GP294" s="9">
        <f>VLOOKUP(GH294,$FM$3:$FN$15,2,FALSE)</f>
        <v/>
      </c>
      <c r="GQ294" s="9">
        <f>VLOOKUP(GI294,$FM$3:$FN$15,2,FALSE)</f>
        <v/>
      </c>
      <c r="GR294" s="9">
        <f>IFERROR(IF(AND(VLOOKUP(GB294,$FX$4:$FX$15,1,FALSE)=GB294,VLOOKUP(GC294,$FX$4:$FX$15,1,FALSE)=GC294,VLOOKUP(GD294,$FX$4:$FX$15,1,FALSE)=GD294,VLOOKUP(GE294,$FX$4:$FX$15,1,FALSE)=GE294,VLOOKUP(GF294,$FX$4:$FX$15,1,FALSE)=GF294,VLOOKUP(GG294,$FX$4:$FX$15,1,FALSE)=GG294,VLOOKUP(GH294,$FX$4:$FX$15,1,FALSE)=GH294,VLOOKUP(GI294,$FX$4:$FX$15,1,FALSE)=GI294),FZ294,""),"")</f>
        <v/>
      </c>
    </row>
    <row r="295" ht="14.25" customHeight="1">
      <c r="FZ295" s="79" t="n">
        <v>293</v>
      </c>
      <c r="GA295" s="3">
        <f>GB295&amp;GC295&amp;GD295&amp;GE295&amp;GF295&amp;GG295&amp;GH295&amp;GI295</f>
        <v/>
      </c>
      <c r="GB295" s="3" t="inlineStr">
        <is>
          <t>H</t>
        </is>
      </c>
      <c r="GC295" s="3" t="inlineStr">
        <is>
          <t>J</t>
        </is>
      </c>
      <c r="GD295" s="3" t="inlineStr">
        <is>
          <t>B</t>
        </is>
      </c>
      <c r="GE295" s="3" t="inlineStr">
        <is>
          <t>F</t>
        </is>
      </c>
      <c r="GF295" s="3" t="inlineStr">
        <is>
          <t>A</t>
        </is>
      </c>
      <c r="GG295" s="3" t="inlineStr">
        <is>
          <t>G</t>
        </is>
      </c>
      <c r="GH295" s="3" t="inlineStr">
        <is>
          <t>I</t>
        </is>
      </c>
      <c r="GI295" s="3" t="inlineStr">
        <is>
          <t>K</t>
        </is>
      </c>
      <c r="GJ295" s="9">
        <f>VLOOKUP(GB295,$FM$3:$FN$15,2,FALSE)</f>
        <v/>
      </c>
      <c r="GK295" s="9">
        <f>VLOOKUP(GC295,$FM$3:$FN$15,2,FALSE)</f>
        <v/>
      </c>
      <c r="GL295" s="9">
        <f>VLOOKUP(GD295,$FM$3:$FN$15,2,FALSE)</f>
        <v/>
      </c>
      <c r="GM295" s="9">
        <f>VLOOKUP(GE295,$FM$3:$FN$15,2,FALSE)</f>
        <v/>
      </c>
      <c r="GN295" s="9">
        <f>VLOOKUP(GF295,$FM$3:$FN$15,2,FALSE)</f>
        <v/>
      </c>
      <c r="GO295" s="9">
        <f>VLOOKUP(GG295,$FM$3:$FN$15,2,FALSE)</f>
        <v/>
      </c>
      <c r="GP295" s="9">
        <f>VLOOKUP(GH295,$FM$3:$FN$15,2,FALSE)</f>
        <v/>
      </c>
      <c r="GQ295" s="9">
        <f>VLOOKUP(GI295,$FM$3:$FN$15,2,FALSE)</f>
        <v/>
      </c>
      <c r="GR295" s="9">
        <f>IFERROR(IF(AND(VLOOKUP(GB295,$FX$4:$FX$15,1,FALSE)=GB295,VLOOKUP(GC295,$FX$4:$FX$15,1,FALSE)=GC295,VLOOKUP(GD295,$FX$4:$FX$15,1,FALSE)=GD295,VLOOKUP(GE295,$FX$4:$FX$15,1,FALSE)=GE295,VLOOKUP(GF295,$FX$4:$FX$15,1,FALSE)=GF295,VLOOKUP(GG295,$FX$4:$FX$15,1,FALSE)=GG295,VLOOKUP(GH295,$FX$4:$FX$15,1,FALSE)=GH295,VLOOKUP(GI295,$FX$4:$FX$15,1,FALSE)=GI295),FZ295,""),"")</f>
        <v/>
      </c>
    </row>
    <row r="296" ht="14.25" customHeight="1">
      <c r="FZ296" s="79" t="n">
        <v>294</v>
      </c>
      <c r="GA296" s="3">
        <f>GB296&amp;GC296&amp;GD296&amp;GE296&amp;GF296&amp;GG296&amp;GH296&amp;GI296</f>
        <v/>
      </c>
      <c r="GB296" s="3" t="inlineStr">
        <is>
          <t>E</t>
        </is>
      </c>
      <c r="GC296" s="3" t="inlineStr">
        <is>
          <t>J</t>
        </is>
      </c>
      <c r="GD296" s="3" t="inlineStr">
        <is>
          <t>B</t>
        </is>
      </c>
      <c r="GE296" s="3" t="inlineStr">
        <is>
          <t>A</t>
        </is>
      </c>
      <c r="GF296" s="3" t="inlineStr">
        <is>
          <t>I</t>
        </is>
      </c>
      <c r="GG296" s="3" t="inlineStr">
        <is>
          <t>H</t>
        </is>
      </c>
      <c r="GH296" s="3" t="inlineStr">
        <is>
          <t>L</t>
        </is>
      </c>
      <c r="GI296" s="3" t="inlineStr">
        <is>
          <t>K</t>
        </is>
      </c>
      <c r="GJ296" s="9">
        <f>VLOOKUP(GB296,$FM$3:$FN$15,2,FALSE)</f>
        <v/>
      </c>
      <c r="GK296" s="9">
        <f>VLOOKUP(GC296,$FM$3:$FN$15,2,FALSE)</f>
        <v/>
      </c>
      <c r="GL296" s="9">
        <f>VLOOKUP(GD296,$FM$3:$FN$15,2,FALSE)</f>
        <v/>
      </c>
      <c r="GM296" s="9">
        <f>VLOOKUP(GE296,$FM$3:$FN$15,2,FALSE)</f>
        <v/>
      </c>
      <c r="GN296" s="9">
        <f>VLOOKUP(GF296,$FM$3:$FN$15,2,FALSE)</f>
        <v/>
      </c>
      <c r="GO296" s="9">
        <f>VLOOKUP(GG296,$FM$3:$FN$15,2,FALSE)</f>
        <v/>
      </c>
      <c r="GP296" s="9">
        <f>VLOOKUP(GH296,$FM$3:$FN$15,2,FALSE)</f>
        <v/>
      </c>
      <c r="GQ296" s="9">
        <f>VLOOKUP(GI296,$FM$3:$FN$15,2,FALSE)</f>
        <v/>
      </c>
      <c r="GR296" s="9">
        <f>IFERROR(IF(AND(VLOOKUP(GB296,$FX$4:$FX$15,1,FALSE)=GB296,VLOOKUP(GC296,$FX$4:$FX$15,1,FALSE)=GC296,VLOOKUP(GD296,$FX$4:$FX$15,1,FALSE)=GD296,VLOOKUP(GE296,$FX$4:$FX$15,1,FALSE)=GE296,VLOOKUP(GF296,$FX$4:$FX$15,1,FALSE)=GF296,VLOOKUP(GG296,$FX$4:$FX$15,1,FALSE)=GG296,VLOOKUP(GH296,$FX$4:$FX$15,1,FALSE)=GH296,VLOOKUP(GI296,$FX$4:$FX$15,1,FALSE)=GI296),FZ296,""),"")</f>
        <v/>
      </c>
    </row>
    <row r="297" ht="14.25" customHeight="1">
      <c r="FZ297" s="79" t="n">
        <v>295</v>
      </c>
      <c r="GA297" s="3">
        <f>GB297&amp;GC297&amp;GD297&amp;GE297&amp;GF297&amp;GG297&amp;GH297&amp;GI297</f>
        <v/>
      </c>
      <c r="GB297" s="3" t="inlineStr">
        <is>
          <t>E</t>
        </is>
      </c>
      <c r="GC297" s="3" t="inlineStr">
        <is>
          <t>J</t>
        </is>
      </c>
      <c r="GD297" s="3" t="inlineStr">
        <is>
          <t>B</t>
        </is>
      </c>
      <c r="GE297" s="3" t="inlineStr">
        <is>
          <t>A</t>
        </is>
      </c>
      <c r="GF297" s="3" t="inlineStr">
        <is>
          <t>I</t>
        </is>
      </c>
      <c r="GG297" s="3" t="inlineStr">
        <is>
          <t>G</t>
        </is>
      </c>
      <c r="GH297" s="3" t="inlineStr">
        <is>
          <t>L</t>
        </is>
      </c>
      <c r="GI297" s="3" t="inlineStr">
        <is>
          <t>K</t>
        </is>
      </c>
      <c r="GJ297" s="9">
        <f>VLOOKUP(GB297,$FM$3:$FN$15,2,FALSE)</f>
        <v/>
      </c>
      <c r="GK297" s="9">
        <f>VLOOKUP(GC297,$FM$3:$FN$15,2,FALSE)</f>
        <v/>
      </c>
      <c r="GL297" s="9">
        <f>VLOOKUP(GD297,$FM$3:$FN$15,2,FALSE)</f>
        <v/>
      </c>
      <c r="GM297" s="9">
        <f>VLOOKUP(GE297,$FM$3:$FN$15,2,FALSE)</f>
        <v/>
      </c>
      <c r="GN297" s="9">
        <f>VLOOKUP(GF297,$FM$3:$FN$15,2,FALSE)</f>
        <v/>
      </c>
      <c r="GO297" s="9">
        <f>VLOOKUP(GG297,$FM$3:$FN$15,2,FALSE)</f>
        <v/>
      </c>
      <c r="GP297" s="9">
        <f>VLOOKUP(GH297,$FM$3:$FN$15,2,FALSE)</f>
        <v/>
      </c>
      <c r="GQ297" s="9">
        <f>VLOOKUP(GI297,$FM$3:$FN$15,2,FALSE)</f>
        <v/>
      </c>
      <c r="GR297" s="9">
        <f>IFERROR(IF(AND(VLOOKUP(GB297,$FX$4:$FX$15,1,FALSE)=GB297,VLOOKUP(GC297,$FX$4:$FX$15,1,FALSE)=GC297,VLOOKUP(GD297,$FX$4:$FX$15,1,FALSE)=GD297,VLOOKUP(GE297,$FX$4:$FX$15,1,FALSE)=GE297,VLOOKUP(GF297,$FX$4:$FX$15,1,FALSE)=GF297,VLOOKUP(GG297,$FX$4:$FX$15,1,FALSE)=GG297,VLOOKUP(GH297,$FX$4:$FX$15,1,FALSE)=GH297,VLOOKUP(GI297,$FX$4:$FX$15,1,FALSE)=GI297),FZ297,""),"")</f>
        <v/>
      </c>
    </row>
    <row r="298" ht="14.25" customHeight="1">
      <c r="FZ298" s="79" t="n">
        <v>296</v>
      </c>
      <c r="GA298" s="3">
        <f>GB298&amp;GC298&amp;GD298&amp;GE298&amp;GF298&amp;GG298&amp;GH298&amp;GI298</f>
        <v/>
      </c>
      <c r="GB298" s="3" t="inlineStr">
        <is>
          <t>E</t>
        </is>
      </c>
      <c r="GC298" s="3" t="inlineStr">
        <is>
          <t>J</t>
        </is>
      </c>
      <c r="GD298" s="3" t="inlineStr">
        <is>
          <t>B</t>
        </is>
      </c>
      <c r="GE298" s="3" t="inlineStr">
        <is>
          <t>A</t>
        </is>
      </c>
      <c r="GF298" s="3" t="inlineStr">
        <is>
          <t>H</t>
        </is>
      </c>
      <c r="GG298" s="3" t="inlineStr">
        <is>
          <t>G</t>
        </is>
      </c>
      <c r="GH298" s="3" t="inlineStr">
        <is>
          <t>L</t>
        </is>
      </c>
      <c r="GI298" s="3" t="inlineStr">
        <is>
          <t>K</t>
        </is>
      </c>
      <c r="GJ298" s="9">
        <f>VLOOKUP(GB298,$FM$3:$FN$15,2,FALSE)</f>
        <v/>
      </c>
      <c r="GK298" s="9">
        <f>VLOOKUP(GC298,$FM$3:$FN$15,2,FALSE)</f>
        <v/>
      </c>
      <c r="GL298" s="9">
        <f>VLOOKUP(GD298,$FM$3:$FN$15,2,FALSE)</f>
        <v/>
      </c>
      <c r="GM298" s="9">
        <f>VLOOKUP(GE298,$FM$3:$FN$15,2,FALSE)</f>
        <v/>
      </c>
      <c r="GN298" s="9">
        <f>VLOOKUP(GF298,$FM$3:$FN$15,2,FALSE)</f>
        <v/>
      </c>
      <c r="GO298" s="9">
        <f>VLOOKUP(GG298,$FM$3:$FN$15,2,FALSE)</f>
        <v/>
      </c>
      <c r="GP298" s="9">
        <f>VLOOKUP(GH298,$FM$3:$FN$15,2,FALSE)</f>
        <v/>
      </c>
      <c r="GQ298" s="9">
        <f>VLOOKUP(GI298,$FM$3:$FN$15,2,FALSE)</f>
        <v/>
      </c>
      <c r="GR298" s="9">
        <f>IFERROR(IF(AND(VLOOKUP(GB298,$FX$4:$FX$15,1,FALSE)=GB298,VLOOKUP(GC298,$FX$4:$FX$15,1,FALSE)=GC298,VLOOKUP(GD298,$FX$4:$FX$15,1,FALSE)=GD298,VLOOKUP(GE298,$FX$4:$FX$15,1,FALSE)=GE298,VLOOKUP(GF298,$FX$4:$FX$15,1,FALSE)=GF298,VLOOKUP(GG298,$FX$4:$FX$15,1,FALSE)=GG298,VLOOKUP(GH298,$FX$4:$FX$15,1,FALSE)=GH298,VLOOKUP(GI298,$FX$4:$FX$15,1,FALSE)=GI298),FZ298,""),"")</f>
        <v/>
      </c>
    </row>
    <row r="299" ht="14.25" customHeight="1">
      <c r="FZ299" s="79" t="n">
        <v>297</v>
      </c>
      <c r="GA299" s="3">
        <f>GB299&amp;GC299&amp;GD299&amp;GE299&amp;GF299&amp;GG299&amp;GH299&amp;GI299</f>
        <v/>
      </c>
      <c r="GB299" s="3" t="inlineStr">
        <is>
          <t>E</t>
        </is>
      </c>
      <c r="GC299" s="3" t="inlineStr">
        <is>
          <t>G</t>
        </is>
      </c>
      <c r="GD299" s="3" t="inlineStr">
        <is>
          <t>B</t>
        </is>
      </c>
      <c r="GE299" s="3" t="inlineStr">
        <is>
          <t>A</t>
        </is>
      </c>
      <c r="GF299" s="3" t="inlineStr">
        <is>
          <t>I</t>
        </is>
      </c>
      <c r="GG299" s="3" t="inlineStr">
        <is>
          <t>H</t>
        </is>
      </c>
      <c r="GH299" s="3" t="inlineStr">
        <is>
          <t>L</t>
        </is>
      </c>
      <c r="GI299" s="3" t="inlineStr">
        <is>
          <t>K</t>
        </is>
      </c>
      <c r="GJ299" s="9">
        <f>VLOOKUP(GB299,$FM$3:$FN$15,2,FALSE)</f>
        <v/>
      </c>
      <c r="GK299" s="9">
        <f>VLOOKUP(GC299,$FM$3:$FN$15,2,FALSE)</f>
        <v/>
      </c>
      <c r="GL299" s="9">
        <f>VLOOKUP(GD299,$FM$3:$FN$15,2,FALSE)</f>
        <v/>
      </c>
      <c r="GM299" s="9">
        <f>VLOOKUP(GE299,$FM$3:$FN$15,2,FALSE)</f>
        <v/>
      </c>
      <c r="GN299" s="9">
        <f>VLOOKUP(GF299,$FM$3:$FN$15,2,FALSE)</f>
        <v/>
      </c>
      <c r="GO299" s="9">
        <f>VLOOKUP(GG299,$FM$3:$FN$15,2,FALSE)</f>
        <v/>
      </c>
      <c r="GP299" s="9">
        <f>VLOOKUP(GH299,$FM$3:$FN$15,2,FALSE)</f>
        <v/>
      </c>
      <c r="GQ299" s="9">
        <f>VLOOKUP(GI299,$FM$3:$FN$15,2,FALSE)</f>
        <v/>
      </c>
      <c r="GR299" s="9">
        <f>IFERROR(IF(AND(VLOOKUP(GB299,$FX$4:$FX$15,1,FALSE)=GB299,VLOOKUP(GC299,$FX$4:$FX$15,1,FALSE)=GC299,VLOOKUP(GD299,$FX$4:$FX$15,1,FALSE)=GD299,VLOOKUP(GE299,$FX$4:$FX$15,1,FALSE)=GE299,VLOOKUP(GF299,$FX$4:$FX$15,1,FALSE)=GF299,VLOOKUP(GG299,$FX$4:$FX$15,1,FALSE)=GG299,VLOOKUP(GH299,$FX$4:$FX$15,1,FALSE)=GH299,VLOOKUP(GI299,$FX$4:$FX$15,1,FALSE)=GI299),FZ299,""),"")</f>
        <v/>
      </c>
    </row>
    <row r="300" ht="14.25" customHeight="1">
      <c r="FZ300" s="79" t="n">
        <v>298</v>
      </c>
      <c r="GA300" s="3">
        <f>GB300&amp;GC300&amp;GD300&amp;GE300&amp;GF300&amp;GG300&amp;GH300&amp;GI300</f>
        <v/>
      </c>
      <c r="GB300" s="3" t="inlineStr">
        <is>
          <t>E</t>
        </is>
      </c>
      <c r="GC300" s="3" t="inlineStr">
        <is>
          <t>J</t>
        </is>
      </c>
      <c r="GD300" s="3" t="inlineStr">
        <is>
          <t>B</t>
        </is>
      </c>
      <c r="GE300" s="3" t="inlineStr">
        <is>
          <t>A</t>
        </is>
      </c>
      <c r="GF300" s="3" t="inlineStr">
        <is>
          <t>H</t>
        </is>
      </c>
      <c r="GG300" s="3" t="inlineStr">
        <is>
          <t>G</t>
        </is>
      </c>
      <c r="GH300" s="3" t="inlineStr">
        <is>
          <t>L</t>
        </is>
      </c>
      <c r="GI300" s="3" t="inlineStr">
        <is>
          <t>I</t>
        </is>
      </c>
      <c r="GJ300" s="9">
        <f>VLOOKUP(GB300,$FM$3:$FN$15,2,FALSE)</f>
        <v/>
      </c>
      <c r="GK300" s="9">
        <f>VLOOKUP(GC300,$FM$3:$FN$15,2,FALSE)</f>
        <v/>
      </c>
      <c r="GL300" s="9">
        <f>VLOOKUP(GD300,$FM$3:$FN$15,2,FALSE)</f>
        <v/>
      </c>
      <c r="GM300" s="9">
        <f>VLOOKUP(GE300,$FM$3:$FN$15,2,FALSE)</f>
        <v/>
      </c>
      <c r="GN300" s="9">
        <f>VLOOKUP(GF300,$FM$3:$FN$15,2,FALSE)</f>
        <v/>
      </c>
      <c r="GO300" s="9">
        <f>VLOOKUP(GG300,$FM$3:$FN$15,2,FALSE)</f>
        <v/>
      </c>
      <c r="GP300" s="9">
        <f>VLOOKUP(GH300,$FM$3:$FN$15,2,FALSE)</f>
        <v/>
      </c>
      <c r="GQ300" s="9">
        <f>VLOOKUP(GI300,$FM$3:$FN$15,2,FALSE)</f>
        <v/>
      </c>
      <c r="GR300" s="9">
        <f>IFERROR(IF(AND(VLOOKUP(GB300,$FX$4:$FX$15,1,FALSE)=GB300,VLOOKUP(GC300,$FX$4:$FX$15,1,FALSE)=GC300,VLOOKUP(GD300,$FX$4:$FX$15,1,FALSE)=GD300,VLOOKUP(GE300,$FX$4:$FX$15,1,FALSE)=GE300,VLOOKUP(GF300,$FX$4:$FX$15,1,FALSE)=GF300,VLOOKUP(GG300,$FX$4:$FX$15,1,FALSE)=GG300,VLOOKUP(GH300,$FX$4:$FX$15,1,FALSE)=GH300,VLOOKUP(GI300,$FX$4:$FX$15,1,FALSE)=GI300),FZ300,""),"")</f>
        <v/>
      </c>
    </row>
    <row r="301" ht="14.25" customHeight="1">
      <c r="FZ301" s="79" t="n">
        <v>299</v>
      </c>
      <c r="GA301" s="3">
        <f>GB301&amp;GC301&amp;GD301&amp;GE301&amp;GF301&amp;GG301&amp;GH301&amp;GI301</f>
        <v/>
      </c>
      <c r="GB301" s="3" t="inlineStr">
        <is>
          <t>E</t>
        </is>
      </c>
      <c r="GC301" s="3" t="inlineStr">
        <is>
          <t>J</t>
        </is>
      </c>
      <c r="GD301" s="3" t="inlineStr">
        <is>
          <t>B</t>
        </is>
      </c>
      <c r="GE301" s="3" t="inlineStr">
        <is>
          <t>A</t>
        </is>
      </c>
      <c r="GF301" s="3" t="inlineStr">
        <is>
          <t>H</t>
        </is>
      </c>
      <c r="GG301" s="3" t="inlineStr">
        <is>
          <t>G</t>
        </is>
      </c>
      <c r="GH301" s="3" t="inlineStr">
        <is>
          <t>I</t>
        </is>
      </c>
      <c r="GI301" s="3" t="inlineStr">
        <is>
          <t>K</t>
        </is>
      </c>
      <c r="GJ301" s="9">
        <f>VLOOKUP(GB301,$FM$3:$FN$15,2,FALSE)</f>
        <v/>
      </c>
      <c r="GK301" s="9">
        <f>VLOOKUP(GC301,$FM$3:$FN$15,2,FALSE)</f>
        <v/>
      </c>
      <c r="GL301" s="9">
        <f>VLOOKUP(GD301,$FM$3:$FN$15,2,FALSE)</f>
        <v/>
      </c>
      <c r="GM301" s="9">
        <f>VLOOKUP(GE301,$FM$3:$FN$15,2,FALSE)</f>
        <v/>
      </c>
      <c r="GN301" s="9">
        <f>VLOOKUP(GF301,$FM$3:$FN$15,2,FALSE)</f>
        <v/>
      </c>
      <c r="GO301" s="9">
        <f>VLOOKUP(GG301,$FM$3:$FN$15,2,FALSE)</f>
        <v/>
      </c>
      <c r="GP301" s="9">
        <f>VLOOKUP(GH301,$FM$3:$FN$15,2,FALSE)</f>
        <v/>
      </c>
      <c r="GQ301" s="9">
        <f>VLOOKUP(GI301,$FM$3:$FN$15,2,FALSE)</f>
        <v/>
      </c>
      <c r="GR301" s="9">
        <f>IFERROR(IF(AND(VLOOKUP(GB301,$FX$4:$FX$15,1,FALSE)=GB301,VLOOKUP(GC301,$FX$4:$FX$15,1,FALSE)=GC301,VLOOKUP(GD301,$FX$4:$FX$15,1,FALSE)=GD301,VLOOKUP(GE301,$FX$4:$FX$15,1,FALSE)=GE301,VLOOKUP(GF301,$FX$4:$FX$15,1,FALSE)=GF301,VLOOKUP(GG301,$FX$4:$FX$15,1,FALSE)=GG301,VLOOKUP(GH301,$FX$4:$FX$15,1,FALSE)=GH301,VLOOKUP(GI301,$FX$4:$FX$15,1,FALSE)=GI301),FZ301,""),"")</f>
        <v/>
      </c>
    </row>
    <row r="302" ht="14.25" customHeight="1">
      <c r="FZ302" s="79" t="n">
        <v>300</v>
      </c>
      <c r="GA302" s="3">
        <f>GB302&amp;GC302&amp;GD302&amp;GE302&amp;GF302&amp;GG302&amp;GH302&amp;GI302</f>
        <v/>
      </c>
      <c r="GB302" s="3" t="inlineStr">
        <is>
          <t>E</t>
        </is>
      </c>
      <c r="GC302" s="3" t="inlineStr">
        <is>
          <t>J</t>
        </is>
      </c>
      <c r="GD302" s="3" t="inlineStr">
        <is>
          <t>B</t>
        </is>
      </c>
      <c r="GE302" s="3" t="inlineStr">
        <is>
          <t>A</t>
        </is>
      </c>
      <c r="GF302" s="3" t="inlineStr">
        <is>
          <t>I</t>
        </is>
      </c>
      <c r="GG302" s="3" t="inlineStr">
        <is>
          <t>F</t>
        </is>
      </c>
      <c r="GH302" s="3" t="inlineStr">
        <is>
          <t>L</t>
        </is>
      </c>
      <c r="GI302" s="3" t="inlineStr">
        <is>
          <t>K</t>
        </is>
      </c>
      <c r="GJ302" s="9">
        <f>VLOOKUP(GB302,$FM$3:$FN$15,2,FALSE)</f>
        <v/>
      </c>
      <c r="GK302" s="9">
        <f>VLOOKUP(GC302,$FM$3:$FN$15,2,FALSE)</f>
        <v/>
      </c>
      <c r="GL302" s="9">
        <f>VLOOKUP(GD302,$FM$3:$FN$15,2,FALSE)</f>
        <v/>
      </c>
      <c r="GM302" s="9">
        <f>VLOOKUP(GE302,$FM$3:$FN$15,2,FALSE)</f>
        <v/>
      </c>
      <c r="GN302" s="9">
        <f>VLOOKUP(GF302,$FM$3:$FN$15,2,FALSE)</f>
        <v/>
      </c>
      <c r="GO302" s="9">
        <f>VLOOKUP(GG302,$FM$3:$FN$15,2,FALSE)</f>
        <v/>
      </c>
      <c r="GP302" s="9">
        <f>VLOOKUP(GH302,$FM$3:$FN$15,2,FALSE)</f>
        <v/>
      </c>
      <c r="GQ302" s="9">
        <f>VLOOKUP(GI302,$FM$3:$FN$15,2,FALSE)</f>
        <v/>
      </c>
      <c r="GR302" s="9">
        <f>IFERROR(IF(AND(VLOOKUP(GB302,$FX$4:$FX$15,1,FALSE)=GB302,VLOOKUP(GC302,$FX$4:$FX$15,1,FALSE)=GC302,VLOOKUP(GD302,$FX$4:$FX$15,1,FALSE)=GD302,VLOOKUP(GE302,$FX$4:$FX$15,1,FALSE)=GE302,VLOOKUP(GF302,$FX$4:$FX$15,1,FALSE)=GF302,VLOOKUP(GG302,$FX$4:$FX$15,1,FALSE)=GG302,VLOOKUP(GH302,$FX$4:$FX$15,1,FALSE)=GH302,VLOOKUP(GI302,$FX$4:$FX$15,1,FALSE)=GI302),FZ302,""),"")</f>
        <v/>
      </c>
    </row>
    <row r="303" ht="14.25" customHeight="1">
      <c r="FZ303" s="79" t="n">
        <v>301</v>
      </c>
      <c r="GA303" s="3">
        <f>GB303&amp;GC303&amp;GD303&amp;GE303&amp;GF303&amp;GG303&amp;GH303&amp;GI303</f>
        <v/>
      </c>
      <c r="GB303" s="3" t="inlineStr">
        <is>
          <t>E</t>
        </is>
      </c>
      <c r="GC303" s="3" t="inlineStr">
        <is>
          <t>J</t>
        </is>
      </c>
      <c r="GD303" s="3" t="inlineStr">
        <is>
          <t>B</t>
        </is>
      </c>
      <c r="GE303" s="3" t="inlineStr">
        <is>
          <t>F</t>
        </is>
      </c>
      <c r="GF303" s="3" t="inlineStr">
        <is>
          <t>A</t>
        </is>
      </c>
      <c r="GG303" s="3" t="inlineStr">
        <is>
          <t>H</t>
        </is>
      </c>
      <c r="GH303" s="3" t="inlineStr">
        <is>
          <t>L</t>
        </is>
      </c>
      <c r="GI303" s="3" t="inlineStr">
        <is>
          <t>K</t>
        </is>
      </c>
      <c r="GJ303" s="9">
        <f>VLOOKUP(GB303,$FM$3:$FN$15,2,FALSE)</f>
        <v/>
      </c>
      <c r="GK303" s="9">
        <f>VLOOKUP(GC303,$FM$3:$FN$15,2,FALSE)</f>
        <v/>
      </c>
      <c r="GL303" s="9">
        <f>VLOOKUP(GD303,$FM$3:$FN$15,2,FALSE)</f>
        <v/>
      </c>
      <c r="GM303" s="9">
        <f>VLOOKUP(GE303,$FM$3:$FN$15,2,FALSE)</f>
        <v/>
      </c>
      <c r="GN303" s="9">
        <f>VLOOKUP(GF303,$FM$3:$FN$15,2,FALSE)</f>
        <v/>
      </c>
      <c r="GO303" s="9">
        <f>VLOOKUP(GG303,$FM$3:$FN$15,2,FALSE)</f>
        <v/>
      </c>
      <c r="GP303" s="9">
        <f>VLOOKUP(GH303,$FM$3:$FN$15,2,FALSE)</f>
        <v/>
      </c>
      <c r="GQ303" s="9">
        <f>VLOOKUP(GI303,$FM$3:$FN$15,2,FALSE)</f>
        <v/>
      </c>
      <c r="GR303" s="9">
        <f>IFERROR(IF(AND(VLOOKUP(GB303,$FX$4:$FX$15,1,FALSE)=GB303,VLOOKUP(GC303,$FX$4:$FX$15,1,FALSE)=GC303,VLOOKUP(GD303,$FX$4:$FX$15,1,FALSE)=GD303,VLOOKUP(GE303,$FX$4:$FX$15,1,FALSE)=GE303,VLOOKUP(GF303,$FX$4:$FX$15,1,FALSE)=GF303,VLOOKUP(GG303,$FX$4:$FX$15,1,FALSE)=GG303,VLOOKUP(GH303,$FX$4:$FX$15,1,FALSE)=GH303,VLOOKUP(GI303,$FX$4:$FX$15,1,FALSE)=GI303),FZ303,""),"")</f>
        <v/>
      </c>
    </row>
    <row r="304" ht="14.25" customHeight="1">
      <c r="FZ304" s="79" t="n">
        <v>302</v>
      </c>
      <c r="GA304" s="3">
        <f>GB304&amp;GC304&amp;GD304&amp;GE304&amp;GF304&amp;GG304&amp;GH304&amp;GI304</f>
        <v/>
      </c>
      <c r="GB304" s="3" t="inlineStr">
        <is>
          <t>E</t>
        </is>
      </c>
      <c r="GC304" s="3" t="inlineStr">
        <is>
          <t>I</t>
        </is>
      </c>
      <c r="GD304" s="3" t="inlineStr">
        <is>
          <t>B</t>
        </is>
      </c>
      <c r="GE304" s="3" t="inlineStr">
        <is>
          <t>F</t>
        </is>
      </c>
      <c r="GF304" s="3" t="inlineStr">
        <is>
          <t>A</t>
        </is>
      </c>
      <c r="GG304" s="3" t="inlineStr">
        <is>
          <t>H</t>
        </is>
      </c>
      <c r="GH304" s="3" t="inlineStr">
        <is>
          <t>L</t>
        </is>
      </c>
      <c r="GI304" s="3" t="inlineStr">
        <is>
          <t>K</t>
        </is>
      </c>
      <c r="GJ304" s="9">
        <f>VLOOKUP(GB304,$FM$3:$FN$15,2,FALSE)</f>
        <v/>
      </c>
      <c r="GK304" s="9">
        <f>VLOOKUP(GC304,$FM$3:$FN$15,2,FALSE)</f>
        <v/>
      </c>
      <c r="GL304" s="9">
        <f>VLOOKUP(GD304,$FM$3:$FN$15,2,FALSE)</f>
        <v/>
      </c>
      <c r="GM304" s="9">
        <f>VLOOKUP(GE304,$FM$3:$FN$15,2,FALSE)</f>
        <v/>
      </c>
      <c r="GN304" s="9">
        <f>VLOOKUP(GF304,$FM$3:$FN$15,2,FALSE)</f>
        <v/>
      </c>
      <c r="GO304" s="9">
        <f>VLOOKUP(GG304,$FM$3:$FN$15,2,FALSE)</f>
        <v/>
      </c>
      <c r="GP304" s="9">
        <f>VLOOKUP(GH304,$FM$3:$FN$15,2,FALSE)</f>
        <v/>
      </c>
      <c r="GQ304" s="9">
        <f>VLOOKUP(GI304,$FM$3:$FN$15,2,FALSE)</f>
        <v/>
      </c>
      <c r="GR304" s="9">
        <f>IFERROR(IF(AND(VLOOKUP(GB304,$FX$4:$FX$15,1,FALSE)=GB304,VLOOKUP(GC304,$FX$4:$FX$15,1,FALSE)=GC304,VLOOKUP(GD304,$FX$4:$FX$15,1,FALSE)=GD304,VLOOKUP(GE304,$FX$4:$FX$15,1,FALSE)=GE304,VLOOKUP(GF304,$FX$4:$FX$15,1,FALSE)=GF304,VLOOKUP(GG304,$FX$4:$FX$15,1,FALSE)=GG304,VLOOKUP(GH304,$FX$4:$FX$15,1,FALSE)=GH304,VLOOKUP(GI304,$FX$4:$FX$15,1,FALSE)=GI304),FZ304,""),"")</f>
        <v/>
      </c>
    </row>
    <row r="305" ht="14.25" customHeight="1">
      <c r="FZ305" s="79" t="n">
        <v>303</v>
      </c>
      <c r="GA305" s="3">
        <f>GB305&amp;GC305&amp;GD305&amp;GE305&amp;GF305&amp;GG305&amp;GH305&amp;GI305</f>
        <v/>
      </c>
      <c r="GB305" s="3" t="inlineStr">
        <is>
          <t>E</t>
        </is>
      </c>
      <c r="GC305" s="3" t="inlineStr">
        <is>
          <t>J</t>
        </is>
      </c>
      <c r="GD305" s="3" t="inlineStr">
        <is>
          <t>B</t>
        </is>
      </c>
      <c r="GE305" s="3" t="inlineStr">
        <is>
          <t>F</t>
        </is>
      </c>
      <c r="GF305" s="3" t="inlineStr">
        <is>
          <t>A</t>
        </is>
      </c>
      <c r="GG305" s="3" t="inlineStr">
        <is>
          <t>H</t>
        </is>
      </c>
      <c r="GH305" s="3" t="inlineStr">
        <is>
          <t>L</t>
        </is>
      </c>
      <c r="GI305" s="3" t="inlineStr">
        <is>
          <t>I</t>
        </is>
      </c>
      <c r="GJ305" s="9">
        <f>VLOOKUP(GB305,$FM$3:$FN$15,2,FALSE)</f>
        <v/>
      </c>
      <c r="GK305" s="9">
        <f>VLOOKUP(GC305,$FM$3:$FN$15,2,FALSE)</f>
        <v/>
      </c>
      <c r="GL305" s="9">
        <f>VLOOKUP(GD305,$FM$3:$FN$15,2,FALSE)</f>
        <v/>
      </c>
      <c r="GM305" s="9">
        <f>VLOOKUP(GE305,$FM$3:$FN$15,2,FALSE)</f>
        <v/>
      </c>
      <c r="GN305" s="9">
        <f>VLOOKUP(GF305,$FM$3:$FN$15,2,FALSE)</f>
        <v/>
      </c>
      <c r="GO305" s="9">
        <f>VLOOKUP(GG305,$FM$3:$FN$15,2,FALSE)</f>
        <v/>
      </c>
      <c r="GP305" s="9">
        <f>VLOOKUP(GH305,$FM$3:$FN$15,2,FALSE)</f>
        <v/>
      </c>
      <c r="GQ305" s="9">
        <f>VLOOKUP(GI305,$FM$3:$FN$15,2,FALSE)</f>
        <v/>
      </c>
      <c r="GR305" s="9">
        <f>IFERROR(IF(AND(VLOOKUP(GB305,$FX$4:$FX$15,1,FALSE)=GB305,VLOOKUP(GC305,$FX$4:$FX$15,1,FALSE)=GC305,VLOOKUP(GD305,$FX$4:$FX$15,1,FALSE)=GD305,VLOOKUP(GE305,$FX$4:$FX$15,1,FALSE)=GE305,VLOOKUP(GF305,$FX$4:$FX$15,1,FALSE)=GF305,VLOOKUP(GG305,$FX$4:$FX$15,1,FALSE)=GG305,VLOOKUP(GH305,$FX$4:$FX$15,1,FALSE)=GH305,VLOOKUP(GI305,$FX$4:$FX$15,1,FALSE)=GI305),FZ305,""),"")</f>
        <v/>
      </c>
    </row>
    <row r="306" ht="14.25" customHeight="1">
      <c r="FZ306" s="79" t="n">
        <v>304</v>
      </c>
      <c r="GA306" s="3">
        <f>GB306&amp;GC306&amp;GD306&amp;GE306&amp;GF306&amp;GG306&amp;GH306&amp;GI306</f>
        <v/>
      </c>
      <c r="GB306" s="3" t="inlineStr">
        <is>
          <t>E</t>
        </is>
      </c>
      <c r="GC306" s="3" t="inlineStr">
        <is>
          <t>J</t>
        </is>
      </c>
      <c r="GD306" s="3" t="inlineStr">
        <is>
          <t>B</t>
        </is>
      </c>
      <c r="GE306" s="3" t="inlineStr">
        <is>
          <t>F</t>
        </is>
      </c>
      <c r="GF306" s="3" t="inlineStr">
        <is>
          <t>A</t>
        </is>
      </c>
      <c r="GG306" s="3" t="inlineStr">
        <is>
          <t>H</t>
        </is>
      </c>
      <c r="GH306" s="3" t="inlineStr">
        <is>
          <t>I</t>
        </is>
      </c>
      <c r="GI306" s="3" t="inlineStr">
        <is>
          <t>K</t>
        </is>
      </c>
      <c r="GJ306" s="9">
        <f>VLOOKUP(GB306,$FM$3:$FN$15,2,FALSE)</f>
        <v/>
      </c>
      <c r="GK306" s="9">
        <f>VLOOKUP(GC306,$FM$3:$FN$15,2,FALSE)</f>
        <v/>
      </c>
      <c r="GL306" s="9">
        <f>VLOOKUP(GD306,$FM$3:$FN$15,2,FALSE)</f>
        <v/>
      </c>
      <c r="GM306" s="9">
        <f>VLOOKUP(GE306,$FM$3:$FN$15,2,FALSE)</f>
        <v/>
      </c>
      <c r="GN306" s="9">
        <f>VLOOKUP(GF306,$FM$3:$FN$15,2,FALSE)</f>
        <v/>
      </c>
      <c r="GO306" s="9">
        <f>VLOOKUP(GG306,$FM$3:$FN$15,2,FALSE)</f>
        <v/>
      </c>
      <c r="GP306" s="9">
        <f>VLOOKUP(GH306,$FM$3:$FN$15,2,FALSE)</f>
        <v/>
      </c>
      <c r="GQ306" s="9">
        <f>VLOOKUP(GI306,$FM$3:$FN$15,2,FALSE)</f>
        <v/>
      </c>
      <c r="GR306" s="9">
        <f>IFERROR(IF(AND(VLOOKUP(GB306,$FX$4:$FX$15,1,FALSE)=GB306,VLOOKUP(GC306,$FX$4:$FX$15,1,FALSE)=GC306,VLOOKUP(GD306,$FX$4:$FX$15,1,FALSE)=GD306,VLOOKUP(GE306,$FX$4:$FX$15,1,FALSE)=GE306,VLOOKUP(GF306,$FX$4:$FX$15,1,FALSE)=GF306,VLOOKUP(GG306,$FX$4:$FX$15,1,FALSE)=GG306,VLOOKUP(GH306,$FX$4:$FX$15,1,FALSE)=GH306,VLOOKUP(GI306,$FX$4:$FX$15,1,FALSE)=GI306),FZ306,""),"")</f>
        <v/>
      </c>
    </row>
    <row r="307" ht="14.25" customHeight="1">
      <c r="FZ307" s="79" t="n">
        <v>305</v>
      </c>
      <c r="GA307" s="3">
        <f>GB307&amp;GC307&amp;GD307&amp;GE307&amp;GF307&amp;GG307&amp;GH307&amp;GI307</f>
        <v/>
      </c>
      <c r="GB307" s="3" t="inlineStr">
        <is>
          <t>E</t>
        </is>
      </c>
      <c r="GC307" s="3" t="inlineStr">
        <is>
          <t>J</t>
        </is>
      </c>
      <c r="GD307" s="3" t="inlineStr">
        <is>
          <t>B</t>
        </is>
      </c>
      <c r="GE307" s="3" t="inlineStr">
        <is>
          <t>F</t>
        </is>
      </c>
      <c r="GF307" s="3" t="inlineStr">
        <is>
          <t>A</t>
        </is>
      </c>
      <c r="GG307" s="3" t="inlineStr">
        <is>
          <t>G</t>
        </is>
      </c>
      <c r="GH307" s="3" t="inlineStr">
        <is>
          <t>L</t>
        </is>
      </c>
      <c r="GI307" s="3" t="inlineStr">
        <is>
          <t>K</t>
        </is>
      </c>
      <c r="GJ307" s="9">
        <f>VLOOKUP(GB307,$FM$3:$FN$15,2,FALSE)</f>
        <v/>
      </c>
      <c r="GK307" s="9">
        <f>VLOOKUP(GC307,$FM$3:$FN$15,2,FALSE)</f>
        <v/>
      </c>
      <c r="GL307" s="9">
        <f>VLOOKUP(GD307,$FM$3:$FN$15,2,FALSE)</f>
        <v/>
      </c>
      <c r="GM307" s="9">
        <f>VLOOKUP(GE307,$FM$3:$FN$15,2,FALSE)</f>
        <v/>
      </c>
      <c r="GN307" s="9">
        <f>VLOOKUP(GF307,$FM$3:$FN$15,2,FALSE)</f>
        <v/>
      </c>
      <c r="GO307" s="9">
        <f>VLOOKUP(GG307,$FM$3:$FN$15,2,FALSE)</f>
        <v/>
      </c>
      <c r="GP307" s="9">
        <f>VLOOKUP(GH307,$FM$3:$FN$15,2,FALSE)</f>
        <v/>
      </c>
      <c r="GQ307" s="9">
        <f>VLOOKUP(GI307,$FM$3:$FN$15,2,FALSE)</f>
        <v/>
      </c>
      <c r="GR307" s="9">
        <f>IFERROR(IF(AND(VLOOKUP(GB307,$FX$4:$FX$15,1,FALSE)=GB307,VLOOKUP(GC307,$FX$4:$FX$15,1,FALSE)=GC307,VLOOKUP(GD307,$FX$4:$FX$15,1,FALSE)=GD307,VLOOKUP(GE307,$FX$4:$FX$15,1,FALSE)=GE307,VLOOKUP(GF307,$FX$4:$FX$15,1,FALSE)=GF307,VLOOKUP(GG307,$FX$4:$FX$15,1,FALSE)=GG307,VLOOKUP(GH307,$FX$4:$FX$15,1,FALSE)=GH307,VLOOKUP(GI307,$FX$4:$FX$15,1,FALSE)=GI307),FZ307,""),"")</f>
        <v/>
      </c>
    </row>
    <row r="308" ht="14.25" customHeight="1">
      <c r="FZ308" s="79" t="n">
        <v>306</v>
      </c>
      <c r="GA308" s="3">
        <f>GB308&amp;GC308&amp;GD308&amp;GE308&amp;GF308&amp;GG308&amp;GH308&amp;GI308</f>
        <v/>
      </c>
      <c r="GB308" s="3" t="inlineStr">
        <is>
          <t>E</t>
        </is>
      </c>
      <c r="GC308" s="3" t="inlineStr">
        <is>
          <t>G</t>
        </is>
      </c>
      <c r="GD308" s="3" t="inlineStr">
        <is>
          <t>B</t>
        </is>
      </c>
      <c r="GE308" s="3" t="inlineStr">
        <is>
          <t>A</t>
        </is>
      </c>
      <c r="GF308" s="3" t="inlineStr">
        <is>
          <t>I</t>
        </is>
      </c>
      <c r="GG308" s="3" t="inlineStr">
        <is>
          <t>F</t>
        </is>
      </c>
      <c r="GH308" s="3" t="inlineStr">
        <is>
          <t>L</t>
        </is>
      </c>
      <c r="GI308" s="3" t="inlineStr">
        <is>
          <t>K</t>
        </is>
      </c>
      <c r="GJ308" s="9">
        <f>VLOOKUP(GB308,$FM$3:$FN$15,2,FALSE)</f>
        <v/>
      </c>
      <c r="GK308" s="9">
        <f>VLOOKUP(GC308,$FM$3:$FN$15,2,FALSE)</f>
        <v/>
      </c>
      <c r="GL308" s="9">
        <f>VLOOKUP(GD308,$FM$3:$FN$15,2,FALSE)</f>
        <v/>
      </c>
      <c r="GM308" s="9">
        <f>VLOOKUP(GE308,$FM$3:$FN$15,2,FALSE)</f>
        <v/>
      </c>
      <c r="GN308" s="9">
        <f>VLOOKUP(GF308,$FM$3:$FN$15,2,FALSE)</f>
        <v/>
      </c>
      <c r="GO308" s="9">
        <f>VLOOKUP(GG308,$FM$3:$FN$15,2,FALSE)</f>
        <v/>
      </c>
      <c r="GP308" s="9">
        <f>VLOOKUP(GH308,$FM$3:$FN$15,2,FALSE)</f>
        <v/>
      </c>
      <c r="GQ308" s="9">
        <f>VLOOKUP(GI308,$FM$3:$FN$15,2,FALSE)</f>
        <v/>
      </c>
      <c r="GR308" s="9">
        <f>IFERROR(IF(AND(VLOOKUP(GB308,$FX$4:$FX$15,1,FALSE)=GB308,VLOOKUP(GC308,$FX$4:$FX$15,1,FALSE)=GC308,VLOOKUP(GD308,$FX$4:$FX$15,1,FALSE)=GD308,VLOOKUP(GE308,$FX$4:$FX$15,1,FALSE)=GE308,VLOOKUP(GF308,$FX$4:$FX$15,1,FALSE)=GF308,VLOOKUP(GG308,$FX$4:$FX$15,1,FALSE)=GG308,VLOOKUP(GH308,$FX$4:$FX$15,1,FALSE)=GH308,VLOOKUP(GI308,$FX$4:$FX$15,1,FALSE)=GI308),FZ308,""),"")</f>
        <v/>
      </c>
    </row>
    <row r="309" ht="14.25" customHeight="1">
      <c r="FZ309" s="79" t="n">
        <v>307</v>
      </c>
      <c r="GA309" s="3">
        <f>GB309&amp;GC309&amp;GD309&amp;GE309&amp;GF309&amp;GG309&amp;GH309&amp;GI309</f>
        <v/>
      </c>
      <c r="GB309" s="3" t="inlineStr">
        <is>
          <t>E</t>
        </is>
      </c>
      <c r="GC309" s="3" t="inlineStr">
        <is>
          <t>J</t>
        </is>
      </c>
      <c r="GD309" s="3" t="inlineStr">
        <is>
          <t>B</t>
        </is>
      </c>
      <c r="GE309" s="3" t="inlineStr">
        <is>
          <t>F</t>
        </is>
      </c>
      <c r="GF309" s="3" t="inlineStr">
        <is>
          <t>A</t>
        </is>
      </c>
      <c r="GG309" s="3" t="inlineStr">
        <is>
          <t>G</t>
        </is>
      </c>
      <c r="GH309" s="3" t="inlineStr">
        <is>
          <t>L</t>
        </is>
      </c>
      <c r="GI309" s="3" t="inlineStr">
        <is>
          <t>I</t>
        </is>
      </c>
      <c r="GJ309" s="9">
        <f>VLOOKUP(GB309,$FM$3:$FN$15,2,FALSE)</f>
        <v/>
      </c>
      <c r="GK309" s="9">
        <f>VLOOKUP(GC309,$FM$3:$FN$15,2,FALSE)</f>
        <v/>
      </c>
      <c r="GL309" s="9">
        <f>VLOOKUP(GD309,$FM$3:$FN$15,2,FALSE)</f>
        <v/>
      </c>
      <c r="GM309" s="9">
        <f>VLOOKUP(GE309,$FM$3:$FN$15,2,FALSE)</f>
        <v/>
      </c>
      <c r="GN309" s="9">
        <f>VLOOKUP(GF309,$FM$3:$FN$15,2,FALSE)</f>
        <v/>
      </c>
      <c r="GO309" s="9">
        <f>VLOOKUP(GG309,$FM$3:$FN$15,2,FALSE)</f>
        <v/>
      </c>
      <c r="GP309" s="9">
        <f>VLOOKUP(GH309,$FM$3:$FN$15,2,FALSE)</f>
        <v/>
      </c>
      <c r="GQ309" s="9">
        <f>VLOOKUP(GI309,$FM$3:$FN$15,2,FALSE)</f>
        <v/>
      </c>
      <c r="GR309" s="9">
        <f>IFERROR(IF(AND(VLOOKUP(GB309,$FX$4:$FX$15,1,FALSE)=GB309,VLOOKUP(GC309,$FX$4:$FX$15,1,FALSE)=GC309,VLOOKUP(GD309,$FX$4:$FX$15,1,FALSE)=GD309,VLOOKUP(GE309,$FX$4:$FX$15,1,FALSE)=GE309,VLOOKUP(GF309,$FX$4:$FX$15,1,FALSE)=GF309,VLOOKUP(GG309,$FX$4:$FX$15,1,FALSE)=GG309,VLOOKUP(GH309,$FX$4:$FX$15,1,FALSE)=GH309,VLOOKUP(GI309,$FX$4:$FX$15,1,FALSE)=GI309),FZ309,""),"")</f>
        <v/>
      </c>
    </row>
    <row r="310" ht="14.25" customHeight="1">
      <c r="FZ310" s="79" t="n">
        <v>308</v>
      </c>
      <c r="GA310" s="3">
        <f>GB310&amp;GC310&amp;GD310&amp;GE310&amp;GF310&amp;GG310&amp;GH310&amp;GI310</f>
        <v/>
      </c>
      <c r="GB310" s="3" t="inlineStr">
        <is>
          <t>E</t>
        </is>
      </c>
      <c r="GC310" s="3" t="inlineStr">
        <is>
          <t>J</t>
        </is>
      </c>
      <c r="GD310" s="3" t="inlineStr">
        <is>
          <t>B</t>
        </is>
      </c>
      <c r="GE310" s="3" t="inlineStr">
        <is>
          <t>F</t>
        </is>
      </c>
      <c r="GF310" s="3" t="inlineStr">
        <is>
          <t>A</t>
        </is>
      </c>
      <c r="GG310" s="3" t="inlineStr">
        <is>
          <t>G</t>
        </is>
      </c>
      <c r="GH310" s="3" t="inlineStr">
        <is>
          <t>I</t>
        </is>
      </c>
      <c r="GI310" s="3" t="inlineStr">
        <is>
          <t>K</t>
        </is>
      </c>
      <c r="GJ310" s="9">
        <f>VLOOKUP(GB310,$FM$3:$FN$15,2,FALSE)</f>
        <v/>
      </c>
      <c r="GK310" s="9">
        <f>VLOOKUP(GC310,$FM$3:$FN$15,2,FALSE)</f>
        <v/>
      </c>
      <c r="GL310" s="9">
        <f>VLOOKUP(GD310,$FM$3:$FN$15,2,FALSE)</f>
        <v/>
      </c>
      <c r="GM310" s="9">
        <f>VLOOKUP(GE310,$FM$3:$FN$15,2,FALSE)</f>
        <v/>
      </c>
      <c r="GN310" s="9">
        <f>VLOOKUP(GF310,$FM$3:$FN$15,2,FALSE)</f>
        <v/>
      </c>
      <c r="GO310" s="9">
        <f>VLOOKUP(GG310,$FM$3:$FN$15,2,FALSE)</f>
        <v/>
      </c>
      <c r="GP310" s="9">
        <f>VLOOKUP(GH310,$FM$3:$FN$15,2,FALSE)</f>
        <v/>
      </c>
      <c r="GQ310" s="9">
        <f>VLOOKUP(GI310,$FM$3:$FN$15,2,FALSE)</f>
        <v/>
      </c>
      <c r="GR310" s="9">
        <f>IFERROR(IF(AND(VLOOKUP(GB310,$FX$4:$FX$15,1,FALSE)=GB310,VLOOKUP(GC310,$FX$4:$FX$15,1,FALSE)=GC310,VLOOKUP(GD310,$FX$4:$FX$15,1,FALSE)=GD310,VLOOKUP(GE310,$FX$4:$FX$15,1,FALSE)=GE310,VLOOKUP(GF310,$FX$4:$FX$15,1,FALSE)=GF310,VLOOKUP(GG310,$FX$4:$FX$15,1,FALSE)=GG310,VLOOKUP(GH310,$FX$4:$FX$15,1,FALSE)=GH310,VLOOKUP(GI310,$FX$4:$FX$15,1,FALSE)=GI310),FZ310,""),"")</f>
        <v/>
      </c>
    </row>
    <row r="311" ht="14.25" customHeight="1">
      <c r="FZ311" s="79" t="n">
        <v>309</v>
      </c>
      <c r="GA311" s="3">
        <f>GB311&amp;GC311&amp;GD311&amp;GE311&amp;GF311&amp;GG311&amp;GH311&amp;GI311</f>
        <v/>
      </c>
      <c r="GB311" s="3" t="inlineStr">
        <is>
          <t>E</t>
        </is>
      </c>
      <c r="GC311" s="3" t="inlineStr">
        <is>
          <t>G</t>
        </is>
      </c>
      <c r="GD311" s="3" t="inlineStr">
        <is>
          <t>B</t>
        </is>
      </c>
      <c r="GE311" s="3" t="inlineStr">
        <is>
          <t>F</t>
        </is>
      </c>
      <c r="GF311" s="3" t="inlineStr">
        <is>
          <t>A</t>
        </is>
      </c>
      <c r="GG311" s="3" t="inlineStr">
        <is>
          <t>H</t>
        </is>
      </c>
      <c r="GH311" s="3" t="inlineStr">
        <is>
          <t>L</t>
        </is>
      </c>
      <c r="GI311" s="3" t="inlineStr">
        <is>
          <t>K</t>
        </is>
      </c>
      <c r="GJ311" s="9">
        <f>VLOOKUP(GB311,$FM$3:$FN$15,2,FALSE)</f>
        <v/>
      </c>
      <c r="GK311" s="9">
        <f>VLOOKUP(GC311,$FM$3:$FN$15,2,FALSE)</f>
        <v/>
      </c>
      <c r="GL311" s="9">
        <f>VLOOKUP(GD311,$FM$3:$FN$15,2,FALSE)</f>
        <v/>
      </c>
      <c r="GM311" s="9">
        <f>VLOOKUP(GE311,$FM$3:$FN$15,2,FALSE)</f>
        <v/>
      </c>
      <c r="GN311" s="9">
        <f>VLOOKUP(GF311,$FM$3:$FN$15,2,FALSE)</f>
        <v/>
      </c>
      <c r="GO311" s="9">
        <f>VLOOKUP(GG311,$FM$3:$FN$15,2,FALSE)</f>
        <v/>
      </c>
      <c r="GP311" s="9">
        <f>VLOOKUP(GH311,$FM$3:$FN$15,2,FALSE)</f>
        <v/>
      </c>
      <c r="GQ311" s="9">
        <f>VLOOKUP(GI311,$FM$3:$FN$15,2,FALSE)</f>
        <v/>
      </c>
      <c r="GR311" s="9">
        <f>IFERROR(IF(AND(VLOOKUP(GB311,$FX$4:$FX$15,1,FALSE)=GB311,VLOOKUP(GC311,$FX$4:$FX$15,1,FALSE)=GC311,VLOOKUP(GD311,$FX$4:$FX$15,1,FALSE)=GD311,VLOOKUP(GE311,$FX$4:$FX$15,1,FALSE)=GE311,VLOOKUP(GF311,$FX$4:$FX$15,1,FALSE)=GF311,VLOOKUP(GG311,$FX$4:$FX$15,1,FALSE)=GG311,VLOOKUP(GH311,$FX$4:$FX$15,1,FALSE)=GH311,VLOOKUP(GI311,$FX$4:$FX$15,1,FALSE)=GI311),FZ311,""),"")</f>
        <v/>
      </c>
    </row>
    <row r="312" ht="14.25" customHeight="1">
      <c r="FZ312" s="79" t="n">
        <v>310</v>
      </c>
      <c r="GA312" s="3">
        <f>GB312&amp;GC312&amp;GD312&amp;GE312&amp;GF312&amp;GG312&amp;GH312&amp;GI312</f>
        <v/>
      </c>
      <c r="GB312" s="3" t="inlineStr">
        <is>
          <t>H</t>
        </is>
      </c>
      <c r="GC312" s="3" t="inlineStr">
        <is>
          <t>J</t>
        </is>
      </c>
      <c r="GD312" s="3" t="inlineStr">
        <is>
          <t>B</t>
        </is>
      </c>
      <c r="GE312" s="3" t="inlineStr">
        <is>
          <t>F</t>
        </is>
      </c>
      <c r="GF312" s="3" t="inlineStr">
        <is>
          <t>A</t>
        </is>
      </c>
      <c r="GG312" s="3" t="inlineStr">
        <is>
          <t>G</t>
        </is>
      </c>
      <c r="GH312" s="3" t="inlineStr">
        <is>
          <t>L</t>
        </is>
      </c>
      <c r="GI312" s="3" t="inlineStr">
        <is>
          <t>E</t>
        </is>
      </c>
      <c r="GJ312" s="9">
        <f>VLOOKUP(GB312,$FM$3:$FN$15,2,FALSE)</f>
        <v/>
      </c>
      <c r="GK312" s="9">
        <f>VLOOKUP(GC312,$FM$3:$FN$15,2,FALSE)</f>
        <v/>
      </c>
      <c r="GL312" s="9">
        <f>VLOOKUP(GD312,$FM$3:$FN$15,2,FALSE)</f>
        <v/>
      </c>
      <c r="GM312" s="9">
        <f>VLOOKUP(GE312,$FM$3:$FN$15,2,FALSE)</f>
        <v/>
      </c>
      <c r="GN312" s="9">
        <f>VLOOKUP(GF312,$FM$3:$FN$15,2,FALSE)</f>
        <v/>
      </c>
      <c r="GO312" s="9">
        <f>VLOOKUP(GG312,$FM$3:$FN$15,2,FALSE)</f>
        <v/>
      </c>
      <c r="GP312" s="9">
        <f>VLOOKUP(GH312,$FM$3:$FN$15,2,FALSE)</f>
        <v/>
      </c>
      <c r="GQ312" s="9">
        <f>VLOOKUP(GI312,$FM$3:$FN$15,2,FALSE)</f>
        <v/>
      </c>
      <c r="GR312" s="9">
        <f>IFERROR(IF(AND(VLOOKUP(GB312,$FX$4:$FX$15,1,FALSE)=GB312,VLOOKUP(GC312,$FX$4:$FX$15,1,FALSE)=GC312,VLOOKUP(GD312,$FX$4:$FX$15,1,FALSE)=GD312,VLOOKUP(GE312,$FX$4:$FX$15,1,FALSE)=GE312,VLOOKUP(GF312,$FX$4:$FX$15,1,FALSE)=GF312,VLOOKUP(GG312,$FX$4:$FX$15,1,FALSE)=GG312,VLOOKUP(GH312,$FX$4:$FX$15,1,FALSE)=GH312,VLOOKUP(GI312,$FX$4:$FX$15,1,FALSE)=GI312),FZ312,""),"")</f>
        <v/>
      </c>
    </row>
    <row r="313" ht="14.25" customHeight="1">
      <c r="FZ313" s="79" t="n">
        <v>311</v>
      </c>
      <c r="GA313" s="3">
        <f>GB313&amp;GC313&amp;GD313&amp;GE313&amp;GF313&amp;GG313&amp;GH313&amp;GI313</f>
        <v/>
      </c>
      <c r="GB313" s="3" t="inlineStr">
        <is>
          <t>H</t>
        </is>
      </c>
      <c r="GC313" s="3" t="inlineStr">
        <is>
          <t>J</t>
        </is>
      </c>
      <c r="GD313" s="3" t="inlineStr">
        <is>
          <t>B</t>
        </is>
      </c>
      <c r="GE313" s="3" t="inlineStr">
        <is>
          <t>F</t>
        </is>
      </c>
      <c r="GF313" s="3" t="inlineStr">
        <is>
          <t>A</t>
        </is>
      </c>
      <c r="GG313" s="3" t="inlineStr">
        <is>
          <t>G</t>
        </is>
      </c>
      <c r="GH313" s="3" t="inlineStr">
        <is>
          <t>E</t>
        </is>
      </c>
      <c r="GI313" s="3" t="inlineStr">
        <is>
          <t>K</t>
        </is>
      </c>
      <c r="GJ313" s="9">
        <f>VLOOKUP(GB313,$FM$3:$FN$15,2,FALSE)</f>
        <v/>
      </c>
      <c r="GK313" s="9">
        <f>VLOOKUP(GC313,$FM$3:$FN$15,2,FALSE)</f>
        <v/>
      </c>
      <c r="GL313" s="9">
        <f>VLOOKUP(GD313,$FM$3:$FN$15,2,FALSE)</f>
        <v/>
      </c>
      <c r="GM313" s="9">
        <f>VLOOKUP(GE313,$FM$3:$FN$15,2,FALSE)</f>
        <v/>
      </c>
      <c r="GN313" s="9">
        <f>VLOOKUP(GF313,$FM$3:$FN$15,2,FALSE)</f>
        <v/>
      </c>
      <c r="GO313" s="9">
        <f>VLOOKUP(GG313,$FM$3:$FN$15,2,FALSE)</f>
        <v/>
      </c>
      <c r="GP313" s="9">
        <f>VLOOKUP(GH313,$FM$3:$FN$15,2,FALSE)</f>
        <v/>
      </c>
      <c r="GQ313" s="9">
        <f>VLOOKUP(GI313,$FM$3:$FN$15,2,FALSE)</f>
        <v/>
      </c>
      <c r="GR313" s="9">
        <f>IFERROR(IF(AND(VLOOKUP(GB313,$FX$4:$FX$15,1,FALSE)=GB313,VLOOKUP(GC313,$FX$4:$FX$15,1,FALSE)=GC313,VLOOKUP(GD313,$FX$4:$FX$15,1,FALSE)=GD313,VLOOKUP(GE313,$FX$4:$FX$15,1,FALSE)=GE313,VLOOKUP(GF313,$FX$4:$FX$15,1,FALSE)=GF313,VLOOKUP(GG313,$FX$4:$FX$15,1,FALSE)=GG313,VLOOKUP(GH313,$FX$4:$FX$15,1,FALSE)=GH313,VLOOKUP(GI313,$FX$4:$FX$15,1,FALSE)=GI313),FZ313,""),"")</f>
        <v/>
      </c>
    </row>
    <row r="314" ht="14.25" customHeight="1">
      <c r="FZ314" s="79" t="n">
        <v>312</v>
      </c>
      <c r="GA314" s="3">
        <f>GB314&amp;GC314&amp;GD314&amp;GE314&amp;GF314&amp;GG314&amp;GH314&amp;GI314</f>
        <v/>
      </c>
      <c r="GB314" s="3" t="inlineStr">
        <is>
          <t>E</t>
        </is>
      </c>
      <c r="GC314" s="3" t="inlineStr">
        <is>
          <t>G</t>
        </is>
      </c>
      <c r="GD314" s="3" t="inlineStr">
        <is>
          <t>B</t>
        </is>
      </c>
      <c r="GE314" s="3" t="inlineStr">
        <is>
          <t>F</t>
        </is>
      </c>
      <c r="GF314" s="3" t="inlineStr">
        <is>
          <t>A</t>
        </is>
      </c>
      <c r="GG314" s="3" t="inlineStr">
        <is>
          <t>H</t>
        </is>
      </c>
      <c r="GH314" s="3" t="inlineStr">
        <is>
          <t>L</t>
        </is>
      </c>
      <c r="GI314" s="3" t="inlineStr">
        <is>
          <t>I</t>
        </is>
      </c>
      <c r="GJ314" s="9">
        <f>VLOOKUP(GB314,$FM$3:$FN$15,2,FALSE)</f>
        <v/>
      </c>
      <c r="GK314" s="9">
        <f>VLOOKUP(GC314,$FM$3:$FN$15,2,FALSE)</f>
        <v/>
      </c>
      <c r="GL314" s="9">
        <f>VLOOKUP(GD314,$FM$3:$FN$15,2,FALSE)</f>
        <v/>
      </c>
      <c r="GM314" s="9">
        <f>VLOOKUP(GE314,$FM$3:$FN$15,2,FALSE)</f>
        <v/>
      </c>
      <c r="GN314" s="9">
        <f>VLOOKUP(GF314,$FM$3:$FN$15,2,FALSE)</f>
        <v/>
      </c>
      <c r="GO314" s="9">
        <f>VLOOKUP(GG314,$FM$3:$FN$15,2,FALSE)</f>
        <v/>
      </c>
      <c r="GP314" s="9">
        <f>VLOOKUP(GH314,$FM$3:$FN$15,2,FALSE)</f>
        <v/>
      </c>
      <c r="GQ314" s="9">
        <f>VLOOKUP(GI314,$FM$3:$FN$15,2,FALSE)</f>
        <v/>
      </c>
      <c r="GR314" s="9">
        <f>IFERROR(IF(AND(VLOOKUP(GB314,$FX$4:$FX$15,1,FALSE)=GB314,VLOOKUP(GC314,$FX$4:$FX$15,1,FALSE)=GC314,VLOOKUP(GD314,$FX$4:$FX$15,1,FALSE)=GD314,VLOOKUP(GE314,$FX$4:$FX$15,1,FALSE)=GE314,VLOOKUP(GF314,$FX$4:$FX$15,1,FALSE)=GF314,VLOOKUP(GG314,$FX$4:$FX$15,1,FALSE)=GG314,VLOOKUP(GH314,$FX$4:$FX$15,1,FALSE)=GH314,VLOOKUP(GI314,$FX$4:$FX$15,1,FALSE)=GI314),FZ314,""),"")</f>
        <v/>
      </c>
    </row>
    <row r="315" ht="14.25" customHeight="1">
      <c r="FZ315" s="79" t="n">
        <v>313</v>
      </c>
      <c r="GA315" s="3">
        <f>GB315&amp;GC315&amp;GD315&amp;GE315&amp;GF315&amp;GG315&amp;GH315&amp;GI315</f>
        <v/>
      </c>
      <c r="GB315" s="3" t="inlineStr">
        <is>
          <t>E</t>
        </is>
      </c>
      <c r="GC315" s="3" t="inlineStr">
        <is>
          <t>G</t>
        </is>
      </c>
      <c r="GD315" s="3" t="inlineStr">
        <is>
          <t>B</t>
        </is>
      </c>
      <c r="GE315" s="3" t="inlineStr">
        <is>
          <t>F</t>
        </is>
      </c>
      <c r="GF315" s="3" t="inlineStr">
        <is>
          <t>A</t>
        </is>
      </c>
      <c r="GG315" s="3" t="inlineStr">
        <is>
          <t>H</t>
        </is>
      </c>
      <c r="GH315" s="3" t="inlineStr">
        <is>
          <t>I</t>
        </is>
      </c>
      <c r="GI315" s="3" t="inlineStr">
        <is>
          <t>K</t>
        </is>
      </c>
      <c r="GJ315" s="9">
        <f>VLOOKUP(GB315,$FM$3:$FN$15,2,FALSE)</f>
        <v/>
      </c>
      <c r="GK315" s="9">
        <f>VLOOKUP(GC315,$FM$3:$FN$15,2,FALSE)</f>
        <v/>
      </c>
      <c r="GL315" s="9">
        <f>VLOOKUP(GD315,$FM$3:$FN$15,2,FALSE)</f>
        <v/>
      </c>
      <c r="GM315" s="9">
        <f>VLOOKUP(GE315,$FM$3:$FN$15,2,FALSE)</f>
        <v/>
      </c>
      <c r="GN315" s="9">
        <f>VLOOKUP(GF315,$FM$3:$FN$15,2,FALSE)</f>
        <v/>
      </c>
      <c r="GO315" s="9">
        <f>VLOOKUP(GG315,$FM$3:$FN$15,2,FALSE)</f>
        <v/>
      </c>
      <c r="GP315" s="9">
        <f>VLOOKUP(GH315,$FM$3:$FN$15,2,FALSE)</f>
        <v/>
      </c>
      <c r="GQ315" s="9">
        <f>VLOOKUP(GI315,$FM$3:$FN$15,2,FALSE)</f>
        <v/>
      </c>
      <c r="GR315" s="9">
        <f>IFERROR(IF(AND(VLOOKUP(GB315,$FX$4:$FX$15,1,FALSE)=GB315,VLOOKUP(GC315,$FX$4:$FX$15,1,FALSE)=GC315,VLOOKUP(GD315,$FX$4:$FX$15,1,FALSE)=GD315,VLOOKUP(GE315,$FX$4:$FX$15,1,FALSE)=GE315,VLOOKUP(GF315,$FX$4:$FX$15,1,FALSE)=GF315,VLOOKUP(GG315,$FX$4:$FX$15,1,FALSE)=GG315,VLOOKUP(GH315,$FX$4:$FX$15,1,FALSE)=GH315,VLOOKUP(GI315,$FX$4:$FX$15,1,FALSE)=GI315),FZ315,""),"")</f>
        <v/>
      </c>
    </row>
    <row r="316" ht="14.25" customHeight="1">
      <c r="FZ316" s="79" t="n">
        <v>314</v>
      </c>
      <c r="GA316" s="3">
        <f>GB316&amp;GC316&amp;GD316&amp;GE316&amp;GF316&amp;GG316&amp;GH316&amp;GI316</f>
        <v/>
      </c>
      <c r="GB316" s="3" t="inlineStr">
        <is>
          <t>H</t>
        </is>
      </c>
      <c r="GC316" s="3" t="inlineStr">
        <is>
          <t>J</t>
        </is>
      </c>
      <c r="GD316" s="3" t="inlineStr">
        <is>
          <t>B</t>
        </is>
      </c>
      <c r="GE316" s="3" t="inlineStr">
        <is>
          <t>F</t>
        </is>
      </c>
      <c r="GF316" s="3" t="inlineStr">
        <is>
          <t>A</t>
        </is>
      </c>
      <c r="GG316" s="3" t="inlineStr">
        <is>
          <t>G</t>
        </is>
      </c>
      <c r="GH316" s="3" t="inlineStr">
        <is>
          <t>E</t>
        </is>
      </c>
      <c r="GI316" s="3" t="inlineStr">
        <is>
          <t>I</t>
        </is>
      </c>
      <c r="GJ316" s="9">
        <f>VLOOKUP(GB316,$FM$3:$FN$15,2,FALSE)</f>
        <v/>
      </c>
      <c r="GK316" s="9">
        <f>VLOOKUP(GC316,$FM$3:$FN$15,2,FALSE)</f>
        <v/>
      </c>
      <c r="GL316" s="9">
        <f>VLOOKUP(GD316,$FM$3:$FN$15,2,FALSE)</f>
        <v/>
      </c>
      <c r="GM316" s="9">
        <f>VLOOKUP(GE316,$FM$3:$FN$15,2,FALSE)</f>
        <v/>
      </c>
      <c r="GN316" s="9">
        <f>VLOOKUP(GF316,$FM$3:$FN$15,2,FALSE)</f>
        <v/>
      </c>
      <c r="GO316" s="9">
        <f>VLOOKUP(GG316,$FM$3:$FN$15,2,FALSE)</f>
        <v/>
      </c>
      <c r="GP316" s="9">
        <f>VLOOKUP(GH316,$FM$3:$FN$15,2,FALSE)</f>
        <v/>
      </c>
      <c r="GQ316" s="9">
        <f>VLOOKUP(GI316,$FM$3:$FN$15,2,FALSE)</f>
        <v/>
      </c>
      <c r="GR316" s="9">
        <f>IFERROR(IF(AND(VLOOKUP(GB316,$FX$4:$FX$15,1,FALSE)=GB316,VLOOKUP(GC316,$FX$4:$FX$15,1,FALSE)=GC316,VLOOKUP(GD316,$FX$4:$FX$15,1,FALSE)=GD316,VLOOKUP(GE316,$FX$4:$FX$15,1,FALSE)=GE316,VLOOKUP(GF316,$FX$4:$FX$15,1,FALSE)=GF316,VLOOKUP(GG316,$FX$4:$FX$15,1,FALSE)=GG316,VLOOKUP(GH316,$FX$4:$FX$15,1,FALSE)=GH316,VLOOKUP(GI316,$FX$4:$FX$15,1,FALSE)=GI316),FZ316,""),"")</f>
        <v/>
      </c>
    </row>
    <row r="317" ht="14.25" customHeight="1">
      <c r="FZ317" s="79" t="n">
        <v>315</v>
      </c>
      <c r="GA317" s="3">
        <f>GB317&amp;GC317&amp;GD317&amp;GE317&amp;GF317&amp;GG317&amp;GH317&amp;GI317</f>
        <v/>
      </c>
      <c r="GB317" s="3" t="inlineStr">
        <is>
          <t>I</t>
        </is>
      </c>
      <c r="GC317" s="3" t="inlineStr">
        <is>
          <t>J</t>
        </is>
      </c>
      <c r="GD317" s="3" t="inlineStr">
        <is>
          <t>B</t>
        </is>
      </c>
      <c r="GE317" s="3" t="inlineStr">
        <is>
          <t>D</t>
        </is>
      </c>
      <c r="GF317" s="3" t="inlineStr">
        <is>
          <t>A</t>
        </is>
      </c>
      <c r="GG317" s="3" t="inlineStr">
        <is>
          <t>H</t>
        </is>
      </c>
      <c r="GH317" s="3" t="inlineStr">
        <is>
          <t>L</t>
        </is>
      </c>
      <c r="GI317" s="3" t="inlineStr">
        <is>
          <t>K</t>
        </is>
      </c>
      <c r="GJ317" s="9">
        <f>VLOOKUP(GB317,$FM$3:$FN$15,2,FALSE)</f>
        <v/>
      </c>
      <c r="GK317" s="9">
        <f>VLOOKUP(GC317,$FM$3:$FN$15,2,FALSE)</f>
        <v/>
      </c>
      <c r="GL317" s="9">
        <f>VLOOKUP(GD317,$FM$3:$FN$15,2,FALSE)</f>
        <v/>
      </c>
      <c r="GM317" s="9">
        <f>VLOOKUP(GE317,$FM$3:$FN$15,2,FALSE)</f>
        <v/>
      </c>
      <c r="GN317" s="9">
        <f>VLOOKUP(GF317,$FM$3:$FN$15,2,FALSE)</f>
        <v/>
      </c>
      <c r="GO317" s="9">
        <f>VLOOKUP(GG317,$FM$3:$FN$15,2,FALSE)</f>
        <v/>
      </c>
      <c r="GP317" s="9">
        <f>VLOOKUP(GH317,$FM$3:$FN$15,2,FALSE)</f>
        <v/>
      </c>
      <c r="GQ317" s="9">
        <f>VLOOKUP(GI317,$FM$3:$FN$15,2,FALSE)</f>
        <v/>
      </c>
      <c r="GR317" s="9">
        <f>IFERROR(IF(AND(VLOOKUP(GB317,$FX$4:$FX$15,1,FALSE)=GB317,VLOOKUP(GC317,$FX$4:$FX$15,1,FALSE)=GC317,VLOOKUP(GD317,$FX$4:$FX$15,1,FALSE)=GD317,VLOOKUP(GE317,$FX$4:$FX$15,1,FALSE)=GE317,VLOOKUP(GF317,$FX$4:$FX$15,1,FALSE)=GF317,VLOOKUP(GG317,$FX$4:$FX$15,1,FALSE)=GG317,VLOOKUP(GH317,$FX$4:$FX$15,1,FALSE)=GH317,VLOOKUP(GI317,$FX$4:$FX$15,1,FALSE)=GI317),FZ317,""),"")</f>
        <v/>
      </c>
    </row>
    <row r="318" ht="14.25" customHeight="1">
      <c r="FZ318" s="79" t="n">
        <v>316</v>
      </c>
      <c r="GA318" s="3">
        <f>GB318&amp;GC318&amp;GD318&amp;GE318&amp;GF318&amp;GG318&amp;GH318&amp;GI318</f>
        <v/>
      </c>
      <c r="GB318" s="3" t="inlineStr">
        <is>
          <t>I</t>
        </is>
      </c>
      <c r="GC318" s="3" t="inlineStr">
        <is>
          <t>J</t>
        </is>
      </c>
      <c r="GD318" s="3" t="inlineStr">
        <is>
          <t>B</t>
        </is>
      </c>
      <c r="GE318" s="3" t="inlineStr">
        <is>
          <t>D</t>
        </is>
      </c>
      <c r="GF318" s="3" t="inlineStr">
        <is>
          <t>A</t>
        </is>
      </c>
      <c r="GG318" s="3" t="inlineStr">
        <is>
          <t>G</t>
        </is>
      </c>
      <c r="GH318" s="3" t="inlineStr">
        <is>
          <t>L</t>
        </is>
      </c>
      <c r="GI318" s="3" t="inlineStr">
        <is>
          <t>K</t>
        </is>
      </c>
      <c r="GJ318" s="9">
        <f>VLOOKUP(GB318,$FM$3:$FN$15,2,FALSE)</f>
        <v/>
      </c>
      <c r="GK318" s="9">
        <f>VLOOKUP(GC318,$FM$3:$FN$15,2,FALSE)</f>
        <v/>
      </c>
      <c r="GL318" s="9">
        <f>VLOOKUP(GD318,$FM$3:$FN$15,2,FALSE)</f>
        <v/>
      </c>
      <c r="GM318" s="9">
        <f>VLOOKUP(GE318,$FM$3:$FN$15,2,FALSE)</f>
        <v/>
      </c>
      <c r="GN318" s="9">
        <f>VLOOKUP(GF318,$FM$3:$FN$15,2,FALSE)</f>
        <v/>
      </c>
      <c r="GO318" s="9">
        <f>VLOOKUP(GG318,$FM$3:$FN$15,2,FALSE)</f>
        <v/>
      </c>
      <c r="GP318" s="9">
        <f>VLOOKUP(GH318,$FM$3:$FN$15,2,FALSE)</f>
        <v/>
      </c>
      <c r="GQ318" s="9">
        <f>VLOOKUP(GI318,$FM$3:$FN$15,2,FALSE)</f>
        <v/>
      </c>
      <c r="GR318" s="9">
        <f>IFERROR(IF(AND(VLOOKUP(GB318,$FX$4:$FX$15,1,FALSE)=GB318,VLOOKUP(GC318,$FX$4:$FX$15,1,FALSE)=GC318,VLOOKUP(GD318,$FX$4:$FX$15,1,FALSE)=GD318,VLOOKUP(GE318,$FX$4:$FX$15,1,FALSE)=GE318,VLOOKUP(GF318,$FX$4:$FX$15,1,FALSE)=GF318,VLOOKUP(GG318,$FX$4:$FX$15,1,FALSE)=GG318,VLOOKUP(GH318,$FX$4:$FX$15,1,FALSE)=GH318,VLOOKUP(GI318,$FX$4:$FX$15,1,FALSE)=GI318),FZ318,""),"")</f>
        <v/>
      </c>
    </row>
    <row r="319" ht="14.25" customHeight="1">
      <c r="FZ319" s="79" t="n">
        <v>317</v>
      </c>
      <c r="GA319" s="3">
        <f>GB319&amp;GC319&amp;GD319&amp;GE319&amp;GF319&amp;GG319&amp;GH319&amp;GI319</f>
        <v/>
      </c>
      <c r="GB319" s="3" t="inlineStr">
        <is>
          <t>H</t>
        </is>
      </c>
      <c r="GC319" s="3" t="inlineStr">
        <is>
          <t>J</t>
        </is>
      </c>
      <c r="GD319" s="3" t="inlineStr">
        <is>
          <t>B</t>
        </is>
      </c>
      <c r="GE319" s="3" t="inlineStr">
        <is>
          <t>D</t>
        </is>
      </c>
      <c r="GF319" s="3" t="inlineStr">
        <is>
          <t>A</t>
        </is>
      </c>
      <c r="GG319" s="3" t="inlineStr">
        <is>
          <t>G</t>
        </is>
      </c>
      <c r="GH319" s="3" t="inlineStr">
        <is>
          <t>L</t>
        </is>
      </c>
      <c r="GI319" s="3" t="inlineStr">
        <is>
          <t>K</t>
        </is>
      </c>
      <c r="GJ319" s="9">
        <f>VLOOKUP(GB319,$FM$3:$FN$15,2,FALSE)</f>
        <v/>
      </c>
      <c r="GK319" s="9">
        <f>VLOOKUP(GC319,$FM$3:$FN$15,2,FALSE)</f>
        <v/>
      </c>
      <c r="GL319" s="9">
        <f>VLOOKUP(GD319,$FM$3:$FN$15,2,FALSE)</f>
        <v/>
      </c>
      <c r="GM319" s="9">
        <f>VLOOKUP(GE319,$FM$3:$FN$15,2,FALSE)</f>
        <v/>
      </c>
      <c r="GN319" s="9">
        <f>VLOOKUP(GF319,$FM$3:$FN$15,2,FALSE)</f>
        <v/>
      </c>
      <c r="GO319" s="9">
        <f>VLOOKUP(GG319,$FM$3:$FN$15,2,FALSE)</f>
        <v/>
      </c>
      <c r="GP319" s="9">
        <f>VLOOKUP(GH319,$FM$3:$FN$15,2,FALSE)</f>
        <v/>
      </c>
      <c r="GQ319" s="9">
        <f>VLOOKUP(GI319,$FM$3:$FN$15,2,FALSE)</f>
        <v/>
      </c>
      <c r="GR319" s="9">
        <f>IFERROR(IF(AND(VLOOKUP(GB319,$FX$4:$FX$15,1,FALSE)=GB319,VLOOKUP(GC319,$FX$4:$FX$15,1,FALSE)=GC319,VLOOKUP(GD319,$FX$4:$FX$15,1,FALSE)=GD319,VLOOKUP(GE319,$FX$4:$FX$15,1,FALSE)=GE319,VLOOKUP(GF319,$FX$4:$FX$15,1,FALSE)=GF319,VLOOKUP(GG319,$FX$4:$FX$15,1,FALSE)=GG319,VLOOKUP(GH319,$FX$4:$FX$15,1,FALSE)=GH319,VLOOKUP(GI319,$FX$4:$FX$15,1,FALSE)=GI319),FZ319,""),"")</f>
        <v/>
      </c>
    </row>
    <row r="320" ht="14.25" customHeight="1">
      <c r="FZ320" s="79" t="n">
        <v>318</v>
      </c>
      <c r="GA320" s="3">
        <f>GB320&amp;GC320&amp;GD320&amp;GE320&amp;GF320&amp;GG320&amp;GH320&amp;GI320</f>
        <v/>
      </c>
      <c r="GB320" s="3" t="inlineStr">
        <is>
          <t>I</t>
        </is>
      </c>
      <c r="GC320" s="3" t="inlineStr">
        <is>
          <t>G</t>
        </is>
      </c>
      <c r="GD320" s="3" t="inlineStr">
        <is>
          <t>B</t>
        </is>
      </c>
      <c r="GE320" s="3" t="inlineStr">
        <is>
          <t>D</t>
        </is>
      </c>
      <c r="GF320" s="3" t="inlineStr">
        <is>
          <t>A</t>
        </is>
      </c>
      <c r="GG320" s="3" t="inlineStr">
        <is>
          <t>H</t>
        </is>
      </c>
      <c r="GH320" s="3" t="inlineStr">
        <is>
          <t>L</t>
        </is>
      </c>
      <c r="GI320" s="3" t="inlineStr">
        <is>
          <t>K</t>
        </is>
      </c>
      <c r="GJ320" s="9">
        <f>VLOOKUP(GB320,$FM$3:$FN$15,2,FALSE)</f>
        <v/>
      </c>
      <c r="GK320" s="9">
        <f>VLOOKUP(GC320,$FM$3:$FN$15,2,FALSE)</f>
        <v/>
      </c>
      <c r="GL320" s="9">
        <f>VLOOKUP(GD320,$FM$3:$FN$15,2,FALSE)</f>
        <v/>
      </c>
      <c r="GM320" s="9">
        <f>VLOOKUP(GE320,$FM$3:$FN$15,2,FALSE)</f>
        <v/>
      </c>
      <c r="GN320" s="9">
        <f>VLOOKUP(GF320,$FM$3:$FN$15,2,FALSE)</f>
        <v/>
      </c>
      <c r="GO320" s="9">
        <f>VLOOKUP(GG320,$FM$3:$FN$15,2,FALSE)</f>
        <v/>
      </c>
      <c r="GP320" s="9">
        <f>VLOOKUP(GH320,$FM$3:$FN$15,2,FALSE)</f>
        <v/>
      </c>
      <c r="GQ320" s="9">
        <f>VLOOKUP(GI320,$FM$3:$FN$15,2,FALSE)</f>
        <v/>
      </c>
      <c r="GR320" s="9">
        <f>IFERROR(IF(AND(VLOOKUP(GB320,$FX$4:$FX$15,1,FALSE)=GB320,VLOOKUP(GC320,$FX$4:$FX$15,1,FALSE)=GC320,VLOOKUP(GD320,$FX$4:$FX$15,1,FALSE)=GD320,VLOOKUP(GE320,$FX$4:$FX$15,1,FALSE)=GE320,VLOOKUP(GF320,$FX$4:$FX$15,1,FALSE)=GF320,VLOOKUP(GG320,$FX$4:$FX$15,1,FALSE)=GG320,VLOOKUP(GH320,$FX$4:$FX$15,1,FALSE)=GH320,VLOOKUP(GI320,$FX$4:$FX$15,1,FALSE)=GI320),FZ320,""),"")</f>
        <v/>
      </c>
    </row>
    <row r="321" ht="14.25" customHeight="1">
      <c r="FZ321" s="79" t="n">
        <v>319</v>
      </c>
      <c r="GA321" s="3">
        <f>GB321&amp;GC321&amp;GD321&amp;GE321&amp;GF321&amp;GG321&amp;GH321&amp;GI321</f>
        <v/>
      </c>
      <c r="GB321" s="3" t="inlineStr">
        <is>
          <t>H</t>
        </is>
      </c>
      <c r="GC321" s="3" t="inlineStr">
        <is>
          <t>J</t>
        </is>
      </c>
      <c r="GD321" s="3" t="inlineStr">
        <is>
          <t>B</t>
        </is>
      </c>
      <c r="GE321" s="3" t="inlineStr">
        <is>
          <t>D</t>
        </is>
      </c>
      <c r="GF321" s="3" t="inlineStr">
        <is>
          <t>A</t>
        </is>
      </c>
      <c r="GG321" s="3" t="inlineStr">
        <is>
          <t>G</t>
        </is>
      </c>
      <c r="GH321" s="3" t="inlineStr">
        <is>
          <t>L</t>
        </is>
      </c>
      <c r="GI321" s="3" t="inlineStr">
        <is>
          <t>I</t>
        </is>
      </c>
      <c r="GJ321" s="9">
        <f>VLOOKUP(GB321,$FM$3:$FN$15,2,FALSE)</f>
        <v/>
      </c>
      <c r="GK321" s="9">
        <f>VLOOKUP(GC321,$FM$3:$FN$15,2,FALSE)</f>
        <v/>
      </c>
      <c r="GL321" s="9">
        <f>VLOOKUP(GD321,$FM$3:$FN$15,2,FALSE)</f>
        <v/>
      </c>
      <c r="GM321" s="9">
        <f>VLOOKUP(GE321,$FM$3:$FN$15,2,FALSE)</f>
        <v/>
      </c>
      <c r="GN321" s="9">
        <f>VLOOKUP(GF321,$FM$3:$FN$15,2,FALSE)</f>
        <v/>
      </c>
      <c r="GO321" s="9">
        <f>VLOOKUP(GG321,$FM$3:$FN$15,2,FALSE)</f>
        <v/>
      </c>
      <c r="GP321" s="9">
        <f>VLOOKUP(GH321,$FM$3:$FN$15,2,FALSE)</f>
        <v/>
      </c>
      <c r="GQ321" s="9">
        <f>VLOOKUP(GI321,$FM$3:$FN$15,2,FALSE)</f>
        <v/>
      </c>
      <c r="GR321" s="9">
        <f>IFERROR(IF(AND(VLOOKUP(GB321,$FX$4:$FX$15,1,FALSE)=GB321,VLOOKUP(GC321,$FX$4:$FX$15,1,FALSE)=GC321,VLOOKUP(GD321,$FX$4:$FX$15,1,FALSE)=GD321,VLOOKUP(GE321,$FX$4:$FX$15,1,FALSE)=GE321,VLOOKUP(GF321,$FX$4:$FX$15,1,FALSE)=GF321,VLOOKUP(GG321,$FX$4:$FX$15,1,FALSE)=GG321,VLOOKUP(GH321,$FX$4:$FX$15,1,FALSE)=GH321,VLOOKUP(GI321,$FX$4:$FX$15,1,FALSE)=GI321),FZ321,""),"")</f>
        <v/>
      </c>
    </row>
    <row r="322" ht="14.25" customHeight="1">
      <c r="FZ322" s="79" t="n">
        <v>320</v>
      </c>
      <c r="GA322" s="3">
        <f>GB322&amp;GC322&amp;GD322&amp;GE322&amp;GF322&amp;GG322&amp;GH322&amp;GI322</f>
        <v/>
      </c>
      <c r="GB322" s="3" t="inlineStr">
        <is>
          <t>H</t>
        </is>
      </c>
      <c r="GC322" s="3" t="inlineStr">
        <is>
          <t>J</t>
        </is>
      </c>
      <c r="GD322" s="3" t="inlineStr">
        <is>
          <t>B</t>
        </is>
      </c>
      <c r="GE322" s="3" t="inlineStr">
        <is>
          <t>D</t>
        </is>
      </c>
      <c r="GF322" s="3" t="inlineStr">
        <is>
          <t>A</t>
        </is>
      </c>
      <c r="GG322" s="3" t="inlineStr">
        <is>
          <t>G</t>
        </is>
      </c>
      <c r="GH322" s="3" t="inlineStr">
        <is>
          <t>I</t>
        </is>
      </c>
      <c r="GI322" s="3" t="inlineStr">
        <is>
          <t>K</t>
        </is>
      </c>
      <c r="GJ322" s="9">
        <f>VLOOKUP(GB322,$FM$3:$FN$15,2,FALSE)</f>
        <v/>
      </c>
      <c r="GK322" s="9">
        <f>VLOOKUP(GC322,$FM$3:$FN$15,2,FALSE)</f>
        <v/>
      </c>
      <c r="GL322" s="9">
        <f>VLOOKUP(GD322,$FM$3:$FN$15,2,FALSE)</f>
        <v/>
      </c>
      <c r="GM322" s="9">
        <f>VLOOKUP(GE322,$FM$3:$FN$15,2,FALSE)</f>
        <v/>
      </c>
      <c r="GN322" s="9">
        <f>VLOOKUP(GF322,$FM$3:$FN$15,2,FALSE)</f>
        <v/>
      </c>
      <c r="GO322" s="9">
        <f>VLOOKUP(GG322,$FM$3:$FN$15,2,FALSE)</f>
        <v/>
      </c>
      <c r="GP322" s="9">
        <f>VLOOKUP(GH322,$FM$3:$FN$15,2,FALSE)</f>
        <v/>
      </c>
      <c r="GQ322" s="9">
        <f>VLOOKUP(GI322,$FM$3:$FN$15,2,FALSE)</f>
        <v/>
      </c>
      <c r="GR322" s="9">
        <f>IFERROR(IF(AND(VLOOKUP(GB322,$FX$4:$FX$15,1,FALSE)=GB322,VLOOKUP(GC322,$FX$4:$FX$15,1,FALSE)=GC322,VLOOKUP(GD322,$FX$4:$FX$15,1,FALSE)=GD322,VLOOKUP(GE322,$FX$4:$FX$15,1,FALSE)=GE322,VLOOKUP(GF322,$FX$4:$FX$15,1,FALSE)=GF322,VLOOKUP(GG322,$FX$4:$FX$15,1,FALSE)=GG322,VLOOKUP(GH322,$FX$4:$FX$15,1,FALSE)=GH322,VLOOKUP(GI322,$FX$4:$FX$15,1,FALSE)=GI322),FZ322,""),"")</f>
        <v/>
      </c>
    </row>
    <row r="323" ht="14.25" customHeight="1">
      <c r="FZ323" s="79" t="n">
        <v>321</v>
      </c>
      <c r="GA323" s="3">
        <f>GB323&amp;GC323&amp;GD323&amp;GE323&amp;GF323&amp;GG323&amp;GH323&amp;GI323</f>
        <v/>
      </c>
      <c r="GB323" s="3" t="inlineStr">
        <is>
          <t>I</t>
        </is>
      </c>
      <c r="GC323" s="3" t="inlineStr">
        <is>
          <t>J</t>
        </is>
      </c>
      <c r="GD323" s="3" t="inlineStr">
        <is>
          <t>B</t>
        </is>
      </c>
      <c r="GE323" s="3" t="inlineStr">
        <is>
          <t>D</t>
        </is>
      </c>
      <c r="GF323" s="3" t="inlineStr">
        <is>
          <t>A</t>
        </is>
      </c>
      <c r="GG323" s="3" t="inlineStr">
        <is>
          <t>F</t>
        </is>
      </c>
      <c r="GH323" s="3" t="inlineStr">
        <is>
          <t>L</t>
        </is>
      </c>
      <c r="GI323" s="3" t="inlineStr">
        <is>
          <t>K</t>
        </is>
      </c>
      <c r="GJ323" s="9">
        <f>VLOOKUP(GB323,$FM$3:$FN$15,2,FALSE)</f>
        <v/>
      </c>
      <c r="GK323" s="9">
        <f>VLOOKUP(GC323,$FM$3:$FN$15,2,FALSE)</f>
        <v/>
      </c>
      <c r="GL323" s="9">
        <f>VLOOKUP(GD323,$FM$3:$FN$15,2,FALSE)</f>
        <v/>
      </c>
      <c r="GM323" s="9">
        <f>VLOOKUP(GE323,$FM$3:$FN$15,2,FALSE)</f>
        <v/>
      </c>
      <c r="GN323" s="9">
        <f>VLOOKUP(GF323,$FM$3:$FN$15,2,FALSE)</f>
        <v/>
      </c>
      <c r="GO323" s="9">
        <f>VLOOKUP(GG323,$FM$3:$FN$15,2,FALSE)</f>
        <v/>
      </c>
      <c r="GP323" s="9">
        <f>VLOOKUP(GH323,$FM$3:$FN$15,2,FALSE)</f>
        <v/>
      </c>
      <c r="GQ323" s="9">
        <f>VLOOKUP(GI323,$FM$3:$FN$15,2,FALSE)</f>
        <v/>
      </c>
      <c r="GR323" s="9">
        <f>IFERROR(IF(AND(VLOOKUP(GB323,$FX$4:$FX$15,1,FALSE)=GB323,VLOOKUP(GC323,$FX$4:$FX$15,1,FALSE)=GC323,VLOOKUP(GD323,$FX$4:$FX$15,1,FALSE)=GD323,VLOOKUP(GE323,$FX$4:$FX$15,1,FALSE)=GE323,VLOOKUP(GF323,$FX$4:$FX$15,1,FALSE)=GF323,VLOOKUP(GG323,$FX$4:$FX$15,1,FALSE)=GG323,VLOOKUP(GH323,$FX$4:$FX$15,1,FALSE)=GH323,VLOOKUP(GI323,$FX$4:$FX$15,1,FALSE)=GI323),FZ323,""),"")</f>
        <v/>
      </c>
    </row>
    <row r="324" ht="14.25" customHeight="1">
      <c r="FZ324" s="79" t="n">
        <v>322</v>
      </c>
      <c r="GA324" s="3">
        <f>GB324&amp;GC324&amp;GD324&amp;GE324&amp;GF324&amp;GG324&amp;GH324&amp;GI324</f>
        <v/>
      </c>
      <c r="GB324" s="3" t="inlineStr">
        <is>
          <t>H</t>
        </is>
      </c>
      <c r="GC324" s="3" t="inlineStr">
        <is>
          <t>J</t>
        </is>
      </c>
      <c r="GD324" s="3" t="inlineStr">
        <is>
          <t>B</t>
        </is>
      </c>
      <c r="GE324" s="3" t="inlineStr">
        <is>
          <t>D</t>
        </is>
      </c>
      <c r="GF324" s="3" t="inlineStr">
        <is>
          <t>A</t>
        </is>
      </c>
      <c r="GG324" s="3" t="inlineStr">
        <is>
          <t>F</t>
        </is>
      </c>
      <c r="GH324" s="3" t="inlineStr">
        <is>
          <t>L</t>
        </is>
      </c>
      <c r="GI324" s="3" t="inlineStr">
        <is>
          <t>K</t>
        </is>
      </c>
      <c r="GJ324" s="9">
        <f>VLOOKUP(GB324,$FM$3:$FN$15,2,FALSE)</f>
        <v/>
      </c>
      <c r="GK324" s="9">
        <f>VLOOKUP(GC324,$FM$3:$FN$15,2,FALSE)</f>
        <v/>
      </c>
      <c r="GL324" s="9">
        <f>VLOOKUP(GD324,$FM$3:$FN$15,2,FALSE)</f>
        <v/>
      </c>
      <c r="GM324" s="9">
        <f>VLOOKUP(GE324,$FM$3:$FN$15,2,FALSE)</f>
        <v/>
      </c>
      <c r="GN324" s="9">
        <f>VLOOKUP(GF324,$FM$3:$FN$15,2,FALSE)</f>
        <v/>
      </c>
      <c r="GO324" s="9">
        <f>VLOOKUP(GG324,$FM$3:$FN$15,2,FALSE)</f>
        <v/>
      </c>
      <c r="GP324" s="9">
        <f>VLOOKUP(GH324,$FM$3:$FN$15,2,FALSE)</f>
        <v/>
      </c>
      <c r="GQ324" s="9">
        <f>VLOOKUP(GI324,$FM$3:$FN$15,2,FALSE)</f>
        <v/>
      </c>
      <c r="GR324" s="9">
        <f>IFERROR(IF(AND(VLOOKUP(GB324,$FX$4:$FX$15,1,FALSE)=GB324,VLOOKUP(GC324,$FX$4:$FX$15,1,FALSE)=GC324,VLOOKUP(GD324,$FX$4:$FX$15,1,FALSE)=GD324,VLOOKUP(GE324,$FX$4:$FX$15,1,FALSE)=GE324,VLOOKUP(GF324,$FX$4:$FX$15,1,FALSE)=GF324,VLOOKUP(GG324,$FX$4:$FX$15,1,FALSE)=GG324,VLOOKUP(GH324,$FX$4:$FX$15,1,FALSE)=GH324,VLOOKUP(GI324,$FX$4:$FX$15,1,FALSE)=GI324),FZ324,""),"")</f>
        <v/>
      </c>
    </row>
    <row r="325" ht="14.25" customHeight="1">
      <c r="FZ325" s="79" t="n">
        <v>323</v>
      </c>
      <c r="GA325" s="3">
        <f>GB325&amp;GC325&amp;GD325&amp;GE325&amp;GF325&amp;GG325&amp;GH325&amp;GI325</f>
        <v/>
      </c>
      <c r="GB325" s="3" t="inlineStr">
        <is>
          <t>H</t>
        </is>
      </c>
      <c r="GC325" s="3" t="inlineStr">
        <is>
          <t>I</t>
        </is>
      </c>
      <c r="GD325" s="3" t="inlineStr">
        <is>
          <t>B</t>
        </is>
      </c>
      <c r="GE325" s="3" t="inlineStr">
        <is>
          <t>D</t>
        </is>
      </c>
      <c r="GF325" s="3" t="inlineStr">
        <is>
          <t>A</t>
        </is>
      </c>
      <c r="GG325" s="3" t="inlineStr">
        <is>
          <t>F</t>
        </is>
      </c>
      <c r="GH325" s="3" t="inlineStr">
        <is>
          <t>L</t>
        </is>
      </c>
      <c r="GI325" s="3" t="inlineStr">
        <is>
          <t>K</t>
        </is>
      </c>
      <c r="GJ325" s="9">
        <f>VLOOKUP(GB325,$FM$3:$FN$15,2,FALSE)</f>
        <v/>
      </c>
      <c r="GK325" s="9">
        <f>VLOOKUP(GC325,$FM$3:$FN$15,2,FALSE)</f>
        <v/>
      </c>
      <c r="GL325" s="9">
        <f>VLOOKUP(GD325,$FM$3:$FN$15,2,FALSE)</f>
        <v/>
      </c>
      <c r="GM325" s="9">
        <f>VLOOKUP(GE325,$FM$3:$FN$15,2,FALSE)</f>
        <v/>
      </c>
      <c r="GN325" s="9">
        <f>VLOOKUP(GF325,$FM$3:$FN$15,2,FALSE)</f>
        <v/>
      </c>
      <c r="GO325" s="9">
        <f>VLOOKUP(GG325,$FM$3:$FN$15,2,FALSE)</f>
        <v/>
      </c>
      <c r="GP325" s="9">
        <f>VLOOKUP(GH325,$FM$3:$FN$15,2,FALSE)</f>
        <v/>
      </c>
      <c r="GQ325" s="9">
        <f>VLOOKUP(GI325,$FM$3:$FN$15,2,FALSE)</f>
        <v/>
      </c>
      <c r="GR325" s="9">
        <f>IFERROR(IF(AND(VLOOKUP(GB325,$FX$4:$FX$15,1,FALSE)=GB325,VLOOKUP(GC325,$FX$4:$FX$15,1,FALSE)=GC325,VLOOKUP(GD325,$FX$4:$FX$15,1,FALSE)=GD325,VLOOKUP(GE325,$FX$4:$FX$15,1,FALSE)=GE325,VLOOKUP(GF325,$FX$4:$FX$15,1,FALSE)=GF325,VLOOKUP(GG325,$FX$4:$FX$15,1,FALSE)=GG325,VLOOKUP(GH325,$FX$4:$FX$15,1,FALSE)=GH325,VLOOKUP(GI325,$FX$4:$FX$15,1,FALSE)=GI325),FZ325,""),"")</f>
        <v/>
      </c>
    </row>
    <row r="326" ht="14.25" customHeight="1">
      <c r="FZ326" s="79" t="n">
        <v>324</v>
      </c>
      <c r="GA326" s="3">
        <f>GB326&amp;GC326&amp;GD326&amp;GE326&amp;GF326&amp;GG326&amp;GH326&amp;GI326</f>
        <v/>
      </c>
      <c r="GB326" s="3" t="inlineStr">
        <is>
          <t>H</t>
        </is>
      </c>
      <c r="GC326" s="3" t="inlineStr">
        <is>
          <t>J</t>
        </is>
      </c>
      <c r="GD326" s="3" t="inlineStr">
        <is>
          <t>B</t>
        </is>
      </c>
      <c r="GE326" s="3" t="inlineStr">
        <is>
          <t>D</t>
        </is>
      </c>
      <c r="GF326" s="3" t="inlineStr">
        <is>
          <t>A</t>
        </is>
      </c>
      <c r="GG326" s="3" t="inlineStr">
        <is>
          <t>F</t>
        </is>
      </c>
      <c r="GH326" s="3" t="inlineStr">
        <is>
          <t>L</t>
        </is>
      </c>
      <c r="GI326" s="3" t="inlineStr">
        <is>
          <t>I</t>
        </is>
      </c>
      <c r="GJ326" s="9">
        <f>VLOOKUP(GB326,$FM$3:$FN$15,2,FALSE)</f>
        <v/>
      </c>
      <c r="GK326" s="9">
        <f>VLOOKUP(GC326,$FM$3:$FN$15,2,FALSE)</f>
        <v/>
      </c>
      <c r="GL326" s="9">
        <f>VLOOKUP(GD326,$FM$3:$FN$15,2,FALSE)</f>
        <v/>
      </c>
      <c r="GM326" s="9">
        <f>VLOOKUP(GE326,$FM$3:$FN$15,2,FALSE)</f>
        <v/>
      </c>
      <c r="GN326" s="9">
        <f>VLOOKUP(GF326,$FM$3:$FN$15,2,FALSE)</f>
        <v/>
      </c>
      <c r="GO326" s="9">
        <f>VLOOKUP(GG326,$FM$3:$FN$15,2,FALSE)</f>
        <v/>
      </c>
      <c r="GP326" s="9">
        <f>VLOOKUP(GH326,$FM$3:$FN$15,2,FALSE)</f>
        <v/>
      </c>
      <c r="GQ326" s="9">
        <f>VLOOKUP(GI326,$FM$3:$FN$15,2,FALSE)</f>
        <v/>
      </c>
      <c r="GR326" s="9">
        <f>IFERROR(IF(AND(VLOOKUP(GB326,$FX$4:$FX$15,1,FALSE)=GB326,VLOOKUP(GC326,$FX$4:$FX$15,1,FALSE)=GC326,VLOOKUP(GD326,$FX$4:$FX$15,1,FALSE)=GD326,VLOOKUP(GE326,$FX$4:$FX$15,1,FALSE)=GE326,VLOOKUP(GF326,$FX$4:$FX$15,1,FALSE)=GF326,VLOOKUP(GG326,$FX$4:$FX$15,1,FALSE)=GG326,VLOOKUP(GH326,$FX$4:$FX$15,1,FALSE)=GH326,VLOOKUP(GI326,$FX$4:$FX$15,1,FALSE)=GI326),FZ326,""),"")</f>
        <v/>
      </c>
    </row>
    <row r="327" ht="14.25" customHeight="1">
      <c r="FZ327" s="79" t="n">
        <v>325</v>
      </c>
      <c r="GA327" s="3">
        <f>GB327&amp;GC327&amp;GD327&amp;GE327&amp;GF327&amp;GG327&amp;GH327&amp;GI327</f>
        <v/>
      </c>
      <c r="GB327" s="3" t="inlineStr">
        <is>
          <t>H</t>
        </is>
      </c>
      <c r="GC327" s="3" t="inlineStr">
        <is>
          <t>J</t>
        </is>
      </c>
      <c r="GD327" s="3" t="inlineStr">
        <is>
          <t>B</t>
        </is>
      </c>
      <c r="GE327" s="3" t="inlineStr">
        <is>
          <t>D</t>
        </is>
      </c>
      <c r="GF327" s="3" t="inlineStr">
        <is>
          <t>A</t>
        </is>
      </c>
      <c r="GG327" s="3" t="inlineStr">
        <is>
          <t>F</t>
        </is>
      </c>
      <c r="GH327" s="3" t="inlineStr">
        <is>
          <t>I</t>
        </is>
      </c>
      <c r="GI327" s="3" t="inlineStr">
        <is>
          <t>K</t>
        </is>
      </c>
      <c r="GJ327" s="9">
        <f>VLOOKUP(GB327,$FM$3:$FN$15,2,FALSE)</f>
        <v/>
      </c>
      <c r="GK327" s="9">
        <f>VLOOKUP(GC327,$FM$3:$FN$15,2,FALSE)</f>
        <v/>
      </c>
      <c r="GL327" s="9">
        <f>VLOOKUP(GD327,$FM$3:$FN$15,2,FALSE)</f>
        <v/>
      </c>
      <c r="GM327" s="9">
        <f>VLOOKUP(GE327,$FM$3:$FN$15,2,FALSE)</f>
        <v/>
      </c>
      <c r="GN327" s="9">
        <f>VLOOKUP(GF327,$FM$3:$FN$15,2,FALSE)</f>
        <v/>
      </c>
      <c r="GO327" s="9">
        <f>VLOOKUP(GG327,$FM$3:$FN$15,2,FALSE)</f>
        <v/>
      </c>
      <c r="GP327" s="9">
        <f>VLOOKUP(GH327,$FM$3:$FN$15,2,FALSE)</f>
        <v/>
      </c>
      <c r="GQ327" s="9">
        <f>VLOOKUP(GI327,$FM$3:$FN$15,2,FALSE)</f>
        <v/>
      </c>
      <c r="GR327" s="9">
        <f>IFERROR(IF(AND(VLOOKUP(GB327,$FX$4:$FX$15,1,FALSE)=GB327,VLOOKUP(GC327,$FX$4:$FX$15,1,FALSE)=GC327,VLOOKUP(GD327,$FX$4:$FX$15,1,FALSE)=GD327,VLOOKUP(GE327,$FX$4:$FX$15,1,FALSE)=GE327,VLOOKUP(GF327,$FX$4:$FX$15,1,FALSE)=GF327,VLOOKUP(GG327,$FX$4:$FX$15,1,FALSE)=GG327,VLOOKUP(GH327,$FX$4:$FX$15,1,FALSE)=GH327,VLOOKUP(GI327,$FX$4:$FX$15,1,FALSE)=GI327),FZ327,""),"")</f>
        <v/>
      </c>
    </row>
    <row r="328" ht="14.25" customHeight="1">
      <c r="FZ328" s="79" t="n">
        <v>326</v>
      </c>
      <c r="GA328" s="3">
        <f>GB328&amp;GC328&amp;GD328&amp;GE328&amp;GF328&amp;GG328&amp;GH328&amp;GI328</f>
        <v/>
      </c>
      <c r="GB328" s="3" t="inlineStr">
        <is>
          <t>F</t>
        </is>
      </c>
      <c r="GC328" s="3" t="inlineStr">
        <is>
          <t>J</t>
        </is>
      </c>
      <c r="GD328" s="3" t="inlineStr">
        <is>
          <t>B</t>
        </is>
      </c>
      <c r="GE328" s="3" t="inlineStr">
        <is>
          <t>D</t>
        </is>
      </c>
      <c r="GF328" s="3" t="inlineStr">
        <is>
          <t>A</t>
        </is>
      </c>
      <c r="GG328" s="3" t="inlineStr">
        <is>
          <t>G</t>
        </is>
      </c>
      <c r="GH328" s="3" t="inlineStr">
        <is>
          <t>L</t>
        </is>
      </c>
      <c r="GI328" s="3" t="inlineStr">
        <is>
          <t>K</t>
        </is>
      </c>
      <c r="GJ328" s="9">
        <f>VLOOKUP(GB328,$FM$3:$FN$15,2,FALSE)</f>
        <v/>
      </c>
      <c r="GK328" s="9">
        <f>VLOOKUP(GC328,$FM$3:$FN$15,2,FALSE)</f>
        <v/>
      </c>
      <c r="GL328" s="9">
        <f>VLOOKUP(GD328,$FM$3:$FN$15,2,FALSE)</f>
        <v/>
      </c>
      <c r="GM328" s="9">
        <f>VLOOKUP(GE328,$FM$3:$FN$15,2,FALSE)</f>
        <v/>
      </c>
      <c r="GN328" s="9">
        <f>VLOOKUP(GF328,$FM$3:$FN$15,2,FALSE)</f>
        <v/>
      </c>
      <c r="GO328" s="9">
        <f>VLOOKUP(GG328,$FM$3:$FN$15,2,FALSE)</f>
        <v/>
      </c>
      <c r="GP328" s="9">
        <f>VLOOKUP(GH328,$FM$3:$FN$15,2,FALSE)</f>
        <v/>
      </c>
      <c r="GQ328" s="9">
        <f>VLOOKUP(GI328,$FM$3:$FN$15,2,FALSE)</f>
        <v/>
      </c>
      <c r="GR328" s="9">
        <f>IFERROR(IF(AND(VLOOKUP(GB328,$FX$4:$FX$15,1,FALSE)=GB328,VLOOKUP(GC328,$FX$4:$FX$15,1,FALSE)=GC328,VLOOKUP(GD328,$FX$4:$FX$15,1,FALSE)=GD328,VLOOKUP(GE328,$FX$4:$FX$15,1,FALSE)=GE328,VLOOKUP(GF328,$FX$4:$FX$15,1,FALSE)=GF328,VLOOKUP(GG328,$FX$4:$FX$15,1,FALSE)=GG328,VLOOKUP(GH328,$FX$4:$FX$15,1,FALSE)=GH328,VLOOKUP(GI328,$FX$4:$FX$15,1,FALSE)=GI328),FZ328,""),"")</f>
        <v/>
      </c>
    </row>
    <row r="329" ht="14.25" customHeight="1">
      <c r="FZ329" s="79" t="n">
        <v>327</v>
      </c>
      <c r="GA329" s="3">
        <f>GB329&amp;GC329&amp;GD329&amp;GE329&amp;GF329&amp;GG329&amp;GH329&amp;GI329</f>
        <v/>
      </c>
      <c r="GB329" s="3" t="inlineStr">
        <is>
          <t>I</t>
        </is>
      </c>
      <c r="GC329" s="3" t="inlineStr">
        <is>
          <t>G</t>
        </is>
      </c>
      <c r="GD329" s="3" t="inlineStr">
        <is>
          <t>B</t>
        </is>
      </c>
      <c r="GE329" s="3" t="inlineStr">
        <is>
          <t>D</t>
        </is>
      </c>
      <c r="GF329" s="3" t="inlineStr">
        <is>
          <t>A</t>
        </is>
      </c>
      <c r="GG329" s="3" t="inlineStr">
        <is>
          <t>F</t>
        </is>
      </c>
      <c r="GH329" s="3" t="inlineStr">
        <is>
          <t>L</t>
        </is>
      </c>
      <c r="GI329" s="3" t="inlineStr">
        <is>
          <t>K</t>
        </is>
      </c>
      <c r="GJ329" s="9">
        <f>VLOOKUP(GB329,$FM$3:$FN$15,2,FALSE)</f>
        <v/>
      </c>
      <c r="GK329" s="9">
        <f>VLOOKUP(GC329,$FM$3:$FN$15,2,FALSE)</f>
        <v/>
      </c>
      <c r="GL329" s="9">
        <f>VLOOKUP(GD329,$FM$3:$FN$15,2,FALSE)</f>
        <v/>
      </c>
      <c r="GM329" s="9">
        <f>VLOOKUP(GE329,$FM$3:$FN$15,2,FALSE)</f>
        <v/>
      </c>
      <c r="GN329" s="9">
        <f>VLOOKUP(GF329,$FM$3:$FN$15,2,FALSE)</f>
        <v/>
      </c>
      <c r="GO329" s="9">
        <f>VLOOKUP(GG329,$FM$3:$FN$15,2,FALSE)</f>
        <v/>
      </c>
      <c r="GP329" s="9">
        <f>VLOOKUP(GH329,$FM$3:$FN$15,2,FALSE)</f>
        <v/>
      </c>
      <c r="GQ329" s="9">
        <f>VLOOKUP(GI329,$FM$3:$FN$15,2,FALSE)</f>
        <v/>
      </c>
      <c r="GR329" s="9">
        <f>IFERROR(IF(AND(VLOOKUP(GB329,$FX$4:$FX$15,1,FALSE)=GB329,VLOOKUP(GC329,$FX$4:$FX$15,1,FALSE)=GC329,VLOOKUP(GD329,$FX$4:$FX$15,1,FALSE)=GD329,VLOOKUP(GE329,$FX$4:$FX$15,1,FALSE)=GE329,VLOOKUP(GF329,$FX$4:$FX$15,1,FALSE)=GF329,VLOOKUP(GG329,$FX$4:$FX$15,1,FALSE)=GG329,VLOOKUP(GH329,$FX$4:$FX$15,1,FALSE)=GH329,VLOOKUP(GI329,$FX$4:$FX$15,1,FALSE)=GI329),FZ329,""),"")</f>
        <v/>
      </c>
    </row>
    <row r="330" ht="14.25" customHeight="1">
      <c r="FZ330" s="79" t="n">
        <v>328</v>
      </c>
      <c r="GA330" s="3">
        <f>GB330&amp;GC330&amp;GD330&amp;GE330&amp;GF330&amp;GG330&amp;GH330&amp;GI330</f>
        <v/>
      </c>
      <c r="GB330" s="3" t="inlineStr">
        <is>
          <t>F</t>
        </is>
      </c>
      <c r="GC330" s="3" t="inlineStr">
        <is>
          <t>J</t>
        </is>
      </c>
      <c r="GD330" s="3" t="inlineStr">
        <is>
          <t>B</t>
        </is>
      </c>
      <c r="GE330" s="3" t="inlineStr">
        <is>
          <t>D</t>
        </is>
      </c>
      <c r="GF330" s="3" t="inlineStr">
        <is>
          <t>A</t>
        </is>
      </c>
      <c r="GG330" s="3" t="inlineStr">
        <is>
          <t>G</t>
        </is>
      </c>
      <c r="GH330" s="3" t="inlineStr">
        <is>
          <t>L</t>
        </is>
      </c>
      <c r="GI330" s="3" t="inlineStr">
        <is>
          <t>I</t>
        </is>
      </c>
      <c r="GJ330" s="9">
        <f>VLOOKUP(GB330,$FM$3:$FN$15,2,FALSE)</f>
        <v/>
      </c>
      <c r="GK330" s="9">
        <f>VLOOKUP(GC330,$FM$3:$FN$15,2,FALSE)</f>
        <v/>
      </c>
      <c r="GL330" s="9">
        <f>VLOOKUP(GD330,$FM$3:$FN$15,2,FALSE)</f>
        <v/>
      </c>
      <c r="GM330" s="9">
        <f>VLOOKUP(GE330,$FM$3:$FN$15,2,FALSE)</f>
        <v/>
      </c>
      <c r="GN330" s="9">
        <f>VLOOKUP(GF330,$FM$3:$FN$15,2,FALSE)</f>
        <v/>
      </c>
      <c r="GO330" s="9">
        <f>VLOOKUP(GG330,$FM$3:$FN$15,2,FALSE)</f>
        <v/>
      </c>
      <c r="GP330" s="9">
        <f>VLOOKUP(GH330,$FM$3:$FN$15,2,FALSE)</f>
        <v/>
      </c>
      <c r="GQ330" s="9">
        <f>VLOOKUP(GI330,$FM$3:$FN$15,2,FALSE)</f>
        <v/>
      </c>
      <c r="GR330" s="9">
        <f>IFERROR(IF(AND(VLOOKUP(GB330,$FX$4:$FX$15,1,FALSE)=GB330,VLOOKUP(GC330,$FX$4:$FX$15,1,FALSE)=GC330,VLOOKUP(GD330,$FX$4:$FX$15,1,FALSE)=GD330,VLOOKUP(GE330,$FX$4:$FX$15,1,FALSE)=GE330,VLOOKUP(GF330,$FX$4:$FX$15,1,FALSE)=GF330,VLOOKUP(GG330,$FX$4:$FX$15,1,FALSE)=GG330,VLOOKUP(GH330,$FX$4:$FX$15,1,FALSE)=GH330,VLOOKUP(GI330,$FX$4:$FX$15,1,FALSE)=GI330),FZ330,""),"")</f>
        <v/>
      </c>
    </row>
    <row r="331" ht="14.25" customHeight="1">
      <c r="FZ331" s="79" t="n">
        <v>329</v>
      </c>
      <c r="GA331" s="3">
        <f>GB331&amp;GC331&amp;GD331&amp;GE331&amp;GF331&amp;GG331&amp;GH331&amp;GI331</f>
        <v/>
      </c>
      <c r="GB331" s="3" t="inlineStr">
        <is>
          <t>F</t>
        </is>
      </c>
      <c r="GC331" s="3" t="inlineStr">
        <is>
          <t>J</t>
        </is>
      </c>
      <c r="GD331" s="3" t="inlineStr">
        <is>
          <t>B</t>
        </is>
      </c>
      <c r="GE331" s="3" t="inlineStr">
        <is>
          <t>D</t>
        </is>
      </c>
      <c r="GF331" s="3" t="inlineStr">
        <is>
          <t>A</t>
        </is>
      </c>
      <c r="GG331" s="3" t="inlineStr">
        <is>
          <t>G</t>
        </is>
      </c>
      <c r="GH331" s="3" t="inlineStr">
        <is>
          <t>I</t>
        </is>
      </c>
      <c r="GI331" s="3" t="inlineStr">
        <is>
          <t>K</t>
        </is>
      </c>
      <c r="GJ331" s="9">
        <f>VLOOKUP(GB331,$FM$3:$FN$15,2,FALSE)</f>
        <v/>
      </c>
      <c r="GK331" s="9">
        <f>VLOOKUP(GC331,$FM$3:$FN$15,2,FALSE)</f>
        <v/>
      </c>
      <c r="GL331" s="9">
        <f>VLOOKUP(GD331,$FM$3:$FN$15,2,FALSE)</f>
        <v/>
      </c>
      <c r="GM331" s="9">
        <f>VLOOKUP(GE331,$FM$3:$FN$15,2,FALSE)</f>
        <v/>
      </c>
      <c r="GN331" s="9">
        <f>VLOOKUP(GF331,$FM$3:$FN$15,2,FALSE)</f>
        <v/>
      </c>
      <c r="GO331" s="9">
        <f>VLOOKUP(GG331,$FM$3:$FN$15,2,FALSE)</f>
        <v/>
      </c>
      <c r="GP331" s="9">
        <f>VLOOKUP(GH331,$FM$3:$FN$15,2,FALSE)</f>
        <v/>
      </c>
      <c r="GQ331" s="9">
        <f>VLOOKUP(GI331,$FM$3:$FN$15,2,FALSE)</f>
        <v/>
      </c>
      <c r="GR331" s="9">
        <f>IFERROR(IF(AND(VLOOKUP(GB331,$FX$4:$FX$15,1,FALSE)=GB331,VLOOKUP(GC331,$FX$4:$FX$15,1,FALSE)=GC331,VLOOKUP(GD331,$FX$4:$FX$15,1,FALSE)=GD331,VLOOKUP(GE331,$FX$4:$FX$15,1,FALSE)=GE331,VLOOKUP(GF331,$FX$4:$FX$15,1,FALSE)=GF331,VLOOKUP(GG331,$FX$4:$FX$15,1,FALSE)=GG331,VLOOKUP(GH331,$FX$4:$FX$15,1,FALSE)=GH331,VLOOKUP(GI331,$FX$4:$FX$15,1,FALSE)=GI331),FZ331,""),"")</f>
        <v/>
      </c>
    </row>
    <row r="332" ht="14.25" customHeight="1">
      <c r="FZ332" s="79" t="n">
        <v>330</v>
      </c>
      <c r="GA332" s="3">
        <f>GB332&amp;GC332&amp;GD332&amp;GE332&amp;GF332&amp;GG332&amp;GH332&amp;GI332</f>
        <v/>
      </c>
      <c r="GB332" s="3" t="inlineStr">
        <is>
          <t>H</t>
        </is>
      </c>
      <c r="GC332" s="3" t="inlineStr">
        <is>
          <t>G</t>
        </is>
      </c>
      <c r="GD332" s="3" t="inlineStr">
        <is>
          <t>B</t>
        </is>
      </c>
      <c r="GE332" s="3" t="inlineStr">
        <is>
          <t>D</t>
        </is>
      </c>
      <c r="GF332" s="3" t="inlineStr">
        <is>
          <t>A</t>
        </is>
      </c>
      <c r="GG332" s="3" t="inlineStr">
        <is>
          <t>F</t>
        </is>
      </c>
      <c r="GH332" s="3" t="inlineStr">
        <is>
          <t>L</t>
        </is>
      </c>
      <c r="GI332" s="3" t="inlineStr">
        <is>
          <t>K</t>
        </is>
      </c>
      <c r="GJ332" s="9">
        <f>VLOOKUP(GB332,$FM$3:$FN$15,2,FALSE)</f>
        <v/>
      </c>
      <c r="GK332" s="9">
        <f>VLOOKUP(GC332,$FM$3:$FN$15,2,FALSE)</f>
        <v/>
      </c>
      <c r="GL332" s="9">
        <f>VLOOKUP(GD332,$FM$3:$FN$15,2,FALSE)</f>
        <v/>
      </c>
      <c r="GM332" s="9">
        <f>VLOOKUP(GE332,$FM$3:$FN$15,2,FALSE)</f>
        <v/>
      </c>
      <c r="GN332" s="9">
        <f>VLOOKUP(GF332,$FM$3:$FN$15,2,FALSE)</f>
        <v/>
      </c>
      <c r="GO332" s="9">
        <f>VLOOKUP(GG332,$FM$3:$FN$15,2,FALSE)</f>
        <v/>
      </c>
      <c r="GP332" s="9">
        <f>VLOOKUP(GH332,$FM$3:$FN$15,2,FALSE)</f>
        <v/>
      </c>
      <c r="GQ332" s="9">
        <f>VLOOKUP(GI332,$FM$3:$FN$15,2,FALSE)</f>
        <v/>
      </c>
      <c r="GR332" s="9">
        <f>IFERROR(IF(AND(VLOOKUP(GB332,$FX$4:$FX$15,1,FALSE)=GB332,VLOOKUP(GC332,$FX$4:$FX$15,1,FALSE)=GC332,VLOOKUP(GD332,$FX$4:$FX$15,1,FALSE)=GD332,VLOOKUP(GE332,$FX$4:$FX$15,1,FALSE)=GE332,VLOOKUP(GF332,$FX$4:$FX$15,1,FALSE)=GF332,VLOOKUP(GG332,$FX$4:$FX$15,1,FALSE)=GG332,VLOOKUP(GH332,$FX$4:$FX$15,1,FALSE)=GH332,VLOOKUP(GI332,$FX$4:$FX$15,1,FALSE)=GI332),FZ332,""),"")</f>
        <v/>
      </c>
    </row>
    <row r="333" ht="14.25" customHeight="1">
      <c r="FZ333" s="79" t="n">
        <v>331</v>
      </c>
      <c r="GA333" s="3">
        <f>GB333&amp;GC333&amp;GD333&amp;GE333&amp;GF333&amp;GG333&amp;GH333&amp;GI333</f>
        <v/>
      </c>
      <c r="GB333" s="3" t="inlineStr">
        <is>
          <t>H</t>
        </is>
      </c>
      <c r="GC333" s="3" t="inlineStr">
        <is>
          <t>G</t>
        </is>
      </c>
      <c r="GD333" s="3" t="inlineStr">
        <is>
          <t>B</t>
        </is>
      </c>
      <c r="GE333" s="3" t="inlineStr">
        <is>
          <t>D</t>
        </is>
      </c>
      <c r="GF333" s="3" t="inlineStr">
        <is>
          <t>A</t>
        </is>
      </c>
      <c r="GG333" s="3" t="inlineStr">
        <is>
          <t>F</t>
        </is>
      </c>
      <c r="GH333" s="3" t="inlineStr">
        <is>
          <t>L</t>
        </is>
      </c>
      <c r="GI333" s="3" t="inlineStr">
        <is>
          <t>J</t>
        </is>
      </c>
      <c r="GJ333" s="9">
        <f>VLOOKUP(GB333,$FM$3:$FN$15,2,FALSE)</f>
        <v/>
      </c>
      <c r="GK333" s="9">
        <f>VLOOKUP(GC333,$FM$3:$FN$15,2,FALSE)</f>
        <v/>
      </c>
      <c r="GL333" s="9">
        <f>VLOOKUP(GD333,$FM$3:$FN$15,2,FALSE)</f>
        <v/>
      </c>
      <c r="GM333" s="9">
        <f>VLOOKUP(GE333,$FM$3:$FN$15,2,FALSE)</f>
        <v/>
      </c>
      <c r="GN333" s="9">
        <f>VLOOKUP(GF333,$FM$3:$FN$15,2,FALSE)</f>
        <v/>
      </c>
      <c r="GO333" s="9">
        <f>VLOOKUP(GG333,$FM$3:$FN$15,2,FALSE)</f>
        <v/>
      </c>
      <c r="GP333" s="9">
        <f>VLOOKUP(GH333,$FM$3:$FN$15,2,FALSE)</f>
        <v/>
      </c>
      <c r="GQ333" s="9">
        <f>VLOOKUP(GI333,$FM$3:$FN$15,2,FALSE)</f>
        <v/>
      </c>
      <c r="GR333" s="9">
        <f>IFERROR(IF(AND(VLOOKUP(GB333,$FX$4:$FX$15,1,FALSE)=GB333,VLOOKUP(GC333,$FX$4:$FX$15,1,FALSE)=GC333,VLOOKUP(GD333,$FX$4:$FX$15,1,FALSE)=GD333,VLOOKUP(GE333,$FX$4:$FX$15,1,FALSE)=GE333,VLOOKUP(GF333,$FX$4:$FX$15,1,FALSE)=GF333,VLOOKUP(GG333,$FX$4:$FX$15,1,FALSE)=GG333,VLOOKUP(GH333,$FX$4:$FX$15,1,FALSE)=GH333,VLOOKUP(GI333,$FX$4:$FX$15,1,FALSE)=GI333),FZ333,""),"")</f>
        <v/>
      </c>
    </row>
    <row r="334" ht="14.25" customHeight="1">
      <c r="FZ334" s="79" t="n">
        <v>332</v>
      </c>
      <c r="GA334" s="3">
        <f>GB334&amp;GC334&amp;GD334&amp;GE334&amp;GF334&amp;GG334&amp;GH334&amp;GI334</f>
        <v/>
      </c>
      <c r="GB334" s="3" t="inlineStr">
        <is>
          <t>H</t>
        </is>
      </c>
      <c r="GC334" s="3" t="inlineStr">
        <is>
          <t>G</t>
        </is>
      </c>
      <c r="GD334" s="3" t="inlineStr">
        <is>
          <t>B</t>
        </is>
      </c>
      <c r="GE334" s="3" t="inlineStr">
        <is>
          <t>D</t>
        </is>
      </c>
      <c r="GF334" s="3" t="inlineStr">
        <is>
          <t>A</t>
        </is>
      </c>
      <c r="GG334" s="3" t="inlineStr">
        <is>
          <t>F</t>
        </is>
      </c>
      <c r="GH334" s="3" t="inlineStr">
        <is>
          <t>J</t>
        </is>
      </c>
      <c r="GI334" s="3" t="inlineStr">
        <is>
          <t>K</t>
        </is>
      </c>
      <c r="GJ334" s="9">
        <f>VLOOKUP(GB334,$FM$3:$FN$15,2,FALSE)</f>
        <v/>
      </c>
      <c r="GK334" s="9">
        <f>VLOOKUP(GC334,$FM$3:$FN$15,2,FALSE)</f>
        <v/>
      </c>
      <c r="GL334" s="9">
        <f>VLOOKUP(GD334,$FM$3:$FN$15,2,FALSE)</f>
        <v/>
      </c>
      <c r="GM334" s="9">
        <f>VLOOKUP(GE334,$FM$3:$FN$15,2,FALSE)</f>
        <v/>
      </c>
      <c r="GN334" s="9">
        <f>VLOOKUP(GF334,$FM$3:$FN$15,2,FALSE)</f>
        <v/>
      </c>
      <c r="GO334" s="9">
        <f>VLOOKUP(GG334,$FM$3:$FN$15,2,FALSE)</f>
        <v/>
      </c>
      <c r="GP334" s="9">
        <f>VLOOKUP(GH334,$FM$3:$FN$15,2,FALSE)</f>
        <v/>
      </c>
      <c r="GQ334" s="9">
        <f>VLOOKUP(GI334,$FM$3:$FN$15,2,FALSE)</f>
        <v/>
      </c>
      <c r="GR334" s="9">
        <f>IFERROR(IF(AND(VLOOKUP(GB334,$FX$4:$FX$15,1,FALSE)=GB334,VLOOKUP(GC334,$FX$4:$FX$15,1,FALSE)=GC334,VLOOKUP(GD334,$FX$4:$FX$15,1,FALSE)=GD334,VLOOKUP(GE334,$FX$4:$FX$15,1,FALSE)=GE334,VLOOKUP(GF334,$FX$4:$FX$15,1,FALSE)=GF334,VLOOKUP(GG334,$FX$4:$FX$15,1,FALSE)=GG334,VLOOKUP(GH334,$FX$4:$FX$15,1,FALSE)=GH334,VLOOKUP(GI334,$FX$4:$FX$15,1,FALSE)=GI334),FZ334,""),"")</f>
        <v/>
      </c>
    </row>
    <row r="335" ht="14.25" customHeight="1">
      <c r="FZ335" s="79" t="n">
        <v>333</v>
      </c>
      <c r="GA335" s="3">
        <f>GB335&amp;GC335&amp;GD335&amp;GE335&amp;GF335&amp;GG335&amp;GH335&amp;GI335</f>
        <v/>
      </c>
      <c r="GB335" s="3" t="inlineStr">
        <is>
          <t>H</t>
        </is>
      </c>
      <c r="GC335" s="3" t="inlineStr">
        <is>
          <t>G</t>
        </is>
      </c>
      <c r="GD335" s="3" t="inlineStr">
        <is>
          <t>B</t>
        </is>
      </c>
      <c r="GE335" s="3" t="inlineStr">
        <is>
          <t>D</t>
        </is>
      </c>
      <c r="GF335" s="3" t="inlineStr">
        <is>
          <t>A</t>
        </is>
      </c>
      <c r="GG335" s="3" t="inlineStr">
        <is>
          <t>F</t>
        </is>
      </c>
      <c r="GH335" s="3" t="inlineStr">
        <is>
          <t>L</t>
        </is>
      </c>
      <c r="GI335" s="3" t="inlineStr">
        <is>
          <t>I</t>
        </is>
      </c>
      <c r="GJ335" s="9">
        <f>VLOOKUP(GB335,$FM$3:$FN$15,2,FALSE)</f>
        <v/>
      </c>
      <c r="GK335" s="9">
        <f>VLOOKUP(GC335,$FM$3:$FN$15,2,FALSE)</f>
        <v/>
      </c>
      <c r="GL335" s="9">
        <f>VLOOKUP(GD335,$FM$3:$FN$15,2,FALSE)</f>
        <v/>
      </c>
      <c r="GM335" s="9">
        <f>VLOOKUP(GE335,$FM$3:$FN$15,2,FALSE)</f>
        <v/>
      </c>
      <c r="GN335" s="9">
        <f>VLOOKUP(GF335,$FM$3:$FN$15,2,FALSE)</f>
        <v/>
      </c>
      <c r="GO335" s="9">
        <f>VLOOKUP(GG335,$FM$3:$FN$15,2,FALSE)</f>
        <v/>
      </c>
      <c r="GP335" s="9">
        <f>VLOOKUP(GH335,$FM$3:$FN$15,2,FALSE)</f>
        <v/>
      </c>
      <c r="GQ335" s="9">
        <f>VLOOKUP(GI335,$FM$3:$FN$15,2,FALSE)</f>
        <v/>
      </c>
      <c r="GR335" s="9">
        <f>IFERROR(IF(AND(VLOOKUP(GB335,$FX$4:$FX$15,1,FALSE)=GB335,VLOOKUP(GC335,$FX$4:$FX$15,1,FALSE)=GC335,VLOOKUP(GD335,$FX$4:$FX$15,1,FALSE)=GD335,VLOOKUP(GE335,$FX$4:$FX$15,1,FALSE)=GE335,VLOOKUP(GF335,$FX$4:$FX$15,1,FALSE)=GF335,VLOOKUP(GG335,$FX$4:$FX$15,1,FALSE)=GG335,VLOOKUP(GH335,$FX$4:$FX$15,1,FALSE)=GH335,VLOOKUP(GI335,$FX$4:$FX$15,1,FALSE)=GI335),FZ335,""),"")</f>
        <v/>
      </c>
    </row>
    <row r="336" ht="14.25" customHeight="1">
      <c r="FZ336" s="79" t="n">
        <v>334</v>
      </c>
      <c r="GA336" s="3">
        <f>GB336&amp;GC336&amp;GD336&amp;GE336&amp;GF336&amp;GG336&amp;GH336&amp;GI336</f>
        <v/>
      </c>
      <c r="GB336" s="3" t="inlineStr">
        <is>
          <t>H</t>
        </is>
      </c>
      <c r="GC336" s="3" t="inlineStr">
        <is>
          <t>G</t>
        </is>
      </c>
      <c r="GD336" s="3" t="inlineStr">
        <is>
          <t>B</t>
        </is>
      </c>
      <c r="GE336" s="3" t="inlineStr">
        <is>
          <t>D</t>
        </is>
      </c>
      <c r="GF336" s="3" t="inlineStr">
        <is>
          <t>A</t>
        </is>
      </c>
      <c r="GG336" s="3" t="inlineStr">
        <is>
          <t>F</t>
        </is>
      </c>
      <c r="GH336" s="3" t="inlineStr">
        <is>
          <t>I</t>
        </is>
      </c>
      <c r="GI336" s="3" t="inlineStr">
        <is>
          <t>K</t>
        </is>
      </c>
      <c r="GJ336" s="9">
        <f>VLOOKUP(GB336,$FM$3:$FN$15,2,FALSE)</f>
        <v/>
      </c>
      <c r="GK336" s="9">
        <f>VLOOKUP(GC336,$FM$3:$FN$15,2,FALSE)</f>
        <v/>
      </c>
      <c r="GL336" s="9">
        <f>VLOOKUP(GD336,$FM$3:$FN$15,2,FALSE)</f>
        <v/>
      </c>
      <c r="GM336" s="9">
        <f>VLOOKUP(GE336,$FM$3:$FN$15,2,FALSE)</f>
        <v/>
      </c>
      <c r="GN336" s="9">
        <f>VLOOKUP(GF336,$FM$3:$FN$15,2,FALSE)</f>
        <v/>
      </c>
      <c r="GO336" s="9">
        <f>VLOOKUP(GG336,$FM$3:$FN$15,2,FALSE)</f>
        <v/>
      </c>
      <c r="GP336" s="9">
        <f>VLOOKUP(GH336,$FM$3:$FN$15,2,FALSE)</f>
        <v/>
      </c>
      <c r="GQ336" s="9">
        <f>VLOOKUP(GI336,$FM$3:$FN$15,2,FALSE)</f>
        <v/>
      </c>
      <c r="GR336" s="9">
        <f>IFERROR(IF(AND(VLOOKUP(GB336,$FX$4:$FX$15,1,FALSE)=GB336,VLOOKUP(GC336,$FX$4:$FX$15,1,FALSE)=GC336,VLOOKUP(GD336,$FX$4:$FX$15,1,FALSE)=GD336,VLOOKUP(GE336,$FX$4:$FX$15,1,FALSE)=GE336,VLOOKUP(GF336,$FX$4:$FX$15,1,FALSE)=GF336,VLOOKUP(GG336,$FX$4:$FX$15,1,FALSE)=GG336,VLOOKUP(GH336,$FX$4:$FX$15,1,FALSE)=GH336,VLOOKUP(GI336,$FX$4:$FX$15,1,FALSE)=GI336),FZ336,""),"")</f>
        <v/>
      </c>
    </row>
    <row r="337" ht="14.25" customHeight="1">
      <c r="FZ337" s="79" t="n">
        <v>335</v>
      </c>
      <c r="GA337" s="3">
        <f>GB337&amp;GC337&amp;GD337&amp;GE337&amp;GF337&amp;GG337&amp;GH337&amp;GI337</f>
        <v/>
      </c>
      <c r="GB337" s="3" t="inlineStr">
        <is>
          <t>H</t>
        </is>
      </c>
      <c r="GC337" s="3" t="inlineStr">
        <is>
          <t>G</t>
        </is>
      </c>
      <c r="GD337" s="3" t="inlineStr">
        <is>
          <t>B</t>
        </is>
      </c>
      <c r="GE337" s="3" t="inlineStr">
        <is>
          <t>D</t>
        </is>
      </c>
      <c r="GF337" s="3" t="inlineStr">
        <is>
          <t>A</t>
        </is>
      </c>
      <c r="GG337" s="3" t="inlineStr">
        <is>
          <t>F</t>
        </is>
      </c>
      <c r="GH337" s="3" t="inlineStr">
        <is>
          <t>I</t>
        </is>
      </c>
      <c r="GI337" s="3" t="inlineStr">
        <is>
          <t>J</t>
        </is>
      </c>
      <c r="GJ337" s="9">
        <f>VLOOKUP(GB337,$FM$3:$FN$15,2,FALSE)</f>
        <v/>
      </c>
      <c r="GK337" s="9">
        <f>VLOOKUP(GC337,$FM$3:$FN$15,2,FALSE)</f>
        <v/>
      </c>
      <c r="GL337" s="9">
        <f>VLOOKUP(GD337,$FM$3:$FN$15,2,FALSE)</f>
        <v/>
      </c>
      <c r="GM337" s="9">
        <f>VLOOKUP(GE337,$FM$3:$FN$15,2,FALSE)</f>
        <v/>
      </c>
      <c r="GN337" s="9">
        <f>VLOOKUP(GF337,$FM$3:$FN$15,2,FALSE)</f>
        <v/>
      </c>
      <c r="GO337" s="9">
        <f>VLOOKUP(GG337,$FM$3:$FN$15,2,FALSE)</f>
        <v/>
      </c>
      <c r="GP337" s="9">
        <f>VLOOKUP(GH337,$FM$3:$FN$15,2,FALSE)</f>
        <v/>
      </c>
      <c r="GQ337" s="9">
        <f>VLOOKUP(GI337,$FM$3:$FN$15,2,FALSE)</f>
        <v/>
      </c>
      <c r="GR337" s="9">
        <f>IFERROR(IF(AND(VLOOKUP(GB337,$FX$4:$FX$15,1,FALSE)=GB337,VLOOKUP(GC337,$FX$4:$FX$15,1,FALSE)=GC337,VLOOKUP(GD337,$FX$4:$FX$15,1,FALSE)=GD337,VLOOKUP(GE337,$FX$4:$FX$15,1,FALSE)=GE337,VLOOKUP(GF337,$FX$4:$FX$15,1,FALSE)=GF337,VLOOKUP(GG337,$FX$4:$FX$15,1,FALSE)=GG337,VLOOKUP(GH337,$FX$4:$FX$15,1,FALSE)=GH337,VLOOKUP(GI337,$FX$4:$FX$15,1,FALSE)=GI337),FZ337,""),"")</f>
        <v/>
      </c>
    </row>
    <row r="338" ht="14.25" customHeight="1">
      <c r="FZ338" s="79" t="n">
        <v>336</v>
      </c>
      <c r="GA338" s="3">
        <f>GB338&amp;GC338&amp;GD338&amp;GE338&amp;GF338&amp;GG338&amp;GH338&amp;GI338</f>
        <v/>
      </c>
      <c r="GB338" s="3" t="inlineStr">
        <is>
          <t>E</t>
        </is>
      </c>
      <c r="GC338" s="3" t="inlineStr">
        <is>
          <t>J</t>
        </is>
      </c>
      <c r="GD338" s="3" t="inlineStr">
        <is>
          <t>B</t>
        </is>
      </c>
      <c r="GE338" s="3" t="inlineStr">
        <is>
          <t>A</t>
        </is>
      </c>
      <c r="GF338" s="3" t="inlineStr">
        <is>
          <t>I</t>
        </is>
      </c>
      <c r="GG338" s="3" t="inlineStr">
        <is>
          <t>D</t>
        </is>
      </c>
      <c r="GH338" s="3" t="inlineStr">
        <is>
          <t>L</t>
        </is>
      </c>
      <c r="GI338" s="3" t="inlineStr">
        <is>
          <t>K</t>
        </is>
      </c>
      <c r="GJ338" s="9">
        <f>VLOOKUP(GB338,$FM$3:$FN$15,2,FALSE)</f>
        <v/>
      </c>
      <c r="GK338" s="9">
        <f>VLOOKUP(GC338,$FM$3:$FN$15,2,FALSE)</f>
        <v/>
      </c>
      <c r="GL338" s="9">
        <f>VLOOKUP(GD338,$FM$3:$FN$15,2,FALSE)</f>
        <v/>
      </c>
      <c r="GM338" s="9">
        <f>VLOOKUP(GE338,$FM$3:$FN$15,2,FALSE)</f>
        <v/>
      </c>
      <c r="GN338" s="9">
        <f>VLOOKUP(GF338,$FM$3:$FN$15,2,FALSE)</f>
        <v/>
      </c>
      <c r="GO338" s="9">
        <f>VLOOKUP(GG338,$FM$3:$FN$15,2,FALSE)</f>
        <v/>
      </c>
      <c r="GP338" s="9">
        <f>VLOOKUP(GH338,$FM$3:$FN$15,2,FALSE)</f>
        <v/>
      </c>
      <c r="GQ338" s="9">
        <f>VLOOKUP(GI338,$FM$3:$FN$15,2,FALSE)</f>
        <v/>
      </c>
      <c r="GR338" s="9">
        <f>IFERROR(IF(AND(VLOOKUP(GB338,$FX$4:$FX$15,1,FALSE)=GB338,VLOOKUP(GC338,$FX$4:$FX$15,1,FALSE)=GC338,VLOOKUP(GD338,$FX$4:$FX$15,1,FALSE)=GD338,VLOOKUP(GE338,$FX$4:$FX$15,1,FALSE)=GE338,VLOOKUP(GF338,$FX$4:$FX$15,1,FALSE)=GF338,VLOOKUP(GG338,$FX$4:$FX$15,1,FALSE)=GG338,VLOOKUP(GH338,$FX$4:$FX$15,1,FALSE)=GH338,VLOOKUP(GI338,$FX$4:$FX$15,1,FALSE)=GI338),FZ338,""),"")</f>
        <v/>
      </c>
    </row>
    <row r="339" ht="14.25" customHeight="1">
      <c r="FZ339" s="79" t="n">
        <v>337</v>
      </c>
      <c r="GA339" s="3">
        <f>GB339&amp;GC339&amp;GD339&amp;GE339&amp;GF339&amp;GG339&amp;GH339&amp;GI339</f>
        <v/>
      </c>
      <c r="GB339" s="3" t="inlineStr">
        <is>
          <t>E</t>
        </is>
      </c>
      <c r="GC339" s="3" t="inlineStr">
        <is>
          <t>J</t>
        </is>
      </c>
      <c r="GD339" s="3" t="inlineStr">
        <is>
          <t>B</t>
        </is>
      </c>
      <c r="GE339" s="3" t="inlineStr">
        <is>
          <t>D</t>
        </is>
      </c>
      <c r="GF339" s="3" t="inlineStr">
        <is>
          <t>A</t>
        </is>
      </c>
      <c r="GG339" s="3" t="inlineStr">
        <is>
          <t>H</t>
        </is>
      </c>
      <c r="GH339" s="3" t="inlineStr">
        <is>
          <t>L</t>
        </is>
      </c>
      <c r="GI339" s="3" t="inlineStr">
        <is>
          <t>K</t>
        </is>
      </c>
      <c r="GJ339" s="9">
        <f>VLOOKUP(GB339,$FM$3:$FN$15,2,FALSE)</f>
        <v/>
      </c>
      <c r="GK339" s="9">
        <f>VLOOKUP(GC339,$FM$3:$FN$15,2,FALSE)</f>
        <v/>
      </c>
      <c r="GL339" s="9">
        <f>VLOOKUP(GD339,$FM$3:$FN$15,2,FALSE)</f>
        <v/>
      </c>
      <c r="GM339" s="9">
        <f>VLOOKUP(GE339,$FM$3:$FN$15,2,FALSE)</f>
        <v/>
      </c>
      <c r="GN339" s="9">
        <f>VLOOKUP(GF339,$FM$3:$FN$15,2,FALSE)</f>
        <v/>
      </c>
      <c r="GO339" s="9">
        <f>VLOOKUP(GG339,$FM$3:$FN$15,2,FALSE)</f>
        <v/>
      </c>
      <c r="GP339" s="9">
        <f>VLOOKUP(GH339,$FM$3:$FN$15,2,FALSE)</f>
        <v/>
      </c>
      <c r="GQ339" s="9">
        <f>VLOOKUP(GI339,$FM$3:$FN$15,2,FALSE)</f>
        <v/>
      </c>
      <c r="GR339" s="9">
        <f>IFERROR(IF(AND(VLOOKUP(GB339,$FX$4:$FX$15,1,FALSE)=GB339,VLOOKUP(GC339,$FX$4:$FX$15,1,FALSE)=GC339,VLOOKUP(GD339,$FX$4:$FX$15,1,FALSE)=GD339,VLOOKUP(GE339,$FX$4:$FX$15,1,FALSE)=GE339,VLOOKUP(GF339,$FX$4:$FX$15,1,FALSE)=GF339,VLOOKUP(GG339,$FX$4:$FX$15,1,FALSE)=GG339,VLOOKUP(GH339,$FX$4:$FX$15,1,FALSE)=GH339,VLOOKUP(GI339,$FX$4:$FX$15,1,FALSE)=GI339),FZ339,""),"")</f>
        <v/>
      </c>
    </row>
    <row r="340" ht="14.25" customHeight="1">
      <c r="FZ340" s="79" t="n">
        <v>338</v>
      </c>
      <c r="GA340" s="3">
        <f>GB340&amp;GC340&amp;GD340&amp;GE340&amp;GF340&amp;GG340&amp;GH340&amp;GI340</f>
        <v/>
      </c>
      <c r="GB340" s="3" t="inlineStr">
        <is>
          <t>E</t>
        </is>
      </c>
      <c r="GC340" s="3" t="inlineStr">
        <is>
          <t>I</t>
        </is>
      </c>
      <c r="GD340" s="3" t="inlineStr">
        <is>
          <t>B</t>
        </is>
      </c>
      <c r="GE340" s="3" t="inlineStr">
        <is>
          <t>D</t>
        </is>
      </c>
      <c r="GF340" s="3" t="inlineStr">
        <is>
          <t>A</t>
        </is>
      </c>
      <c r="GG340" s="3" t="inlineStr">
        <is>
          <t>H</t>
        </is>
      </c>
      <c r="GH340" s="3" t="inlineStr">
        <is>
          <t>L</t>
        </is>
      </c>
      <c r="GI340" s="3" t="inlineStr">
        <is>
          <t>K</t>
        </is>
      </c>
      <c r="GJ340" s="9">
        <f>VLOOKUP(GB340,$FM$3:$FN$15,2,FALSE)</f>
        <v/>
      </c>
      <c r="GK340" s="9">
        <f>VLOOKUP(GC340,$FM$3:$FN$15,2,FALSE)</f>
        <v/>
      </c>
      <c r="GL340" s="9">
        <f>VLOOKUP(GD340,$FM$3:$FN$15,2,FALSE)</f>
        <v/>
      </c>
      <c r="GM340" s="9">
        <f>VLOOKUP(GE340,$FM$3:$FN$15,2,FALSE)</f>
        <v/>
      </c>
      <c r="GN340" s="9">
        <f>VLOOKUP(GF340,$FM$3:$FN$15,2,FALSE)</f>
        <v/>
      </c>
      <c r="GO340" s="9">
        <f>VLOOKUP(GG340,$FM$3:$FN$15,2,FALSE)</f>
        <v/>
      </c>
      <c r="GP340" s="9">
        <f>VLOOKUP(GH340,$FM$3:$FN$15,2,FALSE)</f>
        <v/>
      </c>
      <c r="GQ340" s="9">
        <f>VLOOKUP(GI340,$FM$3:$FN$15,2,FALSE)</f>
        <v/>
      </c>
      <c r="GR340" s="9">
        <f>IFERROR(IF(AND(VLOOKUP(GB340,$FX$4:$FX$15,1,FALSE)=GB340,VLOOKUP(GC340,$FX$4:$FX$15,1,FALSE)=GC340,VLOOKUP(GD340,$FX$4:$FX$15,1,FALSE)=GD340,VLOOKUP(GE340,$FX$4:$FX$15,1,FALSE)=GE340,VLOOKUP(GF340,$FX$4:$FX$15,1,FALSE)=GF340,VLOOKUP(GG340,$FX$4:$FX$15,1,FALSE)=GG340,VLOOKUP(GH340,$FX$4:$FX$15,1,FALSE)=GH340,VLOOKUP(GI340,$FX$4:$FX$15,1,FALSE)=GI340),FZ340,""),"")</f>
        <v/>
      </c>
    </row>
    <row r="341" ht="14.25" customHeight="1">
      <c r="FZ341" s="79" t="n">
        <v>339</v>
      </c>
      <c r="GA341" s="3">
        <f>GB341&amp;GC341&amp;GD341&amp;GE341&amp;GF341&amp;GG341&amp;GH341&amp;GI341</f>
        <v/>
      </c>
      <c r="GB341" s="3" t="inlineStr">
        <is>
          <t>E</t>
        </is>
      </c>
      <c r="GC341" s="3" t="inlineStr">
        <is>
          <t>J</t>
        </is>
      </c>
      <c r="GD341" s="3" t="inlineStr">
        <is>
          <t>B</t>
        </is>
      </c>
      <c r="GE341" s="3" t="inlineStr">
        <is>
          <t>D</t>
        </is>
      </c>
      <c r="GF341" s="3" t="inlineStr">
        <is>
          <t>A</t>
        </is>
      </c>
      <c r="GG341" s="3" t="inlineStr">
        <is>
          <t>H</t>
        </is>
      </c>
      <c r="GH341" s="3" t="inlineStr">
        <is>
          <t>L</t>
        </is>
      </c>
      <c r="GI341" s="3" t="inlineStr">
        <is>
          <t>I</t>
        </is>
      </c>
      <c r="GJ341" s="9">
        <f>VLOOKUP(GB341,$FM$3:$FN$15,2,FALSE)</f>
        <v/>
      </c>
      <c r="GK341" s="9">
        <f>VLOOKUP(GC341,$FM$3:$FN$15,2,FALSE)</f>
        <v/>
      </c>
      <c r="GL341" s="9">
        <f>VLOOKUP(GD341,$FM$3:$FN$15,2,FALSE)</f>
        <v/>
      </c>
      <c r="GM341" s="9">
        <f>VLOOKUP(GE341,$FM$3:$FN$15,2,FALSE)</f>
        <v/>
      </c>
      <c r="GN341" s="9">
        <f>VLOOKUP(GF341,$FM$3:$FN$15,2,FALSE)</f>
        <v/>
      </c>
      <c r="GO341" s="9">
        <f>VLOOKUP(GG341,$FM$3:$FN$15,2,FALSE)</f>
        <v/>
      </c>
      <c r="GP341" s="9">
        <f>VLOOKUP(GH341,$FM$3:$FN$15,2,FALSE)</f>
        <v/>
      </c>
      <c r="GQ341" s="9">
        <f>VLOOKUP(GI341,$FM$3:$FN$15,2,FALSE)</f>
        <v/>
      </c>
      <c r="GR341" s="9">
        <f>IFERROR(IF(AND(VLOOKUP(GB341,$FX$4:$FX$15,1,FALSE)=GB341,VLOOKUP(GC341,$FX$4:$FX$15,1,FALSE)=GC341,VLOOKUP(GD341,$FX$4:$FX$15,1,FALSE)=GD341,VLOOKUP(GE341,$FX$4:$FX$15,1,FALSE)=GE341,VLOOKUP(GF341,$FX$4:$FX$15,1,FALSE)=GF341,VLOOKUP(GG341,$FX$4:$FX$15,1,FALSE)=GG341,VLOOKUP(GH341,$FX$4:$FX$15,1,FALSE)=GH341,VLOOKUP(GI341,$FX$4:$FX$15,1,FALSE)=GI341),FZ341,""),"")</f>
        <v/>
      </c>
    </row>
    <row r="342" ht="14.25" customHeight="1">
      <c r="FZ342" s="79" t="n">
        <v>340</v>
      </c>
      <c r="GA342" s="3">
        <f>GB342&amp;GC342&amp;GD342&amp;GE342&amp;GF342&amp;GG342&amp;GH342&amp;GI342</f>
        <v/>
      </c>
      <c r="GB342" s="3" t="inlineStr">
        <is>
          <t>E</t>
        </is>
      </c>
      <c r="GC342" s="3" t="inlineStr">
        <is>
          <t>J</t>
        </is>
      </c>
      <c r="GD342" s="3" t="inlineStr">
        <is>
          <t>B</t>
        </is>
      </c>
      <c r="GE342" s="3" t="inlineStr">
        <is>
          <t>D</t>
        </is>
      </c>
      <c r="GF342" s="3" t="inlineStr">
        <is>
          <t>A</t>
        </is>
      </c>
      <c r="GG342" s="3" t="inlineStr">
        <is>
          <t>H</t>
        </is>
      </c>
      <c r="GH342" s="3" t="inlineStr">
        <is>
          <t>I</t>
        </is>
      </c>
      <c r="GI342" s="3" t="inlineStr">
        <is>
          <t>K</t>
        </is>
      </c>
      <c r="GJ342" s="9">
        <f>VLOOKUP(GB342,$FM$3:$FN$15,2,FALSE)</f>
        <v/>
      </c>
      <c r="GK342" s="9">
        <f>VLOOKUP(GC342,$FM$3:$FN$15,2,FALSE)</f>
        <v/>
      </c>
      <c r="GL342" s="9">
        <f>VLOOKUP(GD342,$FM$3:$FN$15,2,FALSE)</f>
        <v/>
      </c>
      <c r="GM342" s="9">
        <f>VLOOKUP(GE342,$FM$3:$FN$15,2,FALSE)</f>
        <v/>
      </c>
      <c r="GN342" s="9">
        <f>VLOOKUP(GF342,$FM$3:$FN$15,2,FALSE)</f>
        <v/>
      </c>
      <c r="GO342" s="9">
        <f>VLOOKUP(GG342,$FM$3:$FN$15,2,FALSE)</f>
        <v/>
      </c>
      <c r="GP342" s="9">
        <f>VLOOKUP(GH342,$FM$3:$FN$15,2,FALSE)</f>
        <v/>
      </c>
      <c r="GQ342" s="9">
        <f>VLOOKUP(GI342,$FM$3:$FN$15,2,FALSE)</f>
        <v/>
      </c>
      <c r="GR342" s="9">
        <f>IFERROR(IF(AND(VLOOKUP(GB342,$FX$4:$FX$15,1,FALSE)=GB342,VLOOKUP(GC342,$FX$4:$FX$15,1,FALSE)=GC342,VLOOKUP(GD342,$FX$4:$FX$15,1,FALSE)=GD342,VLOOKUP(GE342,$FX$4:$FX$15,1,FALSE)=GE342,VLOOKUP(GF342,$FX$4:$FX$15,1,FALSE)=GF342,VLOOKUP(GG342,$FX$4:$FX$15,1,FALSE)=GG342,VLOOKUP(GH342,$FX$4:$FX$15,1,FALSE)=GH342,VLOOKUP(GI342,$FX$4:$FX$15,1,FALSE)=GI342),FZ342,""),"")</f>
        <v/>
      </c>
    </row>
    <row r="343" ht="14.25" customHeight="1">
      <c r="FZ343" s="79" t="n">
        <v>341</v>
      </c>
      <c r="GA343" s="3">
        <f>GB343&amp;GC343&amp;GD343&amp;GE343&amp;GF343&amp;GG343&amp;GH343&amp;GI343</f>
        <v/>
      </c>
      <c r="GB343" s="3" t="inlineStr">
        <is>
          <t>E</t>
        </is>
      </c>
      <c r="GC343" s="3" t="inlineStr">
        <is>
          <t>J</t>
        </is>
      </c>
      <c r="GD343" s="3" t="inlineStr">
        <is>
          <t>B</t>
        </is>
      </c>
      <c r="GE343" s="3" t="inlineStr">
        <is>
          <t>D</t>
        </is>
      </c>
      <c r="GF343" s="3" t="inlineStr">
        <is>
          <t>A</t>
        </is>
      </c>
      <c r="GG343" s="3" t="inlineStr">
        <is>
          <t>G</t>
        </is>
      </c>
      <c r="GH343" s="3" t="inlineStr">
        <is>
          <t>L</t>
        </is>
      </c>
      <c r="GI343" s="3" t="inlineStr">
        <is>
          <t>K</t>
        </is>
      </c>
      <c r="GJ343" s="9">
        <f>VLOOKUP(GB343,$FM$3:$FN$15,2,FALSE)</f>
        <v/>
      </c>
      <c r="GK343" s="9">
        <f>VLOOKUP(GC343,$FM$3:$FN$15,2,FALSE)</f>
        <v/>
      </c>
      <c r="GL343" s="9">
        <f>VLOOKUP(GD343,$FM$3:$FN$15,2,FALSE)</f>
        <v/>
      </c>
      <c r="GM343" s="9">
        <f>VLOOKUP(GE343,$FM$3:$FN$15,2,FALSE)</f>
        <v/>
      </c>
      <c r="GN343" s="9">
        <f>VLOOKUP(GF343,$FM$3:$FN$15,2,FALSE)</f>
        <v/>
      </c>
      <c r="GO343" s="9">
        <f>VLOOKUP(GG343,$FM$3:$FN$15,2,FALSE)</f>
        <v/>
      </c>
      <c r="GP343" s="9">
        <f>VLOOKUP(GH343,$FM$3:$FN$15,2,FALSE)</f>
        <v/>
      </c>
      <c r="GQ343" s="9">
        <f>VLOOKUP(GI343,$FM$3:$FN$15,2,FALSE)</f>
        <v/>
      </c>
      <c r="GR343" s="9">
        <f>IFERROR(IF(AND(VLOOKUP(GB343,$FX$4:$FX$15,1,FALSE)=GB343,VLOOKUP(GC343,$FX$4:$FX$15,1,FALSE)=GC343,VLOOKUP(GD343,$FX$4:$FX$15,1,FALSE)=GD343,VLOOKUP(GE343,$FX$4:$FX$15,1,FALSE)=GE343,VLOOKUP(GF343,$FX$4:$FX$15,1,FALSE)=GF343,VLOOKUP(GG343,$FX$4:$FX$15,1,FALSE)=GG343,VLOOKUP(GH343,$FX$4:$FX$15,1,FALSE)=GH343,VLOOKUP(GI343,$FX$4:$FX$15,1,FALSE)=GI343),FZ343,""),"")</f>
        <v/>
      </c>
    </row>
    <row r="344" ht="14.25" customHeight="1">
      <c r="FZ344" s="79" t="n">
        <v>342</v>
      </c>
      <c r="GA344" s="3">
        <f>GB344&amp;GC344&amp;GD344&amp;GE344&amp;GF344&amp;GG344&amp;GH344&amp;GI344</f>
        <v/>
      </c>
      <c r="GB344" s="3" t="inlineStr">
        <is>
          <t>E</t>
        </is>
      </c>
      <c r="GC344" s="3" t="inlineStr">
        <is>
          <t>G</t>
        </is>
      </c>
      <c r="GD344" s="3" t="inlineStr">
        <is>
          <t>B</t>
        </is>
      </c>
      <c r="GE344" s="3" t="inlineStr">
        <is>
          <t>A</t>
        </is>
      </c>
      <c r="GF344" s="3" t="inlineStr">
        <is>
          <t>I</t>
        </is>
      </c>
      <c r="GG344" s="3" t="inlineStr">
        <is>
          <t>D</t>
        </is>
      </c>
      <c r="GH344" s="3" t="inlineStr">
        <is>
          <t>L</t>
        </is>
      </c>
      <c r="GI344" s="3" t="inlineStr">
        <is>
          <t>K</t>
        </is>
      </c>
      <c r="GJ344" s="9">
        <f>VLOOKUP(GB344,$FM$3:$FN$15,2,FALSE)</f>
        <v/>
      </c>
      <c r="GK344" s="9">
        <f>VLOOKUP(GC344,$FM$3:$FN$15,2,FALSE)</f>
        <v/>
      </c>
      <c r="GL344" s="9">
        <f>VLOOKUP(GD344,$FM$3:$FN$15,2,FALSE)</f>
        <v/>
      </c>
      <c r="GM344" s="9">
        <f>VLOOKUP(GE344,$FM$3:$FN$15,2,FALSE)</f>
        <v/>
      </c>
      <c r="GN344" s="9">
        <f>VLOOKUP(GF344,$FM$3:$FN$15,2,FALSE)</f>
        <v/>
      </c>
      <c r="GO344" s="9">
        <f>VLOOKUP(GG344,$FM$3:$FN$15,2,FALSE)</f>
        <v/>
      </c>
      <c r="GP344" s="9">
        <f>VLOOKUP(GH344,$FM$3:$FN$15,2,FALSE)</f>
        <v/>
      </c>
      <c r="GQ344" s="9">
        <f>VLOOKUP(GI344,$FM$3:$FN$15,2,FALSE)</f>
        <v/>
      </c>
      <c r="GR344" s="9">
        <f>IFERROR(IF(AND(VLOOKUP(GB344,$FX$4:$FX$15,1,FALSE)=GB344,VLOOKUP(GC344,$FX$4:$FX$15,1,FALSE)=GC344,VLOOKUP(GD344,$FX$4:$FX$15,1,FALSE)=GD344,VLOOKUP(GE344,$FX$4:$FX$15,1,FALSE)=GE344,VLOOKUP(GF344,$FX$4:$FX$15,1,FALSE)=GF344,VLOOKUP(GG344,$FX$4:$FX$15,1,FALSE)=GG344,VLOOKUP(GH344,$FX$4:$FX$15,1,FALSE)=GH344,VLOOKUP(GI344,$FX$4:$FX$15,1,FALSE)=GI344),FZ344,""),"")</f>
        <v/>
      </c>
    </row>
    <row r="345" ht="14.25" customHeight="1">
      <c r="FZ345" s="79" t="n">
        <v>343</v>
      </c>
      <c r="GA345" s="3">
        <f>GB345&amp;GC345&amp;GD345&amp;GE345&amp;GF345&amp;GG345&amp;GH345&amp;GI345</f>
        <v/>
      </c>
      <c r="GB345" s="3" t="inlineStr">
        <is>
          <t>E</t>
        </is>
      </c>
      <c r="GC345" s="3" t="inlineStr">
        <is>
          <t>J</t>
        </is>
      </c>
      <c r="GD345" s="3" t="inlineStr">
        <is>
          <t>B</t>
        </is>
      </c>
      <c r="GE345" s="3" t="inlineStr">
        <is>
          <t>D</t>
        </is>
      </c>
      <c r="GF345" s="3" t="inlineStr">
        <is>
          <t>A</t>
        </is>
      </c>
      <c r="GG345" s="3" t="inlineStr">
        <is>
          <t>G</t>
        </is>
      </c>
      <c r="GH345" s="3" t="inlineStr">
        <is>
          <t>L</t>
        </is>
      </c>
      <c r="GI345" s="3" t="inlineStr">
        <is>
          <t>I</t>
        </is>
      </c>
      <c r="GJ345" s="9">
        <f>VLOOKUP(GB345,$FM$3:$FN$15,2,FALSE)</f>
        <v/>
      </c>
      <c r="GK345" s="9">
        <f>VLOOKUP(GC345,$FM$3:$FN$15,2,FALSE)</f>
        <v/>
      </c>
      <c r="GL345" s="9">
        <f>VLOOKUP(GD345,$FM$3:$FN$15,2,FALSE)</f>
        <v/>
      </c>
      <c r="GM345" s="9">
        <f>VLOOKUP(GE345,$FM$3:$FN$15,2,FALSE)</f>
        <v/>
      </c>
      <c r="GN345" s="9">
        <f>VLOOKUP(GF345,$FM$3:$FN$15,2,FALSE)</f>
        <v/>
      </c>
      <c r="GO345" s="9">
        <f>VLOOKUP(GG345,$FM$3:$FN$15,2,FALSE)</f>
        <v/>
      </c>
      <c r="GP345" s="9">
        <f>VLOOKUP(GH345,$FM$3:$FN$15,2,FALSE)</f>
        <v/>
      </c>
      <c r="GQ345" s="9">
        <f>VLOOKUP(GI345,$FM$3:$FN$15,2,FALSE)</f>
        <v/>
      </c>
      <c r="GR345" s="9">
        <f>IFERROR(IF(AND(VLOOKUP(GB345,$FX$4:$FX$15,1,FALSE)=GB345,VLOOKUP(GC345,$FX$4:$FX$15,1,FALSE)=GC345,VLOOKUP(GD345,$FX$4:$FX$15,1,FALSE)=GD345,VLOOKUP(GE345,$FX$4:$FX$15,1,FALSE)=GE345,VLOOKUP(GF345,$FX$4:$FX$15,1,FALSE)=GF345,VLOOKUP(GG345,$FX$4:$FX$15,1,FALSE)=GG345,VLOOKUP(GH345,$FX$4:$FX$15,1,FALSE)=GH345,VLOOKUP(GI345,$FX$4:$FX$15,1,FALSE)=GI345),FZ345,""),"")</f>
        <v/>
      </c>
    </row>
    <row r="346" ht="14.25" customHeight="1">
      <c r="FZ346" s="79" t="n">
        <v>344</v>
      </c>
      <c r="GA346" s="3">
        <f>GB346&amp;GC346&amp;GD346&amp;GE346&amp;GF346&amp;GG346&amp;GH346&amp;GI346</f>
        <v/>
      </c>
      <c r="GB346" s="3" t="inlineStr">
        <is>
          <t>E</t>
        </is>
      </c>
      <c r="GC346" s="3" t="inlineStr">
        <is>
          <t>J</t>
        </is>
      </c>
      <c r="GD346" s="3" t="inlineStr">
        <is>
          <t>B</t>
        </is>
      </c>
      <c r="GE346" s="3" t="inlineStr">
        <is>
          <t>D</t>
        </is>
      </c>
      <c r="GF346" s="3" t="inlineStr">
        <is>
          <t>A</t>
        </is>
      </c>
      <c r="GG346" s="3" t="inlineStr">
        <is>
          <t>G</t>
        </is>
      </c>
      <c r="GH346" s="3" t="inlineStr">
        <is>
          <t>I</t>
        </is>
      </c>
      <c r="GI346" s="3" t="inlineStr">
        <is>
          <t>K</t>
        </is>
      </c>
      <c r="GJ346" s="9">
        <f>VLOOKUP(GB346,$FM$3:$FN$15,2,FALSE)</f>
        <v/>
      </c>
      <c r="GK346" s="9">
        <f>VLOOKUP(GC346,$FM$3:$FN$15,2,FALSE)</f>
        <v/>
      </c>
      <c r="GL346" s="9">
        <f>VLOOKUP(GD346,$FM$3:$FN$15,2,FALSE)</f>
        <v/>
      </c>
      <c r="GM346" s="9">
        <f>VLOOKUP(GE346,$FM$3:$FN$15,2,FALSE)</f>
        <v/>
      </c>
      <c r="GN346" s="9">
        <f>VLOOKUP(GF346,$FM$3:$FN$15,2,FALSE)</f>
        <v/>
      </c>
      <c r="GO346" s="9">
        <f>VLOOKUP(GG346,$FM$3:$FN$15,2,FALSE)</f>
        <v/>
      </c>
      <c r="GP346" s="9">
        <f>VLOOKUP(GH346,$FM$3:$FN$15,2,FALSE)</f>
        <v/>
      </c>
      <c r="GQ346" s="9">
        <f>VLOOKUP(GI346,$FM$3:$FN$15,2,FALSE)</f>
        <v/>
      </c>
      <c r="GR346" s="9">
        <f>IFERROR(IF(AND(VLOOKUP(GB346,$FX$4:$FX$15,1,FALSE)=GB346,VLOOKUP(GC346,$FX$4:$FX$15,1,FALSE)=GC346,VLOOKUP(GD346,$FX$4:$FX$15,1,FALSE)=GD346,VLOOKUP(GE346,$FX$4:$FX$15,1,FALSE)=GE346,VLOOKUP(GF346,$FX$4:$FX$15,1,FALSE)=GF346,VLOOKUP(GG346,$FX$4:$FX$15,1,FALSE)=GG346,VLOOKUP(GH346,$FX$4:$FX$15,1,FALSE)=GH346,VLOOKUP(GI346,$FX$4:$FX$15,1,FALSE)=GI346),FZ346,""),"")</f>
        <v/>
      </c>
    </row>
    <row r="347" ht="14.25" customHeight="1">
      <c r="FZ347" s="79" t="n">
        <v>345</v>
      </c>
      <c r="GA347" s="3">
        <f>GB347&amp;GC347&amp;GD347&amp;GE347&amp;GF347&amp;GG347&amp;GH347&amp;GI347</f>
        <v/>
      </c>
      <c r="GB347" s="3" t="inlineStr">
        <is>
          <t>E</t>
        </is>
      </c>
      <c r="GC347" s="3" t="inlineStr">
        <is>
          <t>G</t>
        </is>
      </c>
      <c r="GD347" s="3" t="inlineStr">
        <is>
          <t>B</t>
        </is>
      </c>
      <c r="GE347" s="3" t="inlineStr">
        <is>
          <t>D</t>
        </is>
      </c>
      <c r="GF347" s="3" t="inlineStr">
        <is>
          <t>A</t>
        </is>
      </c>
      <c r="GG347" s="3" t="inlineStr">
        <is>
          <t>H</t>
        </is>
      </c>
      <c r="GH347" s="3" t="inlineStr">
        <is>
          <t>L</t>
        </is>
      </c>
      <c r="GI347" s="3" t="inlineStr">
        <is>
          <t>K</t>
        </is>
      </c>
      <c r="GJ347" s="9">
        <f>VLOOKUP(GB347,$FM$3:$FN$15,2,FALSE)</f>
        <v/>
      </c>
      <c r="GK347" s="9">
        <f>VLOOKUP(GC347,$FM$3:$FN$15,2,FALSE)</f>
        <v/>
      </c>
      <c r="GL347" s="9">
        <f>VLOOKUP(GD347,$FM$3:$FN$15,2,FALSE)</f>
        <v/>
      </c>
      <c r="GM347" s="9">
        <f>VLOOKUP(GE347,$FM$3:$FN$15,2,FALSE)</f>
        <v/>
      </c>
      <c r="GN347" s="9">
        <f>VLOOKUP(GF347,$FM$3:$FN$15,2,FALSE)</f>
        <v/>
      </c>
      <c r="GO347" s="9">
        <f>VLOOKUP(GG347,$FM$3:$FN$15,2,FALSE)</f>
        <v/>
      </c>
      <c r="GP347" s="9">
        <f>VLOOKUP(GH347,$FM$3:$FN$15,2,FALSE)</f>
        <v/>
      </c>
      <c r="GQ347" s="9">
        <f>VLOOKUP(GI347,$FM$3:$FN$15,2,FALSE)</f>
        <v/>
      </c>
      <c r="GR347" s="9">
        <f>IFERROR(IF(AND(VLOOKUP(GB347,$FX$4:$FX$15,1,FALSE)=GB347,VLOOKUP(GC347,$FX$4:$FX$15,1,FALSE)=GC347,VLOOKUP(GD347,$FX$4:$FX$15,1,FALSE)=GD347,VLOOKUP(GE347,$FX$4:$FX$15,1,FALSE)=GE347,VLOOKUP(GF347,$FX$4:$FX$15,1,FALSE)=GF347,VLOOKUP(GG347,$FX$4:$FX$15,1,FALSE)=GG347,VLOOKUP(GH347,$FX$4:$FX$15,1,FALSE)=GH347,VLOOKUP(GI347,$FX$4:$FX$15,1,FALSE)=GI347),FZ347,""),"")</f>
        <v/>
      </c>
    </row>
    <row r="348" ht="14.25" customHeight="1">
      <c r="FZ348" s="79" t="n">
        <v>346</v>
      </c>
      <c r="GA348" s="3">
        <f>GB348&amp;GC348&amp;GD348&amp;GE348&amp;GF348&amp;GG348&amp;GH348&amp;GI348</f>
        <v/>
      </c>
      <c r="GB348" s="3" t="inlineStr">
        <is>
          <t>H</t>
        </is>
      </c>
      <c r="GC348" s="3" t="inlineStr">
        <is>
          <t>J</t>
        </is>
      </c>
      <c r="GD348" s="3" t="inlineStr">
        <is>
          <t>B</t>
        </is>
      </c>
      <c r="GE348" s="3" t="inlineStr">
        <is>
          <t>D</t>
        </is>
      </c>
      <c r="GF348" s="3" t="inlineStr">
        <is>
          <t>A</t>
        </is>
      </c>
      <c r="GG348" s="3" t="inlineStr">
        <is>
          <t>G</t>
        </is>
      </c>
      <c r="GH348" s="3" t="inlineStr">
        <is>
          <t>L</t>
        </is>
      </c>
      <c r="GI348" s="3" t="inlineStr">
        <is>
          <t>E</t>
        </is>
      </c>
      <c r="GJ348" s="9">
        <f>VLOOKUP(GB348,$FM$3:$FN$15,2,FALSE)</f>
        <v/>
      </c>
      <c r="GK348" s="9">
        <f>VLOOKUP(GC348,$FM$3:$FN$15,2,FALSE)</f>
        <v/>
      </c>
      <c r="GL348" s="9">
        <f>VLOOKUP(GD348,$FM$3:$FN$15,2,FALSE)</f>
        <v/>
      </c>
      <c r="GM348" s="9">
        <f>VLOOKUP(GE348,$FM$3:$FN$15,2,FALSE)</f>
        <v/>
      </c>
      <c r="GN348" s="9">
        <f>VLOOKUP(GF348,$FM$3:$FN$15,2,FALSE)</f>
        <v/>
      </c>
      <c r="GO348" s="9">
        <f>VLOOKUP(GG348,$FM$3:$FN$15,2,FALSE)</f>
        <v/>
      </c>
      <c r="GP348" s="9">
        <f>VLOOKUP(GH348,$FM$3:$FN$15,2,FALSE)</f>
        <v/>
      </c>
      <c r="GQ348" s="9">
        <f>VLOOKUP(GI348,$FM$3:$FN$15,2,FALSE)</f>
        <v/>
      </c>
      <c r="GR348" s="9">
        <f>IFERROR(IF(AND(VLOOKUP(GB348,$FX$4:$FX$15,1,FALSE)=GB348,VLOOKUP(GC348,$FX$4:$FX$15,1,FALSE)=GC348,VLOOKUP(GD348,$FX$4:$FX$15,1,FALSE)=GD348,VLOOKUP(GE348,$FX$4:$FX$15,1,FALSE)=GE348,VLOOKUP(GF348,$FX$4:$FX$15,1,FALSE)=GF348,VLOOKUP(GG348,$FX$4:$FX$15,1,FALSE)=GG348,VLOOKUP(GH348,$FX$4:$FX$15,1,FALSE)=GH348,VLOOKUP(GI348,$FX$4:$FX$15,1,FALSE)=GI348),FZ348,""),"")</f>
        <v/>
      </c>
    </row>
    <row r="349" ht="14.25" customHeight="1">
      <c r="FZ349" s="79" t="n">
        <v>347</v>
      </c>
      <c r="GA349" s="3">
        <f>GB349&amp;GC349&amp;GD349&amp;GE349&amp;GF349&amp;GG349&amp;GH349&amp;GI349</f>
        <v/>
      </c>
      <c r="GB349" s="3" t="inlineStr">
        <is>
          <t>H</t>
        </is>
      </c>
      <c r="GC349" s="3" t="inlineStr">
        <is>
          <t>J</t>
        </is>
      </c>
      <c r="GD349" s="3" t="inlineStr">
        <is>
          <t>B</t>
        </is>
      </c>
      <c r="GE349" s="3" t="inlineStr">
        <is>
          <t>D</t>
        </is>
      </c>
      <c r="GF349" s="3" t="inlineStr">
        <is>
          <t>A</t>
        </is>
      </c>
      <c r="GG349" s="3" t="inlineStr">
        <is>
          <t>G</t>
        </is>
      </c>
      <c r="GH349" s="3" t="inlineStr">
        <is>
          <t>E</t>
        </is>
      </c>
      <c r="GI349" s="3" t="inlineStr">
        <is>
          <t>K</t>
        </is>
      </c>
      <c r="GJ349" s="9">
        <f>VLOOKUP(GB349,$FM$3:$FN$15,2,FALSE)</f>
        <v/>
      </c>
      <c r="GK349" s="9">
        <f>VLOOKUP(GC349,$FM$3:$FN$15,2,FALSE)</f>
        <v/>
      </c>
      <c r="GL349" s="9">
        <f>VLOOKUP(GD349,$FM$3:$FN$15,2,FALSE)</f>
        <v/>
      </c>
      <c r="GM349" s="9">
        <f>VLOOKUP(GE349,$FM$3:$FN$15,2,FALSE)</f>
        <v/>
      </c>
      <c r="GN349" s="9">
        <f>VLOOKUP(GF349,$FM$3:$FN$15,2,FALSE)</f>
        <v/>
      </c>
      <c r="GO349" s="9">
        <f>VLOOKUP(GG349,$FM$3:$FN$15,2,FALSE)</f>
        <v/>
      </c>
      <c r="GP349" s="9">
        <f>VLOOKUP(GH349,$FM$3:$FN$15,2,FALSE)</f>
        <v/>
      </c>
      <c r="GQ349" s="9">
        <f>VLOOKUP(GI349,$FM$3:$FN$15,2,FALSE)</f>
        <v/>
      </c>
      <c r="GR349" s="9">
        <f>IFERROR(IF(AND(VLOOKUP(GB349,$FX$4:$FX$15,1,FALSE)=GB349,VLOOKUP(GC349,$FX$4:$FX$15,1,FALSE)=GC349,VLOOKUP(GD349,$FX$4:$FX$15,1,FALSE)=GD349,VLOOKUP(GE349,$FX$4:$FX$15,1,FALSE)=GE349,VLOOKUP(GF349,$FX$4:$FX$15,1,FALSE)=GF349,VLOOKUP(GG349,$FX$4:$FX$15,1,FALSE)=GG349,VLOOKUP(GH349,$FX$4:$FX$15,1,FALSE)=GH349,VLOOKUP(GI349,$FX$4:$FX$15,1,FALSE)=GI349),FZ349,""),"")</f>
        <v/>
      </c>
    </row>
    <row r="350" ht="14.25" customHeight="1">
      <c r="FZ350" s="79" t="n">
        <v>348</v>
      </c>
      <c r="GA350" s="3">
        <f>GB350&amp;GC350&amp;GD350&amp;GE350&amp;GF350&amp;GG350&amp;GH350&amp;GI350</f>
        <v/>
      </c>
      <c r="GB350" s="3" t="inlineStr">
        <is>
          <t>E</t>
        </is>
      </c>
      <c r="GC350" s="3" t="inlineStr">
        <is>
          <t>G</t>
        </is>
      </c>
      <c r="GD350" s="3" t="inlineStr">
        <is>
          <t>B</t>
        </is>
      </c>
      <c r="GE350" s="3" t="inlineStr">
        <is>
          <t>D</t>
        </is>
      </c>
      <c r="GF350" s="3" t="inlineStr">
        <is>
          <t>A</t>
        </is>
      </c>
      <c r="GG350" s="3" t="inlineStr">
        <is>
          <t>H</t>
        </is>
      </c>
      <c r="GH350" s="3" t="inlineStr">
        <is>
          <t>L</t>
        </is>
      </c>
      <c r="GI350" s="3" t="inlineStr">
        <is>
          <t>I</t>
        </is>
      </c>
      <c r="GJ350" s="9">
        <f>VLOOKUP(GB350,$FM$3:$FN$15,2,FALSE)</f>
        <v/>
      </c>
      <c r="GK350" s="9">
        <f>VLOOKUP(GC350,$FM$3:$FN$15,2,FALSE)</f>
        <v/>
      </c>
      <c r="GL350" s="9">
        <f>VLOOKUP(GD350,$FM$3:$FN$15,2,FALSE)</f>
        <v/>
      </c>
      <c r="GM350" s="9">
        <f>VLOOKUP(GE350,$FM$3:$FN$15,2,FALSE)</f>
        <v/>
      </c>
      <c r="GN350" s="9">
        <f>VLOOKUP(GF350,$FM$3:$FN$15,2,FALSE)</f>
        <v/>
      </c>
      <c r="GO350" s="9">
        <f>VLOOKUP(GG350,$FM$3:$FN$15,2,FALSE)</f>
        <v/>
      </c>
      <c r="GP350" s="9">
        <f>VLOOKUP(GH350,$FM$3:$FN$15,2,FALSE)</f>
        <v/>
      </c>
      <c r="GQ350" s="9">
        <f>VLOOKUP(GI350,$FM$3:$FN$15,2,FALSE)</f>
        <v/>
      </c>
      <c r="GR350" s="9">
        <f>IFERROR(IF(AND(VLOOKUP(GB350,$FX$4:$FX$15,1,FALSE)=GB350,VLOOKUP(GC350,$FX$4:$FX$15,1,FALSE)=GC350,VLOOKUP(GD350,$FX$4:$FX$15,1,FALSE)=GD350,VLOOKUP(GE350,$FX$4:$FX$15,1,FALSE)=GE350,VLOOKUP(GF350,$FX$4:$FX$15,1,FALSE)=GF350,VLOOKUP(GG350,$FX$4:$FX$15,1,FALSE)=GG350,VLOOKUP(GH350,$FX$4:$FX$15,1,FALSE)=GH350,VLOOKUP(GI350,$FX$4:$FX$15,1,FALSE)=GI350),FZ350,""),"")</f>
        <v/>
      </c>
    </row>
    <row r="351" ht="14.25" customHeight="1">
      <c r="FZ351" s="79" t="n">
        <v>349</v>
      </c>
      <c r="GA351" s="3">
        <f>GB351&amp;GC351&amp;GD351&amp;GE351&amp;GF351&amp;GG351&amp;GH351&amp;GI351</f>
        <v/>
      </c>
      <c r="GB351" s="3" t="inlineStr">
        <is>
          <t>E</t>
        </is>
      </c>
      <c r="GC351" s="3" t="inlineStr">
        <is>
          <t>G</t>
        </is>
      </c>
      <c r="GD351" s="3" t="inlineStr">
        <is>
          <t>B</t>
        </is>
      </c>
      <c r="GE351" s="3" t="inlineStr">
        <is>
          <t>D</t>
        </is>
      </c>
      <c r="GF351" s="3" t="inlineStr">
        <is>
          <t>A</t>
        </is>
      </c>
      <c r="GG351" s="3" t="inlineStr">
        <is>
          <t>H</t>
        </is>
      </c>
      <c r="GH351" s="3" t="inlineStr">
        <is>
          <t>I</t>
        </is>
      </c>
      <c r="GI351" s="3" t="inlineStr">
        <is>
          <t>K</t>
        </is>
      </c>
      <c r="GJ351" s="9">
        <f>VLOOKUP(GB351,$FM$3:$FN$15,2,FALSE)</f>
        <v/>
      </c>
      <c r="GK351" s="9">
        <f>VLOOKUP(GC351,$FM$3:$FN$15,2,FALSE)</f>
        <v/>
      </c>
      <c r="GL351" s="9">
        <f>VLOOKUP(GD351,$FM$3:$FN$15,2,FALSE)</f>
        <v/>
      </c>
      <c r="GM351" s="9">
        <f>VLOOKUP(GE351,$FM$3:$FN$15,2,FALSE)</f>
        <v/>
      </c>
      <c r="GN351" s="9">
        <f>VLOOKUP(GF351,$FM$3:$FN$15,2,FALSE)</f>
        <v/>
      </c>
      <c r="GO351" s="9">
        <f>VLOOKUP(GG351,$FM$3:$FN$15,2,FALSE)</f>
        <v/>
      </c>
      <c r="GP351" s="9">
        <f>VLOOKUP(GH351,$FM$3:$FN$15,2,FALSE)</f>
        <v/>
      </c>
      <c r="GQ351" s="9">
        <f>VLOOKUP(GI351,$FM$3:$FN$15,2,FALSE)</f>
        <v/>
      </c>
      <c r="GR351" s="9">
        <f>IFERROR(IF(AND(VLOOKUP(GB351,$FX$4:$FX$15,1,FALSE)=GB351,VLOOKUP(GC351,$FX$4:$FX$15,1,FALSE)=GC351,VLOOKUP(GD351,$FX$4:$FX$15,1,FALSE)=GD351,VLOOKUP(GE351,$FX$4:$FX$15,1,FALSE)=GE351,VLOOKUP(GF351,$FX$4:$FX$15,1,FALSE)=GF351,VLOOKUP(GG351,$FX$4:$FX$15,1,FALSE)=GG351,VLOOKUP(GH351,$FX$4:$FX$15,1,FALSE)=GH351,VLOOKUP(GI351,$FX$4:$FX$15,1,FALSE)=GI351),FZ351,""),"")</f>
        <v/>
      </c>
    </row>
    <row r="352" ht="14.25" customHeight="1">
      <c r="FZ352" s="79" t="n">
        <v>350</v>
      </c>
      <c r="GA352" s="3">
        <f>GB352&amp;GC352&amp;GD352&amp;GE352&amp;GF352&amp;GG352&amp;GH352&amp;GI352</f>
        <v/>
      </c>
      <c r="GB352" s="3" t="inlineStr">
        <is>
          <t>H</t>
        </is>
      </c>
      <c r="GC352" s="3" t="inlineStr">
        <is>
          <t>J</t>
        </is>
      </c>
      <c r="GD352" s="3" t="inlineStr">
        <is>
          <t>B</t>
        </is>
      </c>
      <c r="GE352" s="3" t="inlineStr">
        <is>
          <t>D</t>
        </is>
      </c>
      <c r="GF352" s="3" t="inlineStr">
        <is>
          <t>A</t>
        </is>
      </c>
      <c r="GG352" s="3" t="inlineStr">
        <is>
          <t>G</t>
        </is>
      </c>
      <c r="GH352" s="3" t="inlineStr">
        <is>
          <t>E</t>
        </is>
      </c>
      <c r="GI352" s="3" t="inlineStr">
        <is>
          <t>I</t>
        </is>
      </c>
      <c r="GJ352" s="9">
        <f>VLOOKUP(GB352,$FM$3:$FN$15,2,FALSE)</f>
        <v/>
      </c>
      <c r="GK352" s="9">
        <f>VLOOKUP(GC352,$FM$3:$FN$15,2,FALSE)</f>
        <v/>
      </c>
      <c r="GL352" s="9">
        <f>VLOOKUP(GD352,$FM$3:$FN$15,2,FALSE)</f>
        <v/>
      </c>
      <c r="GM352" s="9">
        <f>VLOOKUP(GE352,$FM$3:$FN$15,2,FALSE)</f>
        <v/>
      </c>
      <c r="GN352" s="9">
        <f>VLOOKUP(GF352,$FM$3:$FN$15,2,FALSE)</f>
        <v/>
      </c>
      <c r="GO352" s="9">
        <f>VLOOKUP(GG352,$FM$3:$FN$15,2,FALSE)</f>
        <v/>
      </c>
      <c r="GP352" s="9">
        <f>VLOOKUP(GH352,$FM$3:$FN$15,2,FALSE)</f>
        <v/>
      </c>
      <c r="GQ352" s="9">
        <f>VLOOKUP(GI352,$FM$3:$FN$15,2,FALSE)</f>
        <v/>
      </c>
      <c r="GR352" s="9">
        <f>IFERROR(IF(AND(VLOOKUP(GB352,$FX$4:$FX$15,1,FALSE)=GB352,VLOOKUP(GC352,$FX$4:$FX$15,1,FALSE)=GC352,VLOOKUP(GD352,$FX$4:$FX$15,1,FALSE)=GD352,VLOOKUP(GE352,$FX$4:$FX$15,1,FALSE)=GE352,VLOOKUP(GF352,$FX$4:$FX$15,1,FALSE)=GF352,VLOOKUP(GG352,$FX$4:$FX$15,1,FALSE)=GG352,VLOOKUP(GH352,$FX$4:$FX$15,1,FALSE)=GH352,VLOOKUP(GI352,$FX$4:$FX$15,1,FALSE)=GI352),FZ352,""),"")</f>
        <v/>
      </c>
    </row>
    <row r="353" ht="14.25" customHeight="1">
      <c r="FZ353" s="79" t="n">
        <v>351</v>
      </c>
      <c r="GA353" s="3">
        <f>GB353&amp;GC353&amp;GD353&amp;GE353&amp;GF353&amp;GG353&amp;GH353&amp;GI353</f>
        <v/>
      </c>
      <c r="GB353" s="3" t="inlineStr">
        <is>
          <t>E</t>
        </is>
      </c>
      <c r="GC353" s="3" t="inlineStr">
        <is>
          <t>J</t>
        </is>
      </c>
      <c r="GD353" s="3" t="inlineStr">
        <is>
          <t>B</t>
        </is>
      </c>
      <c r="GE353" s="3" t="inlineStr">
        <is>
          <t>D</t>
        </is>
      </c>
      <c r="GF353" s="3" t="inlineStr">
        <is>
          <t>A</t>
        </is>
      </c>
      <c r="GG353" s="3" t="inlineStr">
        <is>
          <t>F</t>
        </is>
      </c>
      <c r="GH353" s="3" t="inlineStr">
        <is>
          <t>L</t>
        </is>
      </c>
      <c r="GI353" s="3" t="inlineStr">
        <is>
          <t>K</t>
        </is>
      </c>
      <c r="GJ353" s="9">
        <f>VLOOKUP(GB353,$FM$3:$FN$15,2,FALSE)</f>
        <v/>
      </c>
      <c r="GK353" s="9">
        <f>VLOOKUP(GC353,$FM$3:$FN$15,2,FALSE)</f>
        <v/>
      </c>
      <c r="GL353" s="9">
        <f>VLOOKUP(GD353,$FM$3:$FN$15,2,FALSE)</f>
        <v/>
      </c>
      <c r="GM353" s="9">
        <f>VLOOKUP(GE353,$FM$3:$FN$15,2,FALSE)</f>
        <v/>
      </c>
      <c r="GN353" s="9">
        <f>VLOOKUP(GF353,$FM$3:$FN$15,2,FALSE)</f>
        <v/>
      </c>
      <c r="GO353" s="9">
        <f>VLOOKUP(GG353,$FM$3:$FN$15,2,FALSE)</f>
        <v/>
      </c>
      <c r="GP353" s="9">
        <f>VLOOKUP(GH353,$FM$3:$FN$15,2,FALSE)</f>
        <v/>
      </c>
      <c r="GQ353" s="9">
        <f>VLOOKUP(GI353,$FM$3:$FN$15,2,FALSE)</f>
        <v/>
      </c>
      <c r="GR353" s="9">
        <f>IFERROR(IF(AND(VLOOKUP(GB353,$FX$4:$FX$15,1,FALSE)=GB353,VLOOKUP(GC353,$FX$4:$FX$15,1,FALSE)=GC353,VLOOKUP(GD353,$FX$4:$FX$15,1,FALSE)=GD353,VLOOKUP(GE353,$FX$4:$FX$15,1,FALSE)=GE353,VLOOKUP(GF353,$FX$4:$FX$15,1,FALSE)=GF353,VLOOKUP(GG353,$FX$4:$FX$15,1,FALSE)=GG353,VLOOKUP(GH353,$FX$4:$FX$15,1,FALSE)=GH353,VLOOKUP(GI353,$FX$4:$FX$15,1,FALSE)=GI353),FZ353,""),"")</f>
        <v/>
      </c>
    </row>
    <row r="354" ht="14.25" customHeight="1">
      <c r="FZ354" s="79" t="n">
        <v>352</v>
      </c>
      <c r="GA354" s="3">
        <f>GB354&amp;GC354&amp;GD354&amp;GE354&amp;GF354&amp;GG354&amp;GH354&amp;GI354</f>
        <v/>
      </c>
      <c r="GB354" s="3" t="inlineStr">
        <is>
          <t>E</t>
        </is>
      </c>
      <c r="GC354" s="3" t="inlineStr">
        <is>
          <t>I</t>
        </is>
      </c>
      <c r="GD354" s="3" t="inlineStr">
        <is>
          <t>B</t>
        </is>
      </c>
      <c r="GE354" s="3" t="inlineStr">
        <is>
          <t>D</t>
        </is>
      </c>
      <c r="GF354" s="3" t="inlineStr">
        <is>
          <t>A</t>
        </is>
      </c>
      <c r="GG354" s="3" t="inlineStr">
        <is>
          <t>F</t>
        </is>
      </c>
      <c r="GH354" s="3" t="inlineStr">
        <is>
          <t>L</t>
        </is>
      </c>
      <c r="GI354" s="3" t="inlineStr">
        <is>
          <t>K</t>
        </is>
      </c>
      <c r="GJ354" s="9">
        <f>VLOOKUP(GB354,$FM$3:$FN$15,2,FALSE)</f>
        <v/>
      </c>
      <c r="GK354" s="9">
        <f>VLOOKUP(GC354,$FM$3:$FN$15,2,FALSE)</f>
        <v/>
      </c>
      <c r="GL354" s="9">
        <f>VLOOKUP(GD354,$FM$3:$FN$15,2,FALSE)</f>
        <v/>
      </c>
      <c r="GM354" s="9">
        <f>VLOOKUP(GE354,$FM$3:$FN$15,2,FALSE)</f>
        <v/>
      </c>
      <c r="GN354" s="9">
        <f>VLOOKUP(GF354,$FM$3:$FN$15,2,FALSE)</f>
        <v/>
      </c>
      <c r="GO354" s="9">
        <f>VLOOKUP(GG354,$FM$3:$FN$15,2,FALSE)</f>
        <v/>
      </c>
      <c r="GP354" s="9">
        <f>VLOOKUP(GH354,$FM$3:$FN$15,2,FALSE)</f>
        <v/>
      </c>
      <c r="GQ354" s="9">
        <f>VLOOKUP(GI354,$FM$3:$FN$15,2,FALSE)</f>
        <v/>
      </c>
      <c r="GR354" s="9">
        <f>IFERROR(IF(AND(VLOOKUP(GB354,$FX$4:$FX$15,1,FALSE)=GB354,VLOOKUP(GC354,$FX$4:$FX$15,1,FALSE)=GC354,VLOOKUP(GD354,$FX$4:$FX$15,1,FALSE)=GD354,VLOOKUP(GE354,$FX$4:$FX$15,1,FALSE)=GE354,VLOOKUP(GF354,$FX$4:$FX$15,1,FALSE)=GF354,VLOOKUP(GG354,$FX$4:$FX$15,1,FALSE)=GG354,VLOOKUP(GH354,$FX$4:$FX$15,1,FALSE)=GH354,VLOOKUP(GI354,$FX$4:$FX$15,1,FALSE)=GI354),FZ354,""),"")</f>
        <v/>
      </c>
    </row>
    <row r="355" ht="14.25" customHeight="1">
      <c r="FZ355" s="79" t="n">
        <v>353</v>
      </c>
      <c r="GA355" s="3">
        <f>GB355&amp;GC355&amp;GD355&amp;GE355&amp;GF355&amp;GG355&amp;GH355&amp;GI355</f>
        <v/>
      </c>
      <c r="GB355" s="3" t="inlineStr">
        <is>
          <t>E</t>
        </is>
      </c>
      <c r="GC355" s="3" t="inlineStr">
        <is>
          <t>J</t>
        </is>
      </c>
      <c r="GD355" s="3" t="inlineStr">
        <is>
          <t>B</t>
        </is>
      </c>
      <c r="GE355" s="3" t="inlineStr">
        <is>
          <t>D</t>
        </is>
      </c>
      <c r="GF355" s="3" t="inlineStr">
        <is>
          <t>A</t>
        </is>
      </c>
      <c r="GG355" s="3" t="inlineStr">
        <is>
          <t>F</t>
        </is>
      </c>
      <c r="GH355" s="3" t="inlineStr">
        <is>
          <t>L</t>
        </is>
      </c>
      <c r="GI355" s="3" t="inlineStr">
        <is>
          <t>I</t>
        </is>
      </c>
      <c r="GJ355" s="9">
        <f>VLOOKUP(GB355,$FM$3:$FN$15,2,FALSE)</f>
        <v/>
      </c>
      <c r="GK355" s="9">
        <f>VLOOKUP(GC355,$FM$3:$FN$15,2,FALSE)</f>
        <v/>
      </c>
      <c r="GL355" s="9">
        <f>VLOOKUP(GD355,$FM$3:$FN$15,2,FALSE)</f>
        <v/>
      </c>
      <c r="GM355" s="9">
        <f>VLOOKUP(GE355,$FM$3:$FN$15,2,FALSE)</f>
        <v/>
      </c>
      <c r="GN355" s="9">
        <f>VLOOKUP(GF355,$FM$3:$FN$15,2,FALSE)</f>
        <v/>
      </c>
      <c r="GO355" s="9">
        <f>VLOOKUP(GG355,$FM$3:$FN$15,2,FALSE)</f>
        <v/>
      </c>
      <c r="GP355" s="9">
        <f>VLOOKUP(GH355,$FM$3:$FN$15,2,FALSE)</f>
        <v/>
      </c>
      <c r="GQ355" s="9">
        <f>VLOOKUP(GI355,$FM$3:$FN$15,2,FALSE)</f>
        <v/>
      </c>
      <c r="GR355" s="9">
        <f>IFERROR(IF(AND(VLOOKUP(GB355,$FX$4:$FX$15,1,FALSE)=GB355,VLOOKUP(GC355,$FX$4:$FX$15,1,FALSE)=GC355,VLOOKUP(GD355,$FX$4:$FX$15,1,FALSE)=GD355,VLOOKUP(GE355,$FX$4:$FX$15,1,FALSE)=GE355,VLOOKUP(GF355,$FX$4:$FX$15,1,FALSE)=GF355,VLOOKUP(GG355,$FX$4:$FX$15,1,FALSE)=GG355,VLOOKUP(GH355,$FX$4:$FX$15,1,FALSE)=GH355,VLOOKUP(GI355,$FX$4:$FX$15,1,FALSE)=GI355),FZ355,""),"")</f>
        <v/>
      </c>
    </row>
    <row r="356" ht="14.25" customHeight="1">
      <c r="FZ356" s="79" t="n">
        <v>354</v>
      </c>
      <c r="GA356" s="3">
        <f>GB356&amp;GC356&amp;GD356&amp;GE356&amp;GF356&amp;GG356&amp;GH356&amp;GI356</f>
        <v/>
      </c>
      <c r="GB356" s="3" t="inlineStr">
        <is>
          <t>E</t>
        </is>
      </c>
      <c r="GC356" s="3" t="inlineStr">
        <is>
          <t>J</t>
        </is>
      </c>
      <c r="GD356" s="3" t="inlineStr">
        <is>
          <t>B</t>
        </is>
      </c>
      <c r="GE356" s="3" t="inlineStr">
        <is>
          <t>D</t>
        </is>
      </c>
      <c r="GF356" s="3" t="inlineStr">
        <is>
          <t>A</t>
        </is>
      </c>
      <c r="GG356" s="3" t="inlineStr">
        <is>
          <t>F</t>
        </is>
      </c>
      <c r="GH356" s="3" t="inlineStr">
        <is>
          <t>I</t>
        </is>
      </c>
      <c r="GI356" s="3" t="inlineStr">
        <is>
          <t>K</t>
        </is>
      </c>
      <c r="GJ356" s="9">
        <f>VLOOKUP(GB356,$FM$3:$FN$15,2,FALSE)</f>
        <v/>
      </c>
      <c r="GK356" s="9">
        <f>VLOOKUP(GC356,$FM$3:$FN$15,2,FALSE)</f>
        <v/>
      </c>
      <c r="GL356" s="9">
        <f>VLOOKUP(GD356,$FM$3:$FN$15,2,FALSE)</f>
        <v/>
      </c>
      <c r="GM356" s="9">
        <f>VLOOKUP(GE356,$FM$3:$FN$15,2,FALSE)</f>
        <v/>
      </c>
      <c r="GN356" s="9">
        <f>VLOOKUP(GF356,$FM$3:$FN$15,2,FALSE)</f>
        <v/>
      </c>
      <c r="GO356" s="9">
        <f>VLOOKUP(GG356,$FM$3:$FN$15,2,FALSE)</f>
        <v/>
      </c>
      <c r="GP356" s="9">
        <f>VLOOKUP(GH356,$FM$3:$FN$15,2,FALSE)</f>
        <v/>
      </c>
      <c r="GQ356" s="9">
        <f>VLOOKUP(GI356,$FM$3:$FN$15,2,FALSE)</f>
        <v/>
      </c>
      <c r="GR356" s="9">
        <f>IFERROR(IF(AND(VLOOKUP(GB356,$FX$4:$FX$15,1,FALSE)=GB356,VLOOKUP(GC356,$FX$4:$FX$15,1,FALSE)=GC356,VLOOKUP(GD356,$FX$4:$FX$15,1,FALSE)=GD356,VLOOKUP(GE356,$FX$4:$FX$15,1,FALSE)=GE356,VLOOKUP(GF356,$FX$4:$FX$15,1,FALSE)=GF356,VLOOKUP(GG356,$FX$4:$FX$15,1,FALSE)=GG356,VLOOKUP(GH356,$FX$4:$FX$15,1,FALSE)=GH356,VLOOKUP(GI356,$FX$4:$FX$15,1,FALSE)=GI356),FZ356,""),"")</f>
        <v/>
      </c>
    </row>
    <row r="357" ht="14.25" customHeight="1">
      <c r="FZ357" s="79" t="n">
        <v>355</v>
      </c>
      <c r="GA357" s="3">
        <f>GB357&amp;GC357&amp;GD357&amp;GE357&amp;GF357&amp;GG357&amp;GH357&amp;GI357</f>
        <v/>
      </c>
      <c r="GB357" s="3" t="inlineStr">
        <is>
          <t>H</t>
        </is>
      </c>
      <c r="GC357" s="3" t="inlineStr">
        <is>
          <t>E</t>
        </is>
      </c>
      <c r="GD357" s="3" t="inlineStr">
        <is>
          <t>B</t>
        </is>
      </c>
      <c r="GE357" s="3" t="inlineStr">
        <is>
          <t>D</t>
        </is>
      </c>
      <c r="GF357" s="3" t="inlineStr">
        <is>
          <t>A</t>
        </is>
      </c>
      <c r="GG357" s="3" t="inlineStr">
        <is>
          <t>F</t>
        </is>
      </c>
      <c r="GH357" s="3" t="inlineStr">
        <is>
          <t>L</t>
        </is>
      </c>
      <c r="GI357" s="3" t="inlineStr">
        <is>
          <t>K</t>
        </is>
      </c>
      <c r="GJ357" s="9">
        <f>VLOOKUP(GB357,$FM$3:$FN$15,2,FALSE)</f>
        <v/>
      </c>
      <c r="GK357" s="9">
        <f>VLOOKUP(GC357,$FM$3:$FN$15,2,FALSE)</f>
        <v/>
      </c>
      <c r="GL357" s="9">
        <f>VLOOKUP(GD357,$FM$3:$FN$15,2,FALSE)</f>
        <v/>
      </c>
      <c r="GM357" s="9">
        <f>VLOOKUP(GE357,$FM$3:$FN$15,2,FALSE)</f>
        <v/>
      </c>
      <c r="GN357" s="9">
        <f>VLOOKUP(GF357,$FM$3:$FN$15,2,FALSE)</f>
        <v/>
      </c>
      <c r="GO357" s="9">
        <f>VLOOKUP(GG357,$FM$3:$FN$15,2,FALSE)</f>
        <v/>
      </c>
      <c r="GP357" s="9">
        <f>VLOOKUP(GH357,$FM$3:$FN$15,2,FALSE)</f>
        <v/>
      </c>
      <c r="GQ357" s="9">
        <f>VLOOKUP(GI357,$FM$3:$FN$15,2,FALSE)</f>
        <v/>
      </c>
      <c r="GR357" s="9">
        <f>IFERROR(IF(AND(VLOOKUP(GB357,$FX$4:$FX$15,1,FALSE)=GB357,VLOOKUP(GC357,$FX$4:$FX$15,1,FALSE)=GC357,VLOOKUP(GD357,$FX$4:$FX$15,1,FALSE)=GD357,VLOOKUP(GE357,$FX$4:$FX$15,1,FALSE)=GE357,VLOOKUP(GF357,$FX$4:$FX$15,1,FALSE)=GF357,VLOOKUP(GG357,$FX$4:$FX$15,1,FALSE)=GG357,VLOOKUP(GH357,$FX$4:$FX$15,1,FALSE)=GH357,VLOOKUP(GI357,$FX$4:$FX$15,1,FALSE)=GI357),FZ357,""),"")</f>
        <v/>
      </c>
    </row>
    <row r="358" ht="14.25" customHeight="1">
      <c r="FZ358" s="79" t="n">
        <v>356</v>
      </c>
      <c r="GA358" s="3">
        <f>GB358&amp;GC358&amp;GD358&amp;GE358&amp;GF358&amp;GG358&amp;GH358&amp;GI358</f>
        <v/>
      </c>
      <c r="GB358" s="3" t="inlineStr">
        <is>
          <t>H</t>
        </is>
      </c>
      <c r="GC358" s="3" t="inlineStr">
        <is>
          <t>J</t>
        </is>
      </c>
      <c r="GD358" s="3" t="inlineStr">
        <is>
          <t>B</t>
        </is>
      </c>
      <c r="GE358" s="3" t="inlineStr">
        <is>
          <t>D</t>
        </is>
      </c>
      <c r="GF358" s="3" t="inlineStr">
        <is>
          <t>A</t>
        </is>
      </c>
      <c r="GG358" s="3" t="inlineStr">
        <is>
          <t>F</t>
        </is>
      </c>
      <c r="GH358" s="3" t="inlineStr">
        <is>
          <t>L</t>
        </is>
      </c>
      <c r="GI358" s="3" t="inlineStr">
        <is>
          <t>E</t>
        </is>
      </c>
      <c r="GJ358" s="9">
        <f>VLOOKUP(GB358,$FM$3:$FN$15,2,FALSE)</f>
        <v/>
      </c>
      <c r="GK358" s="9">
        <f>VLOOKUP(GC358,$FM$3:$FN$15,2,FALSE)</f>
        <v/>
      </c>
      <c r="GL358" s="9">
        <f>VLOOKUP(GD358,$FM$3:$FN$15,2,FALSE)</f>
        <v/>
      </c>
      <c r="GM358" s="9">
        <f>VLOOKUP(GE358,$FM$3:$FN$15,2,FALSE)</f>
        <v/>
      </c>
      <c r="GN358" s="9">
        <f>VLOOKUP(GF358,$FM$3:$FN$15,2,FALSE)</f>
        <v/>
      </c>
      <c r="GO358" s="9">
        <f>VLOOKUP(GG358,$FM$3:$FN$15,2,FALSE)</f>
        <v/>
      </c>
      <c r="GP358" s="9">
        <f>VLOOKUP(GH358,$FM$3:$FN$15,2,FALSE)</f>
        <v/>
      </c>
      <c r="GQ358" s="9">
        <f>VLOOKUP(GI358,$FM$3:$FN$15,2,FALSE)</f>
        <v/>
      </c>
      <c r="GR358" s="9">
        <f>IFERROR(IF(AND(VLOOKUP(GB358,$FX$4:$FX$15,1,FALSE)=GB358,VLOOKUP(GC358,$FX$4:$FX$15,1,FALSE)=GC358,VLOOKUP(GD358,$FX$4:$FX$15,1,FALSE)=GD358,VLOOKUP(GE358,$FX$4:$FX$15,1,FALSE)=GE358,VLOOKUP(GF358,$FX$4:$FX$15,1,FALSE)=GF358,VLOOKUP(GG358,$FX$4:$FX$15,1,FALSE)=GG358,VLOOKUP(GH358,$FX$4:$FX$15,1,FALSE)=GH358,VLOOKUP(GI358,$FX$4:$FX$15,1,FALSE)=GI358),FZ358,""),"")</f>
        <v/>
      </c>
    </row>
    <row r="359" ht="14.25" customHeight="1">
      <c r="FZ359" s="79" t="n">
        <v>357</v>
      </c>
      <c r="GA359" s="3">
        <f>GB359&amp;GC359&amp;GD359&amp;GE359&amp;GF359&amp;GG359&amp;GH359&amp;GI359</f>
        <v/>
      </c>
      <c r="GB359" s="3" t="inlineStr">
        <is>
          <t>H</t>
        </is>
      </c>
      <c r="GC359" s="3" t="inlineStr">
        <is>
          <t>J</t>
        </is>
      </c>
      <c r="GD359" s="3" t="inlineStr">
        <is>
          <t>B</t>
        </is>
      </c>
      <c r="GE359" s="3" t="inlineStr">
        <is>
          <t>D</t>
        </is>
      </c>
      <c r="GF359" s="3" t="inlineStr">
        <is>
          <t>A</t>
        </is>
      </c>
      <c r="GG359" s="3" t="inlineStr">
        <is>
          <t>F</t>
        </is>
      </c>
      <c r="GH359" s="3" t="inlineStr">
        <is>
          <t>E</t>
        </is>
      </c>
      <c r="GI359" s="3" t="inlineStr">
        <is>
          <t>K</t>
        </is>
      </c>
      <c r="GJ359" s="9">
        <f>VLOOKUP(GB359,$FM$3:$FN$15,2,FALSE)</f>
        <v/>
      </c>
      <c r="GK359" s="9">
        <f>VLOOKUP(GC359,$FM$3:$FN$15,2,FALSE)</f>
        <v/>
      </c>
      <c r="GL359" s="9">
        <f>VLOOKUP(GD359,$FM$3:$FN$15,2,FALSE)</f>
        <v/>
      </c>
      <c r="GM359" s="9">
        <f>VLOOKUP(GE359,$FM$3:$FN$15,2,FALSE)</f>
        <v/>
      </c>
      <c r="GN359" s="9">
        <f>VLOOKUP(GF359,$FM$3:$FN$15,2,FALSE)</f>
        <v/>
      </c>
      <c r="GO359" s="9">
        <f>VLOOKUP(GG359,$FM$3:$FN$15,2,FALSE)</f>
        <v/>
      </c>
      <c r="GP359" s="9">
        <f>VLOOKUP(GH359,$FM$3:$FN$15,2,FALSE)</f>
        <v/>
      </c>
      <c r="GQ359" s="9">
        <f>VLOOKUP(GI359,$FM$3:$FN$15,2,FALSE)</f>
        <v/>
      </c>
      <c r="GR359" s="9">
        <f>IFERROR(IF(AND(VLOOKUP(GB359,$FX$4:$FX$15,1,FALSE)=GB359,VLOOKUP(GC359,$FX$4:$FX$15,1,FALSE)=GC359,VLOOKUP(GD359,$FX$4:$FX$15,1,FALSE)=GD359,VLOOKUP(GE359,$FX$4:$FX$15,1,FALSE)=GE359,VLOOKUP(GF359,$FX$4:$FX$15,1,FALSE)=GF359,VLOOKUP(GG359,$FX$4:$FX$15,1,FALSE)=GG359,VLOOKUP(GH359,$FX$4:$FX$15,1,FALSE)=GH359,VLOOKUP(GI359,$FX$4:$FX$15,1,FALSE)=GI359),FZ359,""),"")</f>
        <v/>
      </c>
    </row>
    <row r="360" ht="14.25" customHeight="1">
      <c r="FZ360" s="79" t="n">
        <v>358</v>
      </c>
      <c r="GA360" s="3">
        <f>GB360&amp;GC360&amp;GD360&amp;GE360&amp;GF360&amp;GG360&amp;GH360&amp;GI360</f>
        <v/>
      </c>
      <c r="GB360" s="3" t="inlineStr">
        <is>
          <t>H</t>
        </is>
      </c>
      <c r="GC360" s="3" t="inlineStr">
        <is>
          <t>E</t>
        </is>
      </c>
      <c r="GD360" s="3" t="inlineStr">
        <is>
          <t>B</t>
        </is>
      </c>
      <c r="GE360" s="3" t="inlineStr">
        <is>
          <t>D</t>
        </is>
      </c>
      <c r="GF360" s="3" t="inlineStr">
        <is>
          <t>A</t>
        </is>
      </c>
      <c r="GG360" s="3" t="inlineStr">
        <is>
          <t>F</t>
        </is>
      </c>
      <c r="GH360" s="3" t="inlineStr">
        <is>
          <t>L</t>
        </is>
      </c>
      <c r="GI360" s="3" t="inlineStr">
        <is>
          <t>I</t>
        </is>
      </c>
      <c r="GJ360" s="9">
        <f>VLOOKUP(GB360,$FM$3:$FN$15,2,FALSE)</f>
        <v/>
      </c>
      <c r="GK360" s="9">
        <f>VLOOKUP(GC360,$FM$3:$FN$15,2,FALSE)</f>
        <v/>
      </c>
      <c r="GL360" s="9">
        <f>VLOOKUP(GD360,$FM$3:$FN$15,2,FALSE)</f>
        <v/>
      </c>
      <c r="GM360" s="9">
        <f>VLOOKUP(GE360,$FM$3:$FN$15,2,FALSE)</f>
        <v/>
      </c>
      <c r="GN360" s="9">
        <f>VLOOKUP(GF360,$FM$3:$FN$15,2,FALSE)</f>
        <v/>
      </c>
      <c r="GO360" s="9">
        <f>VLOOKUP(GG360,$FM$3:$FN$15,2,FALSE)</f>
        <v/>
      </c>
      <c r="GP360" s="9">
        <f>VLOOKUP(GH360,$FM$3:$FN$15,2,FALSE)</f>
        <v/>
      </c>
      <c r="GQ360" s="9">
        <f>VLOOKUP(GI360,$FM$3:$FN$15,2,FALSE)</f>
        <v/>
      </c>
      <c r="GR360" s="9">
        <f>IFERROR(IF(AND(VLOOKUP(GB360,$FX$4:$FX$15,1,FALSE)=GB360,VLOOKUP(GC360,$FX$4:$FX$15,1,FALSE)=GC360,VLOOKUP(GD360,$FX$4:$FX$15,1,FALSE)=GD360,VLOOKUP(GE360,$FX$4:$FX$15,1,FALSE)=GE360,VLOOKUP(GF360,$FX$4:$FX$15,1,FALSE)=GF360,VLOOKUP(GG360,$FX$4:$FX$15,1,FALSE)=GG360,VLOOKUP(GH360,$FX$4:$FX$15,1,FALSE)=GH360,VLOOKUP(GI360,$FX$4:$FX$15,1,FALSE)=GI360),FZ360,""),"")</f>
        <v/>
      </c>
    </row>
    <row r="361" ht="14.25" customHeight="1">
      <c r="FZ361" s="79" t="n">
        <v>359</v>
      </c>
      <c r="GA361" s="3">
        <f>GB361&amp;GC361&amp;GD361&amp;GE361&amp;GF361&amp;GG361&amp;GH361&amp;GI361</f>
        <v/>
      </c>
      <c r="GB361" s="3" t="inlineStr">
        <is>
          <t>H</t>
        </is>
      </c>
      <c r="GC361" s="3" t="inlineStr">
        <is>
          <t>E</t>
        </is>
      </c>
      <c r="GD361" s="3" t="inlineStr">
        <is>
          <t>B</t>
        </is>
      </c>
      <c r="GE361" s="3" t="inlineStr">
        <is>
          <t>D</t>
        </is>
      </c>
      <c r="GF361" s="3" t="inlineStr">
        <is>
          <t>A</t>
        </is>
      </c>
      <c r="GG361" s="3" t="inlineStr">
        <is>
          <t>F</t>
        </is>
      </c>
      <c r="GH361" s="3" t="inlineStr">
        <is>
          <t>I</t>
        </is>
      </c>
      <c r="GI361" s="3" t="inlineStr">
        <is>
          <t>K</t>
        </is>
      </c>
      <c r="GJ361" s="9">
        <f>VLOOKUP(GB361,$FM$3:$FN$15,2,FALSE)</f>
        <v/>
      </c>
      <c r="GK361" s="9">
        <f>VLOOKUP(GC361,$FM$3:$FN$15,2,FALSE)</f>
        <v/>
      </c>
      <c r="GL361" s="9">
        <f>VLOOKUP(GD361,$FM$3:$FN$15,2,FALSE)</f>
        <v/>
      </c>
      <c r="GM361" s="9">
        <f>VLOOKUP(GE361,$FM$3:$FN$15,2,FALSE)</f>
        <v/>
      </c>
      <c r="GN361" s="9">
        <f>VLOOKUP(GF361,$FM$3:$FN$15,2,FALSE)</f>
        <v/>
      </c>
      <c r="GO361" s="9">
        <f>VLOOKUP(GG361,$FM$3:$FN$15,2,FALSE)</f>
        <v/>
      </c>
      <c r="GP361" s="9">
        <f>VLOOKUP(GH361,$FM$3:$FN$15,2,FALSE)</f>
        <v/>
      </c>
      <c r="GQ361" s="9">
        <f>VLOOKUP(GI361,$FM$3:$FN$15,2,FALSE)</f>
        <v/>
      </c>
      <c r="GR361" s="9">
        <f>IFERROR(IF(AND(VLOOKUP(GB361,$FX$4:$FX$15,1,FALSE)=GB361,VLOOKUP(GC361,$FX$4:$FX$15,1,FALSE)=GC361,VLOOKUP(GD361,$FX$4:$FX$15,1,FALSE)=GD361,VLOOKUP(GE361,$FX$4:$FX$15,1,FALSE)=GE361,VLOOKUP(GF361,$FX$4:$FX$15,1,FALSE)=GF361,VLOOKUP(GG361,$FX$4:$FX$15,1,FALSE)=GG361,VLOOKUP(GH361,$FX$4:$FX$15,1,FALSE)=GH361,VLOOKUP(GI361,$FX$4:$FX$15,1,FALSE)=GI361),FZ361,""),"")</f>
        <v/>
      </c>
    </row>
    <row r="362" ht="14.25" customHeight="1">
      <c r="FZ362" s="79" t="n">
        <v>360</v>
      </c>
      <c r="GA362" s="3">
        <f>GB362&amp;GC362&amp;GD362&amp;GE362&amp;GF362&amp;GG362&amp;GH362&amp;GI362</f>
        <v/>
      </c>
      <c r="GB362" s="3" t="inlineStr">
        <is>
          <t>H</t>
        </is>
      </c>
      <c r="GC362" s="3" t="inlineStr">
        <is>
          <t>J</t>
        </is>
      </c>
      <c r="GD362" s="3" t="inlineStr">
        <is>
          <t>B</t>
        </is>
      </c>
      <c r="GE362" s="3" t="inlineStr">
        <is>
          <t>D</t>
        </is>
      </c>
      <c r="GF362" s="3" t="inlineStr">
        <is>
          <t>A</t>
        </is>
      </c>
      <c r="GG362" s="3" t="inlineStr">
        <is>
          <t>F</t>
        </is>
      </c>
      <c r="GH362" s="3" t="inlineStr">
        <is>
          <t>E</t>
        </is>
      </c>
      <c r="GI362" s="3" t="inlineStr">
        <is>
          <t>I</t>
        </is>
      </c>
      <c r="GJ362" s="9">
        <f>VLOOKUP(GB362,$FM$3:$FN$15,2,FALSE)</f>
        <v/>
      </c>
      <c r="GK362" s="9">
        <f>VLOOKUP(GC362,$FM$3:$FN$15,2,FALSE)</f>
        <v/>
      </c>
      <c r="GL362" s="9">
        <f>VLOOKUP(GD362,$FM$3:$FN$15,2,FALSE)</f>
        <v/>
      </c>
      <c r="GM362" s="9">
        <f>VLOOKUP(GE362,$FM$3:$FN$15,2,FALSE)</f>
        <v/>
      </c>
      <c r="GN362" s="9">
        <f>VLOOKUP(GF362,$FM$3:$FN$15,2,FALSE)</f>
        <v/>
      </c>
      <c r="GO362" s="9">
        <f>VLOOKUP(GG362,$FM$3:$FN$15,2,FALSE)</f>
        <v/>
      </c>
      <c r="GP362" s="9">
        <f>VLOOKUP(GH362,$FM$3:$FN$15,2,FALSE)</f>
        <v/>
      </c>
      <c r="GQ362" s="9">
        <f>VLOOKUP(GI362,$FM$3:$FN$15,2,FALSE)</f>
        <v/>
      </c>
      <c r="GR362" s="9">
        <f>IFERROR(IF(AND(VLOOKUP(GB362,$FX$4:$FX$15,1,FALSE)=GB362,VLOOKUP(GC362,$FX$4:$FX$15,1,FALSE)=GC362,VLOOKUP(GD362,$FX$4:$FX$15,1,FALSE)=GD362,VLOOKUP(GE362,$FX$4:$FX$15,1,FALSE)=GE362,VLOOKUP(GF362,$FX$4:$FX$15,1,FALSE)=GF362,VLOOKUP(GG362,$FX$4:$FX$15,1,FALSE)=GG362,VLOOKUP(GH362,$FX$4:$FX$15,1,FALSE)=GH362,VLOOKUP(GI362,$FX$4:$FX$15,1,FALSE)=GI362),FZ362,""),"")</f>
        <v/>
      </c>
    </row>
    <row r="363" ht="14.25" customHeight="1">
      <c r="FZ363" s="79" t="n">
        <v>361</v>
      </c>
      <c r="GA363" s="3">
        <f>GB363&amp;GC363&amp;GD363&amp;GE363&amp;GF363&amp;GG363&amp;GH363&amp;GI363</f>
        <v/>
      </c>
      <c r="GB363" s="3" t="inlineStr">
        <is>
          <t>E</t>
        </is>
      </c>
      <c r="GC363" s="3" t="inlineStr">
        <is>
          <t>G</t>
        </is>
      </c>
      <c r="GD363" s="3" t="inlineStr">
        <is>
          <t>B</t>
        </is>
      </c>
      <c r="GE363" s="3" t="inlineStr">
        <is>
          <t>D</t>
        </is>
      </c>
      <c r="GF363" s="3" t="inlineStr">
        <is>
          <t>A</t>
        </is>
      </c>
      <c r="GG363" s="3" t="inlineStr">
        <is>
          <t>F</t>
        </is>
      </c>
      <c r="GH363" s="3" t="inlineStr">
        <is>
          <t>L</t>
        </is>
      </c>
      <c r="GI363" s="3" t="inlineStr">
        <is>
          <t>K</t>
        </is>
      </c>
      <c r="GJ363" s="9">
        <f>VLOOKUP(GB363,$FM$3:$FN$15,2,FALSE)</f>
        <v/>
      </c>
      <c r="GK363" s="9">
        <f>VLOOKUP(GC363,$FM$3:$FN$15,2,FALSE)</f>
        <v/>
      </c>
      <c r="GL363" s="9">
        <f>VLOOKUP(GD363,$FM$3:$FN$15,2,FALSE)</f>
        <v/>
      </c>
      <c r="GM363" s="9">
        <f>VLOOKUP(GE363,$FM$3:$FN$15,2,FALSE)</f>
        <v/>
      </c>
      <c r="GN363" s="9">
        <f>VLOOKUP(GF363,$FM$3:$FN$15,2,FALSE)</f>
        <v/>
      </c>
      <c r="GO363" s="9">
        <f>VLOOKUP(GG363,$FM$3:$FN$15,2,FALSE)</f>
        <v/>
      </c>
      <c r="GP363" s="9">
        <f>VLOOKUP(GH363,$FM$3:$FN$15,2,FALSE)</f>
        <v/>
      </c>
      <c r="GQ363" s="9">
        <f>VLOOKUP(GI363,$FM$3:$FN$15,2,FALSE)</f>
        <v/>
      </c>
      <c r="GR363" s="9">
        <f>IFERROR(IF(AND(VLOOKUP(GB363,$FX$4:$FX$15,1,FALSE)=GB363,VLOOKUP(GC363,$FX$4:$FX$15,1,FALSE)=GC363,VLOOKUP(GD363,$FX$4:$FX$15,1,FALSE)=GD363,VLOOKUP(GE363,$FX$4:$FX$15,1,FALSE)=GE363,VLOOKUP(GF363,$FX$4:$FX$15,1,FALSE)=GF363,VLOOKUP(GG363,$FX$4:$FX$15,1,FALSE)=GG363,VLOOKUP(GH363,$FX$4:$FX$15,1,FALSE)=GH363,VLOOKUP(GI363,$FX$4:$FX$15,1,FALSE)=GI363),FZ363,""),"")</f>
        <v/>
      </c>
    </row>
    <row r="364" ht="14.25" customHeight="1">
      <c r="FZ364" s="79" t="n">
        <v>362</v>
      </c>
      <c r="GA364" s="3">
        <f>GB364&amp;GC364&amp;GD364&amp;GE364&amp;GF364&amp;GG364&amp;GH364&amp;GI364</f>
        <v/>
      </c>
      <c r="GB364" s="3" t="inlineStr">
        <is>
          <t>E</t>
        </is>
      </c>
      <c r="GC364" s="3" t="inlineStr">
        <is>
          <t>G</t>
        </is>
      </c>
      <c r="GD364" s="3" t="inlineStr">
        <is>
          <t>B</t>
        </is>
      </c>
      <c r="GE364" s="3" t="inlineStr">
        <is>
          <t>D</t>
        </is>
      </c>
      <c r="GF364" s="3" t="inlineStr">
        <is>
          <t>A</t>
        </is>
      </c>
      <c r="GG364" s="3" t="inlineStr">
        <is>
          <t>F</t>
        </is>
      </c>
      <c r="GH364" s="3" t="inlineStr">
        <is>
          <t>L</t>
        </is>
      </c>
      <c r="GI364" s="3" t="inlineStr">
        <is>
          <t>J</t>
        </is>
      </c>
      <c r="GJ364" s="9">
        <f>VLOOKUP(GB364,$FM$3:$FN$15,2,FALSE)</f>
        <v/>
      </c>
      <c r="GK364" s="9">
        <f>VLOOKUP(GC364,$FM$3:$FN$15,2,FALSE)</f>
        <v/>
      </c>
      <c r="GL364" s="9">
        <f>VLOOKUP(GD364,$FM$3:$FN$15,2,FALSE)</f>
        <v/>
      </c>
      <c r="GM364" s="9">
        <f>VLOOKUP(GE364,$FM$3:$FN$15,2,FALSE)</f>
        <v/>
      </c>
      <c r="GN364" s="9">
        <f>VLOOKUP(GF364,$FM$3:$FN$15,2,FALSE)</f>
        <v/>
      </c>
      <c r="GO364" s="9">
        <f>VLOOKUP(GG364,$FM$3:$FN$15,2,FALSE)</f>
        <v/>
      </c>
      <c r="GP364" s="9">
        <f>VLOOKUP(GH364,$FM$3:$FN$15,2,FALSE)</f>
        <v/>
      </c>
      <c r="GQ364" s="9">
        <f>VLOOKUP(GI364,$FM$3:$FN$15,2,FALSE)</f>
        <v/>
      </c>
      <c r="GR364" s="9">
        <f>IFERROR(IF(AND(VLOOKUP(GB364,$FX$4:$FX$15,1,FALSE)=GB364,VLOOKUP(GC364,$FX$4:$FX$15,1,FALSE)=GC364,VLOOKUP(GD364,$FX$4:$FX$15,1,FALSE)=GD364,VLOOKUP(GE364,$FX$4:$FX$15,1,FALSE)=GE364,VLOOKUP(GF364,$FX$4:$FX$15,1,FALSE)=GF364,VLOOKUP(GG364,$FX$4:$FX$15,1,FALSE)=GG364,VLOOKUP(GH364,$FX$4:$FX$15,1,FALSE)=GH364,VLOOKUP(GI364,$FX$4:$FX$15,1,FALSE)=GI364),FZ364,""),"")</f>
        <v/>
      </c>
    </row>
    <row r="365" ht="14.25" customHeight="1">
      <c r="FZ365" s="79" t="n">
        <v>363</v>
      </c>
      <c r="GA365" s="3">
        <f>GB365&amp;GC365&amp;GD365&amp;GE365&amp;GF365&amp;GG365&amp;GH365&amp;GI365</f>
        <v/>
      </c>
      <c r="GB365" s="3" t="inlineStr">
        <is>
          <t>E</t>
        </is>
      </c>
      <c r="GC365" s="3" t="inlineStr">
        <is>
          <t>G</t>
        </is>
      </c>
      <c r="GD365" s="3" t="inlineStr">
        <is>
          <t>B</t>
        </is>
      </c>
      <c r="GE365" s="3" t="inlineStr">
        <is>
          <t>D</t>
        </is>
      </c>
      <c r="GF365" s="3" t="inlineStr">
        <is>
          <t>A</t>
        </is>
      </c>
      <c r="GG365" s="3" t="inlineStr">
        <is>
          <t>F</t>
        </is>
      </c>
      <c r="GH365" s="3" t="inlineStr">
        <is>
          <t>J</t>
        </is>
      </c>
      <c r="GI365" s="3" t="inlineStr">
        <is>
          <t>K</t>
        </is>
      </c>
      <c r="GJ365" s="9">
        <f>VLOOKUP(GB365,$FM$3:$FN$15,2,FALSE)</f>
        <v/>
      </c>
      <c r="GK365" s="9">
        <f>VLOOKUP(GC365,$FM$3:$FN$15,2,FALSE)</f>
        <v/>
      </c>
      <c r="GL365" s="9">
        <f>VLOOKUP(GD365,$FM$3:$FN$15,2,FALSE)</f>
        <v/>
      </c>
      <c r="GM365" s="9">
        <f>VLOOKUP(GE365,$FM$3:$FN$15,2,FALSE)</f>
        <v/>
      </c>
      <c r="GN365" s="9">
        <f>VLOOKUP(GF365,$FM$3:$FN$15,2,FALSE)</f>
        <v/>
      </c>
      <c r="GO365" s="9">
        <f>VLOOKUP(GG365,$FM$3:$FN$15,2,FALSE)</f>
        <v/>
      </c>
      <c r="GP365" s="9">
        <f>VLOOKUP(GH365,$FM$3:$FN$15,2,FALSE)</f>
        <v/>
      </c>
      <c r="GQ365" s="9">
        <f>VLOOKUP(GI365,$FM$3:$FN$15,2,FALSE)</f>
        <v/>
      </c>
      <c r="GR365" s="9">
        <f>IFERROR(IF(AND(VLOOKUP(GB365,$FX$4:$FX$15,1,FALSE)=GB365,VLOOKUP(GC365,$FX$4:$FX$15,1,FALSE)=GC365,VLOOKUP(GD365,$FX$4:$FX$15,1,FALSE)=GD365,VLOOKUP(GE365,$FX$4:$FX$15,1,FALSE)=GE365,VLOOKUP(GF365,$FX$4:$FX$15,1,FALSE)=GF365,VLOOKUP(GG365,$FX$4:$FX$15,1,FALSE)=GG365,VLOOKUP(GH365,$FX$4:$FX$15,1,FALSE)=GH365,VLOOKUP(GI365,$FX$4:$FX$15,1,FALSE)=GI365),FZ365,""),"")</f>
        <v/>
      </c>
    </row>
    <row r="366" ht="14.25" customHeight="1">
      <c r="FZ366" s="79" t="n">
        <v>364</v>
      </c>
      <c r="GA366" s="3">
        <f>GB366&amp;GC366&amp;GD366&amp;GE366&amp;GF366&amp;GG366&amp;GH366&amp;GI366</f>
        <v/>
      </c>
      <c r="GB366" s="3" t="inlineStr">
        <is>
          <t>E</t>
        </is>
      </c>
      <c r="GC366" s="3" t="inlineStr">
        <is>
          <t>G</t>
        </is>
      </c>
      <c r="GD366" s="3" t="inlineStr">
        <is>
          <t>B</t>
        </is>
      </c>
      <c r="GE366" s="3" t="inlineStr">
        <is>
          <t>D</t>
        </is>
      </c>
      <c r="GF366" s="3" t="inlineStr">
        <is>
          <t>A</t>
        </is>
      </c>
      <c r="GG366" s="3" t="inlineStr">
        <is>
          <t>F</t>
        </is>
      </c>
      <c r="GH366" s="3" t="inlineStr">
        <is>
          <t>L</t>
        </is>
      </c>
      <c r="GI366" s="3" t="inlineStr">
        <is>
          <t>I</t>
        </is>
      </c>
      <c r="GJ366" s="9">
        <f>VLOOKUP(GB366,$FM$3:$FN$15,2,FALSE)</f>
        <v/>
      </c>
      <c r="GK366" s="9">
        <f>VLOOKUP(GC366,$FM$3:$FN$15,2,FALSE)</f>
        <v/>
      </c>
      <c r="GL366" s="9">
        <f>VLOOKUP(GD366,$FM$3:$FN$15,2,FALSE)</f>
        <v/>
      </c>
      <c r="GM366" s="9">
        <f>VLOOKUP(GE366,$FM$3:$FN$15,2,FALSE)</f>
        <v/>
      </c>
      <c r="GN366" s="9">
        <f>VLOOKUP(GF366,$FM$3:$FN$15,2,FALSE)</f>
        <v/>
      </c>
      <c r="GO366" s="9">
        <f>VLOOKUP(GG366,$FM$3:$FN$15,2,FALSE)</f>
        <v/>
      </c>
      <c r="GP366" s="9">
        <f>VLOOKUP(GH366,$FM$3:$FN$15,2,FALSE)</f>
        <v/>
      </c>
      <c r="GQ366" s="9">
        <f>VLOOKUP(GI366,$FM$3:$FN$15,2,FALSE)</f>
        <v/>
      </c>
      <c r="GR366" s="9">
        <f>IFERROR(IF(AND(VLOOKUP(GB366,$FX$4:$FX$15,1,FALSE)=GB366,VLOOKUP(GC366,$FX$4:$FX$15,1,FALSE)=GC366,VLOOKUP(GD366,$FX$4:$FX$15,1,FALSE)=GD366,VLOOKUP(GE366,$FX$4:$FX$15,1,FALSE)=GE366,VLOOKUP(GF366,$FX$4:$FX$15,1,FALSE)=GF366,VLOOKUP(GG366,$FX$4:$FX$15,1,FALSE)=GG366,VLOOKUP(GH366,$FX$4:$FX$15,1,FALSE)=GH366,VLOOKUP(GI366,$FX$4:$FX$15,1,FALSE)=GI366),FZ366,""),"")</f>
        <v/>
      </c>
    </row>
    <row r="367" ht="14.25" customHeight="1">
      <c r="FZ367" s="79" t="n">
        <v>365</v>
      </c>
      <c r="GA367" s="3">
        <f>GB367&amp;GC367&amp;GD367&amp;GE367&amp;GF367&amp;GG367&amp;GH367&amp;GI367</f>
        <v/>
      </c>
      <c r="GB367" s="3" t="inlineStr">
        <is>
          <t>E</t>
        </is>
      </c>
      <c r="GC367" s="3" t="inlineStr">
        <is>
          <t>G</t>
        </is>
      </c>
      <c r="GD367" s="3" t="inlineStr">
        <is>
          <t>B</t>
        </is>
      </c>
      <c r="GE367" s="3" t="inlineStr">
        <is>
          <t>D</t>
        </is>
      </c>
      <c r="GF367" s="3" t="inlineStr">
        <is>
          <t>A</t>
        </is>
      </c>
      <c r="GG367" s="3" t="inlineStr">
        <is>
          <t>F</t>
        </is>
      </c>
      <c r="GH367" s="3" t="inlineStr">
        <is>
          <t>I</t>
        </is>
      </c>
      <c r="GI367" s="3" t="inlineStr">
        <is>
          <t>K</t>
        </is>
      </c>
      <c r="GJ367" s="9">
        <f>VLOOKUP(GB367,$FM$3:$FN$15,2,FALSE)</f>
        <v/>
      </c>
      <c r="GK367" s="9">
        <f>VLOOKUP(GC367,$FM$3:$FN$15,2,FALSE)</f>
        <v/>
      </c>
      <c r="GL367" s="9">
        <f>VLOOKUP(GD367,$FM$3:$FN$15,2,FALSE)</f>
        <v/>
      </c>
      <c r="GM367" s="9">
        <f>VLOOKUP(GE367,$FM$3:$FN$15,2,FALSE)</f>
        <v/>
      </c>
      <c r="GN367" s="9">
        <f>VLOOKUP(GF367,$FM$3:$FN$15,2,FALSE)</f>
        <v/>
      </c>
      <c r="GO367" s="9">
        <f>VLOOKUP(GG367,$FM$3:$FN$15,2,FALSE)</f>
        <v/>
      </c>
      <c r="GP367" s="9">
        <f>VLOOKUP(GH367,$FM$3:$FN$15,2,FALSE)</f>
        <v/>
      </c>
      <c r="GQ367" s="9">
        <f>VLOOKUP(GI367,$FM$3:$FN$15,2,FALSE)</f>
        <v/>
      </c>
      <c r="GR367" s="9">
        <f>IFERROR(IF(AND(VLOOKUP(GB367,$FX$4:$FX$15,1,FALSE)=GB367,VLOOKUP(GC367,$FX$4:$FX$15,1,FALSE)=GC367,VLOOKUP(GD367,$FX$4:$FX$15,1,FALSE)=GD367,VLOOKUP(GE367,$FX$4:$FX$15,1,FALSE)=GE367,VLOOKUP(GF367,$FX$4:$FX$15,1,FALSE)=GF367,VLOOKUP(GG367,$FX$4:$FX$15,1,FALSE)=GG367,VLOOKUP(GH367,$FX$4:$FX$15,1,FALSE)=GH367,VLOOKUP(GI367,$FX$4:$FX$15,1,FALSE)=GI367),FZ367,""),"")</f>
        <v/>
      </c>
    </row>
    <row r="368" ht="14.25" customHeight="1">
      <c r="FZ368" s="79" t="n">
        <v>366</v>
      </c>
      <c r="GA368" s="3">
        <f>GB368&amp;GC368&amp;GD368&amp;GE368&amp;GF368&amp;GG368&amp;GH368&amp;GI368</f>
        <v/>
      </c>
      <c r="GB368" s="3" t="inlineStr">
        <is>
          <t>E</t>
        </is>
      </c>
      <c r="GC368" s="3" t="inlineStr">
        <is>
          <t>G</t>
        </is>
      </c>
      <c r="GD368" s="3" t="inlineStr">
        <is>
          <t>B</t>
        </is>
      </c>
      <c r="GE368" s="3" t="inlineStr">
        <is>
          <t>D</t>
        </is>
      </c>
      <c r="GF368" s="3" t="inlineStr">
        <is>
          <t>A</t>
        </is>
      </c>
      <c r="GG368" s="3" t="inlineStr">
        <is>
          <t>F</t>
        </is>
      </c>
      <c r="GH368" s="3" t="inlineStr">
        <is>
          <t>I</t>
        </is>
      </c>
      <c r="GI368" s="3" t="inlineStr">
        <is>
          <t>J</t>
        </is>
      </c>
      <c r="GJ368" s="9">
        <f>VLOOKUP(GB368,$FM$3:$FN$15,2,FALSE)</f>
        <v/>
      </c>
      <c r="GK368" s="9">
        <f>VLOOKUP(GC368,$FM$3:$FN$15,2,FALSE)</f>
        <v/>
      </c>
      <c r="GL368" s="9">
        <f>VLOOKUP(GD368,$FM$3:$FN$15,2,FALSE)</f>
        <v/>
      </c>
      <c r="GM368" s="9">
        <f>VLOOKUP(GE368,$FM$3:$FN$15,2,FALSE)</f>
        <v/>
      </c>
      <c r="GN368" s="9">
        <f>VLOOKUP(GF368,$FM$3:$FN$15,2,FALSE)</f>
        <v/>
      </c>
      <c r="GO368" s="9">
        <f>VLOOKUP(GG368,$FM$3:$FN$15,2,FALSE)</f>
        <v/>
      </c>
      <c r="GP368" s="9">
        <f>VLOOKUP(GH368,$FM$3:$FN$15,2,FALSE)</f>
        <v/>
      </c>
      <c r="GQ368" s="9">
        <f>VLOOKUP(GI368,$FM$3:$FN$15,2,FALSE)</f>
        <v/>
      </c>
      <c r="GR368" s="9">
        <f>IFERROR(IF(AND(VLOOKUP(GB368,$FX$4:$FX$15,1,FALSE)=GB368,VLOOKUP(GC368,$FX$4:$FX$15,1,FALSE)=GC368,VLOOKUP(GD368,$FX$4:$FX$15,1,FALSE)=GD368,VLOOKUP(GE368,$FX$4:$FX$15,1,FALSE)=GE368,VLOOKUP(GF368,$FX$4:$FX$15,1,FALSE)=GF368,VLOOKUP(GG368,$FX$4:$FX$15,1,FALSE)=GG368,VLOOKUP(GH368,$FX$4:$FX$15,1,FALSE)=GH368,VLOOKUP(GI368,$FX$4:$FX$15,1,FALSE)=GI368),FZ368,""),"")</f>
        <v/>
      </c>
    </row>
    <row r="369" ht="14.25" customHeight="1">
      <c r="FZ369" s="79" t="n">
        <v>367</v>
      </c>
      <c r="GA369" s="3">
        <f>GB369&amp;GC369&amp;GD369&amp;GE369&amp;GF369&amp;GG369&amp;GH369&amp;GI369</f>
        <v/>
      </c>
      <c r="GB369" s="3" t="inlineStr">
        <is>
          <t>H</t>
        </is>
      </c>
      <c r="GC369" s="3" t="inlineStr">
        <is>
          <t>G</t>
        </is>
      </c>
      <c r="GD369" s="3" t="inlineStr">
        <is>
          <t>B</t>
        </is>
      </c>
      <c r="GE369" s="3" t="inlineStr">
        <is>
          <t>D</t>
        </is>
      </c>
      <c r="GF369" s="3" t="inlineStr">
        <is>
          <t>A</t>
        </is>
      </c>
      <c r="GG369" s="3" t="inlineStr">
        <is>
          <t>F</t>
        </is>
      </c>
      <c r="GH369" s="3" t="inlineStr">
        <is>
          <t>L</t>
        </is>
      </c>
      <c r="GI369" s="3" t="inlineStr">
        <is>
          <t>E</t>
        </is>
      </c>
      <c r="GJ369" s="9">
        <f>VLOOKUP(GB369,$FM$3:$FN$15,2,FALSE)</f>
        <v/>
      </c>
      <c r="GK369" s="9">
        <f>VLOOKUP(GC369,$FM$3:$FN$15,2,FALSE)</f>
        <v/>
      </c>
      <c r="GL369" s="9">
        <f>VLOOKUP(GD369,$FM$3:$FN$15,2,FALSE)</f>
        <v/>
      </c>
      <c r="GM369" s="9">
        <f>VLOOKUP(GE369,$FM$3:$FN$15,2,FALSE)</f>
        <v/>
      </c>
      <c r="GN369" s="9">
        <f>VLOOKUP(GF369,$FM$3:$FN$15,2,FALSE)</f>
        <v/>
      </c>
      <c r="GO369" s="9">
        <f>VLOOKUP(GG369,$FM$3:$FN$15,2,FALSE)</f>
        <v/>
      </c>
      <c r="GP369" s="9">
        <f>VLOOKUP(GH369,$FM$3:$FN$15,2,FALSE)</f>
        <v/>
      </c>
      <c r="GQ369" s="9">
        <f>VLOOKUP(GI369,$FM$3:$FN$15,2,FALSE)</f>
        <v/>
      </c>
      <c r="GR369" s="9">
        <f>IFERROR(IF(AND(VLOOKUP(GB369,$FX$4:$FX$15,1,FALSE)=GB369,VLOOKUP(GC369,$FX$4:$FX$15,1,FALSE)=GC369,VLOOKUP(GD369,$FX$4:$FX$15,1,FALSE)=GD369,VLOOKUP(GE369,$FX$4:$FX$15,1,FALSE)=GE369,VLOOKUP(GF369,$FX$4:$FX$15,1,FALSE)=GF369,VLOOKUP(GG369,$FX$4:$FX$15,1,FALSE)=GG369,VLOOKUP(GH369,$FX$4:$FX$15,1,FALSE)=GH369,VLOOKUP(GI369,$FX$4:$FX$15,1,FALSE)=GI369),FZ369,""),"")</f>
        <v/>
      </c>
    </row>
    <row r="370" ht="14.25" customHeight="1">
      <c r="FZ370" s="79" t="n">
        <v>368</v>
      </c>
      <c r="GA370" s="3">
        <f>GB370&amp;GC370&amp;GD370&amp;GE370&amp;GF370&amp;GG370&amp;GH370&amp;GI370</f>
        <v/>
      </c>
      <c r="GB370" s="3" t="inlineStr">
        <is>
          <t>H</t>
        </is>
      </c>
      <c r="GC370" s="3" t="inlineStr">
        <is>
          <t>G</t>
        </is>
      </c>
      <c r="GD370" s="3" t="inlineStr">
        <is>
          <t>B</t>
        </is>
      </c>
      <c r="GE370" s="3" t="inlineStr">
        <is>
          <t>D</t>
        </is>
      </c>
      <c r="GF370" s="3" t="inlineStr">
        <is>
          <t>A</t>
        </is>
      </c>
      <c r="GG370" s="3" t="inlineStr">
        <is>
          <t>F</t>
        </is>
      </c>
      <c r="GH370" s="3" t="inlineStr">
        <is>
          <t>E</t>
        </is>
      </c>
      <c r="GI370" s="3" t="inlineStr">
        <is>
          <t>K</t>
        </is>
      </c>
      <c r="GJ370" s="9">
        <f>VLOOKUP(GB370,$FM$3:$FN$15,2,FALSE)</f>
        <v/>
      </c>
      <c r="GK370" s="9">
        <f>VLOOKUP(GC370,$FM$3:$FN$15,2,FALSE)</f>
        <v/>
      </c>
      <c r="GL370" s="9">
        <f>VLOOKUP(GD370,$FM$3:$FN$15,2,FALSE)</f>
        <v/>
      </c>
      <c r="GM370" s="9">
        <f>VLOOKUP(GE370,$FM$3:$FN$15,2,FALSE)</f>
        <v/>
      </c>
      <c r="GN370" s="9">
        <f>VLOOKUP(GF370,$FM$3:$FN$15,2,FALSE)</f>
        <v/>
      </c>
      <c r="GO370" s="9">
        <f>VLOOKUP(GG370,$FM$3:$FN$15,2,FALSE)</f>
        <v/>
      </c>
      <c r="GP370" s="9">
        <f>VLOOKUP(GH370,$FM$3:$FN$15,2,FALSE)</f>
        <v/>
      </c>
      <c r="GQ370" s="9">
        <f>VLOOKUP(GI370,$FM$3:$FN$15,2,FALSE)</f>
        <v/>
      </c>
      <c r="GR370" s="9">
        <f>IFERROR(IF(AND(VLOOKUP(GB370,$FX$4:$FX$15,1,FALSE)=GB370,VLOOKUP(GC370,$FX$4:$FX$15,1,FALSE)=GC370,VLOOKUP(GD370,$FX$4:$FX$15,1,FALSE)=GD370,VLOOKUP(GE370,$FX$4:$FX$15,1,FALSE)=GE370,VLOOKUP(GF370,$FX$4:$FX$15,1,FALSE)=GF370,VLOOKUP(GG370,$FX$4:$FX$15,1,FALSE)=GG370,VLOOKUP(GH370,$FX$4:$FX$15,1,FALSE)=GH370,VLOOKUP(GI370,$FX$4:$FX$15,1,FALSE)=GI370),FZ370,""),"")</f>
        <v/>
      </c>
    </row>
    <row r="371" ht="14.25" customHeight="1">
      <c r="FZ371" s="79" t="n">
        <v>369</v>
      </c>
      <c r="GA371" s="3">
        <f>GB371&amp;GC371&amp;GD371&amp;GE371&amp;GF371&amp;GG371&amp;GH371&amp;GI371</f>
        <v/>
      </c>
      <c r="GB371" s="3" t="inlineStr">
        <is>
          <t>H</t>
        </is>
      </c>
      <c r="GC371" s="3" t="inlineStr">
        <is>
          <t>G</t>
        </is>
      </c>
      <c r="GD371" s="3" t="inlineStr">
        <is>
          <t>B</t>
        </is>
      </c>
      <c r="GE371" s="3" t="inlineStr">
        <is>
          <t>D</t>
        </is>
      </c>
      <c r="GF371" s="3" t="inlineStr">
        <is>
          <t>A</t>
        </is>
      </c>
      <c r="GG371" s="3" t="inlineStr">
        <is>
          <t>F</t>
        </is>
      </c>
      <c r="GH371" s="3" t="inlineStr">
        <is>
          <t>E</t>
        </is>
      </c>
      <c r="GI371" s="3" t="inlineStr">
        <is>
          <t>J</t>
        </is>
      </c>
      <c r="GJ371" s="9">
        <f>VLOOKUP(GB371,$FM$3:$FN$15,2,FALSE)</f>
        <v/>
      </c>
      <c r="GK371" s="9">
        <f>VLOOKUP(GC371,$FM$3:$FN$15,2,FALSE)</f>
        <v/>
      </c>
      <c r="GL371" s="9">
        <f>VLOOKUP(GD371,$FM$3:$FN$15,2,FALSE)</f>
        <v/>
      </c>
      <c r="GM371" s="9">
        <f>VLOOKUP(GE371,$FM$3:$FN$15,2,FALSE)</f>
        <v/>
      </c>
      <c r="GN371" s="9">
        <f>VLOOKUP(GF371,$FM$3:$FN$15,2,FALSE)</f>
        <v/>
      </c>
      <c r="GO371" s="9">
        <f>VLOOKUP(GG371,$FM$3:$FN$15,2,FALSE)</f>
        <v/>
      </c>
      <c r="GP371" s="9">
        <f>VLOOKUP(GH371,$FM$3:$FN$15,2,FALSE)</f>
        <v/>
      </c>
      <c r="GQ371" s="9">
        <f>VLOOKUP(GI371,$FM$3:$FN$15,2,FALSE)</f>
        <v/>
      </c>
      <c r="GR371" s="9">
        <f>IFERROR(IF(AND(VLOOKUP(GB371,$FX$4:$FX$15,1,FALSE)=GB371,VLOOKUP(GC371,$FX$4:$FX$15,1,FALSE)=GC371,VLOOKUP(GD371,$FX$4:$FX$15,1,FALSE)=GD371,VLOOKUP(GE371,$FX$4:$FX$15,1,FALSE)=GE371,VLOOKUP(GF371,$FX$4:$FX$15,1,FALSE)=GF371,VLOOKUP(GG371,$FX$4:$FX$15,1,FALSE)=GG371,VLOOKUP(GH371,$FX$4:$FX$15,1,FALSE)=GH371,VLOOKUP(GI371,$FX$4:$FX$15,1,FALSE)=GI371),FZ371,""),"")</f>
        <v/>
      </c>
    </row>
    <row r="372" ht="14.25" customHeight="1">
      <c r="FZ372" s="79" t="n">
        <v>370</v>
      </c>
      <c r="GA372" s="3">
        <f>GB372&amp;GC372&amp;GD372&amp;GE372&amp;GF372&amp;GG372&amp;GH372&amp;GI372</f>
        <v/>
      </c>
      <c r="GB372" s="3" t="inlineStr">
        <is>
          <t>H</t>
        </is>
      </c>
      <c r="GC372" s="3" t="inlineStr">
        <is>
          <t>G</t>
        </is>
      </c>
      <c r="GD372" s="3" t="inlineStr">
        <is>
          <t>B</t>
        </is>
      </c>
      <c r="GE372" s="3" t="inlineStr">
        <is>
          <t>D</t>
        </is>
      </c>
      <c r="GF372" s="3" t="inlineStr">
        <is>
          <t>A</t>
        </is>
      </c>
      <c r="GG372" s="3" t="inlineStr">
        <is>
          <t>F</t>
        </is>
      </c>
      <c r="GH372" s="3" t="inlineStr">
        <is>
          <t>E</t>
        </is>
      </c>
      <c r="GI372" s="3" t="inlineStr">
        <is>
          <t>I</t>
        </is>
      </c>
      <c r="GJ372" s="9">
        <f>VLOOKUP(GB372,$FM$3:$FN$15,2,FALSE)</f>
        <v/>
      </c>
      <c r="GK372" s="9">
        <f>VLOOKUP(GC372,$FM$3:$FN$15,2,FALSE)</f>
        <v/>
      </c>
      <c r="GL372" s="9">
        <f>VLOOKUP(GD372,$FM$3:$FN$15,2,FALSE)</f>
        <v/>
      </c>
      <c r="GM372" s="9">
        <f>VLOOKUP(GE372,$FM$3:$FN$15,2,FALSE)</f>
        <v/>
      </c>
      <c r="GN372" s="9">
        <f>VLOOKUP(GF372,$FM$3:$FN$15,2,FALSE)</f>
        <v/>
      </c>
      <c r="GO372" s="9">
        <f>VLOOKUP(GG372,$FM$3:$FN$15,2,FALSE)</f>
        <v/>
      </c>
      <c r="GP372" s="9">
        <f>VLOOKUP(GH372,$FM$3:$FN$15,2,FALSE)</f>
        <v/>
      </c>
      <c r="GQ372" s="9">
        <f>VLOOKUP(GI372,$FM$3:$FN$15,2,FALSE)</f>
        <v/>
      </c>
      <c r="GR372" s="9">
        <f>IFERROR(IF(AND(VLOOKUP(GB372,$FX$4:$FX$15,1,FALSE)=GB372,VLOOKUP(GC372,$FX$4:$FX$15,1,FALSE)=GC372,VLOOKUP(GD372,$FX$4:$FX$15,1,FALSE)=GD372,VLOOKUP(GE372,$FX$4:$FX$15,1,FALSE)=GE372,VLOOKUP(GF372,$FX$4:$FX$15,1,FALSE)=GF372,VLOOKUP(GG372,$FX$4:$FX$15,1,FALSE)=GG372,VLOOKUP(GH372,$FX$4:$FX$15,1,FALSE)=GH372,VLOOKUP(GI372,$FX$4:$FX$15,1,FALSE)=GI372),FZ372,""),"")</f>
        <v/>
      </c>
    </row>
    <row r="373" ht="14.25" customHeight="1">
      <c r="FZ373" s="79" t="n">
        <v>371</v>
      </c>
      <c r="GA373" s="3">
        <f>GB373&amp;GC373&amp;GD373&amp;GE373&amp;GF373&amp;GG373&amp;GH373&amp;GI373</f>
        <v/>
      </c>
      <c r="GB373" s="3" t="inlineStr">
        <is>
          <t>I</t>
        </is>
      </c>
      <c r="GC373" s="3" t="inlineStr">
        <is>
          <t>J</t>
        </is>
      </c>
      <c r="GD373" s="3" t="inlineStr">
        <is>
          <t>B</t>
        </is>
      </c>
      <c r="GE373" s="3" t="inlineStr">
        <is>
          <t>C</t>
        </is>
      </c>
      <c r="GF373" s="3" t="inlineStr">
        <is>
          <t>A</t>
        </is>
      </c>
      <c r="GG373" s="3" t="inlineStr">
        <is>
          <t>H</t>
        </is>
      </c>
      <c r="GH373" s="3" t="inlineStr">
        <is>
          <t>L</t>
        </is>
      </c>
      <c r="GI373" s="3" t="inlineStr">
        <is>
          <t>K</t>
        </is>
      </c>
      <c r="GJ373" s="9">
        <f>VLOOKUP(GB373,$FM$3:$FN$15,2,FALSE)</f>
        <v/>
      </c>
      <c r="GK373" s="9">
        <f>VLOOKUP(GC373,$FM$3:$FN$15,2,FALSE)</f>
        <v/>
      </c>
      <c r="GL373" s="9">
        <f>VLOOKUP(GD373,$FM$3:$FN$15,2,FALSE)</f>
        <v/>
      </c>
      <c r="GM373" s="9">
        <f>VLOOKUP(GE373,$FM$3:$FN$15,2,FALSE)</f>
        <v/>
      </c>
      <c r="GN373" s="9">
        <f>VLOOKUP(GF373,$FM$3:$FN$15,2,FALSE)</f>
        <v/>
      </c>
      <c r="GO373" s="9">
        <f>VLOOKUP(GG373,$FM$3:$FN$15,2,FALSE)</f>
        <v/>
      </c>
      <c r="GP373" s="9">
        <f>VLOOKUP(GH373,$FM$3:$FN$15,2,FALSE)</f>
        <v/>
      </c>
      <c r="GQ373" s="9">
        <f>VLOOKUP(GI373,$FM$3:$FN$15,2,FALSE)</f>
        <v/>
      </c>
      <c r="GR373" s="9">
        <f>IFERROR(IF(AND(VLOOKUP(GB373,$FX$4:$FX$15,1,FALSE)=GB373,VLOOKUP(GC373,$FX$4:$FX$15,1,FALSE)=GC373,VLOOKUP(GD373,$FX$4:$FX$15,1,FALSE)=GD373,VLOOKUP(GE373,$FX$4:$FX$15,1,FALSE)=GE373,VLOOKUP(GF373,$FX$4:$FX$15,1,FALSE)=GF373,VLOOKUP(GG373,$FX$4:$FX$15,1,FALSE)=GG373,VLOOKUP(GH373,$FX$4:$FX$15,1,FALSE)=GH373,VLOOKUP(GI373,$FX$4:$FX$15,1,FALSE)=GI373),FZ373,""),"")</f>
        <v/>
      </c>
    </row>
    <row r="374" ht="14.25" customHeight="1">
      <c r="FZ374" s="79" t="n">
        <v>372</v>
      </c>
      <c r="GA374" s="3">
        <f>GB374&amp;GC374&amp;GD374&amp;GE374&amp;GF374&amp;GG374&amp;GH374&amp;GI374</f>
        <v/>
      </c>
      <c r="GB374" s="3" t="inlineStr">
        <is>
          <t>I</t>
        </is>
      </c>
      <c r="GC374" s="3" t="inlineStr">
        <is>
          <t>J</t>
        </is>
      </c>
      <c r="GD374" s="3" t="inlineStr">
        <is>
          <t>B</t>
        </is>
      </c>
      <c r="GE374" s="3" t="inlineStr">
        <is>
          <t>C</t>
        </is>
      </c>
      <c r="GF374" s="3" t="inlineStr">
        <is>
          <t>A</t>
        </is>
      </c>
      <c r="GG374" s="3" t="inlineStr">
        <is>
          <t>G</t>
        </is>
      </c>
      <c r="GH374" s="3" t="inlineStr">
        <is>
          <t>L</t>
        </is>
      </c>
      <c r="GI374" s="3" t="inlineStr">
        <is>
          <t>K</t>
        </is>
      </c>
      <c r="GJ374" s="9">
        <f>VLOOKUP(GB374,$FM$3:$FN$15,2,FALSE)</f>
        <v/>
      </c>
      <c r="GK374" s="9">
        <f>VLOOKUP(GC374,$FM$3:$FN$15,2,FALSE)</f>
        <v/>
      </c>
      <c r="GL374" s="9">
        <f>VLOOKUP(GD374,$FM$3:$FN$15,2,FALSE)</f>
        <v/>
      </c>
      <c r="GM374" s="9">
        <f>VLOOKUP(GE374,$FM$3:$FN$15,2,FALSE)</f>
        <v/>
      </c>
      <c r="GN374" s="9">
        <f>VLOOKUP(GF374,$FM$3:$FN$15,2,FALSE)</f>
        <v/>
      </c>
      <c r="GO374" s="9">
        <f>VLOOKUP(GG374,$FM$3:$FN$15,2,FALSE)</f>
        <v/>
      </c>
      <c r="GP374" s="9">
        <f>VLOOKUP(GH374,$FM$3:$FN$15,2,FALSE)</f>
        <v/>
      </c>
      <c r="GQ374" s="9">
        <f>VLOOKUP(GI374,$FM$3:$FN$15,2,FALSE)</f>
        <v/>
      </c>
      <c r="GR374" s="9">
        <f>IFERROR(IF(AND(VLOOKUP(GB374,$FX$4:$FX$15,1,FALSE)=GB374,VLOOKUP(GC374,$FX$4:$FX$15,1,FALSE)=GC374,VLOOKUP(GD374,$FX$4:$FX$15,1,FALSE)=GD374,VLOOKUP(GE374,$FX$4:$FX$15,1,FALSE)=GE374,VLOOKUP(GF374,$FX$4:$FX$15,1,FALSE)=GF374,VLOOKUP(GG374,$FX$4:$FX$15,1,FALSE)=GG374,VLOOKUP(GH374,$FX$4:$FX$15,1,FALSE)=GH374,VLOOKUP(GI374,$FX$4:$FX$15,1,FALSE)=GI374),FZ374,""),"")</f>
        <v/>
      </c>
    </row>
    <row r="375" ht="14.25" customHeight="1">
      <c r="FZ375" s="79" t="n">
        <v>373</v>
      </c>
      <c r="GA375" s="3">
        <f>GB375&amp;GC375&amp;GD375&amp;GE375&amp;GF375&amp;GG375&amp;GH375&amp;GI375</f>
        <v/>
      </c>
      <c r="GB375" s="3" t="inlineStr">
        <is>
          <t>H</t>
        </is>
      </c>
      <c r="GC375" s="3" t="inlineStr">
        <is>
          <t>J</t>
        </is>
      </c>
      <c r="GD375" s="3" t="inlineStr">
        <is>
          <t>B</t>
        </is>
      </c>
      <c r="GE375" s="3" t="inlineStr">
        <is>
          <t>C</t>
        </is>
      </c>
      <c r="GF375" s="3" t="inlineStr">
        <is>
          <t>A</t>
        </is>
      </c>
      <c r="GG375" s="3" t="inlineStr">
        <is>
          <t>G</t>
        </is>
      </c>
      <c r="GH375" s="3" t="inlineStr">
        <is>
          <t>L</t>
        </is>
      </c>
      <c r="GI375" s="3" t="inlineStr">
        <is>
          <t>K</t>
        </is>
      </c>
      <c r="GJ375" s="9">
        <f>VLOOKUP(GB375,$FM$3:$FN$15,2,FALSE)</f>
        <v/>
      </c>
      <c r="GK375" s="9">
        <f>VLOOKUP(GC375,$FM$3:$FN$15,2,FALSE)</f>
        <v/>
      </c>
      <c r="GL375" s="9">
        <f>VLOOKUP(GD375,$FM$3:$FN$15,2,FALSE)</f>
        <v/>
      </c>
      <c r="GM375" s="9">
        <f>VLOOKUP(GE375,$FM$3:$FN$15,2,FALSE)</f>
        <v/>
      </c>
      <c r="GN375" s="9">
        <f>VLOOKUP(GF375,$FM$3:$FN$15,2,FALSE)</f>
        <v/>
      </c>
      <c r="GO375" s="9">
        <f>VLOOKUP(GG375,$FM$3:$FN$15,2,FALSE)</f>
        <v/>
      </c>
      <c r="GP375" s="9">
        <f>VLOOKUP(GH375,$FM$3:$FN$15,2,FALSE)</f>
        <v/>
      </c>
      <c r="GQ375" s="9">
        <f>VLOOKUP(GI375,$FM$3:$FN$15,2,FALSE)</f>
        <v/>
      </c>
      <c r="GR375" s="9">
        <f>IFERROR(IF(AND(VLOOKUP(GB375,$FX$4:$FX$15,1,FALSE)=GB375,VLOOKUP(GC375,$FX$4:$FX$15,1,FALSE)=GC375,VLOOKUP(GD375,$FX$4:$FX$15,1,FALSE)=GD375,VLOOKUP(GE375,$FX$4:$FX$15,1,FALSE)=GE375,VLOOKUP(GF375,$FX$4:$FX$15,1,FALSE)=GF375,VLOOKUP(GG375,$FX$4:$FX$15,1,FALSE)=GG375,VLOOKUP(GH375,$FX$4:$FX$15,1,FALSE)=GH375,VLOOKUP(GI375,$FX$4:$FX$15,1,FALSE)=GI375),FZ375,""),"")</f>
        <v/>
      </c>
    </row>
    <row r="376" ht="14.25" customHeight="1">
      <c r="FZ376" s="79" t="n">
        <v>374</v>
      </c>
      <c r="GA376" s="3">
        <f>GB376&amp;GC376&amp;GD376&amp;GE376&amp;GF376&amp;GG376&amp;GH376&amp;GI376</f>
        <v/>
      </c>
      <c r="GB376" s="3" t="inlineStr">
        <is>
          <t>I</t>
        </is>
      </c>
      <c r="GC376" s="3" t="inlineStr">
        <is>
          <t>G</t>
        </is>
      </c>
      <c r="GD376" s="3" t="inlineStr">
        <is>
          <t>B</t>
        </is>
      </c>
      <c r="GE376" s="3" t="inlineStr">
        <is>
          <t>C</t>
        </is>
      </c>
      <c r="GF376" s="3" t="inlineStr">
        <is>
          <t>A</t>
        </is>
      </c>
      <c r="GG376" s="3" t="inlineStr">
        <is>
          <t>H</t>
        </is>
      </c>
      <c r="GH376" s="3" t="inlineStr">
        <is>
          <t>L</t>
        </is>
      </c>
      <c r="GI376" s="3" t="inlineStr">
        <is>
          <t>K</t>
        </is>
      </c>
      <c r="GJ376" s="9">
        <f>VLOOKUP(GB376,$FM$3:$FN$15,2,FALSE)</f>
        <v/>
      </c>
      <c r="GK376" s="9">
        <f>VLOOKUP(GC376,$FM$3:$FN$15,2,FALSE)</f>
        <v/>
      </c>
      <c r="GL376" s="9">
        <f>VLOOKUP(GD376,$FM$3:$FN$15,2,FALSE)</f>
        <v/>
      </c>
      <c r="GM376" s="9">
        <f>VLOOKUP(GE376,$FM$3:$FN$15,2,FALSE)</f>
        <v/>
      </c>
      <c r="GN376" s="9">
        <f>VLOOKUP(GF376,$FM$3:$FN$15,2,FALSE)</f>
        <v/>
      </c>
      <c r="GO376" s="9">
        <f>VLOOKUP(GG376,$FM$3:$FN$15,2,FALSE)</f>
        <v/>
      </c>
      <c r="GP376" s="9">
        <f>VLOOKUP(GH376,$FM$3:$FN$15,2,FALSE)</f>
        <v/>
      </c>
      <c r="GQ376" s="9">
        <f>VLOOKUP(GI376,$FM$3:$FN$15,2,FALSE)</f>
        <v/>
      </c>
      <c r="GR376" s="9">
        <f>IFERROR(IF(AND(VLOOKUP(GB376,$FX$4:$FX$15,1,FALSE)=GB376,VLOOKUP(GC376,$FX$4:$FX$15,1,FALSE)=GC376,VLOOKUP(GD376,$FX$4:$FX$15,1,FALSE)=GD376,VLOOKUP(GE376,$FX$4:$FX$15,1,FALSE)=GE376,VLOOKUP(GF376,$FX$4:$FX$15,1,FALSE)=GF376,VLOOKUP(GG376,$FX$4:$FX$15,1,FALSE)=GG376,VLOOKUP(GH376,$FX$4:$FX$15,1,FALSE)=GH376,VLOOKUP(GI376,$FX$4:$FX$15,1,FALSE)=GI376),FZ376,""),"")</f>
        <v/>
      </c>
    </row>
    <row r="377" ht="14.25" customHeight="1">
      <c r="FZ377" s="79" t="n">
        <v>375</v>
      </c>
      <c r="GA377" s="3">
        <f>GB377&amp;GC377&amp;GD377&amp;GE377&amp;GF377&amp;GG377&amp;GH377&amp;GI377</f>
        <v/>
      </c>
      <c r="GB377" s="3" t="inlineStr">
        <is>
          <t>H</t>
        </is>
      </c>
      <c r="GC377" s="3" t="inlineStr">
        <is>
          <t>J</t>
        </is>
      </c>
      <c r="GD377" s="3" t="inlineStr">
        <is>
          <t>B</t>
        </is>
      </c>
      <c r="GE377" s="3" t="inlineStr">
        <is>
          <t>C</t>
        </is>
      </c>
      <c r="GF377" s="3" t="inlineStr">
        <is>
          <t>A</t>
        </is>
      </c>
      <c r="GG377" s="3" t="inlineStr">
        <is>
          <t>G</t>
        </is>
      </c>
      <c r="GH377" s="3" t="inlineStr">
        <is>
          <t>L</t>
        </is>
      </c>
      <c r="GI377" s="3" t="inlineStr">
        <is>
          <t>I</t>
        </is>
      </c>
      <c r="GJ377" s="9">
        <f>VLOOKUP(GB377,$FM$3:$FN$15,2,FALSE)</f>
        <v/>
      </c>
      <c r="GK377" s="9">
        <f>VLOOKUP(GC377,$FM$3:$FN$15,2,FALSE)</f>
        <v/>
      </c>
      <c r="GL377" s="9">
        <f>VLOOKUP(GD377,$FM$3:$FN$15,2,FALSE)</f>
        <v/>
      </c>
      <c r="GM377" s="9">
        <f>VLOOKUP(GE377,$FM$3:$FN$15,2,FALSE)</f>
        <v/>
      </c>
      <c r="GN377" s="9">
        <f>VLOOKUP(GF377,$FM$3:$FN$15,2,FALSE)</f>
        <v/>
      </c>
      <c r="GO377" s="9">
        <f>VLOOKUP(GG377,$FM$3:$FN$15,2,FALSE)</f>
        <v/>
      </c>
      <c r="GP377" s="9">
        <f>VLOOKUP(GH377,$FM$3:$FN$15,2,FALSE)</f>
        <v/>
      </c>
      <c r="GQ377" s="9">
        <f>VLOOKUP(GI377,$FM$3:$FN$15,2,FALSE)</f>
        <v/>
      </c>
      <c r="GR377" s="9">
        <f>IFERROR(IF(AND(VLOOKUP(GB377,$FX$4:$FX$15,1,FALSE)=GB377,VLOOKUP(GC377,$FX$4:$FX$15,1,FALSE)=GC377,VLOOKUP(GD377,$FX$4:$FX$15,1,FALSE)=GD377,VLOOKUP(GE377,$FX$4:$FX$15,1,FALSE)=GE377,VLOOKUP(GF377,$FX$4:$FX$15,1,FALSE)=GF377,VLOOKUP(GG377,$FX$4:$FX$15,1,FALSE)=GG377,VLOOKUP(GH377,$FX$4:$FX$15,1,FALSE)=GH377,VLOOKUP(GI377,$FX$4:$FX$15,1,FALSE)=GI377),FZ377,""),"")</f>
        <v/>
      </c>
    </row>
    <row r="378" ht="14.25" customHeight="1">
      <c r="FZ378" s="79" t="n">
        <v>376</v>
      </c>
      <c r="GA378" s="3">
        <f>GB378&amp;GC378&amp;GD378&amp;GE378&amp;GF378&amp;GG378&amp;GH378&amp;GI378</f>
        <v/>
      </c>
      <c r="GB378" s="3" t="inlineStr">
        <is>
          <t>H</t>
        </is>
      </c>
      <c r="GC378" s="3" t="inlineStr">
        <is>
          <t>J</t>
        </is>
      </c>
      <c r="GD378" s="3" t="inlineStr">
        <is>
          <t>B</t>
        </is>
      </c>
      <c r="GE378" s="3" t="inlineStr">
        <is>
          <t>C</t>
        </is>
      </c>
      <c r="GF378" s="3" t="inlineStr">
        <is>
          <t>A</t>
        </is>
      </c>
      <c r="GG378" s="3" t="inlineStr">
        <is>
          <t>G</t>
        </is>
      </c>
      <c r="GH378" s="3" t="inlineStr">
        <is>
          <t>I</t>
        </is>
      </c>
      <c r="GI378" s="3" t="inlineStr">
        <is>
          <t>K</t>
        </is>
      </c>
      <c r="GJ378" s="9">
        <f>VLOOKUP(GB378,$FM$3:$FN$15,2,FALSE)</f>
        <v/>
      </c>
      <c r="GK378" s="9">
        <f>VLOOKUP(GC378,$FM$3:$FN$15,2,FALSE)</f>
        <v/>
      </c>
      <c r="GL378" s="9">
        <f>VLOOKUP(GD378,$FM$3:$FN$15,2,FALSE)</f>
        <v/>
      </c>
      <c r="GM378" s="9">
        <f>VLOOKUP(GE378,$FM$3:$FN$15,2,FALSE)</f>
        <v/>
      </c>
      <c r="GN378" s="9">
        <f>VLOOKUP(GF378,$FM$3:$FN$15,2,FALSE)</f>
        <v/>
      </c>
      <c r="GO378" s="9">
        <f>VLOOKUP(GG378,$FM$3:$FN$15,2,FALSE)</f>
        <v/>
      </c>
      <c r="GP378" s="9">
        <f>VLOOKUP(GH378,$FM$3:$FN$15,2,FALSE)</f>
        <v/>
      </c>
      <c r="GQ378" s="9">
        <f>VLOOKUP(GI378,$FM$3:$FN$15,2,FALSE)</f>
        <v/>
      </c>
      <c r="GR378" s="9">
        <f>IFERROR(IF(AND(VLOOKUP(GB378,$FX$4:$FX$15,1,FALSE)=GB378,VLOOKUP(GC378,$FX$4:$FX$15,1,FALSE)=GC378,VLOOKUP(GD378,$FX$4:$FX$15,1,FALSE)=GD378,VLOOKUP(GE378,$FX$4:$FX$15,1,FALSE)=GE378,VLOOKUP(GF378,$FX$4:$FX$15,1,FALSE)=GF378,VLOOKUP(GG378,$FX$4:$FX$15,1,FALSE)=GG378,VLOOKUP(GH378,$FX$4:$FX$15,1,FALSE)=GH378,VLOOKUP(GI378,$FX$4:$FX$15,1,FALSE)=GI378),FZ378,""),"")</f>
        <v/>
      </c>
    </row>
    <row r="379" ht="14.25" customHeight="1">
      <c r="FZ379" s="79" t="n">
        <v>377</v>
      </c>
      <c r="GA379" s="3">
        <f>GB379&amp;GC379&amp;GD379&amp;GE379&amp;GF379&amp;GG379&amp;GH379&amp;GI379</f>
        <v/>
      </c>
      <c r="GB379" s="3" t="inlineStr">
        <is>
          <t>I</t>
        </is>
      </c>
      <c r="GC379" s="3" t="inlineStr">
        <is>
          <t>J</t>
        </is>
      </c>
      <c r="GD379" s="3" t="inlineStr">
        <is>
          <t>B</t>
        </is>
      </c>
      <c r="GE379" s="3" t="inlineStr">
        <is>
          <t>C</t>
        </is>
      </c>
      <c r="GF379" s="3" t="inlineStr">
        <is>
          <t>A</t>
        </is>
      </c>
      <c r="GG379" s="3" t="inlineStr">
        <is>
          <t>F</t>
        </is>
      </c>
      <c r="GH379" s="3" t="inlineStr">
        <is>
          <t>L</t>
        </is>
      </c>
      <c r="GI379" s="3" t="inlineStr">
        <is>
          <t>K</t>
        </is>
      </c>
      <c r="GJ379" s="9">
        <f>VLOOKUP(GB379,$FM$3:$FN$15,2,FALSE)</f>
        <v/>
      </c>
      <c r="GK379" s="9">
        <f>VLOOKUP(GC379,$FM$3:$FN$15,2,FALSE)</f>
        <v/>
      </c>
      <c r="GL379" s="9">
        <f>VLOOKUP(GD379,$FM$3:$FN$15,2,FALSE)</f>
        <v/>
      </c>
      <c r="GM379" s="9">
        <f>VLOOKUP(GE379,$FM$3:$FN$15,2,FALSE)</f>
        <v/>
      </c>
      <c r="GN379" s="9">
        <f>VLOOKUP(GF379,$FM$3:$FN$15,2,FALSE)</f>
        <v/>
      </c>
      <c r="GO379" s="9">
        <f>VLOOKUP(GG379,$FM$3:$FN$15,2,FALSE)</f>
        <v/>
      </c>
      <c r="GP379" s="9">
        <f>VLOOKUP(GH379,$FM$3:$FN$15,2,FALSE)</f>
        <v/>
      </c>
      <c r="GQ379" s="9">
        <f>VLOOKUP(GI379,$FM$3:$FN$15,2,FALSE)</f>
        <v/>
      </c>
      <c r="GR379" s="9">
        <f>IFERROR(IF(AND(VLOOKUP(GB379,$FX$4:$FX$15,1,FALSE)=GB379,VLOOKUP(GC379,$FX$4:$FX$15,1,FALSE)=GC379,VLOOKUP(GD379,$FX$4:$FX$15,1,FALSE)=GD379,VLOOKUP(GE379,$FX$4:$FX$15,1,FALSE)=GE379,VLOOKUP(GF379,$FX$4:$FX$15,1,FALSE)=GF379,VLOOKUP(GG379,$FX$4:$FX$15,1,FALSE)=GG379,VLOOKUP(GH379,$FX$4:$FX$15,1,FALSE)=GH379,VLOOKUP(GI379,$FX$4:$FX$15,1,FALSE)=GI379),FZ379,""),"")</f>
        <v/>
      </c>
    </row>
    <row r="380" ht="14.25" customHeight="1">
      <c r="FZ380" s="79" t="n">
        <v>378</v>
      </c>
      <c r="GA380" s="3">
        <f>GB380&amp;GC380&amp;GD380&amp;GE380&amp;GF380&amp;GG380&amp;GH380&amp;GI380</f>
        <v/>
      </c>
      <c r="GB380" s="3" t="inlineStr">
        <is>
          <t>H</t>
        </is>
      </c>
      <c r="GC380" s="3" t="inlineStr">
        <is>
          <t>J</t>
        </is>
      </c>
      <c r="GD380" s="3" t="inlineStr">
        <is>
          <t>B</t>
        </is>
      </c>
      <c r="GE380" s="3" t="inlineStr">
        <is>
          <t>C</t>
        </is>
      </c>
      <c r="GF380" s="3" t="inlineStr">
        <is>
          <t>A</t>
        </is>
      </c>
      <c r="GG380" s="3" t="inlineStr">
        <is>
          <t>F</t>
        </is>
      </c>
      <c r="GH380" s="3" t="inlineStr">
        <is>
          <t>L</t>
        </is>
      </c>
      <c r="GI380" s="3" t="inlineStr">
        <is>
          <t>K</t>
        </is>
      </c>
      <c r="GJ380" s="9">
        <f>VLOOKUP(GB380,$FM$3:$FN$15,2,FALSE)</f>
        <v/>
      </c>
      <c r="GK380" s="9">
        <f>VLOOKUP(GC380,$FM$3:$FN$15,2,FALSE)</f>
        <v/>
      </c>
      <c r="GL380" s="9">
        <f>VLOOKUP(GD380,$FM$3:$FN$15,2,FALSE)</f>
        <v/>
      </c>
      <c r="GM380" s="9">
        <f>VLOOKUP(GE380,$FM$3:$FN$15,2,FALSE)</f>
        <v/>
      </c>
      <c r="GN380" s="9">
        <f>VLOOKUP(GF380,$FM$3:$FN$15,2,FALSE)</f>
        <v/>
      </c>
      <c r="GO380" s="9">
        <f>VLOOKUP(GG380,$FM$3:$FN$15,2,FALSE)</f>
        <v/>
      </c>
      <c r="GP380" s="9">
        <f>VLOOKUP(GH380,$FM$3:$FN$15,2,FALSE)</f>
        <v/>
      </c>
      <c r="GQ380" s="9">
        <f>VLOOKUP(GI380,$FM$3:$FN$15,2,FALSE)</f>
        <v/>
      </c>
      <c r="GR380" s="9">
        <f>IFERROR(IF(AND(VLOOKUP(GB380,$FX$4:$FX$15,1,FALSE)=GB380,VLOOKUP(GC380,$FX$4:$FX$15,1,FALSE)=GC380,VLOOKUP(GD380,$FX$4:$FX$15,1,FALSE)=GD380,VLOOKUP(GE380,$FX$4:$FX$15,1,FALSE)=GE380,VLOOKUP(GF380,$FX$4:$FX$15,1,FALSE)=GF380,VLOOKUP(GG380,$FX$4:$FX$15,1,FALSE)=GG380,VLOOKUP(GH380,$FX$4:$FX$15,1,FALSE)=GH380,VLOOKUP(GI380,$FX$4:$FX$15,1,FALSE)=GI380),FZ380,""),"")</f>
        <v/>
      </c>
    </row>
    <row r="381" ht="14.25" customHeight="1">
      <c r="FZ381" s="79" t="n">
        <v>379</v>
      </c>
      <c r="GA381" s="3">
        <f>GB381&amp;GC381&amp;GD381&amp;GE381&amp;GF381&amp;GG381&amp;GH381&amp;GI381</f>
        <v/>
      </c>
      <c r="GB381" s="3" t="inlineStr">
        <is>
          <t>H</t>
        </is>
      </c>
      <c r="GC381" s="3" t="inlineStr">
        <is>
          <t>I</t>
        </is>
      </c>
      <c r="GD381" s="3" t="inlineStr">
        <is>
          <t>B</t>
        </is>
      </c>
      <c r="GE381" s="3" t="inlineStr">
        <is>
          <t>C</t>
        </is>
      </c>
      <c r="GF381" s="3" t="inlineStr">
        <is>
          <t>A</t>
        </is>
      </c>
      <c r="GG381" s="3" t="inlineStr">
        <is>
          <t>F</t>
        </is>
      </c>
      <c r="GH381" s="3" t="inlineStr">
        <is>
          <t>L</t>
        </is>
      </c>
      <c r="GI381" s="3" t="inlineStr">
        <is>
          <t>K</t>
        </is>
      </c>
      <c r="GJ381" s="9">
        <f>VLOOKUP(GB381,$FM$3:$FN$15,2,FALSE)</f>
        <v/>
      </c>
      <c r="GK381" s="9">
        <f>VLOOKUP(GC381,$FM$3:$FN$15,2,FALSE)</f>
        <v/>
      </c>
      <c r="GL381" s="9">
        <f>VLOOKUP(GD381,$FM$3:$FN$15,2,FALSE)</f>
        <v/>
      </c>
      <c r="GM381" s="9">
        <f>VLOOKUP(GE381,$FM$3:$FN$15,2,FALSE)</f>
        <v/>
      </c>
      <c r="GN381" s="9">
        <f>VLOOKUP(GF381,$FM$3:$FN$15,2,FALSE)</f>
        <v/>
      </c>
      <c r="GO381" s="9">
        <f>VLOOKUP(GG381,$FM$3:$FN$15,2,FALSE)</f>
        <v/>
      </c>
      <c r="GP381" s="9">
        <f>VLOOKUP(GH381,$FM$3:$FN$15,2,FALSE)</f>
        <v/>
      </c>
      <c r="GQ381" s="9">
        <f>VLOOKUP(GI381,$FM$3:$FN$15,2,FALSE)</f>
        <v/>
      </c>
      <c r="GR381" s="9">
        <f>IFERROR(IF(AND(VLOOKUP(GB381,$FX$4:$FX$15,1,FALSE)=GB381,VLOOKUP(GC381,$FX$4:$FX$15,1,FALSE)=GC381,VLOOKUP(GD381,$FX$4:$FX$15,1,FALSE)=GD381,VLOOKUP(GE381,$FX$4:$FX$15,1,FALSE)=GE381,VLOOKUP(GF381,$FX$4:$FX$15,1,FALSE)=GF381,VLOOKUP(GG381,$FX$4:$FX$15,1,FALSE)=GG381,VLOOKUP(GH381,$FX$4:$FX$15,1,FALSE)=GH381,VLOOKUP(GI381,$FX$4:$FX$15,1,FALSE)=GI381),FZ381,""),"")</f>
        <v/>
      </c>
    </row>
    <row r="382" ht="14.25" customHeight="1">
      <c r="FZ382" s="79" t="n">
        <v>380</v>
      </c>
      <c r="GA382" s="3">
        <f>GB382&amp;GC382&amp;GD382&amp;GE382&amp;GF382&amp;GG382&amp;GH382&amp;GI382</f>
        <v/>
      </c>
      <c r="GB382" s="3" t="inlineStr">
        <is>
          <t>H</t>
        </is>
      </c>
      <c r="GC382" s="3" t="inlineStr">
        <is>
          <t>J</t>
        </is>
      </c>
      <c r="GD382" s="3" t="inlineStr">
        <is>
          <t>B</t>
        </is>
      </c>
      <c r="GE382" s="3" t="inlineStr">
        <is>
          <t>C</t>
        </is>
      </c>
      <c r="GF382" s="3" t="inlineStr">
        <is>
          <t>A</t>
        </is>
      </c>
      <c r="GG382" s="3" t="inlineStr">
        <is>
          <t>F</t>
        </is>
      </c>
      <c r="GH382" s="3" t="inlineStr">
        <is>
          <t>L</t>
        </is>
      </c>
      <c r="GI382" s="3" t="inlineStr">
        <is>
          <t>I</t>
        </is>
      </c>
      <c r="GJ382" s="9">
        <f>VLOOKUP(GB382,$FM$3:$FN$15,2,FALSE)</f>
        <v/>
      </c>
      <c r="GK382" s="9">
        <f>VLOOKUP(GC382,$FM$3:$FN$15,2,FALSE)</f>
        <v/>
      </c>
      <c r="GL382" s="9">
        <f>VLOOKUP(GD382,$FM$3:$FN$15,2,FALSE)</f>
        <v/>
      </c>
      <c r="GM382" s="9">
        <f>VLOOKUP(GE382,$FM$3:$FN$15,2,FALSE)</f>
        <v/>
      </c>
      <c r="GN382" s="9">
        <f>VLOOKUP(GF382,$FM$3:$FN$15,2,FALSE)</f>
        <v/>
      </c>
      <c r="GO382" s="9">
        <f>VLOOKUP(GG382,$FM$3:$FN$15,2,FALSE)</f>
        <v/>
      </c>
      <c r="GP382" s="9">
        <f>VLOOKUP(GH382,$FM$3:$FN$15,2,FALSE)</f>
        <v/>
      </c>
      <c r="GQ382" s="9">
        <f>VLOOKUP(GI382,$FM$3:$FN$15,2,FALSE)</f>
        <v/>
      </c>
      <c r="GR382" s="9">
        <f>IFERROR(IF(AND(VLOOKUP(GB382,$FX$4:$FX$15,1,FALSE)=GB382,VLOOKUP(GC382,$FX$4:$FX$15,1,FALSE)=GC382,VLOOKUP(GD382,$FX$4:$FX$15,1,FALSE)=GD382,VLOOKUP(GE382,$FX$4:$FX$15,1,FALSE)=GE382,VLOOKUP(GF382,$FX$4:$FX$15,1,FALSE)=GF382,VLOOKUP(GG382,$FX$4:$FX$15,1,FALSE)=GG382,VLOOKUP(GH382,$FX$4:$FX$15,1,FALSE)=GH382,VLOOKUP(GI382,$FX$4:$FX$15,1,FALSE)=GI382),FZ382,""),"")</f>
        <v/>
      </c>
    </row>
    <row r="383" ht="14.25" customHeight="1">
      <c r="FZ383" s="79" t="n">
        <v>381</v>
      </c>
      <c r="GA383" s="3">
        <f>GB383&amp;GC383&amp;GD383&amp;GE383&amp;GF383&amp;GG383&amp;GH383&amp;GI383</f>
        <v/>
      </c>
      <c r="GB383" s="3" t="inlineStr">
        <is>
          <t>H</t>
        </is>
      </c>
      <c r="GC383" s="3" t="inlineStr">
        <is>
          <t>J</t>
        </is>
      </c>
      <c r="GD383" s="3" t="inlineStr">
        <is>
          <t>B</t>
        </is>
      </c>
      <c r="GE383" s="3" t="inlineStr">
        <is>
          <t>C</t>
        </is>
      </c>
      <c r="GF383" s="3" t="inlineStr">
        <is>
          <t>A</t>
        </is>
      </c>
      <c r="GG383" s="3" t="inlineStr">
        <is>
          <t>F</t>
        </is>
      </c>
      <c r="GH383" s="3" t="inlineStr">
        <is>
          <t>I</t>
        </is>
      </c>
      <c r="GI383" s="3" t="inlineStr">
        <is>
          <t>K</t>
        </is>
      </c>
      <c r="GJ383" s="9">
        <f>VLOOKUP(GB383,$FM$3:$FN$15,2,FALSE)</f>
        <v/>
      </c>
      <c r="GK383" s="9">
        <f>VLOOKUP(GC383,$FM$3:$FN$15,2,FALSE)</f>
        <v/>
      </c>
      <c r="GL383" s="9">
        <f>VLOOKUP(GD383,$FM$3:$FN$15,2,FALSE)</f>
        <v/>
      </c>
      <c r="GM383" s="9">
        <f>VLOOKUP(GE383,$FM$3:$FN$15,2,FALSE)</f>
        <v/>
      </c>
      <c r="GN383" s="9">
        <f>VLOOKUP(GF383,$FM$3:$FN$15,2,FALSE)</f>
        <v/>
      </c>
      <c r="GO383" s="9">
        <f>VLOOKUP(GG383,$FM$3:$FN$15,2,FALSE)</f>
        <v/>
      </c>
      <c r="GP383" s="9">
        <f>VLOOKUP(GH383,$FM$3:$FN$15,2,FALSE)</f>
        <v/>
      </c>
      <c r="GQ383" s="9">
        <f>VLOOKUP(GI383,$FM$3:$FN$15,2,FALSE)</f>
        <v/>
      </c>
      <c r="GR383" s="9">
        <f>IFERROR(IF(AND(VLOOKUP(GB383,$FX$4:$FX$15,1,FALSE)=GB383,VLOOKUP(GC383,$FX$4:$FX$15,1,FALSE)=GC383,VLOOKUP(GD383,$FX$4:$FX$15,1,FALSE)=GD383,VLOOKUP(GE383,$FX$4:$FX$15,1,FALSE)=GE383,VLOOKUP(GF383,$FX$4:$FX$15,1,FALSE)=GF383,VLOOKUP(GG383,$FX$4:$FX$15,1,FALSE)=GG383,VLOOKUP(GH383,$FX$4:$FX$15,1,FALSE)=GH383,VLOOKUP(GI383,$FX$4:$FX$15,1,FALSE)=GI383),FZ383,""),"")</f>
        <v/>
      </c>
    </row>
    <row r="384" ht="14.25" customHeight="1">
      <c r="FZ384" s="79" t="n">
        <v>382</v>
      </c>
      <c r="GA384" s="3">
        <f>GB384&amp;GC384&amp;GD384&amp;GE384&amp;GF384&amp;GG384&amp;GH384&amp;GI384</f>
        <v/>
      </c>
      <c r="GB384" s="3" t="inlineStr">
        <is>
          <t>C</t>
        </is>
      </c>
      <c r="GC384" s="3" t="inlineStr">
        <is>
          <t>J</t>
        </is>
      </c>
      <c r="GD384" s="3" t="inlineStr">
        <is>
          <t>B</t>
        </is>
      </c>
      <c r="GE384" s="3" t="inlineStr">
        <is>
          <t>F</t>
        </is>
      </c>
      <c r="GF384" s="3" t="inlineStr">
        <is>
          <t>A</t>
        </is>
      </c>
      <c r="GG384" s="3" t="inlineStr">
        <is>
          <t>G</t>
        </is>
      </c>
      <c r="GH384" s="3" t="inlineStr">
        <is>
          <t>L</t>
        </is>
      </c>
      <c r="GI384" s="3" t="inlineStr">
        <is>
          <t>K</t>
        </is>
      </c>
      <c r="GJ384" s="9">
        <f>VLOOKUP(GB384,$FM$3:$FN$15,2,FALSE)</f>
        <v/>
      </c>
      <c r="GK384" s="9">
        <f>VLOOKUP(GC384,$FM$3:$FN$15,2,FALSE)</f>
        <v/>
      </c>
      <c r="GL384" s="9">
        <f>VLOOKUP(GD384,$FM$3:$FN$15,2,FALSE)</f>
        <v/>
      </c>
      <c r="GM384" s="9">
        <f>VLOOKUP(GE384,$FM$3:$FN$15,2,FALSE)</f>
        <v/>
      </c>
      <c r="GN384" s="9">
        <f>VLOOKUP(GF384,$FM$3:$FN$15,2,FALSE)</f>
        <v/>
      </c>
      <c r="GO384" s="9">
        <f>VLOOKUP(GG384,$FM$3:$FN$15,2,FALSE)</f>
        <v/>
      </c>
      <c r="GP384" s="9">
        <f>VLOOKUP(GH384,$FM$3:$FN$15,2,FALSE)</f>
        <v/>
      </c>
      <c r="GQ384" s="9">
        <f>VLOOKUP(GI384,$FM$3:$FN$15,2,FALSE)</f>
        <v/>
      </c>
      <c r="GR384" s="9">
        <f>IFERROR(IF(AND(VLOOKUP(GB384,$FX$4:$FX$15,1,FALSE)=GB384,VLOOKUP(GC384,$FX$4:$FX$15,1,FALSE)=GC384,VLOOKUP(GD384,$FX$4:$FX$15,1,FALSE)=GD384,VLOOKUP(GE384,$FX$4:$FX$15,1,FALSE)=GE384,VLOOKUP(GF384,$FX$4:$FX$15,1,FALSE)=GF384,VLOOKUP(GG384,$FX$4:$FX$15,1,FALSE)=GG384,VLOOKUP(GH384,$FX$4:$FX$15,1,FALSE)=GH384,VLOOKUP(GI384,$FX$4:$FX$15,1,FALSE)=GI384),FZ384,""),"")</f>
        <v/>
      </c>
    </row>
    <row r="385" ht="14.25" customHeight="1">
      <c r="FZ385" s="79" t="n">
        <v>383</v>
      </c>
      <c r="GA385" s="3">
        <f>GB385&amp;GC385&amp;GD385&amp;GE385&amp;GF385&amp;GG385&amp;GH385&amp;GI385</f>
        <v/>
      </c>
      <c r="GB385" s="3" t="inlineStr">
        <is>
          <t>I</t>
        </is>
      </c>
      <c r="GC385" s="3" t="inlineStr">
        <is>
          <t>G</t>
        </is>
      </c>
      <c r="GD385" s="3" t="inlineStr">
        <is>
          <t>B</t>
        </is>
      </c>
      <c r="GE385" s="3" t="inlineStr">
        <is>
          <t>C</t>
        </is>
      </c>
      <c r="GF385" s="3" t="inlineStr">
        <is>
          <t>A</t>
        </is>
      </c>
      <c r="GG385" s="3" t="inlineStr">
        <is>
          <t>F</t>
        </is>
      </c>
      <c r="GH385" s="3" t="inlineStr">
        <is>
          <t>L</t>
        </is>
      </c>
      <c r="GI385" s="3" t="inlineStr">
        <is>
          <t>K</t>
        </is>
      </c>
      <c r="GJ385" s="9">
        <f>VLOOKUP(GB385,$FM$3:$FN$15,2,FALSE)</f>
        <v/>
      </c>
      <c r="GK385" s="9">
        <f>VLOOKUP(GC385,$FM$3:$FN$15,2,FALSE)</f>
        <v/>
      </c>
      <c r="GL385" s="9">
        <f>VLOOKUP(GD385,$FM$3:$FN$15,2,FALSE)</f>
        <v/>
      </c>
      <c r="GM385" s="9">
        <f>VLOOKUP(GE385,$FM$3:$FN$15,2,FALSE)</f>
        <v/>
      </c>
      <c r="GN385" s="9">
        <f>VLOOKUP(GF385,$FM$3:$FN$15,2,FALSE)</f>
        <v/>
      </c>
      <c r="GO385" s="9">
        <f>VLOOKUP(GG385,$FM$3:$FN$15,2,FALSE)</f>
        <v/>
      </c>
      <c r="GP385" s="9">
        <f>VLOOKUP(GH385,$FM$3:$FN$15,2,FALSE)</f>
        <v/>
      </c>
      <c r="GQ385" s="9">
        <f>VLOOKUP(GI385,$FM$3:$FN$15,2,FALSE)</f>
        <v/>
      </c>
      <c r="GR385" s="9">
        <f>IFERROR(IF(AND(VLOOKUP(GB385,$FX$4:$FX$15,1,FALSE)=GB385,VLOOKUP(GC385,$FX$4:$FX$15,1,FALSE)=GC385,VLOOKUP(GD385,$FX$4:$FX$15,1,FALSE)=GD385,VLOOKUP(GE385,$FX$4:$FX$15,1,FALSE)=GE385,VLOOKUP(GF385,$FX$4:$FX$15,1,FALSE)=GF385,VLOOKUP(GG385,$FX$4:$FX$15,1,FALSE)=GG385,VLOOKUP(GH385,$FX$4:$FX$15,1,FALSE)=GH385,VLOOKUP(GI385,$FX$4:$FX$15,1,FALSE)=GI385),FZ385,""),"")</f>
        <v/>
      </c>
    </row>
    <row r="386" ht="14.25" customHeight="1">
      <c r="FZ386" s="79" t="n">
        <v>384</v>
      </c>
      <c r="GA386" s="3">
        <f>GB386&amp;GC386&amp;GD386&amp;GE386&amp;GF386&amp;GG386&amp;GH386&amp;GI386</f>
        <v/>
      </c>
      <c r="GB386" s="3" t="inlineStr">
        <is>
          <t>C</t>
        </is>
      </c>
      <c r="GC386" s="3" t="inlineStr">
        <is>
          <t>J</t>
        </is>
      </c>
      <c r="GD386" s="3" t="inlineStr">
        <is>
          <t>B</t>
        </is>
      </c>
      <c r="GE386" s="3" t="inlineStr">
        <is>
          <t>F</t>
        </is>
      </c>
      <c r="GF386" s="3" t="inlineStr">
        <is>
          <t>A</t>
        </is>
      </c>
      <c r="GG386" s="3" t="inlineStr">
        <is>
          <t>G</t>
        </is>
      </c>
      <c r="GH386" s="3" t="inlineStr">
        <is>
          <t>L</t>
        </is>
      </c>
      <c r="GI386" s="3" t="inlineStr">
        <is>
          <t>I</t>
        </is>
      </c>
      <c r="GJ386" s="9">
        <f>VLOOKUP(GB386,$FM$3:$FN$15,2,FALSE)</f>
        <v/>
      </c>
      <c r="GK386" s="9">
        <f>VLOOKUP(GC386,$FM$3:$FN$15,2,FALSE)</f>
        <v/>
      </c>
      <c r="GL386" s="9">
        <f>VLOOKUP(GD386,$FM$3:$FN$15,2,FALSE)</f>
        <v/>
      </c>
      <c r="GM386" s="9">
        <f>VLOOKUP(GE386,$FM$3:$FN$15,2,FALSE)</f>
        <v/>
      </c>
      <c r="GN386" s="9">
        <f>VLOOKUP(GF386,$FM$3:$FN$15,2,FALSE)</f>
        <v/>
      </c>
      <c r="GO386" s="9">
        <f>VLOOKUP(GG386,$FM$3:$FN$15,2,FALSE)</f>
        <v/>
      </c>
      <c r="GP386" s="9">
        <f>VLOOKUP(GH386,$FM$3:$FN$15,2,FALSE)</f>
        <v/>
      </c>
      <c r="GQ386" s="9">
        <f>VLOOKUP(GI386,$FM$3:$FN$15,2,FALSE)</f>
        <v/>
      </c>
      <c r="GR386" s="9">
        <f>IFERROR(IF(AND(VLOOKUP(GB386,$FX$4:$FX$15,1,FALSE)=GB386,VLOOKUP(GC386,$FX$4:$FX$15,1,FALSE)=GC386,VLOOKUP(GD386,$FX$4:$FX$15,1,FALSE)=GD386,VLOOKUP(GE386,$FX$4:$FX$15,1,FALSE)=GE386,VLOOKUP(GF386,$FX$4:$FX$15,1,FALSE)=GF386,VLOOKUP(GG386,$FX$4:$FX$15,1,FALSE)=GG386,VLOOKUP(GH386,$FX$4:$FX$15,1,FALSE)=GH386,VLOOKUP(GI386,$FX$4:$FX$15,1,FALSE)=GI386),FZ386,""),"")</f>
        <v/>
      </c>
    </row>
    <row r="387" ht="14.25" customHeight="1">
      <c r="FZ387" s="79" t="n">
        <v>385</v>
      </c>
      <c r="GA387" s="3">
        <f>GB387&amp;GC387&amp;GD387&amp;GE387&amp;GF387&amp;GG387&amp;GH387&amp;GI387</f>
        <v/>
      </c>
      <c r="GB387" s="3" t="inlineStr">
        <is>
          <t>C</t>
        </is>
      </c>
      <c r="GC387" s="3" t="inlineStr">
        <is>
          <t>J</t>
        </is>
      </c>
      <c r="GD387" s="3" t="inlineStr">
        <is>
          <t>B</t>
        </is>
      </c>
      <c r="GE387" s="3" t="inlineStr">
        <is>
          <t>F</t>
        </is>
      </c>
      <c r="GF387" s="3" t="inlineStr">
        <is>
          <t>A</t>
        </is>
      </c>
      <c r="GG387" s="3" t="inlineStr">
        <is>
          <t>G</t>
        </is>
      </c>
      <c r="GH387" s="3" t="inlineStr">
        <is>
          <t>I</t>
        </is>
      </c>
      <c r="GI387" s="3" t="inlineStr">
        <is>
          <t>K</t>
        </is>
      </c>
      <c r="GJ387" s="9">
        <f>VLOOKUP(GB387,$FM$3:$FN$15,2,FALSE)</f>
        <v/>
      </c>
      <c r="GK387" s="9">
        <f>VLOOKUP(GC387,$FM$3:$FN$15,2,FALSE)</f>
        <v/>
      </c>
      <c r="GL387" s="9">
        <f>VLOOKUP(GD387,$FM$3:$FN$15,2,FALSE)</f>
        <v/>
      </c>
      <c r="GM387" s="9">
        <f>VLOOKUP(GE387,$FM$3:$FN$15,2,FALSE)</f>
        <v/>
      </c>
      <c r="GN387" s="9">
        <f>VLOOKUP(GF387,$FM$3:$FN$15,2,FALSE)</f>
        <v/>
      </c>
      <c r="GO387" s="9">
        <f>VLOOKUP(GG387,$FM$3:$FN$15,2,FALSE)</f>
        <v/>
      </c>
      <c r="GP387" s="9">
        <f>VLOOKUP(GH387,$FM$3:$FN$15,2,FALSE)</f>
        <v/>
      </c>
      <c r="GQ387" s="9">
        <f>VLOOKUP(GI387,$FM$3:$FN$15,2,FALSE)</f>
        <v/>
      </c>
      <c r="GR387" s="9">
        <f>IFERROR(IF(AND(VLOOKUP(GB387,$FX$4:$FX$15,1,FALSE)=GB387,VLOOKUP(GC387,$FX$4:$FX$15,1,FALSE)=GC387,VLOOKUP(GD387,$FX$4:$FX$15,1,FALSE)=GD387,VLOOKUP(GE387,$FX$4:$FX$15,1,FALSE)=GE387,VLOOKUP(GF387,$FX$4:$FX$15,1,FALSE)=GF387,VLOOKUP(GG387,$FX$4:$FX$15,1,FALSE)=GG387,VLOOKUP(GH387,$FX$4:$FX$15,1,FALSE)=GH387,VLOOKUP(GI387,$FX$4:$FX$15,1,FALSE)=GI387),FZ387,""),"")</f>
        <v/>
      </c>
    </row>
    <row r="388" ht="14.25" customHeight="1">
      <c r="FZ388" s="79" t="n">
        <v>386</v>
      </c>
      <c r="GA388" s="3">
        <f>GB388&amp;GC388&amp;GD388&amp;GE388&amp;GF388&amp;GG388&amp;GH388&amp;GI388</f>
        <v/>
      </c>
      <c r="GB388" s="3" t="inlineStr">
        <is>
          <t>H</t>
        </is>
      </c>
      <c r="GC388" s="3" t="inlineStr">
        <is>
          <t>G</t>
        </is>
      </c>
      <c r="GD388" s="3" t="inlineStr">
        <is>
          <t>B</t>
        </is>
      </c>
      <c r="GE388" s="3" t="inlineStr">
        <is>
          <t>C</t>
        </is>
      </c>
      <c r="GF388" s="3" t="inlineStr">
        <is>
          <t>A</t>
        </is>
      </c>
      <c r="GG388" s="3" t="inlineStr">
        <is>
          <t>F</t>
        </is>
      </c>
      <c r="GH388" s="3" t="inlineStr">
        <is>
          <t>L</t>
        </is>
      </c>
      <c r="GI388" s="3" t="inlineStr">
        <is>
          <t>K</t>
        </is>
      </c>
      <c r="GJ388" s="9">
        <f>VLOOKUP(GB388,$FM$3:$FN$15,2,FALSE)</f>
        <v/>
      </c>
      <c r="GK388" s="9">
        <f>VLOOKUP(GC388,$FM$3:$FN$15,2,FALSE)</f>
        <v/>
      </c>
      <c r="GL388" s="9">
        <f>VLOOKUP(GD388,$FM$3:$FN$15,2,FALSE)</f>
        <v/>
      </c>
      <c r="GM388" s="9">
        <f>VLOOKUP(GE388,$FM$3:$FN$15,2,FALSE)</f>
        <v/>
      </c>
      <c r="GN388" s="9">
        <f>VLOOKUP(GF388,$FM$3:$FN$15,2,FALSE)</f>
        <v/>
      </c>
      <c r="GO388" s="9">
        <f>VLOOKUP(GG388,$FM$3:$FN$15,2,FALSE)</f>
        <v/>
      </c>
      <c r="GP388" s="9">
        <f>VLOOKUP(GH388,$FM$3:$FN$15,2,FALSE)</f>
        <v/>
      </c>
      <c r="GQ388" s="9">
        <f>VLOOKUP(GI388,$FM$3:$FN$15,2,FALSE)</f>
        <v/>
      </c>
      <c r="GR388" s="9">
        <f>IFERROR(IF(AND(VLOOKUP(GB388,$FX$4:$FX$15,1,FALSE)=GB388,VLOOKUP(GC388,$FX$4:$FX$15,1,FALSE)=GC388,VLOOKUP(GD388,$FX$4:$FX$15,1,FALSE)=GD388,VLOOKUP(GE388,$FX$4:$FX$15,1,FALSE)=GE388,VLOOKUP(GF388,$FX$4:$FX$15,1,FALSE)=GF388,VLOOKUP(GG388,$FX$4:$FX$15,1,FALSE)=GG388,VLOOKUP(GH388,$FX$4:$FX$15,1,FALSE)=GH388,VLOOKUP(GI388,$FX$4:$FX$15,1,FALSE)=GI388),FZ388,""),"")</f>
        <v/>
      </c>
    </row>
    <row r="389" ht="14.25" customHeight="1">
      <c r="FZ389" s="79" t="n">
        <v>387</v>
      </c>
      <c r="GA389" s="3">
        <f>GB389&amp;GC389&amp;GD389&amp;GE389&amp;GF389&amp;GG389&amp;GH389&amp;GI389</f>
        <v/>
      </c>
      <c r="GB389" s="3" t="inlineStr">
        <is>
          <t>H</t>
        </is>
      </c>
      <c r="GC389" s="3" t="inlineStr">
        <is>
          <t>G</t>
        </is>
      </c>
      <c r="GD389" s="3" t="inlineStr">
        <is>
          <t>B</t>
        </is>
      </c>
      <c r="GE389" s="3" t="inlineStr">
        <is>
          <t>C</t>
        </is>
      </c>
      <c r="GF389" s="3" t="inlineStr">
        <is>
          <t>A</t>
        </is>
      </c>
      <c r="GG389" s="3" t="inlineStr">
        <is>
          <t>F</t>
        </is>
      </c>
      <c r="GH389" s="3" t="inlineStr">
        <is>
          <t>L</t>
        </is>
      </c>
      <c r="GI389" s="3" t="inlineStr">
        <is>
          <t>J</t>
        </is>
      </c>
      <c r="GJ389" s="9">
        <f>VLOOKUP(GB389,$FM$3:$FN$15,2,FALSE)</f>
        <v/>
      </c>
      <c r="GK389" s="9">
        <f>VLOOKUP(GC389,$FM$3:$FN$15,2,FALSE)</f>
        <v/>
      </c>
      <c r="GL389" s="9">
        <f>VLOOKUP(GD389,$FM$3:$FN$15,2,FALSE)</f>
        <v/>
      </c>
      <c r="GM389" s="9">
        <f>VLOOKUP(GE389,$FM$3:$FN$15,2,FALSE)</f>
        <v/>
      </c>
      <c r="GN389" s="9">
        <f>VLOOKUP(GF389,$FM$3:$FN$15,2,FALSE)</f>
        <v/>
      </c>
      <c r="GO389" s="9">
        <f>VLOOKUP(GG389,$FM$3:$FN$15,2,FALSE)</f>
        <v/>
      </c>
      <c r="GP389" s="9">
        <f>VLOOKUP(GH389,$FM$3:$FN$15,2,FALSE)</f>
        <v/>
      </c>
      <c r="GQ389" s="9">
        <f>VLOOKUP(GI389,$FM$3:$FN$15,2,FALSE)</f>
        <v/>
      </c>
      <c r="GR389" s="9">
        <f>IFERROR(IF(AND(VLOOKUP(GB389,$FX$4:$FX$15,1,FALSE)=GB389,VLOOKUP(GC389,$FX$4:$FX$15,1,FALSE)=GC389,VLOOKUP(GD389,$FX$4:$FX$15,1,FALSE)=GD389,VLOOKUP(GE389,$FX$4:$FX$15,1,FALSE)=GE389,VLOOKUP(GF389,$FX$4:$FX$15,1,FALSE)=GF389,VLOOKUP(GG389,$FX$4:$FX$15,1,FALSE)=GG389,VLOOKUP(GH389,$FX$4:$FX$15,1,FALSE)=GH389,VLOOKUP(GI389,$FX$4:$FX$15,1,FALSE)=GI389),FZ389,""),"")</f>
        <v/>
      </c>
    </row>
    <row r="390" ht="14.25" customHeight="1">
      <c r="FZ390" s="79" t="n">
        <v>388</v>
      </c>
      <c r="GA390" s="3">
        <f>GB390&amp;GC390&amp;GD390&amp;GE390&amp;GF390&amp;GG390&amp;GH390&amp;GI390</f>
        <v/>
      </c>
      <c r="GB390" s="3" t="inlineStr">
        <is>
          <t>H</t>
        </is>
      </c>
      <c r="GC390" s="3" t="inlineStr">
        <is>
          <t>G</t>
        </is>
      </c>
      <c r="GD390" s="3" t="inlineStr">
        <is>
          <t>B</t>
        </is>
      </c>
      <c r="GE390" s="3" t="inlineStr">
        <is>
          <t>C</t>
        </is>
      </c>
      <c r="GF390" s="3" t="inlineStr">
        <is>
          <t>A</t>
        </is>
      </c>
      <c r="GG390" s="3" t="inlineStr">
        <is>
          <t>F</t>
        </is>
      </c>
      <c r="GH390" s="3" t="inlineStr">
        <is>
          <t>J</t>
        </is>
      </c>
      <c r="GI390" s="3" t="inlineStr">
        <is>
          <t>K</t>
        </is>
      </c>
      <c r="GJ390" s="9">
        <f>VLOOKUP(GB390,$FM$3:$FN$15,2,FALSE)</f>
        <v/>
      </c>
      <c r="GK390" s="9">
        <f>VLOOKUP(GC390,$FM$3:$FN$15,2,FALSE)</f>
        <v/>
      </c>
      <c r="GL390" s="9">
        <f>VLOOKUP(GD390,$FM$3:$FN$15,2,FALSE)</f>
        <v/>
      </c>
      <c r="GM390" s="9">
        <f>VLOOKUP(GE390,$FM$3:$FN$15,2,FALSE)</f>
        <v/>
      </c>
      <c r="GN390" s="9">
        <f>VLOOKUP(GF390,$FM$3:$FN$15,2,FALSE)</f>
        <v/>
      </c>
      <c r="GO390" s="9">
        <f>VLOOKUP(GG390,$FM$3:$FN$15,2,FALSE)</f>
        <v/>
      </c>
      <c r="GP390" s="9">
        <f>VLOOKUP(GH390,$FM$3:$FN$15,2,FALSE)</f>
        <v/>
      </c>
      <c r="GQ390" s="9">
        <f>VLOOKUP(GI390,$FM$3:$FN$15,2,FALSE)</f>
        <v/>
      </c>
      <c r="GR390" s="9">
        <f>IFERROR(IF(AND(VLOOKUP(GB390,$FX$4:$FX$15,1,FALSE)=GB390,VLOOKUP(GC390,$FX$4:$FX$15,1,FALSE)=GC390,VLOOKUP(GD390,$FX$4:$FX$15,1,FALSE)=GD390,VLOOKUP(GE390,$FX$4:$FX$15,1,FALSE)=GE390,VLOOKUP(GF390,$FX$4:$FX$15,1,FALSE)=GF390,VLOOKUP(GG390,$FX$4:$FX$15,1,FALSE)=GG390,VLOOKUP(GH390,$FX$4:$FX$15,1,FALSE)=GH390,VLOOKUP(GI390,$FX$4:$FX$15,1,FALSE)=GI390),FZ390,""),"")</f>
        <v/>
      </c>
    </row>
    <row r="391" ht="14.25" customHeight="1">
      <c r="FZ391" s="79" t="n">
        <v>389</v>
      </c>
      <c r="GA391" s="3">
        <f>GB391&amp;GC391&amp;GD391&amp;GE391&amp;GF391&amp;GG391&amp;GH391&amp;GI391</f>
        <v/>
      </c>
      <c r="GB391" s="3" t="inlineStr">
        <is>
          <t>H</t>
        </is>
      </c>
      <c r="GC391" s="3" t="inlineStr">
        <is>
          <t>G</t>
        </is>
      </c>
      <c r="GD391" s="3" t="inlineStr">
        <is>
          <t>B</t>
        </is>
      </c>
      <c r="GE391" s="3" t="inlineStr">
        <is>
          <t>C</t>
        </is>
      </c>
      <c r="GF391" s="3" t="inlineStr">
        <is>
          <t>A</t>
        </is>
      </c>
      <c r="GG391" s="3" t="inlineStr">
        <is>
          <t>F</t>
        </is>
      </c>
      <c r="GH391" s="3" t="inlineStr">
        <is>
          <t>L</t>
        </is>
      </c>
      <c r="GI391" s="3" t="inlineStr">
        <is>
          <t>I</t>
        </is>
      </c>
      <c r="GJ391" s="9">
        <f>VLOOKUP(GB391,$FM$3:$FN$15,2,FALSE)</f>
        <v/>
      </c>
      <c r="GK391" s="9">
        <f>VLOOKUP(GC391,$FM$3:$FN$15,2,FALSE)</f>
        <v/>
      </c>
      <c r="GL391" s="9">
        <f>VLOOKUP(GD391,$FM$3:$FN$15,2,FALSE)</f>
        <v/>
      </c>
      <c r="GM391" s="9">
        <f>VLOOKUP(GE391,$FM$3:$FN$15,2,FALSE)</f>
        <v/>
      </c>
      <c r="GN391" s="9">
        <f>VLOOKUP(GF391,$FM$3:$FN$15,2,FALSE)</f>
        <v/>
      </c>
      <c r="GO391" s="9">
        <f>VLOOKUP(GG391,$FM$3:$FN$15,2,FALSE)</f>
        <v/>
      </c>
      <c r="GP391" s="9">
        <f>VLOOKUP(GH391,$FM$3:$FN$15,2,FALSE)</f>
        <v/>
      </c>
      <c r="GQ391" s="9">
        <f>VLOOKUP(GI391,$FM$3:$FN$15,2,FALSE)</f>
        <v/>
      </c>
      <c r="GR391" s="9">
        <f>IFERROR(IF(AND(VLOOKUP(GB391,$FX$4:$FX$15,1,FALSE)=GB391,VLOOKUP(GC391,$FX$4:$FX$15,1,FALSE)=GC391,VLOOKUP(GD391,$FX$4:$FX$15,1,FALSE)=GD391,VLOOKUP(GE391,$FX$4:$FX$15,1,FALSE)=GE391,VLOOKUP(GF391,$FX$4:$FX$15,1,FALSE)=GF391,VLOOKUP(GG391,$FX$4:$FX$15,1,FALSE)=GG391,VLOOKUP(GH391,$FX$4:$FX$15,1,FALSE)=GH391,VLOOKUP(GI391,$FX$4:$FX$15,1,FALSE)=GI391),FZ391,""),"")</f>
        <v/>
      </c>
    </row>
    <row r="392" ht="14.25" customHeight="1">
      <c r="FZ392" s="79" t="n">
        <v>390</v>
      </c>
      <c r="GA392" s="3">
        <f>GB392&amp;GC392&amp;GD392&amp;GE392&amp;GF392&amp;GG392&amp;GH392&amp;GI392</f>
        <v/>
      </c>
      <c r="GB392" s="3" t="inlineStr">
        <is>
          <t>H</t>
        </is>
      </c>
      <c r="GC392" s="3" t="inlineStr">
        <is>
          <t>G</t>
        </is>
      </c>
      <c r="GD392" s="3" t="inlineStr">
        <is>
          <t>B</t>
        </is>
      </c>
      <c r="GE392" s="3" t="inlineStr">
        <is>
          <t>C</t>
        </is>
      </c>
      <c r="GF392" s="3" t="inlineStr">
        <is>
          <t>A</t>
        </is>
      </c>
      <c r="GG392" s="3" t="inlineStr">
        <is>
          <t>F</t>
        </is>
      </c>
      <c r="GH392" s="3" t="inlineStr">
        <is>
          <t>I</t>
        </is>
      </c>
      <c r="GI392" s="3" t="inlineStr">
        <is>
          <t>K</t>
        </is>
      </c>
      <c r="GJ392" s="9">
        <f>VLOOKUP(GB392,$FM$3:$FN$15,2,FALSE)</f>
        <v/>
      </c>
      <c r="GK392" s="9">
        <f>VLOOKUP(GC392,$FM$3:$FN$15,2,FALSE)</f>
        <v/>
      </c>
      <c r="GL392" s="9">
        <f>VLOOKUP(GD392,$FM$3:$FN$15,2,FALSE)</f>
        <v/>
      </c>
      <c r="GM392" s="9">
        <f>VLOOKUP(GE392,$FM$3:$FN$15,2,FALSE)</f>
        <v/>
      </c>
      <c r="GN392" s="9">
        <f>VLOOKUP(GF392,$FM$3:$FN$15,2,FALSE)</f>
        <v/>
      </c>
      <c r="GO392" s="9">
        <f>VLOOKUP(GG392,$FM$3:$FN$15,2,FALSE)</f>
        <v/>
      </c>
      <c r="GP392" s="9">
        <f>VLOOKUP(GH392,$FM$3:$FN$15,2,FALSE)</f>
        <v/>
      </c>
      <c r="GQ392" s="9">
        <f>VLOOKUP(GI392,$FM$3:$FN$15,2,FALSE)</f>
        <v/>
      </c>
      <c r="GR392" s="9">
        <f>IFERROR(IF(AND(VLOOKUP(GB392,$FX$4:$FX$15,1,FALSE)=GB392,VLOOKUP(GC392,$FX$4:$FX$15,1,FALSE)=GC392,VLOOKUP(GD392,$FX$4:$FX$15,1,FALSE)=GD392,VLOOKUP(GE392,$FX$4:$FX$15,1,FALSE)=GE392,VLOOKUP(GF392,$FX$4:$FX$15,1,FALSE)=GF392,VLOOKUP(GG392,$FX$4:$FX$15,1,FALSE)=GG392,VLOOKUP(GH392,$FX$4:$FX$15,1,FALSE)=GH392,VLOOKUP(GI392,$FX$4:$FX$15,1,FALSE)=GI392),FZ392,""),"")</f>
        <v/>
      </c>
    </row>
    <row r="393" ht="14.25" customHeight="1">
      <c r="FZ393" s="79" t="n">
        <v>391</v>
      </c>
      <c r="GA393" s="3">
        <f>GB393&amp;GC393&amp;GD393&amp;GE393&amp;GF393&amp;GG393&amp;GH393&amp;GI393</f>
        <v/>
      </c>
      <c r="GB393" s="3" t="inlineStr">
        <is>
          <t>H</t>
        </is>
      </c>
      <c r="GC393" s="3" t="inlineStr">
        <is>
          <t>G</t>
        </is>
      </c>
      <c r="GD393" s="3" t="inlineStr">
        <is>
          <t>B</t>
        </is>
      </c>
      <c r="GE393" s="3" t="inlineStr">
        <is>
          <t>C</t>
        </is>
      </c>
      <c r="GF393" s="3" t="inlineStr">
        <is>
          <t>A</t>
        </is>
      </c>
      <c r="GG393" s="3" t="inlineStr">
        <is>
          <t>F</t>
        </is>
      </c>
      <c r="GH393" s="3" t="inlineStr">
        <is>
          <t>I</t>
        </is>
      </c>
      <c r="GI393" s="3" t="inlineStr">
        <is>
          <t>J</t>
        </is>
      </c>
      <c r="GJ393" s="9">
        <f>VLOOKUP(GB393,$FM$3:$FN$15,2,FALSE)</f>
        <v/>
      </c>
      <c r="GK393" s="9">
        <f>VLOOKUP(GC393,$FM$3:$FN$15,2,FALSE)</f>
        <v/>
      </c>
      <c r="GL393" s="9">
        <f>VLOOKUP(GD393,$FM$3:$FN$15,2,FALSE)</f>
        <v/>
      </c>
      <c r="GM393" s="9">
        <f>VLOOKUP(GE393,$FM$3:$FN$15,2,FALSE)</f>
        <v/>
      </c>
      <c r="GN393" s="9">
        <f>VLOOKUP(GF393,$FM$3:$FN$15,2,FALSE)</f>
        <v/>
      </c>
      <c r="GO393" s="9">
        <f>VLOOKUP(GG393,$FM$3:$FN$15,2,FALSE)</f>
        <v/>
      </c>
      <c r="GP393" s="9">
        <f>VLOOKUP(GH393,$FM$3:$FN$15,2,FALSE)</f>
        <v/>
      </c>
      <c r="GQ393" s="9">
        <f>VLOOKUP(GI393,$FM$3:$FN$15,2,FALSE)</f>
        <v/>
      </c>
      <c r="GR393" s="9">
        <f>IFERROR(IF(AND(VLOOKUP(GB393,$FX$4:$FX$15,1,FALSE)=GB393,VLOOKUP(GC393,$FX$4:$FX$15,1,FALSE)=GC393,VLOOKUP(GD393,$FX$4:$FX$15,1,FALSE)=GD393,VLOOKUP(GE393,$FX$4:$FX$15,1,FALSE)=GE393,VLOOKUP(GF393,$FX$4:$FX$15,1,FALSE)=GF393,VLOOKUP(GG393,$FX$4:$FX$15,1,FALSE)=GG393,VLOOKUP(GH393,$FX$4:$FX$15,1,FALSE)=GH393,VLOOKUP(GI393,$FX$4:$FX$15,1,FALSE)=GI393),FZ393,""),"")</f>
        <v/>
      </c>
    </row>
    <row r="394" ht="14.25" customHeight="1">
      <c r="FZ394" s="79" t="n">
        <v>392</v>
      </c>
      <c r="GA394" s="3">
        <f>GB394&amp;GC394&amp;GD394&amp;GE394&amp;GF394&amp;GG394&amp;GH394&amp;GI394</f>
        <v/>
      </c>
      <c r="GB394" s="3" t="inlineStr">
        <is>
          <t>E</t>
        </is>
      </c>
      <c r="GC394" s="3" t="inlineStr">
        <is>
          <t>J</t>
        </is>
      </c>
      <c r="GD394" s="3" t="inlineStr">
        <is>
          <t>B</t>
        </is>
      </c>
      <c r="GE394" s="3" t="inlineStr">
        <is>
          <t>A</t>
        </is>
      </c>
      <c r="GF394" s="3" t="inlineStr">
        <is>
          <t>I</t>
        </is>
      </c>
      <c r="GG394" s="3" t="inlineStr">
        <is>
          <t>C</t>
        </is>
      </c>
      <c r="GH394" s="3" t="inlineStr">
        <is>
          <t>L</t>
        </is>
      </c>
      <c r="GI394" s="3" t="inlineStr">
        <is>
          <t>K</t>
        </is>
      </c>
      <c r="GJ394" s="9">
        <f>VLOOKUP(GB394,$FM$3:$FN$15,2,FALSE)</f>
        <v/>
      </c>
      <c r="GK394" s="9">
        <f>VLOOKUP(GC394,$FM$3:$FN$15,2,FALSE)</f>
        <v/>
      </c>
      <c r="GL394" s="9">
        <f>VLOOKUP(GD394,$FM$3:$FN$15,2,FALSE)</f>
        <v/>
      </c>
      <c r="GM394" s="9">
        <f>VLOOKUP(GE394,$FM$3:$FN$15,2,FALSE)</f>
        <v/>
      </c>
      <c r="GN394" s="9">
        <f>VLOOKUP(GF394,$FM$3:$FN$15,2,FALSE)</f>
        <v/>
      </c>
      <c r="GO394" s="9">
        <f>VLOOKUP(GG394,$FM$3:$FN$15,2,FALSE)</f>
        <v/>
      </c>
      <c r="GP394" s="9">
        <f>VLOOKUP(GH394,$FM$3:$FN$15,2,FALSE)</f>
        <v/>
      </c>
      <c r="GQ394" s="9">
        <f>VLOOKUP(GI394,$FM$3:$FN$15,2,FALSE)</f>
        <v/>
      </c>
      <c r="GR394" s="9">
        <f>IFERROR(IF(AND(VLOOKUP(GB394,$FX$4:$FX$15,1,FALSE)=GB394,VLOOKUP(GC394,$FX$4:$FX$15,1,FALSE)=GC394,VLOOKUP(GD394,$FX$4:$FX$15,1,FALSE)=GD394,VLOOKUP(GE394,$FX$4:$FX$15,1,FALSE)=GE394,VLOOKUP(GF394,$FX$4:$FX$15,1,FALSE)=GF394,VLOOKUP(GG394,$FX$4:$FX$15,1,FALSE)=GG394,VLOOKUP(GH394,$FX$4:$FX$15,1,FALSE)=GH394,VLOOKUP(GI394,$FX$4:$FX$15,1,FALSE)=GI394),FZ394,""),"")</f>
        <v/>
      </c>
    </row>
    <row r="395" ht="14.25" customHeight="1">
      <c r="FZ395" s="79" t="n">
        <v>393</v>
      </c>
      <c r="GA395" s="3">
        <f>GB395&amp;GC395&amp;GD395&amp;GE395&amp;GF395&amp;GG395&amp;GH395&amp;GI395</f>
        <v/>
      </c>
      <c r="GB395" s="3" t="inlineStr">
        <is>
          <t>E</t>
        </is>
      </c>
      <c r="GC395" s="3" t="inlineStr">
        <is>
          <t>J</t>
        </is>
      </c>
      <c r="GD395" s="3" t="inlineStr">
        <is>
          <t>B</t>
        </is>
      </c>
      <c r="GE395" s="3" t="inlineStr">
        <is>
          <t>C</t>
        </is>
      </c>
      <c r="GF395" s="3" t="inlineStr">
        <is>
          <t>A</t>
        </is>
      </c>
      <c r="GG395" s="3" t="inlineStr">
        <is>
          <t>H</t>
        </is>
      </c>
      <c r="GH395" s="3" t="inlineStr">
        <is>
          <t>L</t>
        </is>
      </c>
      <c r="GI395" s="3" t="inlineStr">
        <is>
          <t>K</t>
        </is>
      </c>
      <c r="GJ395" s="9">
        <f>VLOOKUP(GB395,$FM$3:$FN$15,2,FALSE)</f>
        <v/>
      </c>
      <c r="GK395" s="9">
        <f>VLOOKUP(GC395,$FM$3:$FN$15,2,FALSE)</f>
        <v/>
      </c>
      <c r="GL395" s="9">
        <f>VLOOKUP(GD395,$FM$3:$FN$15,2,FALSE)</f>
        <v/>
      </c>
      <c r="GM395" s="9">
        <f>VLOOKUP(GE395,$FM$3:$FN$15,2,FALSE)</f>
        <v/>
      </c>
      <c r="GN395" s="9">
        <f>VLOOKUP(GF395,$FM$3:$FN$15,2,FALSE)</f>
        <v/>
      </c>
      <c r="GO395" s="9">
        <f>VLOOKUP(GG395,$FM$3:$FN$15,2,FALSE)</f>
        <v/>
      </c>
      <c r="GP395" s="9">
        <f>VLOOKUP(GH395,$FM$3:$FN$15,2,FALSE)</f>
        <v/>
      </c>
      <c r="GQ395" s="9">
        <f>VLOOKUP(GI395,$FM$3:$FN$15,2,FALSE)</f>
        <v/>
      </c>
      <c r="GR395" s="9">
        <f>IFERROR(IF(AND(VLOOKUP(GB395,$FX$4:$FX$15,1,FALSE)=GB395,VLOOKUP(GC395,$FX$4:$FX$15,1,FALSE)=GC395,VLOOKUP(GD395,$FX$4:$FX$15,1,FALSE)=GD395,VLOOKUP(GE395,$FX$4:$FX$15,1,FALSE)=GE395,VLOOKUP(GF395,$FX$4:$FX$15,1,FALSE)=GF395,VLOOKUP(GG395,$FX$4:$FX$15,1,FALSE)=GG395,VLOOKUP(GH395,$FX$4:$FX$15,1,FALSE)=GH395,VLOOKUP(GI395,$FX$4:$FX$15,1,FALSE)=GI395),FZ395,""),"")</f>
        <v/>
      </c>
    </row>
    <row r="396" ht="14.25" customHeight="1">
      <c r="FZ396" s="79" t="n">
        <v>394</v>
      </c>
      <c r="GA396" s="3">
        <f>GB396&amp;GC396&amp;GD396&amp;GE396&amp;GF396&amp;GG396&amp;GH396&amp;GI396</f>
        <v/>
      </c>
      <c r="GB396" s="3" t="inlineStr">
        <is>
          <t>E</t>
        </is>
      </c>
      <c r="GC396" s="3" t="inlineStr">
        <is>
          <t>I</t>
        </is>
      </c>
      <c r="GD396" s="3" t="inlineStr">
        <is>
          <t>B</t>
        </is>
      </c>
      <c r="GE396" s="3" t="inlineStr">
        <is>
          <t>C</t>
        </is>
      </c>
      <c r="GF396" s="3" t="inlineStr">
        <is>
          <t>A</t>
        </is>
      </c>
      <c r="GG396" s="3" t="inlineStr">
        <is>
          <t>H</t>
        </is>
      </c>
      <c r="GH396" s="3" t="inlineStr">
        <is>
          <t>L</t>
        </is>
      </c>
      <c r="GI396" s="3" t="inlineStr">
        <is>
          <t>K</t>
        </is>
      </c>
      <c r="GJ396" s="9">
        <f>VLOOKUP(GB396,$FM$3:$FN$15,2,FALSE)</f>
        <v/>
      </c>
      <c r="GK396" s="9">
        <f>VLOOKUP(GC396,$FM$3:$FN$15,2,FALSE)</f>
        <v/>
      </c>
      <c r="GL396" s="9">
        <f>VLOOKUP(GD396,$FM$3:$FN$15,2,FALSE)</f>
        <v/>
      </c>
      <c r="GM396" s="9">
        <f>VLOOKUP(GE396,$FM$3:$FN$15,2,FALSE)</f>
        <v/>
      </c>
      <c r="GN396" s="9">
        <f>VLOOKUP(GF396,$FM$3:$FN$15,2,FALSE)</f>
        <v/>
      </c>
      <c r="GO396" s="9">
        <f>VLOOKUP(GG396,$FM$3:$FN$15,2,FALSE)</f>
        <v/>
      </c>
      <c r="GP396" s="9">
        <f>VLOOKUP(GH396,$FM$3:$FN$15,2,FALSE)</f>
        <v/>
      </c>
      <c r="GQ396" s="9">
        <f>VLOOKUP(GI396,$FM$3:$FN$15,2,FALSE)</f>
        <v/>
      </c>
      <c r="GR396" s="9">
        <f>IFERROR(IF(AND(VLOOKUP(GB396,$FX$4:$FX$15,1,FALSE)=GB396,VLOOKUP(GC396,$FX$4:$FX$15,1,FALSE)=GC396,VLOOKUP(GD396,$FX$4:$FX$15,1,FALSE)=GD396,VLOOKUP(GE396,$FX$4:$FX$15,1,FALSE)=GE396,VLOOKUP(GF396,$FX$4:$FX$15,1,FALSE)=GF396,VLOOKUP(GG396,$FX$4:$FX$15,1,FALSE)=GG396,VLOOKUP(GH396,$FX$4:$FX$15,1,FALSE)=GH396,VLOOKUP(GI396,$FX$4:$FX$15,1,FALSE)=GI396),FZ396,""),"")</f>
        <v/>
      </c>
    </row>
    <row r="397" ht="14.25" customHeight="1">
      <c r="FZ397" s="79" t="n">
        <v>395</v>
      </c>
      <c r="GA397" s="3">
        <f>GB397&amp;GC397&amp;GD397&amp;GE397&amp;GF397&amp;GG397&amp;GH397&amp;GI397</f>
        <v/>
      </c>
      <c r="GB397" s="3" t="inlineStr">
        <is>
          <t>E</t>
        </is>
      </c>
      <c r="GC397" s="3" t="inlineStr">
        <is>
          <t>J</t>
        </is>
      </c>
      <c r="GD397" s="3" t="inlineStr">
        <is>
          <t>B</t>
        </is>
      </c>
      <c r="GE397" s="3" t="inlineStr">
        <is>
          <t>C</t>
        </is>
      </c>
      <c r="GF397" s="3" t="inlineStr">
        <is>
          <t>A</t>
        </is>
      </c>
      <c r="GG397" s="3" t="inlineStr">
        <is>
          <t>H</t>
        </is>
      </c>
      <c r="GH397" s="3" t="inlineStr">
        <is>
          <t>L</t>
        </is>
      </c>
      <c r="GI397" s="3" t="inlineStr">
        <is>
          <t>I</t>
        </is>
      </c>
      <c r="GJ397" s="9">
        <f>VLOOKUP(GB397,$FM$3:$FN$15,2,FALSE)</f>
        <v/>
      </c>
      <c r="GK397" s="9">
        <f>VLOOKUP(GC397,$FM$3:$FN$15,2,FALSE)</f>
        <v/>
      </c>
      <c r="GL397" s="9">
        <f>VLOOKUP(GD397,$FM$3:$FN$15,2,FALSE)</f>
        <v/>
      </c>
      <c r="GM397" s="9">
        <f>VLOOKUP(GE397,$FM$3:$FN$15,2,FALSE)</f>
        <v/>
      </c>
      <c r="GN397" s="9">
        <f>VLOOKUP(GF397,$FM$3:$FN$15,2,FALSE)</f>
        <v/>
      </c>
      <c r="GO397" s="9">
        <f>VLOOKUP(GG397,$FM$3:$FN$15,2,FALSE)</f>
        <v/>
      </c>
      <c r="GP397" s="9">
        <f>VLOOKUP(GH397,$FM$3:$FN$15,2,FALSE)</f>
        <v/>
      </c>
      <c r="GQ397" s="9">
        <f>VLOOKUP(GI397,$FM$3:$FN$15,2,FALSE)</f>
        <v/>
      </c>
      <c r="GR397" s="9">
        <f>IFERROR(IF(AND(VLOOKUP(GB397,$FX$4:$FX$15,1,FALSE)=GB397,VLOOKUP(GC397,$FX$4:$FX$15,1,FALSE)=GC397,VLOOKUP(GD397,$FX$4:$FX$15,1,FALSE)=GD397,VLOOKUP(GE397,$FX$4:$FX$15,1,FALSE)=GE397,VLOOKUP(GF397,$FX$4:$FX$15,1,FALSE)=GF397,VLOOKUP(GG397,$FX$4:$FX$15,1,FALSE)=GG397,VLOOKUP(GH397,$FX$4:$FX$15,1,FALSE)=GH397,VLOOKUP(GI397,$FX$4:$FX$15,1,FALSE)=GI397),FZ397,""),"")</f>
        <v/>
      </c>
    </row>
    <row r="398" ht="14.25" customHeight="1">
      <c r="FZ398" s="79" t="n">
        <v>396</v>
      </c>
      <c r="GA398" s="3">
        <f>GB398&amp;GC398&amp;GD398&amp;GE398&amp;GF398&amp;GG398&amp;GH398&amp;GI398</f>
        <v/>
      </c>
      <c r="GB398" s="3" t="inlineStr">
        <is>
          <t>E</t>
        </is>
      </c>
      <c r="GC398" s="3" t="inlineStr">
        <is>
          <t>J</t>
        </is>
      </c>
      <c r="GD398" s="3" t="inlineStr">
        <is>
          <t>B</t>
        </is>
      </c>
      <c r="GE398" s="3" t="inlineStr">
        <is>
          <t>C</t>
        </is>
      </c>
      <c r="GF398" s="3" t="inlineStr">
        <is>
          <t>A</t>
        </is>
      </c>
      <c r="GG398" s="3" t="inlineStr">
        <is>
          <t>H</t>
        </is>
      </c>
      <c r="GH398" s="3" t="inlineStr">
        <is>
          <t>I</t>
        </is>
      </c>
      <c r="GI398" s="3" t="inlineStr">
        <is>
          <t>K</t>
        </is>
      </c>
      <c r="GJ398" s="9">
        <f>VLOOKUP(GB398,$FM$3:$FN$15,2,FALSE)</f>
        <v/>
      </c>
      <c r="GK398" s="9">
        <f>VLOOKUP(GC398,$FM$3:$FN$15,2,FALSE)</f>
        <v/>
      </c>
      <c r="GL398" s="9">
        <f>VLOOKUP(GD398,$FM$3:$FN$15,2,FALSE)</f>
        <v/>
      </c>
      <c r="GM398" s="9">
        <f>VLOOKUP(GE398,$FM$3:$FN$15,2,FALSE)</f>
        <v/>
      </c>
      <c r="GN398" s="9">
        <f>VLOOKUP(GF398,$FM$3:$FN$15,2,FALSE)</f>
        <v/>
      </c>
      <c r="GO398" s="9">
        <f>VLOOKUP(GG398,$FM$3:$FN$15,2,FALSE)</f>
        <v/>
      </c>
      <c r="GP398" s="9">
        <f>VLOOKUP(GH398,$FM$3:$FN$15,2,FALSE)</f>
        <v/>
      </c>
      <c r="GQ398" s="9">
        <f>VLOOKUP(GI398,$FM$3:$FN$15,2,FALSE)</f>
        <v/>
      </c>
      <c r="GR398" s="9">
        <f>IFERROR(IF(AND(VLOOKUP(GB398,$FX$4:$FX$15,1,FALSE)=GB398,VLOOKUP(GC398,$FX$4:$FX$15,1,FALSE)=GC398,VLOOKUP(GD398,$FX$4:$FX$15,1,FALSE)=GD398,VLOOKUP(GE398,$FX$4:$FX$15,1,FALSE)=GE398,VLOOKUP(GF398,$FX$4:$FX$15,1,FALSE)=GF398,VLOOKUP(GG398,$FX$4:$FX$15,1,FALSE)=GG398,VLOOKUP(GH398,$FX$4:$FX$15,1,FALSE)=GH398,VLOOKUP(GI398,$FX$4:$FX$15,1,FALSE)=GI398),FZ398,""),"")</f>
        <v/>
      </c>
    </row>
    <row r="399" ht="14.25" customHeight="1">
      <c r="FZ399" s="79" t="n">
        <v>397</v>
      </c>
      <c r="GA399" s="3">
        <f>GB399&amp;GC399&amp;GD399&amp;GE399&amp;GF399&amp;GG399&amp;GH399&amp;GI399</f>
        <v/>
      </c>
      <c r="GB399" s="3" t="inlineStr">
        <is>
          <t>E</t>
        </is>
      </c>
      <c r="GC399" s="3" t="inlineStr">
        <is>
          <t>J</t>
        </is>
      </c>
      <c r="GD399" s="3" t="inlineStr">
        <is>
          <t>B</t>
        </is>
      </c>
      <c r="GE399" s="3" t="inlineStr">
        <is>
          <t>C</t>
        </is>
      </c>
      <c r="GF399" s="3" t="inlineStr">
        <is>
          <t>A</t>
        </is>
      </c>
      <c r="GG399" s="3" t="inlineStr">
        <is>
          <t>G</t>
        </is>
      </c>
      <c r="GH399" s="3" t="inlineStr">
        <is>
          <t>L</t>
        </is>
      </c>
      <c r="GI399" s="3" t="inlineStr">
        <is>
          <t>K</t>
        </is>
      </c>
      <c r="GJ399" s="9">
        <f>VLOOKUP(GB399,$FM$3:$FN$15,2,FALSE)</f>
        <v/>
      </c>
      <c r="GK399" s="9">
        <f>VLOOKUP(GC399,$FM$3:$FN$15,2,FALSE)</f>
        <v/>
      </c>
      <c r="GL399" s="9">
        <f>VLOOKUP(GD399,$FM$3:$FN$15,2,FALSE)</f>
        <v/>
      </c>
      <c r="GM399" s="9">
        <f>VLOOKUP(GE399,$FM$3:$FN$15,2,FALSE)</f>
        <v/>
      </c>
      <c r="GN399" s="9">
        <f>VLOOKUP(GF399,$FM$3:$FN$15,2,FALSE)</f>
        <v/>
      </c>
      <c r="GO399" s="9">
        <f>VLOOKUP(GG399,$FM$3:$FN$15,2,FALSE)</f>
        <v/>
      </c>
      <c r="GP399" s="9">
        <f>VLOOKUP(GH399,$FM$3:$FN$15,2,FALSE)</f>
        <v/>
      </c>
      <c r="GQ399" s="9">
        <f>VLOOKUP(GI399,$FM$3:$FN$15,2,FALSE)</f>
        <v/>
      </c>
      <c r="GR399" s="9">
        <f>IFERROR(IF(AND(VLOOKUP(GB399,$FX$4:$FX$15,1,FALSE)=GB399,VLOOKUP(GC399,$FX$4:$FX$15,1,FALSE)=GC399,VLOOKUP(GD399,$FX$4:$FX$15,1,FALSE)=GD399,VLOOKUP(GE399,$FX$4:$FX$15,1,FALSE)=GE399,VLOOKUP(GF399,$FX$4:$FX$15,1,FALSE)=GF399,VLOOKUP(GG399,$FX$4:$FX$15,1,FALSE)=GG399,VLOOKUP(GH399,$FX$4:$FX$15,1,FALSE)=GH399,VLOOKUP(GI399,$FX$4:$FX$15,1,FALSE)=GI399),FZ399,""),"")</f>
        <v/>
      </c>
    </row>
    <row r="400" ht="14.25" customHeight="1">
      <c r="FZ400" s="79" t="n">
        <v>398</v>
      </c>
      <c r="GA400" s="3">
        <f>GB400&amp;GC400&amp;GD400&amp;GE400&amp;GF400&amp;GG400&amp;GH400&amp;GI400</f>
        <v/>
      </c>
      <c r="GB400" s="3" t="inlineStr">
        <is>
          <t>E</t>
        </is>
      </c>
      <c r="GC400" s="3" t="inlineStr">
        <is>
          <t>G</t>
        </is>
      </c>
      <c r="GD400" s="3" t="inlineStr">
        <is>
          <t>B</t>
        </is>
      </c>
      <c r="GE400" s="3" t="inlineStr">
        <is>
          <t>A</t>
        </is>
      </c>
      <c r="GF400" s="3" t="inlineStr">
        <is>
          <t>I</t>
        </is>
      </c>
      <c r="GG400" s="3" t="inlineStr">
        <is>
          <t>C</t>
        </is>
      </c>
      <c r="GH400" s="3" t="inlineStr">
        <is>
          <t>L</t>
        </is>
      </c>
      <c r="GI400" s="3" t="inlineStr">
        <is>
          <t>K</t>
        </is>
      </c>
      <c r="GJ400" s="9">
        <f>VLOOKUP(GB400,$FM$3:$FN$15,2,FALSE)</f>
        <v/>
      </c>
      <c r="GK400" s="9">
        <f>VLOOKUP(GC400,$FM$3:$FN$15,2,FALSE)</f>
        <v/>
      </c>
      <c r="GL400" s="9">
        <f>VLOOKUP(GD400,$FM$3:$FN$15,2,FALSE)</f>
        <v/>
      </c>
      <c r="GM400" s="9">
        <f>VLOOKUP(GE400,$FM$3:$FN$15,2,FALSE)</f>
        <v/>
      </c>
      <c r="GN400" s="9">
        <f>VLOOKUP(GF400,$FM$3:$FN$15,2,FALSE)</f>
        <v/>
      </c>
      <c r="GO400" s="9">
        <f>VLOOKUP(GG400,$FM$3:$FN$15,2,FALSE)</f>
        <v/>
      </c>
      <c r="GP400" s="9">
        <f>VLOOKUP(GH400,$FM$3:$FN$15,2,FALSE)</f>
        <v/>
      </c>
      <c r="GQ400" s="9">
        <f>VLOOKUP(GI400,$FM$3:$FN$15,2,FALSE)</f>
        <v/>
      </c>
      <c r="GR400" s="9">
        <f>IFERROR(IF(AND(VLOOKUP(GB400,$FX$4:$FX$15,1,FALSE)=GB400,VLOOKUP(GC400,$FX$4:$FX$15,1,FALSE)=GC400,VLOOKUP(GD400,$FX$4:$FX$15,1,FALSE)=GD400,VLOOKUP(GE400,$FX$4:$FX$15,1,FALSE)=GE400,VLOOKUP(GF400,$FX$4:$FX$15,1,FALSE)=GF400,VLOOKUP(GG400,$FX$4:$FX$15,1,FALSE)=GG400,VLOOKUP(GH400,$FX$4:$FX$15,1,FALSE)=GH400,VLOOKUP(GI400,$FX$4:$FX$15,1,FALSE)=GI400),FZ400,""),"")</f>
        <v/>
      </c>
    </row>
    <row r="401" ht="14.25" customHeight="1">
      <c r="FZ401" s="79" t="n">
        <v>399</v>
      </c>
      <c r="GA401" s="3">
        <f>GB401&amp;GC401&amp;GD401&amp;GE401&amp;GF401&amp;GG401&amp;GH401&amp;GI401</f>
        <v/>
      </c>
      <c r="GB401" s="3" t="inlineStr">
        <is>
          <t>E</t>
        </is>
      </c>
      <c r="GC401" s="3" t="inlineStr">
        <is>
          <t>J</t>
        </is>
      </c>
      <c r="GD401" s="3" t="inlineStr">
        <is>
          <t>B</t>
        </is>
      </c>
      <c r="GE401" s="3" t="inlineStr">
        <is>
          <t>C</t>
        </is>
      </c>
      <c r="GF401" s="3" t="inlineStr">
        <is>
          <t>A</t>
        </is>
      </c>
      <c r="GG401" s="3" t="inlineStr">
        <is>
          <t>G</t>
        </is>
      </c>
      <c r="GH401" s="3" t="inlineStr">
        <is>
          <t>L</t>
        </is>
      </c>
      <c r="GI401" s="3" t="inlineStr">
        <is>
          <t>I</t>
        </is>
      </c>
      <c r="GJ401" s="9">
        <f>VLOOKUP(GB401,$FM$3:$FN$15,2,FALSE)</f>
        <v/>
      </c>
      <c r="GK401" s="9">
        <f>VLOOKUP(GC401,$FM$3:$FN$15,2,FALSE)</f>
        <v/>
      </c>
      <c r="GL401" s="9">
        <f>VLOOKUP(GD401,$FM$3:$FN$15,2,FALSE)</f>
        <v/>
      </c>
      <c r="GM401" s="9">
        <f>VLOOKUP(GE401,$FM$3:$FN$15,2,FALSE)</f>
        <v/>
      </c>
      <c r="GN401" s="9">
        <f>VLOOKUP(GF401,$FM$3:$FN$15,2,FALSE)</f>
        <v/>
      </c>
      <c r="GO401" s="9">
        <f>VLOOKUP(GG401,$FM$3:$FN$15,2,FALSE)</f>
        <v/>
      </c>
      <c r="GP401" s="9">
        <f>VLOOKUP(GH401,$FM$3:$FN$15,2,FALSE)</f>
        <v/>
      </c>
      <c r="GQ401" s="9">
        <f>VLOOKUP(GI401,$FM$3:$FN$15,2,FALSE)</f>
        <v/>
      </c>
      <c r="GR401" s="9">
        <f>IFERROR(IF(AND(VLOOKUP(GB401,$FX$4:$FX$15,1,FALSE)=GB401,VLOOKUP(GC401,$FX$4:$FX$15,1,FALSE)=GC401,VLOOKUP(GD401,$FX$4:$FX$15,1,FALSE)=GD401,VLOOKUP(GE401,$FX$4:$FX$15,1,FALSE)=GE401,VLOOKUP(GF401,$FX$4:$FX$15,1,FALSE)=GF401,VLOOKUP(GG401,$FX$4:$FX$15,1,FALSE)=GG401,VLOOKUP(GH401,$FX$4:$FX$15,1,FALSE)=GH401,VLOOKUP(GI401,$FX$4:$FX$15,1,FALSE)=GI401),FZ401,""),"")</f>
        <v/>
      </c>
    </row>
    <row r="402" ht="14.25" customHeight="1">
      <c r="FZ402" s="79" t="n">
        <v>400</v>
      </c>
      <c r="GA402" s="3">
        <f>GB402&amp;GC402&amp;GD402&amp;GE402&amp;GF402&amp;GG402&amp;GH402&amp;GI402</f>
        <v/>
      </c>
      <c r="GB402" s="3" t="inlineStr">
        <is>
          <t>E</t>
        </is>
      </c>
      <c r="GC402" s="3" t="inlineStr">
        <is>
          <t>J</t>
        </is>
      </c>
      <c r="GD402" s="3" t="inlineStr">
        <is>
          <t>B</t>
        </is>
      </c>
      <c r="GE402" s="3" t="inlineStr">
        <is>
          <t>C</t>
        </is>
      </c>
      <c r="GF402" s="3" t="inlineStr">
        <is>
          <t>A</t>
        </is>
      </c>
      <c r="GG402" s="3" t="inlineStr">
        <is>
          <t>G</t>
        </is>
      </c>
      <c r="GH402" s="3" t="inlineStr">
        <is>
          <t>I</t>
        </is>
      </c>
      <c r="GI402" s="3" t="inlineStr">
        <is>
          <t>K</t>
        </is>
      </c>
      <c r="GJ402" s="9">
        <f>VLOOKUP(GB402,$FM$3:$FN$15,2,FALSE)</f>
        <v/>
      </c>
      <c r="GK402" s="9">
        <f>VLOOKUP(GC402,$FM$3:$FN$15,2,FALSE)</f>
        <v/>
      </c>
      <c r="GL402" s="9">
        <f>VLOOKUP(GD402,$FM$3:$FN$15,2,FALSE)</f>
        <v/>
      </c>
      <c r="GM402" s="9">
        <f>VLOOKUP(GE402,$FM$3:$FN$15,2,FALSE)</f>
        <v/>
      </c>
      <c r="GN402" s="9">
        <f>VLOOKUP(GF402,$FM$3:$FN$15,2,FALSE)</f>
        <v/>
      </c>
      <c r="GO402" s="9">
        <f>VLOOKUP(GG402,$FM$3:$FN$15,2,FALSE)</f>
        <v/>
      </c>
      <c r="GP402" s="9">
        <f>VLOOKUP(GH402,$FM$3:$FN$15,2,FALSE)</f>
        <v/>
      </c>
      <c r="GQ402" s="9">
        <f>VLOOKUP(GI402,$FM$3:$FN$15,2,FALSE)</f>
        <v/>
      </c>
      <c r="GR402" s="9">
        <f>IFERROR(IF(AND(VLOOKUP(GB402,$FX$4:$FX$15,1,FALSE)=GB402,VLOOKUP(GC402,$FX$4:$FX$15,1,FALSE)=GC402,VLOOKUP(GD402,$FX$4:$FX$15,1,FALSE)=GD402,VLOOKUP(GE402,$FX$4:$FX$15,1,FALSE)=GE402,VLOOKUP(GF402,$FX$4:$FX$15,1,FALSE)=GF402,VLOOKUP(GG402,$FX$4:$FX$15,1,FALSE)=GG402,VLOOKUP(GH402,$FX$4:$FX$15,1,FALSE)=GH402,VLOOKUP(GI402,$FX$4:$FX$15,1,FALSE)=GI402),FZ402,""),"")</f>
        <v/>
      </c>
    </row>
    <row r="403" ht="14.25" customHeight="1">
      <c r="FZ403" s="79" t="n">
        <v>401</v>
      </c>
      <c r="GA403" s="3">
        <f>GB403&amp;GC403&amp;GD403&amp;GE403&amp;GF403&amp;GG403&amp;GH403&amp;GI403</f>
        <v/>
      </c>
      <c r="GB403" s="3" t="inlineStr">
        <is>
          <t>E</t>
        </is>
      </c>
      <c r="GC403" s="3" t="inlineStr">
        <is>
          <t>G</t>
        </is>
      </c>
      <c r="GD403" s="3" t="inlineStr">
        <is>
          <t>B</t>
        </is>
      </c>
      <c r="GE403" s="3" t="inlineStr">
        <is>
          <t>C</t>
        </is>
      </c>
      <c r="GF403" s="3" t="inlineStr">
        <is>
          <t>A</t>
        </is>
      </c>
      <c r="GG403" s="3" t="inlineStr">
        <is>
          <t>H</t>
        </is>
      </c>
      <c r="GH403" s="3" t="inlineStr">
        <is>
          <t>L</t>
        </is>
      </c>
      <c r="GI403" s="3" t="inlineStr">
        <is>
          <t>K</t>
        </is>
      </c>
      <c r="GJ403" s="9">
        <f>VLOOKUP(GB403,$FM$3:$FN$15,2,FALSE)</f>
        <v/>
      </c>
      <c r="GK403" s="9">
        <f>VLOOKUP(GC403,$FM$3:$FN$15,2,FALSE)</f>
        <v/>
      </c>
      <c r="GL403" s="9">
        <f>VLOOKUP(GD403,$FM$3:$FN$15,2,FALSE)</f>
        <v/>
      </c>
      <c r="GM403" s="9">
        <f>VLOOKUP(GE403,$FM$3:$FN$15,2,FALSE)</f>
        <v/>
      </c>
      <c r="GN403" s="9">
        <f>VLOOKUP(GF403,$FM$3:$FN$15,2,FALSE)</f>
        <v/>
      </c>
      <c r="GO403" s="9">
        <f>VLOOKUP(GG403,$FM$3:$FN$15,2,FALSE)</f>
        <v/>
      </c>
      <c r="GP403" s="9">
        <f>VLOOKUP(GH403,$FM$3:$FN$15,2,FALSE)</f>
        <v/>
      </c>
      <c r="GQ403" s="9">
        <f>VLOOKUP(GI403,$FM$3:$FN$15,2,FALSE)</f>
        <v/>
      </c>
      <c r="GR403" s="9">
        <f>IFERROR(IF(AND(VLOOKUP(GB403,$FX$4:$FX$15,1,FALSE)=GB403,VLOOKUP(GC403,$FX$4:$FX$15,1,FALSE)=GC403,VLOOKUP(GD403,$FX$4:$FX$15,1,FALSE)=GD403,VLOOKUP(GE403,$FX$4:$FX$15,1,FALSE)=GE403,VLOOKUP(GF403,$FX$4:$FX$15,1,FALSE)=GF403,VLOOKUP(GG403,$FX$4:$FX$15,1,FALSE)=GG403,VLOOKUP(GH403,$FX$4:$FX$15,1,FALSE)=GH403,VLOOKUP(GI403,$FX$4:$FX$15,1,FALSE)=GI403),FZ403,""),"")</f>
        <v/>
      </c>
    </row>
    <row r="404" ht="14.25" customHeight="1">
      <c r="FZ404" s="79" t="n">
        <v>402</v>
      </c>
      <c r="GA404" s="3">
        <f>GB404&amp;GC404&amp;GD404&amp;GE404&amp;GF404&amp;GG404&amp;GH404&amp;GI404</f>
        <v/>
      </c>
      <c r="GB404" s="3" t="inlineStr">
        <is>
          <t>H</t>
        </is>
      </c>
      <c r="GC404" s="3" t="inlineStr">
        <is>
          <t>J</t>
        </is>
      </c>
      <c r="GD404" s="3" t="inlineStr">
        <is>
          <t>B</t>
        </is>
      </c>
      <c r="GE404" s="3" t="inlineStr">
        <is>
          <t>C</t>
        </is>
      </c>
      <c r="GF404" s="3" t="inlineStr">
        <is>
          <t>A</t>
        </is>
      </c>
      <c r="GG404" s="3" t="inlineStr">
        <is>
          <t>G</t>
        </is>
      </c>
      <c r="GH404" s="3" t="inlineStr">
        <is>
          <t>L</t>
        </is>
      </c>
      <c r="GI404" s="3" t="inlineStr">
        <is>
          <t>E</t>
        </is>
      </c>
      <c r="GJ404" s="9">
        <f>VLOOKUP(GB404,$FM$3:$FN$15,2,FALSE)</f>
        <v/>
      </c>
      <c r="GK404" s="9">
        <f>VLOOKUP(GC404,$FM$3:$FN$15,2,FALSE)</f>
        <v/>
      </c>
      <c r="GL404" s="9">
        <f>VLOOKUP(GD404,$FM$3:$FN$15,2,FALSE)</f>
        <v/>
      </c>
      <c r="GM404" s="9">
        <f>VLOOKUP(GE404,$FM$3:$FN$15,2,FALSE)</f>
        <v/>
      </c>
      <c r="GN404" s="9">
        <f>VLOOKUP(GF404,$FM$3:$FN$15,2,FALSE)</f>
        <v/>
      </c>
      <c r="GO404" s="9">
        <f>VLOOKUP(GG404,$FM$3:$FN$15,2,FALSE)</f>
        <v/>
      </c>
      <c r="GP404" s="9">
        <f>VLOOKUP(GH404,$FM$3:$FN$15,2,FALSE)</f>
        <v/>
      </c>
      <c r="GQ404" s="9">
        <f>VLOOKUP(GI404,$FM$3:$FN$15,2,FALSE)</f>
        <v/>
      </c>
      <c r="GR404" s="9">
        <f>IFERROR(IF(AND(VLOOKUP(GB404,$FX$4:$FX$15,1,FALSE)=GB404,VLOOKUP(GC404,$FX$4:$FX$15,1,FALSE)=GC404,VLOOKUP(GD404,$FX$4:$FX$15,1,FALSE)=GD404,VLOOKUP(GE404,$FX$4:$FX$15,1,FALSE)=GE404,VLOOKUP(GF404,$FX$4:$FX$15,1,FALSE)=GF404,VLOOKUP(GG404,$FX$4:$FX$15,1,FALSE)=GG404,VLOOKUP(GH404,$FX$4:$FX$15,1,FALSE)=GH404,VLOOKUP(GI404,$FX$4:$FX$15,1,FALSE)=GI404),FZ404,""),"")</f>
        <v/>
      </c>
    </row>
    <row r="405" ht="14.25" customHeight="1">
      <c r="FZ405" s="79" t="n">
        <v>403</v>
      </c>
      <c r="GA405" s="3">
        <f>GB405&amp;GC405&amp;GD405&amp;GE405&amp;GF405&amp;GG405&amp;GH405&amp;GI405</f>
        <v/>
      </c>
      <c r="GB405" s="3" t="inlineStr">
        <is>
          <t>H</t>
        </is>
      </c>
      <c r="GC405" s="3" t="inlineStr">
        <is>
          <t>J</t>
        </is>
      </c>
      <c r="GD405" s="3" t="inlineStr">
        <is>
          <t>B</t>
        </is>
      </c>
      <c r="GE405" s="3" t="inlineStr">
        <is>
          <t>C</t>
        </is>
      </c>
      <c r="GF405" s="3" t="inlineStr">
        <is>
          <t>A</t>
        </is>
      </c>
      <c r="GG405" s="3" t="inlineStr">
        <is>
          <t>G</t>
        </is>
      </c>
      <c r="GH405" s="3" t="inlineStr">
        <is>
          <t>E</t>
        </is>
      </c>
      <c r="GI405" s="3" t="inlineStr">
        <is>
          <t>K</t>
        </is>
      </c>
      <c r="GJ405" s="9">
        <f>VLOOKUP(GB405,$FM$3:$FN$15,2,FALSE)</f>
        <v/>
      </c>
      <c r="GK405" s="9">
        <f>VLOOKUP(GC405,$FM$3:$FN$15,2,FALSE)</f>
        <v/>
      </c>
      <c r="GL405" s="9">
        <f>VLOOKUP(GD405,$FM$3:$FN$15,2,FALSE)</f>
        <v/>
      </c>
      <c r="GM405" s="9">
        <f>VLOOKUP(GE405,$FM$3:$FN$15,2,FALSE)</f>
        <v/>
      </c>
      <c r="GN405" s="9">
        <f>VLOOKUP(GF405,$FM$3:$FN$15,2,FALSE)</f>
        <v/>
      </c>
      <c r="GO405" s="9">
        <f>VLOOKUP(GG405,$FM$3:$FN$15,2,FALSE)</f>
        <v/>
      </c>
      <c r="GP405" s="9">
        <f>VLOOKUP(GH405,$FM$3:$FN$15,2,FALSE)</f>
        <v/>
      </c>
      <c r="GQ405" s="9">
        <f>VLOOKUP(GI405,$FM$3:$FN$15,2,FALSE)</f>
        <v/>
      </c>
      <c r="GR405" s="9">
        <f>IFERROR(IF(AND(VLOOKUP(GB405,$FX$4:$FX$15,1,FALSE)=GB405,VLOOKUP(GC405,$FX$4:$FX$15,1,FALSE)=GC405,VLOOKUP(GD405,$FX$4:$FX$15,1,FALSE)=GD405,VLOOKUP(GE405,$FX$4:$FX$15,1,FALSE)=GE405,VLOOKUP(GF405,$FX$4:$FX$15,1,FALSE)=GF405,VLOOKUP(GG405,$FX$4:$FX$15,1,FALSE)=GG405,VLOOKUP(GH405,$FX$4:$FX$15,1,FALSE)=GH405,VLOOKUP(GI405,$FX$4:$FX$15,1,FALSE)=GI405),FZ405,""),"")</f>
        <v/>
      </c>
    </row>
    <row r="406" ht="14.25" customHeight="1">
      <c r="FZ406" s="79" t="n">
        <v>404</v>
      </c>
      <c r="GA406" s="3">
        <f>GB406&amp;GC406&amp;GD406&amp;GE406&amp;GF406&amp;GG406&amp;GH406&amp;GI406</f>
        <v/>
      </c>
      <c r="GB406" s="3" t="inlineStr">
        <is>
          <t>E</t>
        </is>
      </c>
      <c r="GC406" s="3" t="inlineStr">
        <is>
          <t>G</t>
        </is>
      </c>
      <c r="GD406" s="3" t="inlineStr">
        <is>
          <t>B</t>
        </is>
      </c>
      <c r="GE406" s="3" t="inlineStr">
        <is>
          <t>C</t>
        </is>
      </c>
      <c r="GF406" s="3" t="inlineStr">
        <is>
          <t>A</t>
        </is>
      </c>
      <c r="GG406" s="3" t="inlineStr">
        <is>
          <t>H</t>
        </is>
      </c>
      <c r="GH406" s="3" t="inlineStr">
        <is>
          <t>L</t>
        </is>
      </c>
      <c r="GI406" s="3" t="inlineStr">
        <is>
          <t>I</t>
        </is>
      </c>
      <c r="GJ406" s="9">
        <f>VLOOKUP(GB406,$FM$3:$FN$15,2,FALSE)</f>
        <v/>
      </c>
      <c r="GK406" s="9">
        <f>VLOOKUP(GC406,$FM$3:$FN$15,2,FALSE)</f>
        <v/>
      </c>
      <c r="GL406" s="9">
        <f>VLOOKUP(GD406,$FM$3:$FN$15,2,FALSE)</f>
        <v/>
      </c>
      <c r="GM406" s="9">
        <f>VLOOKUP(GE406,$FM$3:$FN$15,2,FALSE)</f>
        <v/>
      </c>
      <c r="GN406" s="9">
        <f>VLOOKUP(GF406,$FM$3:$FN$15,2,FALSE)</f>
        <v/>
      </c>
      <c r="GO406" s="9">
        <f>VLOOKUP(GG406,$FM$3:$FN$15,2,FALSE)</f>
        <v/>
      </c>
      <c r="GP406" s="9">
        <f>VLOOKUP(GH406,$FM$3:$FN$15,2,FALSE)</f>
        <v/>
      </c>
      <c r="GQ406" s="9">
        <f>VLOOKUP(GI406,$FM$3:$FN$15,2,FALSE)</f>
        <v/>
      </c>
      <c r="GR406" s="9">
        <f>IFERROR(IF(AND(VLOOKUP(GB406,$FX$4:$FX$15,1,FALSE)=GB406,VLOOKUP(GC406,$FX$4:$FX$15,1,FALSE)=GC406,VLOOKUP(GD406,$FX$4:$FX$15,1,FALSE)=GD406,VLOOKUP(GE406,$FX$4:$FX$15,1,FALSE)=GE406,VLOOKUP(GF406,$FX$4:$FX$15,1,FALSE)=GF406,VLOOKUP(GG406,$FX$4:$FX$15,1,FALSE)=GG406,VLOOKUP(GH406,$FX$4:$FX$15,1,FALSE)=GH406,VLOOKUP(GI406,$FX$4:$FX$15,1,FALSE)=GI406),FZ406,""),"")</f>
        <v/>
      </c>
    </row>
    <row r="407" ht="14.25" customHeight="1">
      <c r="FZ407" s="79" t="n">
        <v>405</v>
      </c>
      <c r="GA407" s="3">
        <f>GB407&amp;GC407&amp;GD407&amp;GE407&amp;GF407&amp;GG407&amp;GH407&amp;GI407</f>
        <v/>
      </c>
      <c r="GB407" s="3" t="inlineStr">
        <is>
          <t>E</t>
        </is>
      </c>
      <c r="GC407" s="3" t="inlineStr">
        <is>
          <t>G</t>
        </is>
      </c>
      <c r="GD407" s="3" t="inlineStr">
        <is>
          <t>B</t>
        </is>
      </c>
      <c r="GE407" s="3" t="inlineStr">
        <is>
          <t>C</t>
        </is>
      </c>
      <c r="GF407" s="3" t="inlineStr">
        <is>
          <t>A</t>
        </is>
      </c>
      <c r="GG407" s="3" t="inlineStr">
        <is>
          <t>H</t>
        </is>
      </c>
      <c r="GH407" s="3" t="inlineStr">
        <is>
          <t>I</t>
        </is>
      </c>
      <c r="GI407" s="3" t="inlineStr">
        <is>
          <t>K</t>
        </is>
      </c>
      <c r="GJ407" s="9">
        <f>VLOOKUP(GB407,$FM$3:$FN$15,2,FALSE)</f>
        <v/>
      </c>
      <c r="GK407" s="9">
        <f>VLOOKUP(GC407,$FM$3:$FN$15,2,FALSE)</f>
        <v/>
      </c>
      <c r="GL407" s="9">
        <f>VLOOKUP(GD407,$FM$3:$FN$15,2,FALSE)</f>
        <v/>
      </c>
      <c r="GM407" s="9">
        <f>VLOOKUP(GE407,$FM$3:$FN$15,2,FALSE)</f>
        <v/>
      </c>
      <c r="GN407" s="9">
        <f>VLOOKUP(GF407,$FM$3:$FN$15,2,FALSE)</f>
        <v/>
      </c>
      <c r="GO407" s="9">
        <f>VLOOKUP(GG407,$FM$3:$FN$15,2,FALSE)</f>
        <v/>
      </c>
      <c r="GP407" s="9">
        <f>VLOOKUP(GH407,$FM$3:$FN$15,2,FALSE)</f>
        <v/>
      </c>
      <c r="GQ407" s="9">
        <f>VLOOKUP(GI407,$FM$3:$FN$15,2,FALSE)</f>
        <v/>
      </c>
      <c r="GR407" s="9">
        <f>IFERROR(IF(AND(VLOOKUP(GB407,$FX$4:$FX$15,1,FALSE)=GB407,VLOOKUP(GC407,$FX$4:$FX$15,1,FALSE)=GC407,VLOOKUP(GD407,$FX$4:$FX$15,1,FALSE)=GD407,VLOOKUP(GE407,$FX$4:$FX$15,1,FALSE)=GE407,VLOOKUP(GF407,$FX$4:$FX$15,1,FALSE)=GF407,VLOOKUP(GG407,$FX$4:$FX$15,1,FALSE)=GG407,VLOOKUP(GH407,$FX$4:$FX$15,1,FALSE)=GH407,VLOOKUP(GI407,$FX$4:$FX$15,1,FALSE)=GI407),FZ407,""),"")</f>
        <v/>
      </c>
    </row>
    <row r="408" ht="14.25" customHeight="1">
      <c r="FZ408" s="79" t="n">
        <v>406</v>
      </c>
      <c r="GA408" s="3">
        <f>GB408&amp;GC408&amp;GD408&amp;GE408&amp;GF408&amp;GG408&amp;GH408&amp;GI408</f>
        <v/>
      </c>
      <c r="GB408" s="3" t="inlineStr">
        <is>
          <t>H</t>
        </is>
      </c>
      <c r="GC408" s="3" t="inlineStr">
        <is>
          <t>J</t>
        </is>
      </c>
      <c r="GD408" s="3" t="inlineStr">
        <is>
          <t>B</t>
        </is>
      </c>
      <c r="GE408" s="3" t="inlineStr">
        <is>
          <t>C</t>
        </is>
      </c>
      <c r="GF408" s="3" t="inlineStr">
        <is>
          <t>A</t>
        </is>
      </c>
      <c r="GG408" s="3" t="inlineStr">
        <is>
          <t>G</t>
        </is>
      </c>
      <c r="GH408" s="3" t="inlineStr">
        <is>
          <t>E</t>
        </is>
      </c>
      <c r="GI408" s="3" t="inlineStr">
        <is>
          <t>I</t>
        </is>
      </c>
      <c r="GJ408" s="9">
        <f>VLOOKUP(GB408,$FM$3:$FN$15,2,FALSE)</f>
        <v/>
      </c>
      <c r="GK408" s="9">
        <f>VLOOKUP(GC408,$FM$3:$FN$15,2,FALSE)</f>
        <v/>
      </c>
      <c r="GL408" s="9">
        <f>VLOOKUP(GD408,$FM$3:$FN$15,2,FALSE)</f>
        <v/>
      </c>
      <c r="GM408" s="9">
        <f>VLOOKUP(GE408,$FM$3:$FN$15,2,FALSE)</f>
        <v/>
      </c>
      <c r="GN408" s="9">
        <f>VLOOKUP(GF408,$FM$3:$FN$15,2,FALSE)</f>
        <v/>
      </c>
      <c r="GO408" s="9">
        <f>VLOOKUP(GG408,$FM$3:$FN$15,2,FALSE)</f>
        <v/>
      </c>
      <c r="GP408" s="9">
        <f>VLOOKUP(GH408,$FM$3:$FN$15,2,FALSE)</f>
        <v/>
      </c>
      <c r="GQ408" s="9">
        <f>VLOOKUP(GI408,$FM$3:$FN$15,2,FALSE)</f>
        <v/>
      </c>
      <c r="GR408" s="9">
        <f>IFERROR(IF(AND(VLOOKUP(GB408,$FX$4:$FX$15,1,FALSE)=GB408,VLOOKUP(GC408,$FX$4:$FX$15,1,FALSE)=GC408,VLOOKUP(GD408,$FX$4:$FX$15,1,FALSE)=GD408,VLOOKUP(GE408,$FX$4:$FX$15,1,FALSE)=GE408,VLOOKUP(GF408,$FX$4:$FX$15,1,FALSE)=GF408,VLOOKUP(GG408,$FX$4:$FX$15,1,FALSE)=GG408,VLOOKUP(GH408,$FX$4:$FX$15,1,FALSE)=GH408,VLOOKUP(GI408,$FX$4:$FX$15,1,FALSE)=GI408),FZ408,""),"")</f>
        <v/>
      </c>
    </row>
    <row r="409" ht="14.25" customHeight="1">
      <c r="FZ409" s="79" t="n">
        <v>407</v>
      </c>
      <c r="GA409" s="3">
        <f>GB409&amp;GC409&amp;GD409&amp;GE409&amp;GF409&amp;GG409&amp;GH409&amp;GI409</f>
        <v/>
      </c>
      <c r="GB409" s="3" t="inlineStr">
        <is>
          <t>E</t>
        </is>
      </c>
      <c r="GC409" s="3" t="inlineStr">
        <is>
          <t>J</t>
        </is>
      </c>
      <c r="GD409" s="3" t="inlineStr">
        <is>
          <t>B</t>
        </is>
      </c>
      <c r="GE409" s="3" t="inlineStr">
        <is>
          <t>C</t>
        </is>
      </c>
      <c r="GF409" s="3" t="inlineStr">
        <is>
          <t>A</t>
        </is>
      </c>
      <c r="GG409" s="3" t="inlineStr">
        <is>
          <t>F</t>
        </is>
      </c>
      <c r="GH409" s="3" t="inlineStr">
        <is>
          <t>L</t>
        </is>
      </c>
      <c r="GI409" s="3" t="inlineStr">
        <is>
          <t>K</t>
        </is>
      </c>
      <c r="GJ409" s="9">
        <f>VLOOKUP(GB409,$FM$3:$FN$15,2,FALSE)</f>
        <v/>
      </c>
      <c r="GK409" s="9">
        <f>VLOOKUP(GC409,$FM$3:$FN$15,2,FALSE)</f>
        <v/>
      </c>
      <c r="GL409" s="9">
        <f>VLOOKUP(GD409,$FM$3:$FN$15,2,FALSE)</f>
        <v/>
      </c>
      <c r="GM409" s="9">
        <f>VLOOKUP(GE409,$FM$3:$FN$15,2,FALSE)</f>
        <v/>
      </c>
      <c r="GN409" s="9">
        <f>VLOOKUP(GF409,$FM$3:$FN$15,2,FALSE)</f>
        <v/>
      </c>
      <c r="GO409" s="9">
        <f>VLOOKUP(GG409,$FM$3:$FN$15,2,FALSE)</f>
        <v/>
      </c>
      <c r="GP409" s="9">
        <f>VLOOKUP(GH409,$FM$3:$FN$15,2,FALSE)</f>
        <v/>
      </c>
      <c r="GQ409" s="9">
        <f>VLOOKUP(GI409,$FM$3:$FN$15,2,FALSE)</f>
        <v/>
      </c>
      <c r="GR409" s="9">
        <f>IFERROR(IF(AND(VLOOKUP(GB409,$FX$4:$FX$15,1,FALSE)=GB409,VLOOKUP(GC409,$FX$4:$FX$15,1,FALSE)=GC409,VLOOKUP(GD409,$FX$4:$FX$15,1,FALSE)=GD409,VLOOKUP(GE409,$FX$4:$FX$15,1,FALSE)=GE409,VLOOKUP(GF409,$FX$4:$FX$15,1,FALSE)=GF409,VLOOKUP(GG409,$FX$4:$FX$15,1,FALSE)=GG409,VLOOKUP(GH409,$FX$4:$FX$15,1,FALSE)=GH409,VLOOKUP(GI409,$FX$4:$FX$15,1,FALSE)=GI409),FZ409,""),"")</f>
        <v/>
      </c>
    </row>
    <row r="410" ht="14.25" customHeight="1">
      <c r="FZ410" s="79" t="n">
        <v>408</v>
      </c>
      <c r="GA410" s="3">
        <f>GB410&amp;GC410&amp;GD410&amp;GE410&amp;GF410&amp;GG410&amp;GH410&amp;GI410</f>
        <v/>
      </c>
      <c r="GB410" s="3" t="inlineStr">
        <is>
          <t>E</t>
        </is>
      </c>
      <c r="GC410" s="3" t="inlineStr">
        <is>
          <t>I</t>
        </is>
      </c>
      <c r="GD410" s="3" t="inlineStr">
        <is>
          <t>B</t>
        </is>
      </c>
      <c r="GE410" s="3" t="inlineStr">
        <is>
          <t>C</t>
        </is>
      </c>
      <c r="GF410" s="3" t="inlineStr">
        <is>
          <t>A</t>
        </is>
      </c>
      <c r="GG410" s="3" t="inlineStr">
        <is>
          <t>F</t>
        </is>
      </c>
      <c r="GH410" s="3" t="inlineStr">
        <is>
          <t>L</t>
        </is>
      </c>
      <c r="GI410" s="3" t="inlineStr">
        <is>
          <t>K</t>
        </is>
      </c>
      <c r="GJ410" s="9">
        <f>VLOOKUP(GB410,$FM$3:$FN$15,2,FALSE)</f>
        <v/>
      </c>
      <c r="GK410" s="9">
        <f>VLOOKUP(GC410,$FM$3:$FN$15,2,FALSE)</f>
        <v/>
      </c>
      <c r="GL410" s="9">
        <f>VLOOKUP(GD410,$FM$3:$FN$15,2,FALSE)</f>
        <v/>
      </c>
      <c r="GM410" s="9">
        <f>VLOOKUP(GE410,$FM$3:$FN$15,2,FALSE)</f>
        <v/>
      </c>
      <c r="GN410" s="9">
        <f>VLOOKUP(GF410,$FM$3:$FN$15,2,FALSE)</f>
        <v/>
      </c>
      <c r="GO410" s="9">
        <f>VLOOKUP(GG410,$FM$3:$FN$15,2,FALSE)</f>
        <v/>
      </c>
      <c r="GP410" s="9">
        <f>VLOOKUP(GH410,$FM$3:$FN$15,2,FALSE)</f>
        <v/>
      </c>
      <c r="GQ410" s="9">
        <f>VLOOKUP(GI410,$FM$3:$FN$15,2,FALSE)</f>
        <v/>
      </c>
      <c r="GR410" s="9">
        <f>IFERROR(IF(AND(VLOOKUP(GB410,$FX$4:$FX$15,1,FALSE)=GB410,VLOOKUP(GC410,$FX$4:$FX$15,1,FALSE)=GC410,VLOOKUP(GD410,$FX$4:$FX$15,1,FALSE)=GD410,VLOOKUP(GE410,$FX$4:$FX$15,1,FALSE)=GE410,VLOOKUP(GF410,$FX$4:$FX$15,1,FALSE)=GF410,VLOOKUP(GG410,$FX$4:$FX$15,1,FALSE)=GG410,VLOOKUP(GH410,$FX$4:$FX$15,1,FALSE)=GH410,VLOOKUP(GI410,$FX$4:$FX$15,1,FALSE)=GI410),FZ410,""),"")</f>
        <v/>
      </c>
    </row>
    <row r="411" ht="14.25" customHeight="1">
      <c r="FZ411" s="79" t="n">
        <v>409</v>
      </c>
      <c r="GA411" s="3">
        <f>GB411&amp;GC411&amp;GD411&amp;GE411&amp;GF411&amp;GG411&amp;GH411&amp;GI411</f>
        <v/>
      </c>
      <c r="GB411" s="3" t="inlineStr">
        <is>
          <t>E</t>
        </is>
      </c>
      <c r="GC411" s="3" t="inlineStr">
        <is>
          <t>J</t>
        </is>
      </c>
      <c r="GD411" s="3" t="inlineStr">
        <is>
          <t>B</t>
        </is>
      </c>
      <c r="GE411" s="3" t="inlineStr">
        <is>
          <t>C</t>
        </is>
      </c>
      <c r="GF411" s="3" t="inlineStr">
        <is>
          <t>A</t>
        </is>
      </c>
      <c r="GG411" s="3" t="inlineStr">
        <is>
          <t>F</t>
        </is>
      </c>
      <c r="GH411" s="3" t="inlineStr">
        <is>
          <t>L</t>
        </is>
      </c>
      <c r="GI411" s="3" t="inlineStr">
        <is>
          <t>I</t>
        </is>
      </c>
      <c r="GJ411" s="9">
        <f>VLOOKUP(GB411,$FM$3:$FN$15,2,FALSE)</f>
        <v/>
      </c>
      <c r="GK411" s="9">
        <f>VLOOKUP(GC411,$FM$3:$FN$15,2,FALSE)</f>
        <v/>
      </c>
      <c r="GL411" s="9">
        <f>VLOOKUP(GD411,$FM$3:$FN$15,2,FALSE)</f>
        <v/>
      </c>
      <c r="GM411" s="9">
        <f>VLOOKUP(GE411,$FM$3:$FN$15,2,FALSE)</f>
        <v/>
      </c>
      <c r="GN411" s="9">
        <f>VLOOKUP(GF411,$FM$3:$FN$15,2,FALSE)</f>
        <v/>
      </c>
      <c r="GO411" s="9">
        <f>VLOOKUP(GG411,$FM$3:$FN$15,2,FALSE)</f>
        <v/>
      </c>
      <c r="GP411" s="9">
        <f>VLOOKUP(GH411,$FM$3:$FN$15,2,FALSE)</f>
        <v/>
      </c>
      <c r="GQ411" s="9">
        <f>VLOOKUP(GI411,$FM$3:$FN$15,2,FALSE)</f>
        <v/>
      </c>
      <c r="GR411" s="9">
        <f>IFERROR(IF(AND(VLOOKUP(GB411,$FX$4:$FX$15,1,FALSE)=GB411,VLOOKUP(GC411,$FX$4:$FX$15,1,FALSE)=GC411,VLOOKUP(GD411,$FX$4:$FX$15,1,FALSE)=GD411,VLOOKUP(GE411,$FX$4:$FX$15,1,FALSE)=GE411,VLOOKUP(GF411,$FX$4:$FX$15,1,FALSE)=GF411,VLOOKUP(GG411,$FX$4:$FX$15,1,FALSE)=GG411,VLOOKUP(GH411,$FX$4:$FX$15,1,FALSE)=GH411,VLOOKUP(GI411,$FX$4:$FX$15,1,FALSE)=GI411),FZ411,""),"")</f>
        <v/>
      </c>
    </row>
    <row r="412" ht="14.25" customHeight="1">
      <c r="FZ412" s="79" t="n">
        <v>410</v>
      </c>
      <c r="GA412" s="3">
        <f>GB412&amp;GC412&amp;GD412&amp;GE412&amp;GF412&amp;GG412&amp;GH412&amp;GI412</f>
        <v/>
      </c>
      <c r="GB412" s="3" t="inlineStr">
        <is>
          <t>E</t>
        </is>
      </c>
      <c r="GC412" s="3" t="inlineStr">
        <is>
          <t>J</t>
        </is>
      </c>
      <c r="GD412" s="3" t="inlineStr">
        <is>
          <t>B</t>
        </is>
      </c>
      <c r="GE412" s="3" t="inlineStr">
        <is>
          <t>C</t>
        </is>
      </c>
      <c r="GF412" s="3" t="inlineStr">
        <is>
          <t>A</t>
        </is>
      </c>
      <c r="GG412" s="3" t="inlineStr">
        <is>
          <t>F</t>
        </is>
      </c>
      <c r="GH412" s="3" t="inlineStr">
        <is>
          <t>I</t>
        </is>
      </c>
      <c r="GI412" s="3" t="inlineStr">
        <is>
          <t>K</t>
        </is>
      </c>
      <c r="GJ412" s="9">
        <f>VLOOKUP(GB412,$FM$3:$FN$15,2,FALSE)</f>
        <v/>
      </c>
      <c r="GK412" s="9">
        <f>VLOOKUP(GC412,$FM$3:$FN$15,2,FALSE)</f>
        <v/>
      </c>
      <c r="GL412" s="9">
        <f>VLOOKUP(GD412,$FM$3:$FN$15,2,FALSE)</f>
        <v/>
      </c>
      <c r="GM412" s="9">
        <f>VLOOKUP(GE412,$FM$3:$FN$15,2,FALSE)</f>
        <v/>
      </c>
      <c r="GN412" s="9">
        <f>VLOOKUP(GF412,$FM$3:$FN$15,2,FALSE)</f>
        <v/>
      </c>
      <c r="GO412" s="9">
        <f>VLOOKUP(GG412,$FM$3:$FN$15,2,FALSE)</f>
        <v/>
      </c>
      <c r="GP412" s="9">
        <f>VLOOKUP(GH412,$FM$3:$FN$15,2,FALSE)</f>
        <v/>
      </c>
      <c r="GQ412" s="9">
        <f>VLOOKUP(GI412,$FM$3:$FN$15,2,FALSE)</f>
        <v/>
      </c>
      <c r="GR412" s="9">
        <f>IFERROR(IF(AND(VLOOKUP(GB412,$FX$4:$FX$15,1,FALSE)=GB412,VLOOKUP(GC412,$FX$4:$FX$15,1,FALSE)=GC412,VLOOKUP(GD412,$FX$4:$FX$15,1,FALSE)=GD412,VLOOKUP(GE412,$FX$4:$FX$15,1,FALSE)=GE412,VLOOKUP(GF412,$FX$4:$FX$15,1,FALSE)=GF412,VLOOKUP(GG412,$FX$4:$FX$15,1,FALSE)=GG412,VLOOKUP(GH412,$FX$4:$FX$15,1,FALSE)=GH412,VLOOKUP(GI412,$FX$4:$FX$15,1,FALSE)=GI412),FZ412,""),"")</f>
        <v/>
      </c>
    </row>
    <row r="413" ht="14.25" customHeight="1">
      <c r="FZ413" s="79" t="n">
        <v>411</v>
      </c>
      <c r="GA413" s="3">
        <f>GB413&amp;GC413&amp;GD413&amp;GE413&amp;GF413&amp;GG413&amp;GH413&amp;GI413</f>
        <v/>
      </c>
      <c r="GB413" s="3" t="inlineStr">
        <is>
          <t>H</t>
        </is>
      </c>
      <c r="GC413" s="3" t="inlineStr">
        <is>
          <t>E</t>
        </is>
      </c>
      <c r="GD413" s="3" t="inlineStr">
        <is>
          <t>B</t>
        </is>
      </c>
      <c r="GE413" s="3" t="inlineStr">
        <is>
          <t>C</t>
        </is>
      </c>
      <c r="GF413" s="3" t="inlineStr">
        <is>
          <t>A</t>
        </is>
      </c>
      <c r="GG413" s="3" t="inlineStr">
        <is>
          <t>F</t>
        </is>
      </c>
      <c r="GH413" s="3" t="inlineStr">
        <is>
          <t>L</t>
        </is>
      </c>
      <c r="GI413" s="3" t="inlineStr">
        <is>
          <t>K</t>
        </is>
      </c>
      <c r="GJ413" s="9">
        <f>VLOOKUP(GB413,$FM$3:$FN$15,2,FALSE)</f>
        <v/>
      </c>
      <c r="GK413" s="9">
        <f>VLOOKUP(GC413,$FM$3:$FN$15,2,FALSE)</f>
        <v/>
      </c>
      <c r="GL413" s="9">
        <f>VLOOKUP(GD413,$FM$3:$FN$15,2,FALSE)</f>
        <v/>
      </c>
      <c r="GM413" s="9">
        <f>VLOOKUP(GE413,$FM$3:$FN$15,2,FALSE)</f>
        <v/>
      </c>
      <c r="GN413" s="9">
        <f>VLOOKUP(GF413,$FM$3:$FN$15,2,FALSE)</f>
        <v/>
      </c>
      <c r="GO413" s="9">
        <f>VLOOKUP(GG413,$FM$3:$FN$15,2,FALSE)</f>
        <v/>
      </c>
      <c r="GP413" s="9">
        <f>VLOOKUP(GH413,$FM$3:$FN$15,2,FALSE)</f>
        <v/>
      </c>
      <c r="GQ413" s="9">
        <f>VLOOKUP(GI413,$FM$3:$FN$15,2,FALSE)</f>
        <v/>
      </c>
      <c r="GR413" s="9">
        <f>IFERROR(IF(AND(VLOOKUP(GB413,$FX$4:$FX$15,1,FALSE)=GB413,VLOOKUP(GC413,$FX$4:$FX$15,1,FALSE)=GC413,VLOOKUP(GD413,$FX$4:$FX$15,1,FALSE)=GD413,VLOOKUP(GE413,$FX$4:$FX$15,1,FALSE)=GE413,VLOOKUP(GF413,$FX$4:$FX$15,1,FALSE)=GF413,VLOOKUP(GG413,$FX$4:$FX$15,1,FALSE)=GG413,VLOOKUP(GH413,$FX$4:$FX$15,1,FALSE)=GH413,VLOOKUP(GI413,$FX$4:$FX$15,1,FALSE)=GI413),FZ413,""),"")</f>
        <v/>
      </c>
    </row>
    <row r="414" ht="14.25" customHeight="1">
      <c r="FZ414" s="79" t="n">
        <v>412</v>
      </c>
      <c r="GA414" s="3">
        <f>GB414&amp;GC414&amp;GD414&amp;GE414&amp;GF414&amp;GG414&amp;GH414&amp;GI414</f>
        <v/>
      </c>
      <c r="GB414" s="3" t="inlineStr">
        <is>
          <t>H</t>
        </is>
      </c>
      <c r="GC414" s="3" t="inlineStr">
        <is>
          <t>J</t>
        </is>
      </c>
      <c r="GD414" s="3" t="inlineStr">
        <is>
          <t>B</t>
        </is>
      </c>
      <c r="GE414" s="3" t="inlineStr">
        <is>
          <t>C</t>
        </is>
      </c>
      <c r="GF414" s="3" t="inlineStr">
        <is>
          <t>A</t>
        </is>
      </c>
      <c r="GG414" s="3" t="inlineStr">
        <is>
          <t>F</t>
        </is>
      </c>
      <c r="GH414" s="3" t="inlineStr">
        <is>
          <t>L</t>
        </is>
      </c>
      <c r="GI414" s="3" t="inlineStr">
        <is>
          <t>E</t>
        </is>
      </c>
      <c r="GJ414" s="9">
        <f>VLOOKUP(GB414,$FM$3:$FN$15,2,FALSE)</f>
        <v/>
      </c>
      <c r="GK414" s="9">
        <f>VLOOKUP(GC414,$FM$3:$FN$15,2,FALSE)</f>
        <v/>
      </c>
      <c r="GL414" s="9">
        <f>VLOOKUP(GD414,$FM$3:$FN$15,2,FALSE)</f>
        <v/>
      </c>
      <c r="GM414" s="9">
        <f>VLOOKUP(GE414,$FM$3:$FN$15,2,FALSE)</f>
        <v/>
      </c>
      <c r="GN414" s="9">
        <f>VLOOKUP(GF414,$FM$3:$FN$15,2,FALSE)</f>
        <v/>
      </c>
      <c r="GO414" s="9">
        <f>VLOOKUP(GG414,$FM$3:$FN$15,2,FALSE)</f>
        <v/>
      </c>
      <c r="GP414" s="9">
        <f>VLOOKUP(GH414,$FM$3:$FN$15,2,FALSE)</f>
        <v/>
      </c>
      <c r="GQ414" s="9">
        <f>VLOOKUP(GI414,$FM$3:$FN$15,2,FALSE)</f>
        <v/>
      </c>
      <c r="GR414" s="9">
        <f>IFERROR(IF(AND(VLOOKUP(GB414,$FX$4:$FX$15,1,FALSE)=GB414,VLOOKUP(GC414,$FX$4:$FX$15,1,FALSE)=GC414,VLOOKUP(GD414,$FX$4:$FX$15,1,FALSE)=GD414,VLOOKUP(GE414,$FX$4:$FX$15,1,FALSE)=GE414,VLOOKUP(GF414,$FX$4:$FX$15,1,FALSE)=GF414,VLOOKUP(GG414,$FX$4:$FX$15,1,FALSE)=GG414,VLOOKUP(GH414,$FX$4:$FX$15,1,FALSE)=GH414,VLOOKUP(GI414,$FX$4:$FX$15,1,FALSE)=GI414),FZ414,""),"")</f>
        <v/>
      </c>
    </row>
    <row r="415" ht="14.25" customHeight="1">
      <c r="FZ415" s="79" t="n">
        <v>413</v>
      </c>
      <c r="GA415" s="3">
        <f>GB415&amp;GC415&amp;GD415&amp;GE415&amp;GF415&amp;GG415&amp;GH415&amp;GI415</f>
        <v/>
      </c>
      <c r="GB415" s="3" t="inlineStr">
        <is>
          <t>H</t>
        </is>
      </c>
      <c r="GC415" s="3" t="inlineStr">
        <is>
          <t>J</t>
        </is>
      </c>
      <c r="GD415" s="3" t="inlineStr">
        <is>
          <t>B</t>
        </is>
      </c>
      <c r="GE415" s="3" t="inlineStr">
        <is>
          <t>C</t>
        </is>
      </c>
      <c r="GF415" s="3" t="inlineStr">
        <is>
          <t>A</t>
        </is>
      </c>
      <c r="GG415" s="3" t="inlineStr">
        <is>
          <t>F</t>
        </is>
      </c>
      <c r="GH415" s="3" t="inlineStr">
        <is>
          <t>E</t>
        </is>
      </c>
      <c r="GI415" s="3" t="inlineStr">
        <is>
          <t>K</t>
        </is>
      </c>
      <c r="GJ415" s="9">
        <f>VLOOKUP(GB415,$FM$3:$FN$15,2,FALSE)</f>
        <v/>
      </c>
      <c r="GK415" s="9">
        <f>VLOOKUP(GC415,$FM$3:$FN$15,2,FALSE)</f>
        <v/>
      </c>
      <c r="GL415" s="9">
        <f>VLOOKUP(GD415,$FM$3:$FN$15,2,FALSE)</f>
        <v/>
      </c>
      <c r="GM415" s="9">
        <f>VLOOKUP(GE415,$FM$3:$FN$15,2,FALSE)</f>
        <v/>
      </c>
      <c r="GN415" s="9">
        <f>VLOOKUP(GF415,$FM$3:$FN$15,2,FALSE)</f>
        <v/>
      </c>
      <c r="GO415" s="9">
        <f>VLOOKUP(GG415,$FM$3:$FN$15,2,FALSE)</f>
        <v/>
      </c>
      <c r="GP415" s="9">
        <f>VLOOKUP(GH415,$FM$3:$FN$15,2,FALSE)</f>
        <v/>
      </c>
      <c r="GQ415" s="9">
        <f>VLOOKUP(GI415,$FM$3:$FN$15,2,FALSE)</f>
        <v/>
      </c>
      <c r="GR415" s="9">
        <f>IFERROR(IF(AND(VLOOKUP(GB415,$FX$4:$FX$15,1,FALSE)=GB415,VLOOKUP(GC415,$FX$4:$FX$15,1,FALSE)=GC415,VLOOKUP(GD415,$FX$4:$FX$15,1,FALSE)=GD415,VLOOKUP(GE415,$FX$4:$FX$15,1,FALSE)=GE415,VLOOKUP(GF415,$FX$4:$FX$15,1,FALSE)=GF415,VLOOKUP(GG415,$FX$4:$FX$15,1,FALSE)=GG415,VLOOKUP(GH415,$FX$4:$FX$15,1,FALSE)=GH415,VLOOKUP(GI415,$FX$4:$FX$15,1,FALSE)=GI415),FZ415,""),"")</f>
        <v/>
      </c>
    </row>
    <row r="416" ht="14.25" customHeight="1">
      <c r="FZ416" s="79" t="n">
        <v>414</v>
      </c>
      <c r="GA416" s="3">
        <f>GB416&amp;GC416&amp;GD416&amp;GE416&amp;GF416&amp;GG416&amp;GH416&amp;GI416</f>
        <v/>
      </c>
      <c r="GB416" s="3" t="inlineStr">
        <is>
          <t>H</t>
        </is>
      </c>
      <c r="GC416" s="3" t="inlineStr">
        <is>
          <t>E</t>
        </is>
      </c>
      <c r="GD416" s="3" t="inlineStr">
        <is>
          <t>B</t>
        </is>
      </c>
      <c r="GE416" s="3" t="inlineStr">
        <is>
          <t>C</t>
        </is>
      </c>
      <c r="GF416" s="3" t="inlineStr">
        <is>
          <t>A</t>
        </is>
      </c>
      <c r="GG416" s="3" t="inlineStr">
        <is>
          <t>F</t>
        </is>
      </c>
      <c r="GH416" s="3" t="inlineStr">
        <is>
          <t>L</t>
        </is>
      </c>
      <c r="GI416" s="3" t="inlineStr">
        <is>
          <t>I</t>
        </is>
      </c>
      <c r="GJ416" s="9">
        <f>VLOOKUP(GB416,$FM$3:$FN$15,2,FALSE)</f>
        <v/>
      </c>
      <c r="GK416" s="9">
        <f>VLOOKUP(GC416,$FM$3:$FN$15,2,FALSE)</f>
        <v/>
      </c>
      <c r="GL416" s="9">
        <f>VLOOKUP(GD416,$FM$3:$FN$15,2,FALSE)</f>
        <v/>
      </c>
      <c r="GM416" s="9">
        <f>VLOOKUP(GE416,$FM$3:$FN$15,2,FALSE)</f>
        <v/>
      </c>
      <c r="GN416" s="9">
        <f>VLOOKUP(GF416,$FM$3:$FN$15,2,FALSE)</f>
        <v/>
      </c>
      <c r="GO416" s="9">
        <f>VLOOKUP(GG416,$FM$3:$FN$15,2,FALSE)</f>
        <v/>
      </c>
      <c r="GP416" s="9">
        <f>VLOOKUP(GH416,$FM$3:$FN$15,2,FALSE)</f>
        <v/>
      </c>
      <c r="GQ416" s="9">
        <f>VLOOKUP(GI416,$FM$3:$FN$15,2,FALSE)</f>
        <v/>
      </c>
      <c r="GR416" s="9">
        <f>IFERROR(IF(AND(VLOOKUP(GB416,$FX$4:$FX$15,1,FALSE)=GB416,VLOOKUP(GC416,$FX$4:$FX$15,1,FALSE)=GC416,VLOOKUP(GD416,$FX$4:$FX$15,1,FALSE)=GD416,VLOOKUP(GE416,$FX$4:$FX$15,1,FALSE)=GE416,VLOOKUP(GF416,$FX$4:$FX$15,1,FALSE)=GF416,VLOOKUP(GG416,$FX$4:$FX$15,1,FALSE)=GG416,VLOOKUP(GH416,$FX$4:$FX$15,1,FALSE)=GH416,VLOOKUP(GI416,$FX$4:$FX$15,1,FALSE)=GI416),FZ416,""),"")</f>
        <v/>
      </c>
    </row>
    <row r="417" ht="14.25" customHeight="1">
      <c r="FZ417" s="79" t="n">
        <v>415</v>
      </c>
      <c r="GA417" s="3">
        <f>GB417&amp;GC417&amp;GD417&amp;GE417&amp;GF417&amp;GG417&amp;GH417&amp;GI417</f>
        <v/>
      </c>
      <c r="GB417" s="3" t="inlineStr">
        <is>
          <t>H</t>
        </is>
      </c>
      <c r="GC417" s="3" t="inlineStr">
        <is>
          <t>E</t>
        </is>
      </c>
      <c r="GD417" s="3" t="inlineStr">
        <is>
          <t>B</t>
        </is>
      </c>
      <c r="GE417" s="3" t="inlineStr">
        <is>
          <t>C</t>
        </is>
      </c>
      <c r="GF417" s="3" t="inlineStr">
        <is>
          <t>A</t>
        </is>
      </c>
      <c r="GG417" s="3" t="inlineStr">
        <is>
          <t>F</t>
        </is>
      </c>
      <c r="GH417" s="3" t="inlineStr">
        <is>
          <t>I</t>
        </is>
      </c>
      <c r="GI417" s="3" t="inlineStr">
        <is>
          <t>K</t>
        </is>
      </c>
      <c r="GJ417" s="9">
        <f>VLOOKUP(GB417,$FM$3:$FN$15,2,FALSE)</f>
        <v/>
      </c>
      <c r="GK417" s="9">
        <f>VLOOKUP(GC417,$FM$3:$FN$15,2,FALSE)</f>
        <v/>
      </c>
      <c r="GL417" s="9">
        <f>VLOOKUP(GD417,$FM$3:$FN$15,2,FALSE)</f>
        <v/>
      </c>
      <c r="GM417" s="9">
        <f>VLOOKUP(GE417,$FM$3:$FN$15,2,FALSE)</f>
        <v/>
      </c>
      <c r="GN417" s="9">
        <f>VLOOKUP(GF417,$FM$3:$FN$15,2,FALSE)</f>
        <v/>
      </c>
      <c r="GO417" s="9">
        <f>VLOOKUP(GG417,$FM$3:$FN$15,2,FALSE)</f>
        <v/>
      </c>
      <c r="GP417" s="9">
        <f>VLOOKUP(GH417,$FM$3:$FN$15,2,FALSE)</f>
        <v/>
      </c>
      <c r="GQ417" s="9">
        <f>VLOOKUP(GI417,$FM$3:$FN$15,2,FALSE)</f>
        <v/>
      </c>
      <c r="GR417" s="9">
        <f>IFERROR(IF(AND(VLOOKUP(GB417,$FX$4:$FX$15,1,FALSE)=GB417,VLOOKUP(GC417,$FX$4:$FX$15,1,FALSE)=GC417,VLOOKUP(GD417,$FX$4:$FX$15,1,FALSE)=GD417,VLOOKUP(GE417,$FX$4:$FX$15,1,FALSE)=GE417,VLOOKUP(GF417,$FX$4:$FX$15,1,FALSE)=GF417,VLOOKUP(GG417,$FX$4:$FX$15,1,FALSE)=GG417,VLOOKUP(GH417,$FX$4:$FX$15,1,FALSE)=GH417,VLOOKUP(GI417,$FX$4:$FX$15,1,FALSE)=GI417),FZ417,""),"")</f>
        <v/>
      </c>
    </row>
    <row r="418" ht="14.25" customHeight="1">
      <c r="FZ418" s="79" t="n">
        <v>416</v>
      </c>
      <c r="GA418" s="3">
        <f>GB418&amp;GC418&amp;GD418&amp;GE418&amp;GF418&amp;GG418&amp;GH418&amp;GI418</f>
        <v/>
      </c>
      <c r="GB418" s="3" t="inlineStr">
        <is>
          <t>H</t>
        </is>
      </c>
      <c r="GC418" s="3" t="inlineStr">
        <is>
          <t>J</t>
        </is>
      </c>
      <c r="GD418" s="3" t="inlineStr">
        <is>
          <t>B</t>
        </is>
      </c>
      <c r="GE418" s="3" t="inlineStr">
        <is>
          <t>C</t>
        </is>
      </c>
      <c r="GF418" s="3" t="inlineStr">
        <is>
          <t>A</t>
        </is>
      </c>
      <c r="GG418" s="3" t="inlineStr">
        <is>
          <t>F</t>
        </is>
      </c>
      <c r="GH418" s="3" t="inlineStr">
        <is>
          <t>E</t>
        </is>
      </c>
      <c r="GI418" s="3" t="inlineStr">
        <is>
          <t>I</t>
        </is>
      </c>
      <c r="GJ418" s="9">
        <f>VLOOKUP(GB418,$FM$3:$FN$15,2,FALSE)</f>
        <v/>
      </c>
      <c r="GK418" s="9">
        <f>VLOOKUP(GC418,$FM$3:$FN$15,2,FALSE)</f>
        <v/>
      </c>
      <c r="GL418" s="9">
        <f>VLOOKUP(GD418,$FM$3:$FN$15,2,FALSE)</f>
        <v/>
      </c>
      <c r="GM418" s="9">
        <f>VLOOKUP(GE418,$FM$3:$FN$15,2,FALSE)</f>
        <v/>
      </c>
      <c r="GN418" s="9">
        <f>VLOOKUP(GF418,$FM$3:$FN$15,2,FALSE)</f>
        <v/>
      </c>
      <c r="GO418" s="9">
        <f>VLOOKUP(GG418,$FM$3:$FN$15,2,FALSE)</f>
        <v/>
      </c>
      <c r="GP418" s="9">
        <f>VLOOKUP(GH418,$FM$3:$FN$15,2,FALSE)</f>
        <v/>
      </c>
      <c r="GQ418" s="9">
        <f>VLOOKUP(GI418,$FM$3:$FN$15,2,FALSE)</f>
        <v/>
      </c>
      <c r="GR418" s="9">
        <f>IFERROR(IF(AND(VLOOKUP(GB418,$FX$4:$FX$15,1,FALSE)=GB418,VLOOKUP(GC418,$FX$4:$FX$15,1,FALSE)=GC418,VLOOKUP(GD418,$FX$4:$FX$15,1,FALSE)=GD418,VLOOKUP(GE418,$FX$4:$FX$15,1,FALSE)=GE418,VLOOKUP(GF418,$FX$4:$FX$15,1,FALSE)=GF418,VLOOKUP(GG418,$FX$4:$FX$15,1,FALSE)=GG418,VLOOKUP(GH418,$FX$4:$FX$15,1,FALSE)=GH418,VLOOKUP(GI418,$FX$4:$FX$15,1,FALSE)=GI418),FZ418,""),"")</f>
        <v/>
      </c>
    </row>
    <row r="419" ht="14.25" customHeight="1">
      <c r="FZ419" s="79" t="n">
        <v>417</v>
      </c>
      <c r="GA419" s="3">
        <f>GB419&amp;GC419&amp;GD419&amp;GE419&amp;GF419&amp;GG419&amp;GH419&amp;GI419</f>
        <v/>
      </c>
      <c r="GB419" s="3" t="inlineStr">
        <is>
          <t>E</t>
        </is>
      </c>
      <c r="GC419" s="3" t="inlineStr">
        <is>
          <t>G</t>
        </is>
      </c>
      <c r="GD419" s="3" t="inlineStr">
        <is>
          <t>B</t>
        </is>
      </c>
      <c r="GE419" s="3" t="inlineStr">
        <is>
          <t>C</t>
        </is>
      </c>
      <c r="GF419" s="3" t="inlineStr">
        <is>
          <t>A</t>
        </is>
      </c>
      <c r="GG419" s="3" t="inlineStr">
        <is>
          <t>F</t>
        </is>
      </c>
      <c r="GH419" s="3" t="inlineStr">
        <is>
          <t>L</t>
        </is>
      </c>
      <c r="GI419" s="3" t="inlineStr">
        <is>
          <t>K</t>
        </is>
      </c>
      <c r="GJ419" s="9">
        <f>VLOOKUP(GB419,$FM$3:$FN$15,2,FALSE)</f>
        <v/>
      </c>
      <c r="GK419" s="9">
        <f>VLOOKUP(GC419,$FM$3:$FN$15,2,FALSE)</f>
        <v/>
      </c>
      <c r="GL419" s="9">
        <f>VLOOKUP(GD419,$FM$3:$FN$15,2,FALSE)</f>
        <v/>
      </c>
      <c r="GM419" s="9">
        <f>VLOOKUP(GE419,$FM$3:$FN$15,2,FALSE)</f>
        <v/>
      </c>
      <c r="GN419" s="9">
        <f>VLOOKUP(GF419,$FM$3:$FN$15,2,FALSE)</f>
        <v/>
      </c>
      <c r="GO419" s="9">
        <f>VLOOKUP(GG419,$FM$3:$FN$15,2,FALSE)</f>
        <v/>
      </c>
      <c r="GP419" s="9">
        <f>VLOOKUP(GH419,$FM$3:$FN$15,2,FALSE)</f>
        <v/>
      </c>
      <c r="GQ419" s="9">
        <f>VLOOKUP(GI419,$FM$3:$FN$15,2,FALSE)</f>
        <v/>
      </c>
      <c r="GR419" s="9">
        <f>IFERROR(IF(AND(VLOOKUP(GB419,$FX$4:$FX$15,1,FALSE)=GB419,VLOOKUP(GC419,$FX$4:$FX$15,1,FALSE)=GC419,VLOOKUP(GD419,$FX$4:$FX$15,1,FALSE)=GD419,VLOOKUP(GE419,$FX$4:$FX$15,1,FALSE)=GE419,VLOOKUP(GF419,$FX$4:$FX$15,1,FALSE)=GF419,VLOOKUP(GG419,$FX$4:$FX$15,1,FALSE)=GG419,VLOOKUP(GH419,$FX$4:$FX$15,1,FALSE)=GH419,VLOOKUP(GI419,$FX$4:$FX$15,1,FALSE)=GI419),FZ419,""),"")</f>
        <v/>
      </c>
    </row>
    <row r="420" ht="14.25" customHeight="1">
      <c r="FZ420" s="79" t="n">
        <v>418</v>
      </c>
      <c r="GA420" s="3">
        <f>GB420&amp;GC420&amp;GD420&amp;GE420&amp;GF420&amp;GG420&amp;GH420&amp;GI420</f>
        <v/>
      </c>
      <c r="GB420" s="3" t="inlineStr">
        <is>
          <t>E</t>
        </is>
      </c>
      <c r="GC420" s="3" t="inlineStr">
        <is>
          <t>G</t>
        </is>
      </c>
      <c r="GD420" s="3" t="inlineStr">
        <is>
          <t>B</t>
        </is>
      </c>
      <c r="GE420" s="3" t="inlineStr">
        <is>
          <t>C</t>
        </is>
      </c>
      <c r="GF420" s="3" t="inlineStr">
        <is>
          <t>A</t>
        </is>
      </c>
      <c r="GG420" s="3" t="inlineStr">
        <is>
          <t>F</t>
        </is>
      </c>
      <c r="GH420" s="3" t="inlineStr">
        <is>
          <t>L</t>
        </is>
      </c>
      <c r="GI420" s="3" t="inlineStr">
        <is>
          <t>J</t>
        </is>
      </c>
      <c r="GJ420" s="9">
        <f>VLOOKUP(GB420,$FM$3:$FN$15,2,FALSE)</f>
        <v/>
      </c>
      <c r="GK420" s="9">
        <f>VLOOKUP(GC420,$FM$3:$FN$15,2,FALSE)</f>
        <v/>
      </c>
      <c r="GL420" s="9">
        <f>VLOOKUP(GD420,$FM$3:$FN$15,2,FALSE)</f>
        <v/>
      </c>
      <c r="GM420" s="9">
        <f>VLOOKUP(GE420,$FM$3:$FN$15,2,FALSE)</f>
        <v/>
      </c>
      <c r="GN420" s="9">
        <f>VLOOKUP(GF420,$FM$3:$FN$15,2,FALSE)</f>
        <v/>
      </c>
      <c r="GO420" s="9">
        <f>VLOOKUP(GG420,$FM$3:$FN$15,2,FALSE)</f>
        <v/>
      </c>
      <c r="GP420" s="9">
        <f>VLOOKUP(GH420,$FM$3:$FN$15,2,FALSE)</f>
        <v/>
      </c>
      <c r="GQ420" s="9">
        <f>VLOOKUP(GI420,$FM$3:$FN$15,2,FALSE)</f>
        <v/>
      </c>
      <c r="GR420" s="9">
        <f>IFERROR(IF(AND(VLOOKUP(GB420,$FX$4:$FX$15,1,FALSE)=GB420,VLOOKUP(GC420,$FX$4:$FX$15,1,FALSE)=GC420,VLOOKUP(GD420,$FX$4:$FX$15,1,FALSE)=GD420,VLOOKUP(GE420,$FX$4:$FX$15,1,FALSE)=GE420,VLOOKUP(GF420,$FX$4:$FX$15,1,FALSE)=GF420,VLOOKUP(GG420,$FX$4:$FX$15,1,FALSE)=GG420,VLOOKUP(GH420,$FX$4:$FX$15,1,FALSE)=GH420,VLOOKUP(GI420,$FX$4:$FX$15,1,FALSE)=GI420),FZ420,""),"")</f>
        <v/>
      </c>
    </row>
    <row r="421" ht="14.25" customHeight="1">
      <c r="FZ421" s="79" t="n">
        <v>419</v>
      </c>
      <c r="GA421" s="3">
        <f>GB421&amp;GC421&amp;GD421&amp;GE421&amp;GF421&amp;GG421&amp;GH421&amp;GI421</f>
        <v/>
      </c>
      <c r="GB421" s="3" t="inlineStr">
        <is>
          <t>E</t>
        </is>
      </c>
      <c r="GC421" s="3" t="inlineStr">
        <is>
          <t>G</t>
        </is>
      </c>
      <c r="GD421" s="3" t="inlineStr">
        <is>
          <t>B</t>
        </is>
      </c>
      <c r="GE421" s="3" t="inlineStr">
        <is>
          <t>C</t>
        </is>
      </c>
      <c r="GF421" s="3" t="inlineStr">
        <is>
          <t>A</t>
        </is>
      </c>
      <c r="GG421" s="3" t="inlineStr">
        <is>
          <t>F</t>
        </is>
      </c>
      <c r="GH421" s="3" t="inlineStr">
        <is>
          <t>J</t>
        </is>
      </c>
      <c r="GI421" s="3" t="inlineStr">
        <is>
          <t>K</t>
        </is>
      </c>
      <c r="GJ421" s="9">
        <f>VLOOKUP(GB421,$FM$3:$FN$15,2,FALSE)</f>
        <v/>
      </c>
      <c r="GK421" s="9">
        <f>VLOOKUP(GC421,$FM$3:$FN$15,2,FALSE)</f>
        <v/>
      </c>
      <c r="GL421" s="9">
        <f>VLOOKUP(GD421,$FM$3:$FN$15,2,FALSE)</f>
        <v/>
      </c>
      <c r="GM421" s="9">
        <f>VLOOKUP(GE421,$FM$3:$FN$15,2,FALSE)</f>
        <v/>
      </c>
      <c r="GN421" s="9">
        <f>VLOOKUP(GF421,$FM$3:$FN$15,2,FALSE)</f>
        <v/>
      </c>
      <c r="GO421" s="9">
        <f>VLOOKUP(GG421,$FM$3:$FN$15,2,FALSE)</f>
        <v/>
      </c>
      <c r="GP421" s="9">
        <f>VLOOKUP(GH421,$FM$3:$FN$15,2,FALSE)</f>
        <v/>
      </c>
      <c r="GQ421" s="9">
        <f>VLOOKUP(GI421,$FM$3:$FN$15,2,FALSE)</f>
        <v/>
      </c>
      <c r="GR421" s="9">
        <f>IFERROR(IF(AND(VLOOKUP(GB421,$FX$4:$FX$15,1,FALSE)=GB421,VLOOKUP(GC421,$FX$4:$FX$15,1,FALSE)=GC421,VLOOKUP(GD421,$FX$4:$FX$15,1,FALSE)=GD421,VLOOKUP(GE421,$FX$4:$FX$15,1,FALSE)=GE421,VLOOKUP(GF421,$FX$4:$FX$15,1,FALSE)=GF421,VLOOKUP(GG421,$FX$4:$FX$15,1,FALSE)=GG421,VLOOKUP(GH421,$FX$4:$FX$15,1,FALSE)=GH421,VLOOKUP(GI421,$FX$4:$FX$15,1,FALSE)=GI421),FZ421,""),"")</f>
        <v/>
      </c>
    </row>
    <row r="422" ht="14.25" customHeight="1">
      <c r="FZ422" s="79" t="n">
        <v>420</v>
      </c>
      <c r="GA422" s="3">
        <f>GB422&amp;GC422&amp;GD422&amp;GE422&amp;GF422&amp;GG422&amp;GH422&amp;GI422</f>
        <v/>
      </c>
      <c r="GB422" s="3" t="inlineStr">
        <is>
          <t>E</t>
        </is>
      </c>
      <c r="GC422" s="3" t="inlineStr">
        <is>
          <t>G</t>
        </is>
      </c>
      <c r="GD422" s="3" t="inlineStr">
        <is>
          <t>B</t>
        </is>
      </c>
      <c r="GE422" s="3" t="inlineStr">
        <is>
          <t>C</t>
        </is>
      </c>
      <c r="GF422" s="3" t="inlineStr">
        <is>
          <t>A</t>
        </is>
      </c>
      <c r="GG422" s="3" t="inlineStr">
        <is>
          <t>F</t>
        </is>
      </c>
      <c r="GH422" s="3" t="inlineStr">
        <is>
          <t>L</t>
        </is>
      </c>
      <c r="GI422" s="3" t="inlineStr">
        <is>
          <t>I</t>
        </is>
      </c>
      <c r="GJ422" s="9">
        <f>VLOOKUP(GB422,$FM$3:$FN$15,2,FALSE)</f>
        <v/>
      </c>
      <c r="GK422" s="9">
        <f>VLOOKUP(GC422,$FM$3:$FN$15,2,FALSE)</f>
        <v/>
      </c>
      <c r="GL422" s="9">
        <f>VLOOKUP(GD422,$FM$3:$FN$15,2,FALSE)</f>
        <v/>
      </c>
      <c r="GM422" s="9">
        <f>VLOOKUP(GE422,$FM$3:$FN$15,2,FALSE)</f>
        <v/>
      </c>
      <c r="GN422" s="9">
        <f>VLOOKUP(GF422,$FM$3:$FN$15,2,FALSE)</f>
        <v/>
      </c>
      <c r="GO422" s="9">
        <f>VLOOKUP(GG422,$FM$3:$FN$15,2,FALSE)</f>
        <v/>
      </c>
      <c r="GP422" s="9">
        <f>VLOOKUP(GH422,$FM$3:$FN$15,2,FALSE)</f>
        <v/>
      </c>
      <c r="GQ422" s="9">
        <f>VLOOKUP(GI422,$FM$3:$FN$15,2,FALSE)</f>
        <v/>
      </c>
      <c r="GR422" s="9">
        <f>IFERROR(IF(AND(VLOOKUP(GB422,$FX$4:$FX$15,1,FALSE)=GB422,VLOOKUP(GC422,$FX$4:$FX$15,1,FALSE)=GC422,VLOOKUP(GD422,$FX$4:$FX$15,1,FALSE)=GD422,VLOOKUP(GE422,$FX$4:$FX$15,1,FALSE)=GE422,VLOOKUP(GF422,$FX$4:$FX$15,1,FALSE)=GF422,VLOOKUP(GG422,$FX$4:$FX$15,1,FALSE)=GG422,VLOOKUP(GH422,$FX$4:$FX$15,1,FALSE)=GH422,VLOOKUP(GI422,$FX$4:$FX$15,1,FALSE)=GI422),FZ422,""),"")</f>
        <v/>
      </c>
    </row>
    <row r="423" ht="14.25" customHeight="1">
      <c r="FZ423" s="79" t="n">
        <v>421</v>
      </c>
      <c r="GA423" s="3">
        <f>GB423&amp;GC423&amp;GD423&amp;GE423&amp;GF423&amp;GG423&amp;GH423&amp;GI423</f>
        <v/>
      </c>
      <c r="GB423" s="3" t="inlineStr">
        <is>
          <t>E</t>
        </is>
      </c>
      <c r="GC423" s="3" t="inlineStr">
        <is>
          <t>G</t>
        </is>
      </c>
      <c r="GD423" s="3" t="inlineStr">
        <is>
          <t>B</t>
        </is>
      </c>
      <c r="GE423" s="3" t="inlineStr">
        <is>
          <t>C</t>
        </is>
      </c>
      <c r="GF423" s="3" t="inlineStr">
        <is>
          <t>A</t>
        </is>
      </c>
      <c r="GG423" s="3" t="inlineStr">
        <is>
          <t>F</t>
        </is>
      </c>
      <c r="GH423" s="3" t="inlineStr">
        <is>
          <t>I</t>
        </is>
      </c>
      <c r="GI423" s="3" t="inlineStr">
        <is>
          <t>K</t>
        </is>
      </c>
      <c r="GJ423" s="9">
        <f>VLOOKUP(GB423,$FM$3:$FN$15,2,FALSE)</f>
        <v/>
      </c>
      <c r="GK423" s="9">
        <f>VLOOKUP(GC423,$FM$3:$FN$15,2,FALSE)</f>
        <v/>
      </c>
      <c r="GL423" s="9">
        <f>VLOOKUP(GD423,$FM$3:$FN$15,2,FALSE)</f>
        <v/>
      </c>
      <c r="GM423" s="9">
        <f>VLOOKUP(GE423,$FM$3:$FN$15,2,FALSE)</f>
        <v/>
      </c>
      <c r="GN423" s="9">
        <f>VLOOKUP(GF423,$FM$3:$FN$15,2,FALSE)</f>
        <v/>
      </c>
      <c r="GO423" s="9">
        <f>VLOOKUP(GG423,$FM$3:$FN$15,2,FALSE)</f>
        <v/>
      </c>
      <c r="GP423" s="9">
        <f>VLOOKUP(GH423,$FM$3:$FN$15,2,FALSE)</f>
        <v/>
      </c>
      <c r="GQ423" s="9">
        <f>VLOOKUP(GI423,$FM$3:$FN$15,2,FALSE)</f>
        <v/>
      </c>
      <c r="GR423" s="9">
        <f>IFERROR(IF(AND(VLOOKUP(GB423,$FX$4:$FX$15,1,FALSE)=GB423,VLOOKUP(GC423,$FX$4:$FX$15,1,FALSE)=GC423,VLOOKUP(GD423,$FX$4:$FX$15,1,FALSE)=GD423,VLOOKUP(GE423,$FX$4:$FX$15,1,FALSE)=GE423,VLOOKUP(GF423,$FX$4:$FX$15,1,FALSE)=GF423,VLOOKUP(GG423,$FX$4:$FX$15,1,FALSE)=GG423,VLOOKUP(GH423,$FX$4:$FX$15,1,FALSE)=GH423,VLOOKUP(GI423,$FX$4:$FX$15,1,FALSE)=GI423),FZ423,""),"")</f>
        <v/>
      </c>
    </row>
    <row r="424" ht="14.25" customHeight="1">
      <c r="FZ424" s="79" t="n">
        <v>422</v>
      </c>
      <c r="GA424" s="3">
        <f>GB424&amp;GC424&amp;GD424&amp;GE424&amp;GF424&amp;GG424&amp;GH424&amp;GI424</f>
        <v/>
      </c>
      <c r="GB424" s="3" t="inlineStr">
        <is>
          <t>E</t>
        </is>
      </c>
      <c r="GC424" s="3" t="inlineStr">
        <is>
          <t>G</t>
        </is>
      </c>
      <c r="GD424" s="3" t="inlineStr">
        <is>
          <t>B</t>
        </is>
      </c>
      <c r="GE424" s="3" t="inlineStr">
        <is>
          <t>C</t>
        </is>
      </c>
      <c r="GF424" s="3" t="inlineStr">
        <is>
          <t>A</t>
        </is>
      </c>
      <c r="GG424" s="3" t="inlineStr">
        <is>
          <t>F</t>
        </is>
      </c>
      <c r="GH424" s="3" t="inlineStr">
        <is>
          <t>I</t>
        </is>
      </c>
      <c r="GI424" s="3" t="inlineStr">
        <is>
          <t>J</t>
        </is>
      </c>
      <c r="GJ424" s="9">
        <f>VLOOKUP(GB424,$FM$3:$FN$15,2,FALSE)</f>
        <v/>
      </c>
      <c r="GK424" s="9">
        <f>VLOOKUP(GC424,$FM$3:$FN$15,2,FALSE)</f>
        <v/>
      </c>
      <c r="GL424" s="9">
        <f>VLOOKUP(GD424,$FM$3:$FN$15,2,FALSE)</f>
        <v/>
      </c>
      <c r="GM424" s="9">
        <f>VLOOKUP(GE424,$FM$3:$FN$15,2,FALSE)</f>
        <v/>
      </c>
      <c r="GN424" s="9">
        <f>VLOOKUP(GF424,$FM$3:$FN$15,2,FALSE)</f>
        <v/>
      </c>
      <c r="GO424" s="9">
        <f>VLOOKUP(GG424,$FM$3:$FN$15,2,FALSE)</f>
        <v/>
      </c>
      <c r="GP424" s="9">
        <f>VLOOKUP(GH424,$FM$3:$FN$15,2,FALSE)</f>
        <v/>
      </c>
      <c r="GQ424" s="9">
        <f>VLOOKUP(GI424,$FM$3:$FN$15,2,FALSE)</f>
        <v/>
      </c>
      <c r="GR424" s="9">
        <f>IFERROR(IF(AND(VLOOKUP(GB424,$FX$4:$FX$15,1,FALSE)=GB424,VLOOKUP(GC424,$FX$4:$FX$15,1,FALSE)=GC424,VLOOKUP(GD424,$FX$4:$FX$15,1,FALSE)=GD424,VLOOKUP(GE424,$FX$4:$FX$15,1,FALSE)=GE424,VLOOKUP(GF424,$FX$4:$FX$15,1,FALSE)=GF424,VLOOKUP(GG424,$FX$4:$FX$15,1,FALSE)=GG424,VLOOKUP(GH424,$FX$4:$FX$15,1,FALSE)=GH424,VLOOKUP(GI424,$FX$4:$FX$15,1,FALSE)=GI424),FZ424,""),"")</f>
        <v/>
      </c>
    </row>
    <row r="425" ht="14.25" customHeight="1">
      <c r="FZ425" s="79" t="n">
        <v>423</v>
      </c>
      <c r="GA425" s="3">
        <f>GB425&amp;GC425&amp;GD425&amp;GE425&amp;GF425&amp;GG425&amp;GH425&amp;GI425</f>
        <v/>
      </c>
      <c r="GB425" s="3" t="inlineStr">
        <is>
          <t>H</t>
        </is>
      </c>
      <c r="GC425" s="3" t="inlineStr">
        <is>
          <t>G</t>
        </is>
      </c>
      <c r="GD425" s="3" t="inlineStr">
        <is>
          <t>B</t>
        </is>
      </c>
      <c r="GE425" s="3" t="inlineStr">
        <is>
          <t>C</t>
        </is>
      </c>
      <c r="GF425" s="3" t="inlineStr">
        <is>
          <t>A</t>
        </is>
      </c>
      <c r="GG425" s="3" t="inlineStr">
        <is>
          <t>F</t>
        </is>
      </c>
      <c r="GH425" s="3" t="inlineStr">
        <is>
          <t>L</t>
        </is>
      </c>
      <c r="GI425" s="3" t="inlineStr">
        <is>
          <t>E</t>
        </is>
      </c>
      <c r="GJ425" s="9">
        <f>VLOOKUP(GB425,$FM$3:$FN$15,2,FALSE)</f>
        <v/>
      </c>
      <c r="GK425" s="9">
        <f>VLOOKUP(GC425,$FM$3:$FN$15,2,FALSE)</f>
        <v/>
      </c>
      <c r="GL425" s="9">
        <f>VLOOKUP(GD425,$FM$3:$FN$15,2,FALSE)</f>
        <v/>
      </c>
      <c r="GM425" s="9">
        <f>VLOOKUP(GE425,$FM$3:$FN$15,2,FALSE)</f>
        <v/>
      </c>
      <c r="GN425" s="9">
        <f>VLOOKUP(GF425,$FM$3:$FN$15,2,FALSE)</f>
        <v/>
      </c>
      <c r="GO425" s="9">
        <f>VLOOKUP(GG425,$FM$3:$FN$15,2,FALSE)</f>
        <v/>
      </c>
      <c r="GP425" s="9">
        <f>VLOOKUP(GH425,$FM$3:$FN$15,2,FALSE)</f>
        <v/>
      </c>
      <c r="GQ425" s="9">
        <f>VLOOKUP(GI425,$FM$3:$FN$15,2,FALSE)</f>
        <v/>
      </c>
      <c r="GR425" s="9">
        <f>IFERROR(IF(AND(VLOOKUP(GB425,$FX$4:$FX$15,1,FALSE)=GB425,VLOOKUP(GC425,$FX$4:$FX$15,1,FALSE)=GC425,VLOOKUP(GD425,$FX$4:$FX$15,1,FALSE)=GD425,VLOOKUP(GE425,$FX$4:$FX$15,1,FALSE)=GE425,VLOOKUP(GF425,$FX$4:$FX$15,1,FALSE)=GF425,VLOOKUP(GG425,$FX$4:$FX$15,1,FALSE)=GG425,VLOOKUP(GH425,$FX$4:$FX$15,1,FALSE)=GH425,VLOOKUP(GI425,$FX$4:$FX$15,1,FALSE)=GI425),FZ425,""),"")</f>
        <v/>
      </c>
    </row>
    <row r="426" ht="14.25" customHeight="1">
      <c r="FZ426" s="79" t="n">
        <v>424</v>
      </c>
      <c r="GA426" s="3">
        <f>GB426&amp;GC426&amp;GD426&amp;GE426&amp;GF426&amp;GG426&amp;GH426&amp;GI426</f>
        <v/>
      </c>
      <c r="GB426" s="3" t="inlineStr">
        <is>
          <t>H</t>
        </is>
      </c>
      <c r="GC426" s="3" t="inlineStr">
        <is>
          <t>G</t>
        </is>
      </c>
      <c r="GD426" s="3" t="inlineStr">
        <is>
          <t>B</t>
        </is>
      </c>
      <c r="GE426" s="3" t="inlineStr">
        <is>
          <t>C</t>
        </is>
      </c>
      <c r="GF426" s="3" t="inlineStr">
        <is>
          <t>A</t>
        </is>
      </c>
      <c r="GG426" s="3" t="inlineStr">
        <is>
          <t>F</t>
        </is>
      </c>
      <c r="GH426" s="3" t="inlineStr">
        <is>
          <t>E</t>
        </is>
      </c>
      <c r="GI426" s="3" t="inlineStr">
        <is>
          <t>K</t>
        </is>
      </c>
      <c r="GJ426" s="9">
        <f>VLOOKUP(GB426,$FM$3:$FN$15,2,FALSE)</f>
        <v/>
      </c>
      <c r="GK426" s="9">
        <f>VLOOKUP(GC426,$FM$3:$FN$15,2,FALSE)</f>
        <v/>
      </c>
      <c r="GL426" s="9">
        <f>VLOOKUP(GD426,$FM$3:$FN$15,2,FALSE)</f>
        <v/>
      </c>
      <c r="GM426" s="9">
        <f>VLOOKUP(GE426,$FM$3:$FN$15,2,FALSE)</f>
        <v/>
      </c>
      <c r="GN426" s="9">
        <f>VLOOKUP(GF426,$FM$3:$FN$15,2,FALSE)</f>
        <v/>
      </c>
      <c r="GO426" s="9">
        <f>VLOOKUP(GG426,$FM$3:$FN$15,2,FALSE)</f>
        <v/>
      </c>
      <c r="GP426" s="9">
        <f>VLOOKUP(GH426,$FM$3:$FN$15,2,FALSE)</f>
        <v/>
      </c>
      <c r="GQ426" s="9">
        <f>VLOOKUP(GI426,$FM$3:$FN$15,2,FALSE)</f>
        <v/>
      </c>
      <c r="GR426" s="9">
        <f>IFERROR(IF(AND(VLOOKUP(GB426,$FX$4:$FX$15,1,FALSE)=GB426,VLOOKUP(GC426,$FX$4:$FX$15,1,FALSE)=GC426,VLOOKUP(GD426,$FX$4:$FX$15,1,FALSE)=GD426,VLOOKUP(GE426,$FX$4:$FX$15,1,FALSE)=GE426,VLOOKUP(GF426,$FX$4:$FX$15,1,FALSE)=GF426,VLOOKUP(GG426,$FX$4:$FX$15,1,FALSE)=GG426,VLOOKUP(GH426,$FX$4:$FX$15,1,FALSE)=GH426,VLOOKUP(GI426,$FX$4:$FX$15,1,FALSE)=GI426),FZ426,""),"")</f>
        <v/>
      </c>
    </row>
    <row r="427" ht="14.25" customHeight="1">
      <c r="FZ427" s="79" t="n">
        <v>425</v>
      </c>
      <c r="GA427" s="3">
        <f>GB427&amp;GC427&amp;GD427&amp;GE427&amp;GF427&amp;GG427&amp;GH427&amp;GI427</f>
        <v/>
      </c>
      <c r="GB427" s="3" t="inlineStr">
        <is>
          <t>H</t>
        </is>
      </c>
      <c r="GC427" s="3" t="inlineStr">
        <is>
          <t>G</t>
        </is>
      </c>
      <c r="GD427" s="3" t="inlineStr">
        <is>
          <t>B</t>
        </is>
      </c>
      <c r="GE427" s="3" t="inlineStr">
        <is>
          <t>C</t>
        </is>
      </c>
      <c r="GF427" s="3" t="inlineStr">
        <is>
          <t>A</t>
        </is>
      </c>
      <c r="GG427" s="3" t="inlineStr">
        <is>
          <t>F</t>
        </is>
      </c>
      <c r="GH427" s="3" t="inlineStr">
        <is>
          <t>E</t>
        </is>
      </c>
      <c r="GI427" s="3" t="inlineStr">
        <is>
          <t>J</t>
        </is>
      </c>
      <c r="GJ427" s="9">
        <f>VLOOKUP(GB427,$FM$3:$FN$15,2,FALSE)</f>
        <v/>
      </c>
      <c r="GK427" s="9">
        <f>VLOOKUP(GC427,$FM$3:$FN$15,2,FALSE)</f>
        <v/>
      </c>
      <c r="GL427" s="9">
        <f>VLOOKUP(GD427,$FM$3:$FN$15,2,FALSE)</f>
        <v/>
      </c>
      <c r="GM427" s="9">
        <f>VLOOKUP(GE427,$FM$3:$FN$15,2,FALSE)</f>
        <v/>
      </c>
      <c r="GN427" s="9">
        <f>VLOOKUP(GF427,$FM$3:$FN$15,2,FALSE)</f>
        <v/>
      </c>
      <c r="GO427" s="9">
        <f>VLOOKUP(GG427,$FM$3:$FN$15,2,FALSE)</f>
        <v/>
      </c>
      <c r="GP427" s="9">
        <f>VLOOKUP(GH427,$FM$3:$FN$15,2,FALSE)</f>
        <v/>
      </c>
      <c r="GQ427" s="9">
        <f>VLOOKUP(GI427,$FM$3:$FN$15,2,FALSE)</f>
        <v/>
      </c>
      <c r="GR427" s="9">
        <f>IFERROR(IF(AND(VLOOKUP(GB427,$FX$4:$FX$15,1,FALSE)=GB427,VLOOKUP(GC427,$FX$4:$FX$15,1,FALSE)=GC427,VLOOKUP(GD427,$FX$4:$FX$15,1,FALSE)=GD427,VLOOKUP(GE427,$FX$4:$FX$15,1,FALSE)=GE427,VLOOKUP(GF427,$FX$4:$FX$15,1,FALSE)=GF427,VLOOKUP(GG427,$FX$4:$FX$15,1,FALSE)=GG427,VLOOKUP(GH427,$FX$4:$FX$15,1,FALSE)=GH427,VLOOKUP(GI427,$FX$4:$FX$15,1,FALSE)=GI427),FZ427,""),"")</f>
        <v/>
      </c>
    </row>
    <row r="428" ht="14.25" customHeight="1">
      <c r="FZ428" s="79" t="n">
        <v>426</v>
      </c>
      <c r="GA428" s="3">
        <f>GB428&amp;GC428&amp;GD428&amp;GE428&amp;GF428&amp;GG428&amp;GH428&amp;GI428</f>
        <v/>
      </c>
      <c r="GB428" s="3" t="inlineStr">
        <is>
          <t>H</t>
        </is>
      </c>
      <c r="GC428" s="3" t="inlineStr">
        <is>
          <t>G</t>
        </is>
      </c>
      <c r="GD428" s="3" t="inlineStr">
        <is>
          <t>B</t>
        </is>
      </c>
      <c r="GE428" s="3" t="inlineStr">
        <is>
          <t>C</t>
        </is>
      </c>
      <c r="GF428" s="3" t="inlineStr">
        <is>
          <t>A</t>
        </is>
      </c>
      <c r="GG428" s="3" t="inlineStr">
        <is>
          <t>F</t>
        </is>
      </c>
      <c r="GH428" s="3" t="inlineStr">
        <is>
          <t>E</t>
        </is>
      </c>
      <c r="GI428" s="3" t="inlineStr">
        <is>
          <t>I</t>
        </is>
      </c>
      <c r="GJ428" s="9">
        <f>VLOOKUP(GB428,$FM$3:$FN$15,2,FALSE)</f>
        <v/>
      </c>
      <c r="GK428" s="9">
        <f>VLOOKUP(GC428,$FM$3:$FN$15,2,FALSE)</f>
        <v/>
      </c>
      <c r="GL428" s="9">
        <f>VLOOKUP(GD428,$FM$3:$FN$15,2,FALSE)</f>
        <v/>
      </c>
      <c r="GM428" s="9">
        <f>VLOOKUP(GE428,$FM$3:$FN$15,2,FALSE)</f>
        <v/>
      </c>
      <c r="GN428" s="9">
        <f>VLOOKUP(GF428,$FM$3:$FN$15,2,FALSE)</f>
        <v/>
      </c>
      <c r="GO428" s="9">
        <f>VLOOKUP(GG428,$FM$3:$FN$15,2,FALSE)</f>
        <v/>
      </c>
      <c r="GP428" s="9">
        <f>VLOOKUP(GH428,$FM$3:$FN$15,2,FALSE)</f>
        <v/>
      </c>
      <c r="GQ428" s="9">
        <f>VLOOKUP(GI428,$FM$3:$FN$15,2,FALSE)</f>
        <v/>
      </c>
      <c r="GR428" s="9">
        <f>IFERROR(IF(AND(VLOOKUP(GB428,$FX$4:$FX$15,1,FALSE)=GB428,VLOOKUP(GC428,$FX$4:$FX$15,1,FALSE)=GC428,VLOOKUP(GD428,$FX$4:$FX$15,1,FALSE)=GD428,VLOOKUP(GE428,$FX$4:$FX$15,1,FALSE)=GE428,VLOOKUP(GF428,$FX$4:$FX$15,1,FALSE)=GF428,VLOOKUP(GG428,$FX$4:$FX$15,1,FALSE)=GG428,VLOOKUP(GH428,$FX$4:$FX$15,1,FALSE)=GH428,VLOOKUP(GI428,$FX$4:$FX$15,1,FALSE)=GI428),FZ428,""),"")</f>
        <v/>
      </c>
    </row>
    <row r="429" ht="14.25" customHeight="1">
      <c r="FZ429" s="79" t="n">
        <v>427</v>
      </c>
      <c r="GA429" s="3">
        <f>GB429&amp;GC429&amp;GD429&amp;GE429&amp;GF429&amp;GG429&amp;GH429&amp;GI429</f>
        <v/>
      </c>
      <c r="GB429" s="3" t="inlineStr">
        <is>
          <t>I</t>
        </is>
      </c>
      <c r="GC429" s="3" t="inlineStr">
        <is>
          <t>J</t>
        </is>
      </c>
      <c r="GD429" s="3" t="inlineStr">
        <is>
          <t>B</t>
        </is>
      </c>
      <c r="GE429" s="3" t="inlineStr">
        <is>
          <t>C</t>
        </is>
      </c>
      <c r="GF429" s="3" t="inlineStr">
        <is>
          <t>A</t>
        </is>
      </c>
      <c r="GG429" s="3" t="inlineStr">
        <is>
          <t>D</t>
        </is>
      </c>
      <c r="GH429" s="3" t="inlineStr">
        <is>
          <t>L</t>
        </is>
      </c>
      <c r="GI429" s="3" t="inlineStr">
        <is>
          <t>K</t>
        </is>
      </c>
      <c r="GJ429" s="9">
        <f>VLOOKUP(GB429,$FM$3:$FN$15,2,FALSE)</f>
        <v/>
      </c>
      <c r="GK429" s="9">
        <f>VLOOKUP(GC429,$FM$3:$FN$15,2,FALSE)</f>
        <v/>
      </c>
      <c r="GL429" s="9">
        <f>VLOOKUP(GD429,$FM$3:$FN$15,2,FALSE)</f>
        <v/>
      </c>
      <c r="GM429" s="9">
        <f>VLOOKUP(GE429,$FM$3:$FN$15,2,FALSE)</f>
        <v/>
      </c>
      <c r="GN429" s="9">
        <f>VLOOKUP(GF429,$FM$3:$FN$15,2,FALSE)</f>
        <v/>
      </c>
      <c r="GO429" s="9">
        <f>VLOOKUP(GG429,$FM$3:$FN$15,2,FALSE)</f>
        <v/>
      </c>
      <c r="GP429" s="9">
        <f>VLOOKUP(GH429,$FM$3:$FN$15,2,FALSE)</f>
        <v/>
      </c>
      <c r="GQ429" s="9">
        <f>VLOOKUP(GI429,$FM$3:$FN$15,2,FALSE)</f>
        <v/>
      </c>
      <c r="GR429" s="9">
        <f>IFERROR(IF(AND(VLOOKUP(GB429,$FX$4:$FX$15,1,FALSE)=GB429,VLOOKUP(GC429,$FX$4:$FX$15,1,FALSE)=GC429,VLOOKUP(GD429,$FX$4:$FX$15,1,FALSE)=GD429,VLOOKUP(GE429,$FX$4:$FX$15,1,FALSE)=GE429,VLOOKUP(GF429,$FX$4:$FX$15,1,FALSE)=GF429,VLOOKUP(GG429,$FX$4:$FX$15,1,FALSE)=GG429,VLOOKUP(GH429,$FX$4:$FX$15,1,FALSE)=GH429,VLOOKUP(GI429,$FX$4:$FX$15,1,FALSE)=GI429),FZ429,""),"")</f>
        <v/>
      </c>
    </row>
    <row r="430" ht="14.25" customHeight="1">
      <c r="FZ430" s="79" t="n">
        <v>428</v>
      </c>
      <c r="GA430" s="3">
        <f>GB430&amp;GC430&amp;GD430&amp;GE430&amp;GF430&amp;GG430&amp;GH430&amp;GI430</f>
        <v/>
      </c>
      <c r="GB430" s="3" t="inlineStr">
        <is>
          <t>H</t>
        </is>
      </c>
      <c r="GC430" s="3" t="inlineStr">
        <is>
          <t>J</t>
        </is>
      </c>
      <c r="GD430" s="3" t="inlineStr">
        <is>
          <t>B</t>
        </is>
      </c>
      <c r="GE430" s="3" t="inlineStr">
        <is>
          <t>C</t>
        </is>
      </c>
      <c r="GF430" s="3" t="inlineStr">
        <is>
          <t>A</t>
        </is>
      </c>
      <c r="GG430" s="3" t="inlineStr">
        <is>
          <t>D</t>
        </is>
      </c>
      <c r="GH430" s="3" t="inlineStr">
        <is>
          <t>L</t>
        </is>
      </c>
      <c r="GI430" s="3" t="inlineStr">
        <is>
          <t>K</t>
        </is>
      </c>
      <c r="GJ430" s="9">
        <f>VLOOKUP(GB430,$FM$3:$FN$15,2,FALSE)</f>
        <v/>
      </c>
      <c r="GK430" s="9">
        <f>VLOOKUP(GC430,$FM$3:$FN$15,2,FALSE)</f>
        <v/>
      </c>
      <c r="GL430" s="9">
        <f>VLOOKUP(GD430,$FM$3:$FN$15,2,FALSE)</f>
        <v/>
      </c>
      <c r="GM430" s="9">
        <f>VLOOKUP(GE430,$FM$3:$FN$15,2,FALSE)</f>
        <v/>
      </c>
      <c r="GN430" s="9">
        <f>VLOOKUP(GF430,$FM$3:$FN$15,2,FALSE)</f>
        <v/>
      </c>
      <c r="GO430" s="9">
        <f>VLOOKUP(GG430,$FM$3:$FN$15,2,FALSE)</f>
        <v/>
      </c>
      <c r="GP430" s="9">
        <f>VLOOKUP(GH430,$FM$3:$FN$15,2,FALSE)</f>
        <v/>
      </c>
      <c r="GQ430" s="9">
        <f>VLOOKUP(GI430,$FM$3:$FN$15,2,FALSE)</f>
        <v/>
      </c>
      <c r="GR430" s="9">
        <f>IFERROR(IF(AND(VLOOKUP(GB430,$FX$4:$FX$15,1,FALSE)=GB430,VLOOKUP(GC430,$FX$4:$FX$15,1,FALSE)=GC430,VLOOKUP(GD430,$FX$4:$FX$15,1,FALSE)=GD430,VLOOKUP(GE430,$FX$4:$FX$15,1,FALSE)=GE430,VLOOKUP(GF430,$FX$4:$FX$15,1,FALSE)=GF430,VLOOKUP(GG430,$FX$4:$FX$15,1,FALSE)=GG430,VLOOKUP(GH430,$FX$4:$FX$15,1,FALSE)=GH430,VLOOKUP(GI430,$FX$4:$FX$15,1,FALSE)=GI430),FZ430,""),"")</f>
        <v/>
      </c>
    </row>
    <row r="431" ht="14.25" customHeight="1">
      <c r="FZ431" s="79" t="n">
        <v>429</v>
      </c>
      <c r="GA431" s="3">
        <f>GB431&amp;GC431&amp;GD431&amp;GE431&amp;GF431&amp;GG431&amp;GH431&amp;GI431</f>
        <v/>
      </c>
      <c r="GB431" s="3" t="inlineStr">
        <is>
          <t>H</t>
        </is>
      </c>
      <c r="GC431" s="3" t="inlineStr">
        <is>
          <t>I</t>
        </is>
      </c>
      <c r="GD431" s="3" t="inlineStr">
        <is>
          <t>B</t>
        </is>
      </c>
      <c r="GE431" s="3" t="inlineStr">
        <is>
          <t>C</t>
        </is>
      </c>
      <c r="GF431" s="3" t="inlineStr">
        <is>
          <t>A</t>
        </is>
      </c>
      <c r="GG431" s="3" t="inlineStr">
        <is>
          <t>D</t>
        </is>
      </c>
      <c r="GH431" s="3" t="inlineStr">
        <is>
          <t>L</t>
        </is>
      </c>
      <c r="GI431" s="3" t="inlineStr">
        <is>
          <t>K</t>
        </is>
      </c>
      <c r="GJ431" s="9">
        <f>VLOOKUP(GB431,$FM$3:$FN$15,2,FALSE)</f>
        <v/>
      </c>
      <c r="GK431" s="9">
        <f>VLOOKUP(GC431,$FM$3:$FN$15,2,FALSE)</f>
        <v/>
      </c>
      <c r="GL431" s="9">
        <f>VLOOKUP(GD431,$FM$3:$FN$15,2,FALSE)</f>
        <v/>
      </c>
      <c r="GM431" s="9">
        <f>VLOOKUP(GE431,$FM$3:$FN$15,2,FALSE)</f>
        <v/>
      </c>
      <c r="GN431" s="9">
        <f>VLOOKUP(GF431,$FM$3:$FN$15,2,FALSE)</f>
        <v/>
      </c>
      <c r="GO431" s="9">
        <f>VLOOKUP(GG431,$FM$3:$FN$15,2,FALSE)</f>
        <v/>
      </c>
      <c r="GP431" s="9">
        <f>VLOOKUP(GH431,$FM$3:$FN$15,2,FALSE)</f>
        <v/>
      </c>
      <c r="GQ431" s="9">
        <f>VLOOKUP(GI431,$FM$3:$FN$15,2,FALSE)</f>
        <v/>
      </c>
      <c r="GR431" s="9">
        <f>IFERROR(IF(AND(VLOOKUP(GB431,$FX$4:$FX$15,1,FALSE)=GB431,VLOOKUP(GC431,$FX$4:$FX$15,1,FALSE)=GC431,VLOOKUP(GD431,$FX$4:$FX$15,1,FALSE)=GD431,VLOOKUP(GE431,$FX$4:$FX$15,1,FALSE)=GE431,VLOOKUP(GF431,$FX$4:$FX$15,1,FALSE)=GF431,VLOOKUP(GG431,$FX$4:$FX$15,1,FALSE)=GG431,VLOOKUP(GH431,$FX$4:$FX$15,1,FALSE)=GH431,VLOOKUP(GI431,$FX$4:$FX$15,1,FALSE)=GI431),FZ431,""),"")</f>
        <v/>
      </c>
    </row>
    <row r="432" ht="14.25" customHeight="1">
      <c r="FZ432" s="79" t="n">
        <v>430</v>
      </c>
      <c r="GA432" s="3">
        <f>GB432&amp;GC432&amp;GD432&amp;GE432&amp;GF432&amp;GG432&amp;GH432&amp;GI432</f>
        <v/>
      </c>
      <c r="GB432" s="3" t="inlineStr">
        <is>
          <t>H</t>
        </is>
      </c>
      <c r="GC432" s="3" t="inlineStr">
        <is>
          <t>J</t>
        </is>
      </c>
      <c r="GD432" s="3" t="inlineStr">
        <is>
          <t>B</t>
        </is>
      </c>
      <c r="GE432" s="3" t="inlineStr">
        <is>
          <t>C</t>
        </is>
      </c>
      <c r="GF432" s="3" t="inlineStr">
        <is>
          <t>A</t>
        </is>
      </c>
      <c r="GG432" s="3" t="inlineStr">
        <is>
          <t>D</t>
        </is>
      </c>
      <c r="GH432" s="3" t="inlineStr">
        <is>
          <t>L</t>
        </is>
      </c>
      <c r="GI432" s="3" t="inlineStr">
        <is>
          <t>I</t>
        </is>
      </c>
      <c r="GJ432" s="9">
        <f>VLOOKUP(GB432,$FM$3:$FN$15,2,FALSE)</f>
        <v/>
      </c>
      <c r="GK432" s="9">
        <f>VLOOKUP(GC432,$FM$3:$FN$15,2,FALSE)</f>
        <v/>
      </c>
      <c r="GL432" s="9">
        <f>VLOOKUP(GD432,$FM$3:$FN$15,2,FALSE)</f>
        <v/>
      </c>
      <c r="GM432" s="9">
        <f>VLOOKUP(GE432,$FM$3:$FN$15,2,FALSE)</f>
        <v/>
      </c>
      <c r="GN432" s="9">
        <f>VLOOKUP(GF432,$FM$3:$FN$15,2,FALSE)</f>
        <v/>
      </c>
      <c r="GO432" s="9">
        <f>VLOOKUP(GG432,$FM$3:$FN$15,2,FALSE)</f>
        <v/>
      </c>
      <c r="GP432" s="9">
        <f>VLOOKUP(GH432,$FM$3:$FN$15,2,FALSE)</f>
        <v/>
      </c>
      <c r="GQ432" s="9">
        <f>VLOOKUP(GI432,$FM$3:$FN$15,2,FALSE)</f>
        <v/>
      </c>
      <c r="GR432" s="9">
        <f>IFERROR(IF(AND(VLOOKUP(GB432,$FX$4:$FX$15,1,FALSE)=GB432,VLOOKUP(GC432,$FX$4:$FX$15,1,FALSE)=GC432,VLOOKUP(GD432,$FX$4:$FX$15,1,FALSE)=GD432,VLOOKUP(GE432,$FX$4:$FX$15,1,FALSE)=GE432,VLOOKUP(GF432,$FX$4:$FX$15,1,FALSE)=GF432,VLOOKUP(GG432,$FX$4:$FX$15,1,FALSE)=GG432,VLOOKUP(GH432,$FX$4:$FX$15,1,FALSE)=GH432,VLOOKUP(GI432,$FX$4:$FX$15,1,FALSE)=GI432),FZ432,""),"")</f>
        <v/>
      </c>
    </row>
    <row r="433" ht="14.25" customHeight="1">
      <c r="FZ433" s="79" t="n">
        <v>431</v>
      </c>
      <c r="GA433" s="3">
        <f>GB433&amp;GC433&amp;GD433&amp;GE433&amp;GF433&amp;GG433&amp;GH433&amp;GI433</f>
        <v/>
      </c>
      <c r="GB433" s="3" t="inlineStr">
        <is>
          <t>H</t>
        </is>
      </c>
      <c r="GC433" s="3" t="inlineStr">
        <is>
          <t>J</t>
        </is>
      </c>
      <c r="GD433" s="3" t="inlineStr">
        <is>
          <t>B</t>
        </is>
      </c>
      <c r="GE433" s="3" t="inlineStr">
        <is>
          <t>C</t>
        </is>
      </c>
      <c r="GF433" s="3" t="inlineStr">
        <is>
          <t>A</t>
        </is>
      </c>
      <c r="GG433" s="3" t="inlineStr">
        <is>
          <t>D</t>
        </is>
      </c>
      <c r="GH433" s="3" t="inlineStr">
        <is>
          <t>I</t>
        </is>
      </c>
      <c r="GI433" s="3" t="inlineStr">
        <is>
          <t>K</t>
        </is>
      </c>
      <c r="GJ433" s="9">
        <f>VLOOKUP(GB433,$FM$3:$FN$15,2,FALSE)</f>
        <v/>
      </c>
      <c r="GK433" s="9">
        <f>VLOOKUP(GC433,$FM$3:$FN$15,2,FALSE)</f>
        <v/>
      </c>
      <c r="GL433" s="9">
        <f>VLOOKUP(GD433,$FM$3:$FN$15,2,FALSE)</f>
        <v/>
      </c>
      <c r="GM433" s="9">
        <f>VLOOKUP(GE433,$FM$3:$FN$15,2,FALSE)</f>
        <v/>
      </c>
      <c r="GN433" s="9">
        <f>VLOOKUP(GF433,$FM$3:$FN$15,2,FALSE)</f>
        <v/>
      </c>
      <c r="GO433" s="9">
        <f>VLOOKUP(GG433,$FM$3:$FN$15,2,FALSE)</f>
        <v/>
      </c>
      <c r="GP433" s="9">
        <f>VLOOKUP(GH433,$FM$3:$FN$15,2,FALSE)</f>
        <v/>
      </c>
      <c r="GQ433" s="9">
        <f>VLOOKUP(GI433,$FM$3:$FN$15,2,FALSE)</f>
        <v/>
      </c>
      <c r="GR433" s="9">
        <f>IFERROR(IF(AND(VLOOKUP(GB433,$FX$4:$FX$15,1,FALSE)=GB433,VLOOKUP(GC433,$FX$4:$FX$15,1,FALSE)=GC433,VLOOKUP(GD433,$FX$4:$FX$15,1,FALSE)=GD433,VLOOKUP(GE433,$FX$4:$FX$15,1,FALSE)=GE433,VLOOKUP(GF433,$FX$4:$FX$15,1,FALSE)=GF433,VLOOKUP(GG433,$FX$4:$FX$15,1,FALSE)=GG433,VLOOKUP(GH433,$FX$4:$FX$15,1,FALSE)=GH433,VLOOKUP(GI433,$FX$4:$FX$15,1,FALSE)=GI433),FZ433,""),"")</f>
        <v/>
      </c>
    </row>
    <row r="434" ht="14.25" customHeight="1">
      <c r="FZ434" s="79" t="n">
        <v>432</v>
      </c>
      <c r="GA434" s="3">
        <f>GB434&amp;GC434&amp;GD434&amp;GE434&amp;GF434&amp;GG434&amp;GH434&amp;GI434</f>
        <v/>
      </c>
      <c r="GB434" s="3" t="inlineStr">
        <is>
          <t>C</t>
        </is>
      </c>
      <c r="GC434" s="3" t="inlineStr">
        <is>
          <t>J</t>
        </is>
      </c>
      <c r="GD434" s="3" t="inlineStr">
        <is>
          <t>B</t>
        </is>
      </c>
      <c r="GE434" s="3" t="inlineStr">
        <is>
          <t>D</t>
        </is>
      </c>
      <c r="GF434" s="3" t="inlineStr">
        <is>
          <t>A</t>
        </is>
      </c>
      <c r="GG434" s="3" t="inlineStr">
        <is>
          <t>G</t>
        </is>
      </c>
      <c r="GH434" s="3" t="inlineStr">
        <is>
          <t>L</t>
        </is>
      </c>
      <c r="GI434" s="3" t="inlineStr">
        <is>
          <t>K</t>
        </is>
      </c>
      <c r="GJ434" s="9">
        <f>VLOOKUP(GB434,$FM$3:$FN$15,2,FALSE)</f>
        <v/>
      </c>
      <c r="GK434" s="9">
        <f>VLOOKUP(GC434,$FM$3:$FN$15,2,FALSE)</f>
        <v/>
      </c>
      <c r="GL434" s="9">
        <f>VLOOKUP(GD434,$FM$3:$FN$15,2,FALSE)</f>
        <v/>
      </c>
      <c r="GM434" s="9">
        <f>VLOOKUP(GE434,$FM$3:$FN$15,2,FALSE)</f>
        <v/>
      </c>
      <c r="GN434" s="9">
        <f>VLOOKUP(GF434,$FM$3:$FN$15,2,FALSE)</f>
        <v/>
      </c>
      <c r="GO434" s="9">
        <f>VLOOKUP(GG434,$FM$3:$FN$15,2,FALSE)</f>
        <v/>
      </c>
      <c r="GP434" s="9">
        <f>VLOOKUP(GH434,$FM$3:$FN$15,2,FALSE)</f>
        <v/>
      </c>
      <c r="GQ434" s="9">
        <f>VLOOKUP(GI434,$FM$3:$FN$15,2,FALSE)</f>
        <v/>
      </c>
      <c r="GR434" s="9">
        <f>IFERROR(IF(AND(VLOOKUP(GB434,$FX$4:$FX$15,1,FALSE)=GB434,VLOOKUP(GC434,$FX$4:$FX$15,1,FALSE)=GC434,VLOOKUP(GD434,$FX$4:$FX$15,1,FALSE)=GD434,VLOOKUP(GE434,$FX$4:$FX$15,1,FALSE)=GE434,VLOOKUP(GF434,$FX$4:$FX$15,1,FALSE)=GF434,VLOOKUP(GG434,$FX$4:$FX$15,1,FALSE)=GG434,VLOOKUP(GH434,$FX$4:$FX$15,1,FALSE)=GH434,VLOOKUP(GI434,$FX$4:$FX$15,1,FALSE)=GI434),FZ434,""),"")</f>
        <v/>
      </c>
    </row>
    <row r="435" ht="14.25" customHeight="1">
      <c r="FZ435" s="79" t="n">
        <v>433</v>
      </c>
      <c r="GA435" s="3">
        <f>GB435&amp;GC435&amp;GD435&amp;GE435&amp;GF435&amp;GG435&amp;GH435&amp;GI435</f>
        <v/>
      </c>
      <c r="GB435" s="3" t="inlineStr">
        <is>
          <t>I</t>
        </is>
      </c>
      <c r="GC435" s="3" t="inlineStr">
        <is>
          <t>G</t>
        </is>
      </c>
      <c r="GD435" s="3" t="inlineStr">
        <is>
          <t>B</t>
        </is>
      </c>
      <c r="GE435" s="3" t="inlineStr">
        <is>
          <t>C</t>
        </is>
      </c>
      <c r="GF435" s="3" t="inlineStr">
        <is>
          <t>A</t>
        </is>
      </c>
      <c r="GG435" s="3" t="inlineStr">
        <is>
          <t>D</t>
        </is>
      </c>
      <c r="GH435" s="3" t="inlineStr">
        <is>
          <t>L</t>
        </is>
      </c>
      <c r="GI435" s="3" t="inlineStr">
        <is>
          <t>K</t>
        </is>
      </c>
      <c r="GJ435" s="9">
        <f>VLOOKUP(GB435,$FM$3:$FN$15,2,FALSE)</f>
        <v/>
      </c>
      <c r="GK435" s="9">
        <f>VLOOKUP(GC435,$FM$3:$FN$15,2,FALSE)</f>
        <v/>
      </c>
      <c r="GL435" s="9">
        <f>VLOOKUP(GD435,$FM$3:$FN$15,2,FALSE)</f>
        <v/>
      </c>
      <c r="GM435" s="9">
        <f>VLOOKUP(GE435,$FM$3:$FN$15,2,FALSE)</f>
        <v/>
      </c>
      <c r="GN435" s="9">
        <f>VLOOKUP(GF435,$FM$3:$FN$15,2,FALSE)</f>
        <v/>
      </c>
      <c r="GO435" s="9">
        <f>VLOOKUP(GG435,$FM$3:$FN$15,2,FALSE)</f>
        <v/>
      </c>
      <c r="GP435" s="9">
        <f>VLOOKUP(GH435,$FM$3:$FN$15,2,FALSE)</f>
        <v/>
      </c>
      <c r="GQ435" s="9">
        <f>VLOOKUP(GI435,$FM$3:$FN$15,2,FALSE)</f>
        <v/>
      </c>
      <c r="GR435" s="9">
        <f>IFERROR(IF(AND(VLOOKUP(GB435,$FX$4:$FX$15,1,FALSE)=GB435,VLOOKUP(GC435,$FX$4:$FX$15,1,FALSE)=GC435,VLOOKUP(GD435,$FX$4:$FX$15,1,FALSE)=GD435,VLOOKUP(GE435,$FX$4:$FX$15,1,FALSE)=GE435,VLOOKUP(GF435,$FX$4:$FX$15,1,FALSE)=GF435,VLOOKUP(GG435,$FX$4:$FX$15,1,FALSE)=GG435,VLOOKUP(GH435,$FX$4:$FX$15,1,FALSE)=GH435,VLOOKUP(GI435,$FX$4:$FX$15,1,FALSE)=GI435),FZ435,""),"")</f>
        <v/>
      </c>
    </row>
    <row r="436" ht="14.25" customHeight="1">
      <c r="FZ436" s="79" t="n">
        <v>434</v>
      </c>
      <c r="GA436" s="3">
        <f>GB436&amp;GC436&amp;GD436&amp;GE436&amp;GF436&amp;GG436&amp;GH436&amp;GI436</f>
        <v/>
      </c>
      <c r="GB436" s="3" t="inlineStr">
        <is>
          <t>C</t>
        </is>
      </c>
      <c r="GC436" s="3" t="inlineStr">
        <is>
          <t>J</t>
        </is>
      </c>
      <c r="GD436" s="3" t="inlineStr">
        <is>
          <t>B</t>
        </is>
      </c>
      <c r="GE436" s="3" t="inlineStr">
        <is>
          <t>D</t>
        </is>
      </c>
      <c r="GF436" s="3" t="inlineStr">
        <is>
          <t>A</t>
        </is>
      </c>
      <c r="GG436" s="3" t="inlineStr">
        <is>
          <t>G</t>
        </is>
      </c>
      <c r="GH436" s="3" t="inlineStr">
        <is>
          <t>L</t>
        </is>
      </c>
      <c r="GI436" s="3" t="inlineStr">
        <is>
          <t>I</t>
        </is>
      </c>
      <c r="GJ436" s="9">
        <f>VLOOKUP(GB436,$FM$3:$FN$15,2,FALSE)</f>
        <v/>
      </c>
      <c r="GK436" s="9">
        <f>VLOOKUP(GC436,$FM$3:$FN$15,2,FALSE)</f>
        <v/>
      </c>
      <c r="GL436" s="9">
        <f>VLOOKUP(GD436,$FM$3:$FN$15,2,FALSE)</f>
        <v/>
      </c>
      <c r="GM436" s="9">
        <f>VLOOKUP(GE436,$FM$3:$FN$15,2,FALSE)</f>
        <v/>
      </c>
      <c r="GN436" s="9">
        <f>VLOOKUP(GF436,$FM$3:$FN$15,2,FALSE)</f>
        <v/>
      </c>
      <c r="GO436" s="9">
        <f>VLOOKUP(GG436,$FM$3:$FN$15,2,FALSE)</f>
        <v/>
      </c>
      <c r="GP436" s="9">
        <f>VLOOKUP(GH436,$FM$3:$FN$15,2,FALSE)</f>
        <v/>
      </c>
      <c r="GQ436" s="9">
        <f>VLOOKUP(GI436,$FM$3:$FN$15,2,FALSE)</f>
        <v/>
      </c>
      <c r="GR436" s="9">
        <f>IFERROR(IF(AND(VLOOKUP(GB436,$FX$4:$FX$15,1,FALSE)=GB436,VLOOKUP(GC436,$FX$4:$FX$15,1,FALSE)=GC436,VLOOKUP(GD436,$FX$4:$FX$15,1,FALSE)=GD436,VLOOKUP(GE436,$FX$4:$FX$15,1,FALSE)=GE436,VLOOKUP(GF436,$FX$4:$FX$15,1,FALSE)=GF436,VLOOKUP(GG436,$FX$4:$FX$15,1,FALSE)=GG436,VLOOKUP(GH436,$FX$4:$FX$15,1,FALSE)=GH436,VLOOKUP(GI436,$FX$4:$FX$15,1,FALSE)=GI436),FZ436,""),"")</f>
        <v/>
      </c>
    </row>
    <row r="437" ht="14.25" customHeight="1">
      <c r="FZ437" s="79" t="n">
        <v>435</v>
      </c>
      <c r="GA437" s="3">
        <f>GB437&amp;GC437&amp;GD437&amp;GE437&amp;GF437&amp;GG437&amp;GH437&amp;GI437</f>
        <v/>
      </c>
      <c r="GB437" s="3" t="inlineStr">
        <is>
          <t>C</t>
        </is>
      </c>
      <c r="GC437" s="3" t="inlineStr">
        <is>
          <t>J</t>
        </is>
      </c>
      <c r="GD437" s="3" t="inlineStr">
        <is>
          <t>B</t>
        </is>
      </c>
      <c r="GE437" s="3" t="inlineStr">
        <is>
          <t>D</t>
        </is>
      </c>
      <c r="GF437" s="3" t="inlineStr">
        <is>
          <t>A</t>
        </is>
      </c>
      <c r="GG437" s="3" t="inlineStr">
        <is>
          <t>G</t>
        </is>
      </c>
      <c r="GH437" s="3" t="inlineStr">
        <is>
          <t>I</t>
        </is>
      </c>
      <c r="GI437" s="3" t="inlineStr">
        <is>
          <t>K</t>
        </is>
      </c>
      <c r="GJ437" s="9">
        <f>VLOOKUP(GB437,$FM$3:$FN$15,2,FALSE)</f>
        <v/>
      </c>
      <c r="GK437" s="9">
        <f>VLOOKUP(GC437,$FM$3:$FN$15,2,FALSE)</f>
        <v/>
      </c>
      <c r="GL437" s="9">
        <f>VLOOKUP(GD437,$FM$3:$FN$15,2,FALSE)</f>
        <v/>
      </c>
      <c r="GM437" s="9">
        <f>VLOOKUP(GE437,$FM$3:$FN$15,2,FALSE)</f>
        <v/>
      </c>
      <c r="GN437" s="9">
        <f>VLOOKUP(GF437,$FM$3:$FN$15,2,FALSE)</f>
        <v/>
      </c>
      <c r="GO437" s="9">
        <f>VLOOKUP(GG437,$FM$3:$FN$15,2,FALSE)</f>
        <v/>
      </c>
      <c r="GP437" s="9">
        <f>VLOOKUP(GH437,$FM$3:$FN$15,2,FALSE)</f>
        <v/>
      </c>
      <c r="GQ437" s="9">
        <f>VLOOKUP(GI437,$FM$3:$FN$15,2,FALSE)</f>
        <v/>
      </c>
      <c r="GR437" s="9">
        <f>IFERROR(IF(AND(VLOOKUP(GB437,$FX$4:$FX$15,1,FALSE)=GB437,VLOOKUP(GC437,$FX$4:$FX$15,1,FALSE)=GC437,VLOOKUP(GD437,$FX$4:$FX$15,1,FALSE)=GD437,VLOOKUP(GE437,$FX$4:$FX$15,1,FALSE)=GE437,VLOOKUP(GF437,$FX$4:$FX$15,1,FALSE)=GF437,VLOOKUP(GG437,$FX$4:$FX$15,1,FALSE)=GG437,VLOOKUP(GH437,$FX$4:$FX$15,1,FALSE)=GH437,VLOOKUP(GI437,$FX$4:$FX$15,1,FALSE)=GI437),FZ437,""),"")</f>
        <v/>
      </c>
    </row>
    <row r="438" ht="14.25" customHeight="1">
      <c r="FZ438" s="79" t="n">
        <v>436</v>
      </c>
      <c r="GA438" s="3">
        <f>GB438&amp;GC438&amp;GD438&amp;GE438&amp;GF438&amp;GG438&amp;GH438&amp;GI438</f>
        <v/>
      </c>
      <c r="GB438" s="3" t="inlineStr">
        <is>
          <t>H</t>
        </is>
      </c>
      <c r="GC438" s="3" t="inlineStr">
        <is>
          <t>G</t>
        </is>
      </c>
      <c r="GD438" s="3" t="inlineStr">
        <is>
          <t>B</t>
        </is>
      </c>
      <c r="GE438" s="3" t="inlineStr">
        <is>
          <t>C</t>
        </is>
      </c>
      <c r="GF438" s="3" t="inlineStr">
        <is>
          <t>A</t>
        </is>
      </c>
      <c r="GG438" s="3" t="inlineStr">
        <is>
          <t>D</t>
        </is>
      </c>
      <c r="GH438" s="3" t="inlineStr">
        <is>
          <t>L</t>
        </is>
      </c>
      <c r="GI438" s="3" t="inlineStr">
        <is>
          <t>K</t>
        </is>
      </c>
      <c r="GJ438" s="9">
        <f>VLOOKUP(GB438,$FM$3:$FN$15,2,FALSE)</f>
        <v/>
      </c>
      <c r="GK438" s="9">
        <f>VLOOKUP(GC438,$FM$3:$FN$15,2,FALSE)</f>
        <v/>
      </c>
      <c r="GL438" s="9">
        <f>VLOOKUP(GD438,$FM$3:$FN$15,2,FALSE)</f>
        <v/>
      </c>
      <c r="GM438" s="9">
        <f>VLOOKUP(GE438,$FM$3:$FN$15,2,FALSE)</f>
        <v/>
      </c>
      <c r="GN438" s="9">
        <f>VLOOKUP(GF438,$FM$3:$FN$15,2,FALSE)</f>
        <v/>
      </c>
      <c r="GO438" s="9">
        <f>VLOOKUP(GG438,$FM$3:$FN$15,2,FALSE)</f>
        <v/>
      </c>
      <c r="GP438" s="9">
        <f>VLOOKUP(GH438,$FM$3:$FN$15,2,FALSE)</f>
        <v/>
      </c>
      <c r="GQ438" s="9">
        <f>VLOOKUP(GI438,$FM$3:$FN$15,2,FALSE)</f>
        <v/>
      </c>
      <c r="GR438" s="9">
        <f>IFERROR(IF(AND(VLOOKUP(GB438,$FX$4:$FX$15,1,FALSE)=GB438,VLOOKUP(GC438,$FX$4:$FX$15,1,FALSE)=GC438,VLOOKUP(GD438,$FX$4:$FX$15,1,FALSE)=GD438,VLOOKUP(GE438,$FX$4:$FX$15,1,FALSE)=GE438,VLOOKUP(GF438,$FX$4:$FX$15,1,FALSE)=GF438,VLOOKUP(GG438,$FX$4:$FX$15,1,FALSE)=GG438,VLOOKUP(GH438,$FX$4:$FX$15,1,FALSE)=GH438,VLOOKUP(GI438,$FX$4:$FX$15,1,FALSE)=GI438),FZ438,""),"")</f>
        <v/>
      </c>
    </row>
    <row r="439" ht="14.25" customHeight="1">
      <c r="FZ439" s="79" t="n">
        <v>437</v>
      </c>
      <c r="GA439" s="3">
        <f>GB439&amp;GC439&amp;GD439&amp;GE439&amp;GF439&amp;GG439&amp;GH439&amp;GI439</f>
        <v/>
      </c>
      <c r="GB439" s="3" t="inlineStr">
        <is>
          <t>H</t>
        </is>
      </c>
      <c r="GC439" s="3" t="inlineStr">
        <is>
          <t>G</t>
        </is>
      </c>
      <c r="GD439" s="3" t="inlineStr">
        <is>
          <t>B</t>
        </is>
      </c>
      <c r="GE439" s="3" t="inlineStr">
        <is>
          <t>C</t>
        </is>
      </c>
      <c r="GF439" s="3" t="inlineStr">
        <is>
          <t>A</t>
        </is>
      </c>
      <c r="GG439" s="3" t="inlineStr">
        <is>
          <t>D</t>
        </is>
      </c>
      <c r="GH439" s="3" t="inlineStr">
        <is>
          <t>L</t>
        </is>
      </c>
      <c r="GI439" s="3" t="inlineStr">
        <is>
          <t>J</t>
        </is>
      </c>
      <c r="GJ439" s="9">
        <f>VLOOKUP(GB439,$FM$3:$FN$15,2,FALSE)</f>
        <v/>
      </c>
      <c r="GK439" s="9">
        <f>VLOOKUP(GC439,$FM$3:$FN$15,2,FALSE)</f>
        <v/>
      </c>
      <c r="GL439" s="9">
        <f>VLOOKUP(GD439,$FM$3:$FN$15,2,FALSE)</f>
        <v/>
      </c>
      <c r="GM439" s="9">
        <f>VLOOKUP(GE439,$FM$3:$FN$15,2,FALSE)</f>
        <v/>
      </c>
      <c r="GN439" s="9">
        <f>VLOOKUP(GF439,$FM$3:$FN$15,2,FALSE)</f>
        <v/>
      </c>
      <c r="GO439" s="9">
        <f>VLOOKUP(GG439,$FM$3:$FN$15,2,FALSE)</f>
        <v/>
      </c>
      <c r="GP439" s="9">
        <f>VLOOKUP(GH439,$FM$3:$FN$15,2,FALSE)</f>
        <v/>
      </c>
      <c r="GQ439" s="9">
        <f>VLOOKUP(GI439,$FM$3:$FN$15,2,FALSE)</f>
        <v/>
      </c>
      <c r="GR439" s="9">
        <f>IFERROR(IF(AND(VLOOKUP(GB439,$FX$4:$FX$15,1,FALSE)=GB439,VLOOKUP(GC439,$FX$4:$FX$15,1,FALSE)=GC439,VLOOKUP(GD439,$FX$4:$FX$15,1,FALSE)=GD439,VLOOKUP(GE439,$FX$4:$FX$15,1,FALSE)=GE439,VLOOKUP(GF439,$FX$4:$FX$15,1,FALSE)=GF439,VLOOKUP(GG439,$FX$4:$FX$15,1,FALSE)=GG439,VLOOKUP(GH439,$FX$4:$FX$15,1,FALSE)=GH439,VLOOKUP(GI439,$FX$4:$FX$15,1,FALSE)=GI439),FZ439,""),"")</f>
        <v/>
      </c>
    </row>
    <row r="440" ht="14.25" customHeight="1">
      <c r="FZ440" s="79" t="n">
        <v>438</v>
      </c>
      <c r="GA440" s="3">
        <f>GB440&amp;GC440&amp;GD440&amp;GE440&amp;GF440&amp;GG440&amp;GH440&amp;GI440</f>
        <v/>
      </c>
      <c r="GB440" s="3" t="inlineStr">
        <is>
          <t>H</t>
        </is>
      </c>
      <c r="GC440" s="3" t="inlineStr">
        <is>
          <t>G</t>
        </is>
      </c>
      <c r="GD440" s="3" t="inlineStr">
        <is>
          <t>B</t>
        </is>
      </c>
      <c r="GE440" s="3" t="inlineStr">
        <is>
          <t>C</t>
        </is>
      </c>
      <c r="GF440" s="3" t="inlineStr">
        <is>
          <t>A</t>
        </is>
      </c>
      <c r="GG440" s="3" t="inlineStr">
        <is>
          <t>D</t>
        </is>
      </c>
      <c r="GH440" s="3" t="inlineStr">
        <is>
          <t>J</t>
        </is>
      </c>
      <c r="GI440" s="3" t="inlineStr">
        <is>
          <t>K</t>
        </is>
      </c>
      <c r="GJ440" s="9">
        <f>VLOOKUP(GB440,$FM$3:$FN$15,2,FALSE)</f>
        <v/>
      </c>
      <c r="GK440" s="9">
        <f>VLOOKUP(GC440,$FM$3:$FN$15,2,FALSE)</f>
        <v/>
      </c>
      <c r="GL440" s="9">
        <f>VLOOKUP(GD440,$FM$3:$FN$15,2,FALSE)</f>
        <v/>
      </c>
      <c r="GM440" s="9">
        <f>VLOOKUP(GE440,$FM$3:$FN$15,2,FALSE)</f>
        <v/>
      </c>
      <c r="GN440" s="9">
        <f>VLOOKUP(GF440,$FM$3:$FN$15,2,FALSE)</f>
        <v/>
      </c>
      <c r="GO440" s="9">
        <f>VLOOKUP(GG440,$FM$3:$FN$15,2,FALSE)</f>
        <v/>
      </c>
      <c r="GP440" s="9">
        <f>VLOOKUP(GH440,$FM$3:$FN$15,2,FALSE)</f>
        <v/>
      </c>
      <c r="GQ440" s="9">
        <f>VLOOKUP(GI440,$FM$3:$FN$15,2,FALSE)</f>
        <v/>
      </c>
      <c r="GR440" s="9">
        <f>IFERROR(IF(AND(VLOOKUP(GB440,$FX$4:$FX$15,1,FALSE)=GB440,VLOOKUP(GC440,$FX$4:$FX$15,1,FALSE)=GC440,VLOOKUP(GD440,$FX$4:$FX$15,1,FALSE)=GD440,VLOOKUP(GE440,$FX$4:$FX$15,1,FALSE)=GE440,VLOOKUP(GF440,$FX$4:$FX$15,1,FALSE)=GF440,VLOOKUP(GG440,$FX$4:$FX$15,1,FALSE)=GG440,VLOOKUP(GH440,$FX$4:$FX$15,1,FALSE)=GH440,VLOOKUP(GI440,$FX$4:$FX$15,1,FALSE)=GI440),FZ440,""),"")</f>
        <v/>
      </c>
    </row>
    <row r="441" ht="14.25" customHeight="1">
      <c r="FZ441" s="79" t="n">
        <v>439</v>
      </c>
      <c r="GA441" s="3">
        <f>GB441&amp;GC441&amp;GD441&amp;GE441&amp;GF441&amp;GG441&amp;GH441&amp;GI441</f>
        <v/>
      </c>
      <c r="GB441" s="3" t="inlineStr">
        <is>
          <t>H</t>
        </is>
      </c>
      <c r="GC441" s="3" t="inlineStr">
        <is>
          <t>G</t>
        </is>
      </c>
      <c r="GD441" s="3" t="inlineStr">
        <is>
          <t>B</t>
        </is>
      </c>
      <c r="GE441" s="3" t="inlineStr">
        <is>
          <t>C</t>
        </is>
      </c>
      <c r="GF441" s="3" t="inlineStr">
        <is>
          <t>A</t>
        </is>
      </c>
      <c r="GG441" s="3" t="inlineStr">
        <is>
          <t>D</t>
        </is>
      </c>
      <c r="GH441" s="3" t="inlineStr">
        <is>
          <t>L</t>
        </is>
      </c>
      <c r="GI441" s="3" t="inlineStr">
        <is>
          <t>I</t>
        </is>
      </c>
      <c r="GJ441" s="9">
        <f>VLOOKUP(GB441,$FM$3:$FN$15,2,FALSE)</f>
        <v/>
      </c>
      <c r="GK441" s="9">
        <f>VLOOKUP(GC441,$FM$3:$FN$15,2,FALSE)</f>
        <v/>
      </c>
      <c r="GL441" s="9">
        <f>VLOOKUP(GD441,$FM$3:$FN$15,2,FALSE)</f>
        <v/>
      </c>
      <c r="GM441" s="9">
        <f>VLOOKUP(GE441,$FM$3:$FN$15,2,FALSE)</f>
        <v/>
      </c>
      <c r="GN441" s="9">
        <f>VLOOKUP(GF441,$FM$3:$FN$15,2,FALSE)</f>
        <v/>
      </c>
      <c r="GO441" s="9">
        <f>VLOOKUP(GG441,$FM$3:$FN$15,2,FALSE)</f>
        <v/>
      </c>
      <c r="GP441" s="9">
        <f>VLOOKUP(GH441,$FM$3:$FN$15,2,FALSE)</f>
        <v/>
      </c>
      <c r="GQ441" s="9">
        <f>VLOOKUP(GI441,$FM$3:$FN$15,2,FALSE)</f>
        <v/>
      </c>
      <c r="GR441" s="9">
        <f>IFERROR(IF(AND(VLOOKUP(GB441,$FX$4:$FX$15,1,FALSE)=GB441,VLOOKUP(GC441,$FX$4:$FX$15,1,FALSE)=GC441,VLOOKUP(GD441,$FX$4:$FX$15,1,FALSE)=GD441,VLOOKUP(GE441,$FX$4:$FX$15,1,FALSE)=GE441,VLOOKUP(GF441,$FX$4:$FX$15,1,FALSE)=GF441,VLOOKUP(GG441,$FX$4:$FX$15,1,FALSE)=GG441,VLOOKUP(GH441,$FX$4:$FX$15,1,FALSE)=GH441,VLOOKUP(GI441,$FX$4:$FX$15,1,FALSE)=GI441),FZ441,""),"")</f>
        <v/>
      </c>
    </row>
    <row r="442" ht="14.25" customHeight="1">
      <c r="FZ442" s="79" t="n">
        <v>440</v>
      </c>
      <c r="GA442" s="3">
        <f>GB442&amp;GC442&amp;GD442&amp;GE442&amp;GF442&amp;GG442&amp;GH442&amp;GI442</f>
        <v/>
      </c>
      <c r="GB442" s="3" t="inlineStr">
        <is>
          <t>H</t>
        </is>
      </c>
      <c r="GC442" s="3" t="inlineStr">
        <is>
          <t>G</t>
        </is>
      </c>
      <c r="GD442" s="3" t="inlineStr">
        <is>
          <t>B</t>
        </is>
      </c>
      <c r="GE442" s="3" t="inlineStr">
        <is>
          <t>C</t>
        </is>
      </c>
      <c r="GF442" s="3" t="inlineStr">
        <is>
          <t>A</t>
        </is>
      </c>
      <c r="GG442" s="3" t="inlineStr">
        <is>
          <t>D</t>
        </is>
      </c>
      <c r="GH442" s="3" t="inlineStr">
        <is>
          <t>I</t>
        </is>
      </c>
      <c r="GI442" s="3" t="inlineStr">
        <is>
          <t>K</t>
        </is>
      </c>
      <c r="GJ442" s="9">
        <f>VLOOKUP(GB442,$FM$3:$FN$15,2,FALSE)</f>
        <v/>
      </c>
      <c r="GK442" s="9">
        <f>VLOOKUP(GC442,$FM$3:$FN$15,2,FALSE)</f>
        <v/>
      </c>
      <c r="GL442" s="9">
        <f>VLOOKUP(GD442,$FM$3:$FN$15,2,FALSE)</f>
        <v/>
      </c>
      <c r="GM442" s="9">
        <f>VLOOKUP(GE442,$FM$3:$FN$15,2,FALSE)</f>
        <v/>
      </c>
      <c r="GN442" s="9">
        <f>VLOOKUP(GF442,$FM$3:$FN$15,2,FALSE)</f>
        <v/>
      </c>
      <c r="GO442" s="9">
        <f>VLOOKUP(GG442,$FM$3:$FN$15,2,FALSE)</f>
        <v/>
      </c>
      <c r="GP442" s="9">
        <f>VLOOKUP(GH442,$FM$3:$FN$15,2,FALSE)</f>
        <v/>
      </c>
      <c r="GQ442" s="9">
        <f>VLOOKUP(GI442,$FM$3:$FN$15,2,FALSE)</f>
        <v/>
      </c>
      <c r="GR442" s="9">
        <f>IFERROR(IF(AND(VLOOKUP(GB442,$FX$4:$FX$15,1,FALSE)=GB442,VLOOKUP(GC442,$FX$4:$FX$15,1,FALSE)=GC442,VLOOKUP(GD442,$FX$4:$FX$15,1,FALSE)=GD442,VLOOKUP(GE442,$FX$4:$FX$15,1,FALSE)=GE442,VLOOKUP(GF442,$FX$4:$FX$15,1,FALSE)=GF442,VLOOKUP(GG442,$FX$4:$FX$15,1,FALSE)=GG442,VLOOKUP(GH442,$FX$4:$FX$15,1,FALSE)=GH442,VLOOKUP(GI442,$FX$4:$FX$15,1,FALSE)=GI442),FZ442,""),"")</f>
        <v/>
      </c>
    </row>
    <row r="443" ht="14.25" customHeight="1">
      <c r="FZ443" s="79" t="n">
        <v>441</v>
      </c>
      <c r="GA443" s="3">
        <f>GB443&amp;GC443&amp;GD443&amp;GE443&amp;GF443&amp;GG443&amp;GH443&amp;GI443</f>
        <v/>
      </c>
      <c r="GB443" s="3" t="inlineStr">
        <is>
          <t>H</t>
        </is>
      </c>
      <c r="GC443" s="3" t="inlineStr">
        <is>
          <t>G</t>
        </is>
      </c>
      <c r="GD443" s="3" t="inlineStr">
        <is>
          <t>B</t>
        </is>
      </c>
      <c r="GE443" s="3" t="inlineStr">
        <is>
          <t>C</t>
        </is>
      </c>
      <c r="GF443" s="3" t="inlineStr">
        <is>
          <t>A</t>
        </is>
      </c>
      <c r="GG443" s="3" t="inlineStr">
        <is>
          <t>D</t>
        </is>
      </c>
      <c r="GH443" s="3" t="inlineStr">
        <is>
          <t>I</t>
        </is>
      </c>
      <c r="GI443" s="3" t="inlineStr">
        <is>
          <t>J</t>
        </is>
      </c>
      <c r="GJ443" s="9">
        <f>VLOOKUP(GB443,$FM$3:$FN$15,2,FALSE)</f>
        <v/>
      </c>
      <c r="GK443" s="9">
        <f>VLOOKUP(GC443,$FM$3:$FN$15,2,FALSE)</f>
        <v/>
      </c>
      <c r="GL443" s="9">
        <f>VLOOKUP(GD443,$FM$3:$FN$15,2,FALSE)</f>
        <v/>
      </c>
      <c r="GM443" s="9">
        <f>VLOOKUP(GE443,$FM$3:$FN$15,2,FALSE)</f>
        <v/>
      </c>
      <c r="GN443" s="9">
        <f>VLOOKUP(GF443,$FM$3:$FN$15,2,FALSE)</f>
        <v/>
      </c>
      <c r="GO443" s="9">
        <f>VLOOKUP(GG443,$FM$3:$FN$15,2,FALSE)</f>
        <v/>
      </c>
      <c r="GP443" s="9">
        <f>VLOOKUP(GH443,$FM$3:$FN$15,2,FALSE)</f>
        <v/>
      </c>
      <c r="GQ443" s="9">
        <f>VLOOKUP(GI443,$FM$3:$FN$15,2,FALSE)</f>
        <v/>
      </c>
      <c r="GR443" s="9">
        <f>IFERROR(IF(AND(VLOOKUP(GB443,$FX$4:$FX$15,1,FALSE)=GB443,VLOOKUP(GC443,$FX$4:$FX$15,1,FALSE)=GC443,VLOOKUP(GD443,$FX$4:$FX$15,1,FALSE)=GD443,VLOOKUP(GE443,$FX$4:$FX$15,1,FALSE)=GE443,VLOOKUP(GF443,$FX$4:$FX$15,1,FALSE)=GF443,VLOOKUP(GG443,$FX$4:$FX$15,1,FALSE)=GG443,VLOOKUP(GH443,$FX$4:$FX$15,1,FALSE)=GH443,VLOOKUP(GI443,$FX$4:$FX$15,1,FALSE)=GI443),FZ443,""),"")</f>
        <v/>
      </c>
    </row>
    <row r="444" ht="14.25" customHeight="1">
      <c r="FZ444" s="79" t="n">
        <v>442</v>
      </c>
      <c r="GA444" s="3">
        <f>GB444&amp;GC444&amp;GD444&amp;GE444&amp;GF444&amp;GG444&amp;GH444&amp;GI444</f>
        <v/>
      </c>
      <c r="GB444" s="3" t="inlineStr">
        <is>
          <t>C</t>
        </is>
      </c>
      <c r="GC444" s="3" t="inlineStr">
        <is>
          <t>J</t>
        </is>
      </c>
      <c r="GD444" s="3" t="inlineStr">
        <is>
          <t>B</t>
        </is>
      </c>
      <c r="GE444" s="3" t="inlineStr">
        <is>
          <t>D</t>
        </is>
      </c>
      <c r="GF444" s="3" t="inlineStr">
        <is>
          <t>A</t>
        </is>
      </c>
      <c r="GG444" s="3" t="inlineStr">
        <is>
          <t>F</t>
        </is>
      </c>
      <c r="GH444" s="3" t="inlineStr">
        <is>
          <t>L</t>
        </is>
      </c>
      <c r="GI444" s="3" t="inlineStr">
        <is>
          <t>K</t>
        </is>
      </c>
      <c r="GJ444" s="9">
        <f>VLOOKUP(GB444,$FM$3:$FN$15,2,FALSE)</f>
        <v/>
      </c>
      <c r="GK444" s="9">
        <f>VLOOKUP(GC444,$FM$3:$FN$15,2,FALSE)</f>
        <v/>
      </c>
      <c r="GL444" s="9">
        <f>VLOOKUP(GD444,$FM$3:$FN$15,2,FALSE)</f>
        <v/>
      </c>
      <c r="GM444" s="9">
        <f>VLOOKUP(GE444,$FM$3:$FN$15,2,FALSE)</f>
        <v/>
      </c>
      <c r="GN444" s="9">
        <f>VLOOKUP(GF444,$FM$3:$FN$15,2,FALSE)</f>
        <v/>
      </c>
      <c r="GO444" s="9">
        <f>VLOOKUP(GG444,$FM$3:$FN$15,2,FALSE)</f>
        <v/>
      </c>
      <c r="GP444" s="9">
        <f>VLOOKUP(GH444,$FM$3:$FN$15,2,FALSE)</f>
        <v/>
      </c>
      <c r="GQ444" s="9">
        <f>VLOOKUP(GI444,$FM$3:$FN$15,2,FALSE)</f>
        <v/>
      </c>
      <c r="GR444" s="9">
        <f>IFERROR(IF(AND(VLOOKUP(GB444,$FX$4:$FX$15,1,FALSE)=GB444,VLOOKUP(GC444,$FX$4:$FX$15,1,FALSE)=GC444,VLOOKUP(GD444,$FX$4:$FX$15,1,FALSE)=GD444,VLOOKUP(GE444,$FX$4:$FX$15,1,FALSE)=GE444,VLOOKUP(GF444,$FX$4:$FX$15,1,FALSE)=GF444,VLOOKUP(GG444,$FX$4:$FX$15,1,FALSE)=GG444,VLOOKUP(GH444,$FX$4:$FX$15,1,FALSE)=GH444,VLOOKUP(GI444,$FX$4:$FX$15,1,FALSE)=GI444),FZ444,""),"")</f>
        <v/>
      </c>
    </row>
    <row r="445" ht="14.25" customHeight="1">
      <c r="FZ445" s="79" t="n">
        <v>443</v>
      </c>
      <c r="GA445" s="3">
        <f>GB445&amp;GC445&amp;GD445&amp;GE445&amp;GF445&amp;GG445&amp;GH445&amp;GI445</f>
        <v/>
      </c>
      <c r="GB445" s="3" t="inlineStr">
        <is>
          <t>C</t>
        </is>
      </c>
      <c r="GC445" s="3" t="inlineStr">
        <is>
          <t>I</t>
        </is>
      </c>
      <c r="GD445" s="3" t="inlineStr">
        <is>
          <t>B</t>
        </is>
      </c>
      <c r="GE445" s="3" t="inlineStr">
        <is>
          <t>D</t>
        </is>
      </c>
      <c r="GF445" s="3" t="inlineStr">
        <is>
          <t>A</t>
        </is>
      </c>
      <c r="GG445" s="3" t="inlineStr">
        <is>
          <t>F</t>
        </is>
      </c>
      <c r="GH445" s="3" t="inlineStr">
        <is>
          <t>L</t>
        </is>
      </c>
      <c r="GI445" s="3" t="inlineStr">
        <is>
          <t>K</t>
        </is>
      </c>
      <c r="GJ445" s="9">
        <f>VLOOKUP(GB445,$FM$3:$FN$15,2,FALSE)</f>
        <v/>
      </c>
      <c r="GK445" s="9">
        <f>VLOOKUP(GC445,$FM$3:$FN$15,2,FALSE)</f>
        <v/>
      </c>
      <c r="GL445" s="9">
        <f>VLOOKUP(GD445,$FM$3:$FN$15,2,FALSE)</f>
        <v/>
      </c>
      <c r="GM445" s="9">
        <f>VLOOKUP(GE445,$FM$3:$FN$15,2,FALSE)</f>
        <v/>
      </c>
      <c r="GN445" s="9">
        <f>VLOOKUP(GF445,$FM$3:$FN$15,2,FALSE)</f>
        <v/>
      </c>
      <c r="GO445" s="9">
        <f>VLOOKUP(GG445,$FM$3:$FN$15,2,FALSE)</f>
        <v/>
      </c>
      <c r="GP445" s="9">
        <f>VLOOKUP(GH445,$FM$3:$FN$15,2,FALSE)</f>
        <v/>
      </c>
      <c r="GQ445" s="9">
        <f>VLOOKUP(GI445,$FM$3:$FN$15,2,FALSE)</f>
        <v/>
      </c>
      <c r="GR445" s="9">
        <f>IFERROR(IF(AND(VLOOKUP(GB445,$FX$4:$FX$15,1,FALSE)=GB445,VLOOKUP(GC445,$FX$4:$FX$15,1,FALSE)=GC445,VLOOKUP(GD445,$FX$4:$FX$15,1,FALSE)=GD445,VLOOKUP(GE445,$FX$4:$FX$15,1,FALSE)=GE445,VLOOKUP(GF445,$FX$4:$FX$15,1,FALSE)=GF445,VLOOKUP(GG445,$FX$4:$FX$15,1,FALSE)=GG445,VLOOKUP(GH445,$FX$4:$FX$15,1,FALSE)=GH445,VLOOKUP(GI445,$FX$4:$FX$15,1,FALSE)=GI445),FZ445,""),"")</f>
        <v/>
      </c>
    </row>
    <row r="446" ht="14.25" customHeight="1">
      <c r="FZ446" s="79" t="n">
        <v>444</v>
      </c>
      <c r="GA446" s="3">
        <f>GB446&amp;GC446&amp;GD446&amp;GE446&amp;GF446&amp;GG446&amp;GH446&amp;GI446</f>
        <v/>
      </c>
      <c r="GB446" s="3" t="inlineStr">
        <is>
          <t>C</t>
        </is>
      </c>
      <c r="GC446" s="3" t="inlineStr">
        <is>
          <t>J</t>
        </is>
      </c>
      <c r="GD446" s="3" t="inlineStr">
        <is>
          <t>B</t>
        </is>
      </c>
      <c r="GE446" s="3" t="inlineStr">
        <is>
          <t>D</t>
        </is>
      </c>
      <c r="GF446" s="3" t="inlineStr">
        <is>
          <t>A</t>
        </is>
      </c>
      <c r="GG446" s="3" t="inlineStr">
        <is>
          <t>F</t>
        </is>
      </c>
      <c r="GH446" s="3" t="inlineStr">
        <is>
          <t>L</t>
        </is>
      </c>
      <c r="GI446" s="3" t="inlineStr">
        <is>
          <t>I</t>
        </is>
      </c>
      <c r="GJ446" s="9">
        <f>VLOOKUP(GB446,$FM$3:$FN$15,2,FALSE)</f>
        <v/>
      </c>
      <c r="GK446" s="9">
        <f>VLOOKUP(GC446,$FM$3:$FN$15,2,FALSE)</f>
        <v/>
      </c>
      <c r="GL446" s="9">
        <f>VLOOKUP(GD446,$FM$3:$FN$15,2,FALSE)</f>
        <v/>
      </c>
      <c r="GM446" s="9">
        <f>VLOOKUP(GE446,$FM$3:$FN$15,2,FALSE)</f>
        <v/>
      </c>
      <c r="GN446" s="9">
        <f>VLOOKUP(GF446,$FM$3:$FN$15,2,FALSE)</f>
        <v/>
      </c>
      <c r="GO446" s="9">
        <f>VLOOKUP(GG446,$FM$3:$FN$15,2,FALSE)</f>
        <v/>
      </c>
      <c r="GP446" s="9">
        <f>VLOOKUP(GH446,$FM$3:$FN$15,2,FALSE)</f>
        <v/>
      </c>
      <c r="GQ446" s="9">
        <f>VLOOKUP(GI446,$FM$3:$FN$15,2,FALSE)</f>
        <v/>
      </c>
      <c r="GR446" s="9">
        <f>IFERROR(IF(AND(VLOOKUP(GB446,$FX$4:$FX$15,1,FALSE)=GB446,VLOOKUP(GC446,$FX$4:$FX$15,1,FALSE)=GC446,VLOOKUP(GD446,$FX$4:$FX$15,1,FALSE)=GD446,VLOOKUP(GE446,$FX$4:$FX$15,1,FALSE)=GE446,VLOOKUP(GF446,$FX$4:$FX$15,1,FALSE)=GF446,VLOOKUP(GG446,$FX$4:$FX$15,1,FALSE)=GG446,VLOOKUP(GH446,$FX$4:$FX$15,1,FALSE)=GH446,VLOOKUP(GI446,$FX$4:$FX$15,1,FALSE)=GI446),FZ446,""),"")</f>
        <v/>
      </c>
    </row>
    <row r="447" ht="14.25" customHeight="1">
      <c r="FZ447" s="79" t="n">
        <v>445</v>
      </c>
      <c r="GA447" s="3">
        <f>GB447&amp;GC447&amp;GD447&amp;GE447&amp;GF447&amp;GG447&amp;GH447&amp;GI447</f>
        <v/>
      </c>
      <c r="GB447" s="3" t="inlineStr">
        <is>
          <t>C</t>
        </is>
      </c>
      <c r="GC447" s="3" t="inlineStr">
        <is>
          <t>J</t>
        </is>
      </c>
      <c r="GD447" s="3" t="inlineStr">
        <is>
          <t>B</t>
        </is>
      </c>
      <c r="GE447" s="3" t="inlineStr">
        <is>
          <t>D</t>
        </is>
      </c>
      <c r="GF447" s="3" t="inlineStr">
        <is>
          <t>A</t>
        </is>
      </c>
      <c r="GG447" s="3" t="inlineStr">
        <is>
          <t>F</t>
        </is>
      </c>
      <c r="GH447" s="3" t="inlineStr">
        <is>
          <t>I</t>
        </is>
      </c>
      <c r="GI447" s="3" t="inlineStr">
        <is>
          <t>K</t>
        </is>
      </c>
      <c r="GJ447" s="9">
        <f>VLOOKUP(GB447,$FM$3:$FN$15,2,FALSE)</f>
        <v/>
      </c>
      <c r="GK447" s="9">
        <f>VLOOKUP(GC447,$FM$3:$FN$15,2,FALSE)</f>
        <v/>
      </c>
      <c r="GL447" s="9">
        <f>VLOOKUP(GD447,$FM$3:$FN$15,2,FALSE)</f>
        <v/>
      </c>
      <c r="GM447" s="9">
        <f>VLOOKUP(GE447,$FM$3:$FN$15,2,FALSE)</f>
        <v/>
      </c>
      <c r="GN447" s="9">
        <f>VLOOKUP(GF447,$FM$3:$FN$15,2,FALSE)</f>
        <v/>
      </c>
      <c r="GO447" s="9">
        <f>VLOOKUP(GG447,$FM$3:$FN$15,2,FALSE)</f>
        <v/>
      </c>
      <c r="GP447" s="9">
        <f>VLOOKUP(GH447,$FM$3:$FN$15,2,FALSE)</f>
        <v/>
      </c>
      <c r="GQ447" s="9">
        <f>VLOOKUP(GI447,$FM$3:$FN$15,2,FALSE)</f>
        <v/>
      </c>
      <c r="GR447" s="9">
        <f>IFERROR(IF(AND(VLOOKUP(GB447,$FX$4:$FX$15,1,FALSE)=GB447,VLOOKUP(GC447,$FX$4:$FX$15,1,FALSE)=GC447,VLOOKUP(GD447,$FX$4:$FX$15,1,FALSE)=GD447,VLOOKUP(GE447,$FX$4:$FX$15,1,FALSE)=GE447,VLOOKUP(GF447,$FX$4:$FX$15,1,FALSE)=GF447,VLOOKUP(GG447,$FX$4:$FX$15,1,FALSE)=GG447,VLOOKUP(GH447,$FX$4:$FX$15,1,FALSE)=GH447,VLOOKUP(GI447,$FX$4:$FX$15,1,FALSE)=GI447),FZ447,""),"")</f>
        <v/>
      </c>
    </row>
    <row r="448" ht="14.25" customHeight="1">
      <c r="FZ448" s="79" t="n">
        <v>446</v>
      </c>
      <c r="GA448" s="3">
        <f>GB448&amp;GC448&amp;GD448&amp;GE448&amp;GF448&amp;GG448&amp;GH448&amp;GI448</f>
        <v/>
      </c>
      <c r="GB448" s="3" t="inlineStr">
        <is>
          <t>H</t>
        </is>
      </c>
      <c r="GC448" s="3" t="inlineStr">
        <is>
          <t>F</t>
        </is>
      </c>
      <c r="GD448" s="3" t="inlineStr">
        <is>
          <t>B</t>
        </is>
      </c>
      <c r="GE448" s="3" t="inlineStr">
        <is>
          <t>C</t>
        </is>
      </c>
      <c r="GF448" s="3" t="inlineStr">
        <is>
          <t>A</t>
        </is>
      </c>
      <c r="GG448" s="3" t="inlineStr">
        <is>
          <t>D</t>
        </is>
      </c>
      <c r="GH448" s="3" t="inlineStr">
        <is>
          <t>L</t>
        </is>
      </c>
      <c r="GI448" s="3" t="inlineStr">
        <is>
          <t>K</t>
        </is>
      </c>
      <c r="GJ448" s="9">
        <f>VLOOKUP(GB448,$FM$3:$FN$15,2,FALSE)</f>
        <v/>
      </c>
      <c r="GK448" s="9">
        <f>VLOOKUP(GC448,$FM$3:$FN$15,2,FALSE)</f>
        <v/>
      </c>
      <c r="GL448" s="9">
        <f>VLOOKUP(GD448,$FM$3:$FN$15,2,FALSE)</f>
        <v/>
      </c>
      <c r="GM448" s="9">
        <f>VLOOKUP(GE448,$FM$3:$FN$15,2,FALSE)</f>
        <v/>
      </c>
      <c r="GN448" s="9">
        <f>VLOOKUP(GF448,$FM$3:$FN$15,2,FALSE)</f>
        <v/>
      </c>
      <c r="GO448" s="9">
        <f>VLOOKUP(GG448,$FM$3:$FN$15,2,FALSE)</f>
        <v/>
      </c>
      <c r="GP448" s="9">
        <f>VLOOKUP(GH448,$FM$3:$FN$15,2,FALSE)</f>
        <v/>
      </c>
      <c r="GQ448" s="9">
        <f>VLOOKUP(GI448,$FM$3:$FN$15,2,FALSE)</f>
        <v/>
      </c>
      <c r="GR448" s="9">
        <f>IFERROR(IF(AND(VLOOKUP(GB448,$FX$4:$FX$15,1,FALSE)=GB448,VLOOKUP(GC448,$FX$4:$FX$15,1,FALSE)=GC448,VLOOKUP(GD448,$FX$4:$FX$15,1,FALSE)=GD448,VLOOKUP(GE448,$FX$4:$FX$15,1,FALSE)=GE448,VLOOKUP(GF448,$FX$4:$FX$15,1,FALSE)=GF448,VLOOKUP(GG448,$FX$4:$FX$15,1,FALSE)=GG448,VLOOKUP(GH448,$FX$4:$FX$15,1,FALSE)=GH448,VLOOKUP(GI448,$FX$4:$FX$15,1,FALSE)=GI448),FZ448,""),"")</f>
        <v/>
      </c>
    </row>
    <row r="449" ht="14.25" customHeight="1">
      <c r="FZ449" s="79" t="n">
        <v>447</v>
      </c>
      <c r="GA449" s="3">
        <f>GB449&amp;GC449&amp;GD449&amp;GE449&amp;GF449&amp;GG449&amp;GH449&amp;GI449</f>
        <v/>
      </c>
      <c r="GB449" s="3" t="inlineStr">
        <is>
          <t>C</t>
        </is>
      </c>
      <c r="GC449" s="3" t="inlineStr">
        <is>
          <t>J</t>
        </is>
      </c>
      <c r="GD449" s="3" t="inlineStr">
        <is>
          <t>B</t>
        </is>
      </c>
      <c r="GE449" s="3" t="inlineStr">
        <is>
          <t>D</t>
        </is>
      </c>
      <c r="GF449" s="3" t="inlineStr">
        <is>
          <t>A</t>
        </is>
      </c>
      <c r="GG449" s="3" t="inlineStr">
        <is>
          <t>F</t>
        </is>
      </c>
      <c r="GH449" s="3" t="inlineStr">
        <is>
          <t>L</t>
        </is>
      </c>
      <c r="GI449" s="3" t="inlineStr">
        <is>
          <t>H</t>
        </is>
      </c>
      <c r="GJ449" s="9">
        <f>VLOOKUP(GB449,$FM$3:$FN$15,2,FALSE)</f>
        <v/>
      </c>
      <c r="GK449" s="9">
        <f>VLOOKUP(GC449,$FM$3:$FN$15,2,FALSE)</f>
        <v/>
      </c>
      <c r="GL449" s="9">
        <f>VLOOKUP(GD449,$FM$3:$FN$15,2,FALSE)</f>
        <v/>
      </c>
      <c r="GM449" s="9">
        <f>VLOOKUP(GE449,$FM$3:$FN$15,2,FALSE)</f>
        <v/>
      </c>
      <c r="GN449" s="9">
        <f>VLOOKUP(GF449,$FM$3:$FN$15,2,FALSE)</f>
        <v/>
      </c>
      <c r="GO449" s="9">
        <f>VLOOKUP(GG449,$FM$3:$FN$15,2,FALSE)</f>
        <v/>
      </c>
      <c r="GP449" s="9">
        <f>VLOOKUP(GH449,$FM$3:$FN$15,2,FALSE)</f>
        <v/>
      </c>
      <c r="GQ449" s="9">
        <f>VLOOKUP(GI449,$FM$3:$FN$15,2,FALSE)</f>
        <v/>
      </c>
      <c r="GR449" s="9">
        <f>IFERROR(IF(AND(VLOOKUP(GB449,$FX$4:$FX$15,1,FALSE)=GB449,VLOOKUP(GC449,$FX$4:$FX$15,1,FALSE)=GC449,VLOOKUP(GD449,$FX$4:$FX$15,1,FALSE)=GD449,VLOOKUP(GE449,$FX$4:$FX$15,1,FALSE)=GE449,VLOOKUP(GF449,$FX$4:$FX$15,1,FALSE)=GF449,VLOOKUP(GG449,$FX$4:$FX$15,1,FALSE)=GG449,VLOOKUP(GH449,$FX$4:$FX$15,1,FALSE)=GH449,VLOOKUP(GI449,$FX$4:$FX$15,1,FALSE)=GI449),FZ449,""),"")</f>
        <v/>
      </c>
    </row>
    <row r="450" ht="14.25" customHeight="1">
      <c r="FZ450" s="79" t="n">
        <v>448</v>
      </c>
      <c r="GA450" s="3">
        <f>GB450&amp;GC450&amp;GD450&amp;GE450&amp;GF450&amp;GG450&amp;GH450&amp;GI450</f>
        <v/>
      </c>
      <c r="GB450" s="3" t="inlineStr">
        <is>
          <t>H</t>
        </is>
      </c>
      <c r="GC450" s="3" t="inlineStr">
        <is>
          <t>J</t>
        </is>
      </c>
      <c r="GD450" s="3" t="inlineStr">
        <is>
          <t>B</t>
        </is>
      </c>
      <c r="GE450" s="3" t="inlineStr">
        <is>
          <t>C</t>
        </is>
      </c>
      <c r="GF450" s="3" t="inlineStr">
        <is>
          <t>A</t>
        </is>
      </c>
      <c r="GG450" s="3" t="inlineStr">
        <is>
          <t>F</t>
        </is>
      </c>
      <c r="GH450" s="3" t="inlineStr">
        <is>
          <t>D</t>
        </is>
      </c>
      <c r="GI450" s="3" t="inlineStr">
        <is>
          <t>K</t>
        </is>
      </c>
      <c r="GJ450" s="9">
        <f>VLOOKUP(GB450,$FM$3:$FN$15,2,FALSE)</f>
        <v/>
      </c>
      <c r="GK450" s="9">
        <f>VLOOKUP(GC450,$FM$3:$FN$15,2,FALSE)</f>
        <v/>
      </c>
      <c r="GL450" s="9">
        <f>VLOOKUP(GD450,$FM$3:$FN$15,2,FALSE)</f>
        <v/>
      </c>
      <c r="GM450" s="9">
        <f>VLOOKUP(GE450,$FM$3:$FN$15,2,FALSE)</f>
        <v/>
      </c>
      <c r="GN450" s="9">
        <f>VLOOKUP(GF450,$FM$3:$FN$15,2,FALSE)</f>
        <v/>
      </c>
      <c r="GO450" s="9">
        <f>VLOOKUP(GG450,$FM$3:$FN$15,2,FALSE)</f>
        <v/>
      </c>
      <c r="GP450" s="9">
        <f>VLOOKUP(GH450,$FM$3:$FN$15,2,FALSE)</f>
        <v/>
      </c>
      <c r="GQ450" s="9">
        <f>VLOOKUP(GI450,$FM$3:$FN$15,2,FALSE)</f>
        <v/>
      </c>
      <c r="GR450" s="9">
        <f>IFERROR(IF(AND(VLOOKUP(GB450,$FX$4:$FX$15,1,FALSE)=GB450,VLOOKUP(GC450,$FX$4:$FX$15,1,FALSE)=GC450,VLOOKUP(GD450,$FX$4:$FX$15,1,FALSE)=GD450,VLOOKUP(GE450,$FX$4:$FX$15,1,FALSE)=GE450,VLOOKUP(GF450,$FX$4:$FX$15,1,FALSE)=GF450,VLOOKUP(GG450,$FX$4:$FX$15,1,FALSE)=GG450,VLOOKUP(GH450,$FX$4:$FX$15,1,FALSE)=GH450,VLOOKUP(GI450,$FX$4:$FX$15,1,FALSE)=GI450),FZ450,""),"")</f>
        <v/>
      </c>
    </row>
    <row r="451" ht="14.25" customHeight="1">
      <c r="FZ451" s="79" t="n">
        <v>449</v>
      </c>
      <c r="GA451" s="3">
        <f>GB451&amp;GC451&amp;GD451&amp;GE451&amp;GF451&amp;GG451&amp;GH451&amp;GI451</f>
        <v/>
      </c>
      <c r="GB451" s="3" t="inlineStr">
        <is>
          <t>H</t>
        </is>
      </c>
      <c r="GC451" s="3" t="inlineStr">
        <is>
          <t>F</t>
        </is>
      </c>
      <c r="GD451" s="3" t="inlineStr">
        <is>
          <t>B</t>
        </is>
      </c>
      <c r="GE451" s="3" t="inlineStr">
        <is>
          <t>C</t>
        </is>
      </c>
      <c r="GF451" s="3" t="inlineStr">
        <is>
          <t>A</t>
        </is>
      </c>
      <c r="GG451" s="3" t="inlineStr">
        <is>
          <t>D</t>
        </is>
      </c>
      <c r="GH451" s="3" t="inlineStr">
        <is>
          <t>L</t>
        </is>
      </c>
      <c r="GI451" s="3" t="inlineStr">
        <is>
          <t>I</t>
        </is>
      </c>
      <c r="GJ451" s="9">
        <f>VLOOKUP(GB451,$FM$3:$FN$15,2,FALSE)</f>
        <v/>
      </c>
      <c r="GK451" s="9">
        <f>VLOOKUP(GC451,$FM$3:$FN$15,2,FALSE)</f>
        <v/>
      </c>
      <c r="GL451" s="9">
        <f>VLOOKUP(GD451,$FM$3:$FN$15,2,FALSE)</f>
        <v/>
      </c>
      <c r="GM451" s="9">
        <f>VLOOKUP(GE451,$FM$3:$FN$15,2,FALSE)</f>
        <v/>
      </c>
      <c r="GN451" s="9">
        <f>VLOOKUP(GF451,$FM$3:$FN$15,2,FALSE)</f>
        <v/>
      </c>
      <c r="GO451" s="9">
        <f>VLOOKUP(GG451,$FM$3:$FN$15,2,FALSE)</f>
        <v/>
      </c>
      <c r="GP451" s="9">
        <f>VLOOKUP(GH451,$FM$3:$FN$15,2,FALSE)</f>
        <v/>
      </c>
      <c r="GQ451" s="9">
        <f>VLOOKUP(GI451,$FM$3:$FN$15,2,FALSE)</f>
        <v/>
      </c>
      <c r="GR451" s="9">
        <f>IFERROR(IF(AND(VLOOKUP(GB451,$FX$4:$FX$15,1,FALSE)=GB451,VLOOKUP(GC451,$FX$4:$FX$15,1,FALSE)=GC451,VLOOKUP(GD451,$FX$4:$FX$15,1,FALSE)=GD451,VLOOKUP(GE451,$FX$4:$FX$15,1,FALSE)=GE451,VLOOKUP(GF451,$FX$4:$FX$15,1,FALSE)=GF451,VLOOKUP(GG451,$FX$4:$FX$15,1,FALSE)=GG451,VLOOKUP(GH451,$FX$4:$FX$15,1,FALSE)=GH451,VLOOKUP(GI451,$FX$4:$FX$15,1,FALSE)=GI451),FZ451,""),"")</f>
        <v/>
      </c>
    </row>
    <row r="452" ht="14.25" customHeight="1">
      <c r="FZ452" s="79" t="n">
        <v>450</v>
      </c>
      <c r="GA452" s="3">
        <f>GB452&amp;GC452&amp;GD452&amp;GE452&amp;GF452&amp;GG452&amp;GH452&amp;GI452</f>
        <v/>
      </c>
      <c r="GB452" s="3" t="inlineStr">
        <is>
          <t>H</t>
        </is>
      </c>
      <c r="GC452" s="3" t="inlineStr">
        <is>
          <t>F</t>
        </is>
      </c>
      <c r="GD452" s="3" t="inlineStr">
        <is>
          <t>B</t>
        </is>
      </c>
      <c r="GE452" s="3" t="inlineStr">
        <is>
          <t>C</t>
        </is>
      </c>
      <c r="GF452" s="3" t="inlineStr">
        <is>
          <t>A</t>
        </is>
      </c>
      <c r="GG452" s="3" t="inlineStr">
        <is>
          <t>D</t>
        </is>
      </c>
      <c r="GH452" s="3" t="inlineStr">
        <is>
          <t>I</t>
        </is>
      </c>
      <c r="GI452" s="3" t="inlineStr">
        <is>
          <t>K</t>
        </is>
      </c>
      <c r="GJ452" s="9">
        <f>VLOOKUP(GB452,$FM$3:$FN$15,2,FALSE)</f>
        <v/>
      </c>
      <c r="GK452" s="9">
        <f>VLOOKUP(GC452,$FM$3:$FN$15,2,FALSE)</f>
        <v/>
      </c>
      <c r="GL452" s="9">
        <f>VLOOKUP(GD452,$FM$3:$FN$15,2,FALSE)</f>
        <v/>
      </c>
      <c r="GM452" s="9">
        <f>VLOOKUP(GE452,$FM$3:$FN$15,2,FALSE)</f>
        <v/>
      </c>
      <c r="GN452" s="9">
        <f>VLOOKUP(GF452,$FM$3:$FN$15,2,FALSE)</f>
        <v/>
      </c>
      <c r="GO452" s="9">
        <f>VLOOKUP(GG452,$FM$3:$FN$15,2,FALSE)</f>
        <v/>
      </c>
      <c r="GP452" s="9">
        <f>VLOOKUP(GH452,$FM$3:$FN$15,2,FALSE)</f>
        <v/>
      </c>
      <c r="GQ452" s="9">
        <f>VLOOKUP(GI452,$FM$3:$FN$15,2,FALSE)</f>
        <v/>
      </c>
      <c r="GR452" s="9">
        <f>IFERROR(IF(AND(VLOOKUP(GB452,$FX$4:$FX$15,1,FALSE)=GB452,VLOOKUP(GC452,$FX$4:$FX$15,1,FALSE)=GC452,VLOOKUP(GD452,$FX$4:$FX$15,1,FALSE)=GD452,VLOOKUP(GE452,$FX$4:$FX$15,1,FALSE)=GE452,VLOOKUP(GF452,$FX$4:$FX$15,1,FALSE)=GF452,VLOOKUP(GG452,$FX$4:$FX$15,1,FALSE)=GG452,VLOOKUP(GH452,$FX$4:$FX$15,1,FALSE)=GH452,VLOOKUP(GI452,$FX$4:$FX$15,1,FALSE)=GI452),FZ452,""),"")</f>
        <v/>
      </c>
    </row>
    <row r="453" ht="14.25" customHeight="1">
      <c r="FZ453" s="79" t="n">
        <v>451</v>
      </c>
      <c r="GA453" s="3">
        <f>GB453&amp;GC453&amp;GD453&amp;GE453&amp;GF453&amp;GG453&amp;GH453&amp;GI453</f>
        <v/>
      </c>
      <c r="GB453" s="3" t="inlineStr">
        <is>
          <t>H</t>
        </is>
      </c>
      <c r="GC453" s="3" t="inlineStr">
        <is>
          <t>J</t>
        </is>
      </c>
      <c r="GD453" s="3" t="inlineStr">
        <is>
          <t>B</t>
        </is>
      </c>
      <c r="GE453" s="3" t="inlineStr">
        <is>
          <t>C</t>
        </is>
      </c>
      <c r="GF453" s="3" t="inlineStr">
        <is>
          <t>A</t>
        </is>
      </c>
      <c r="GG453" s="3" t="inlineStr">
        <is>
          <t>F</t>
        </is>
      </c>
      <c r="GH453" s="3" t="inlineStr">
        <is>
          <t>D</t>
        </is>
      </c>
      <c r="GI453" s="3" t="inlineStr">
        <is>
          <t>I</t>
        </is>
      </c>
      <c r="GJ453" s="9">
        <f>VLOOKUP(GB453,$FM$3:$FN$15,2,FALSE)</f>
        <v/>
      </c>
      <c r="GK453" s="9">
        <f>VLOOKUP(GC453,$FM$3:$FN$15,2,FALSE)</f>
        <v/>
      </c>
      <c r="GL453" s="9">
        <f>VLOOKUP(GD453,$FM$3:$FN$15,2,FALSE)</f>
        <v/>
      </c>
      <c r="GM453" s="9">
        <f>VLOOKUP(GE453,$FM$3:$FN$15,2,FALSE)</f>
        <v/>
      </c>
      <c r="GN453" s="9">
        <f>VLOOKUP(GF453,$FM$3:$FN$15,2,FALSE)</f>
        <v/>
      </c>
      <c r="GO453" s="9">
        <f>VLOOKUP(GG453,$FM$3:$FN$15,2,FALSE)</f>
        <v/>
      </c>
      <c r="GP453" s="9">
        <f>VLOOKUP(GH453,$FM$3:$FN$15,2,FALSE)</f>
        <v/>
      </c>
      <c r="GQ453" s="9">
        <f>VLOOKUP(GI453,$FM$3:$FN$15,2,FALSE)</f>
        <v/>
      </c>
      <c r="GR453" s="9">
        <f>IFERROR(IF(AND(VLOOKUP(GB453,$FX$4:$FX$15,1,FALSE)=GB453,VLOOKUP(GC453,$FX$4:$FX$15,1,FALSE)=GC453,VLOOKUP(GD453,$FX$4:$FX$15,1,FALSE)=GD453,VLOOKUP(GE453,$FX$4:$FX$15,1,FALSE)=GE453,VLOOKUP(GF453,$FX$4:$FX$15,1,FALSE)=GF453,VLOOKUP(GG453,$FX$4:$FX$15,1,FALSE)=GG453,VLOOKUP(GH453,$FX$4:$FX$15,1,FALSE)=GH453,VLOOKUP(GI453,$FX$4:$FX$15,1,FALSE)=GI453),FZ453,""),"")</f>
        <v/>
      </c>
    </row>
    <row r="454" ht="14.25" customHeight="1">
      <c r="FZ454" s="79" t="n">
        <v>452</v>
      </c>
      <c r="GA454" s="3">
        <f>GB454&amp;GC454&amp;GD454&amp;GE454&amp;GF454&amp;GG454&amp;GH454&amp;GI454</f>
        <v/>
      </c>
      <c r="GB454" s="3" t="inlineStr">
        <is>
          <t>C</t>
        </is>
      </c>
      <c r="GC454" s="3" t="inlineStr">
        <is>
          <t>G</t>
        </is>
      </c>
      <c r="GD454" s="3" t="inlineStr">
        <is>
          <t>B</t>
        </is>
      </c>
      <c r="GE454" s="3" t="inlineStr">
        <is>
          <t>D</t>
        </is>
      </c>
      <c r="GF454" s="3" t="inlineStr">
        <is>
          <t>A</t>
        </is>
      </c>
      <c r="GG454" s="3" t="inlineStr">
        <is>
          <t>F</t>
        </is>
      </c>
      <c r="GH454" s="3" t="inlineStr">
        <is>
          <t>L</t>
        </is>
      </c>
      <c r="GI454" s="3" t="inlineStr">
        <is>
          <t>K</t>
        </is>
      </c>
      <c r="GJ454" s="9">
        <f>VLOOKUP(GB454,$FM$3:$FN$15,2,FALSE)</f>
        <v/>
      </c>
      <c r="GK454" s="9">
        <f>VLOOKUP(GC454,$FM$3:$FN$15,2,FALSE)</f>
        <v/>
      </c>
      <c r="GL454" s="9">
        <f>VLOOKUP(GD454,$FM$3:$FN$15,2,FALSE)</f>
        <v/>
      </c>
      <c r="GM454" s="9">
        <f>VLOOKUP(GE454,$FM$3:$FN$15,2,FALSE)</f>
        <v/>
      </c>
      <c r="GN454" s="9">
        <f>VLOOKUP(GF454,$FM$3:$FN$15,2,FALSE)</f>
        <v/>
      </c>
      <c r="GO454" s="9">
        <f>VLOOKUP(GG454,$FM$3:$FN$15,2,FALSE)</f>
        <v/>
      </c>
      <c r="GP454" s="9">
        <f>VLOOKUP(GH454,$FM$3:$FN$15,2,FALSE)</f>
        <v/>
      </c>
      <c r="GQ454" s="9">
        <f>VLOOKUP(GI454,$FM$3:$FN$15,2,FALSE)</f>
        <v/>
      </c>
      <c r="GR454" s="9">
        <f>IFERROR(IF(AND(VLOOKUP(GB454,$FX$4:$FX$15,1,FALSE)=GB454,VLOOKUP(GC454,$FX$4:$FX$15,1,FALSE)=GC454,VLOOKUP(GD454,$FX$4:$FX$15,1,FALSE)=GD454,VLOOKUP(GE454,$FX$4:$FX$15,1,FALSE)=GE454,VLOOKUP(GF454,$FX$4:$FX$15,1,FALSE)=GF454,VLOOKUP(GG454,$FX$4:$FX$15,1,FALSE)=GG454,VLOOKUP(GH454,$FX$4:$FX$15,1,FALSE)=GH454,VLOOKUP(GI454,$FX$4:$FX$15,1,FALSE)=GI454),FZ454,""),"")</f>
        <v/>
      </c>
    </row>
    <row r="455" ht="14.25" customHeight="1">
      <c r="FZ455" s="79" t="n">
        <v>453</v>
      </c>
      <c r="GA455" s="3">
        <f>GB455&amp;GC455&amp;GD455&amp;GE455&amp;GF455&amp;GG455&amp;GH455&amp;GI455</f>
        <v/>
      </c>
      <c r="GB455" s="3" t="inlineStr">
        <is>
          <t>C</t>
        </is>
      </c>
      <c r="GC455" s="3" t="inlineStr">
        <is>
          <t>G</t>
        </is>
      </c>
      <c r="GD455" s="3" t="inlineStr">
        <is>
          <t>B</t>
        </is>
      </c>
      <c r="GE455" s="3" t="inlineStr">
        <is>
          <t>D</t>
        </is>
      </c>
      <c r="GF455" s="3" t="inlineStr">
        <is>
          <t>A</t>
        </is>
      </c>
      <c r="GG455" s="3" t="inlineStr">
        <is>
          <t>F</t>
        </is>
      </c>
      <c r="GH455" s="3" t="inlineStr">
        <is>
          <t>L</t>
        </is>
      </c>
      <c r="GI455" s="3" t="inlineStr">
        <is>
          <t>J</t>
        </is>
      </c>
      <c r="GJ455" s="9">
        <f>VLOOKUP(GB455,$FM$3:$FN$15,2,FALSE)</f>
        <v/>
      </c>
      <c r="GK455" s="9">
        <f>VLOOKUP(GC455,$FM$3:$FN$15,2,FALSE)</f>
        <v/>
      </c>
      <c r="GL455" s="9">
        <f>VLOOKUP(GD455,$FM$3:$FN$15,2,FALSE)</f>
        <v/>
      </c>
      <c r="GM455" s="9">
        <f>VLOOKUP(GE455,$FM$3:$FN$15,2,FALSE)</f>
        <v/>
      </c>
      <c r="GN455" s="9">
        <f>VLOOKUP(GF455,$FM$3:$FN$15,2,FALSE)</f>
        <v/>
      </c>
      <c r="GO455" s="9">
        <f>VLOOKUP(GG455,$FM$3:$FN$15,2,FALSE)</f>
        <v/>
      </c>
      <c r="GP455" s="9">
        <f>VLOOKUP(GH455,$FM$3:$FN$15,2,FALSE)</f>
        <v/>
      </c>
      <c r="GQ455" s="9">
        <f>VLOOKUP(GI455,$FM$3:$FN$15,2,FALSE)</f>
        <v/>
      </c>
      <c r="GR455" s="9">
        <f>IFERROR(IF(AND(VLOOKUP(GB455,$FX$4:$FX$15,1,FALSE)=GB455,VLOOKUP(GC455,$FX$4:$FX$15,1,FALSE)=GC455,VLOOKUP(GD455,$FX$4:$FX$15,1,FALSE)=GD455,VLOOKUP(GE455,$FX$4:$FX$15,1,FALSE)=GE455,VLOOKUP(GF455,$FX$4:$FX$15,1,FALSE)=GF455,VLOOKUP(GG455,$FX$4:$FX$15,1,FALSE)=GG455,VLOOKUP(GH455,$FX$4:$FX$15,1,FALSE)=GH455,VLOOKUP(GI455,$FX$4:$FX$15,1,FALSE)=GI455),FZ455,""),"")</f>
        <v/>
      </c>
    </row>
    <row r="456" ht="14.25" customHeight="1">
      <c r="FZ456" s="79" t="n">
        <v>454</v>
      </c>
      <c r="GA456" s="3">
        <f>GB456&amp;GC456&amp;GD456&amp;GE456&amp;GF456&amp;GG456&amp;GH456&amp;GI456</f>
        <v/>
      </c>
      <c r="GB456" s="3" t="inlineStr">
        <is>
          <t>C</t>
        </is>
      </c>
      <c r="GC456" s="3" t="inlineStr">
        <is>
          <t>G</t>
        </is>
      </c>
      <c r="GD456" s="3" t="inlineStr">
        <is>
          <t>B</t>
        </is>
      </c>
      <c r="GE456" s="3" t="inlineStr">
        <is>
          <t>D</t>
        </is>
      </c>
      <c r="GF456" s="3" t="inlineStr">
        <is>
          <t>A</t>
        </is>
      </c>
      <c r="GG456" s="3" t="inlineStr">
        <is>
          <t>F</t>
        </is>
      </c>
      <c r="GH456" s="3" t="inlineStr">
        <is>
          <t>J</t>
        </is>
      </c>
      <c r="GI456" s="3" t="inlineStr">
        <is>
          <t>K</t>
        </is>
      </c>
      <c r="GJ456" s="9">
        <f>VLOOKUP(GB456,$FM$3:$FN$15,2,FALSE)</f>
        <v/>
      </c>
      <c r="GK456" s="9">
        <f>VLOOKUP(GC456,$FM$3:$FN$15,2,FALSE)</f>
        <v/>
      </c>
      <c r="GL456" s="9">
        <f>VLOOKUP(GD456,$FM$3:$FN$15,2,FALSE)</f>
        <v/>
      </c>
      <c r="GM456" s="9">
        <f>VLOOKUP(GE456,$FM$3:$FN$15,2,FALSE)</f>
        <v/>
      </c>
      <c r="GN456" s="9">
        <f>VLOOKUP(GF456,$FM$3:$FN$15,2,FALSE)</f>
        <v/>
      </c>
      <c r="GO456" s="9">
        <f>VLOOKUP(GG456,$FM$3:$FN$15,2,FALSE)</f>
        <v/>
      </c>
      <c r="GP456" s="9">
        <f>VLOOKUP(GH456,$FM$3:$FN$15,2,FALSE)</f>
        <v/>
      </c>
      <c r="GQ456" s="9">
        <f>VLOOKUP(GI456,$FM$3:$FN$15,2,FALSE)</f>
        <v/>
      </c>
      <c r="GR456" s="9">
        <f>IFERROR(IF(AND(VLOOKUP(GB456,$FX$4:$FX$15,1,FALSE)=GB456,VLOOKUP(GC456,$FX$4:$FX$15,1,FALSE)=GC456,VLOOKUP(GD456,$FX$4:$FX$15,1,FALSE)=GD456,VLOOKUP(GE456,$FX$4:$FX$15,1,FALSE)=GE456,VLOOKUP(GF456,$FX$4:$FX$15,1,FALSE)=GF456,VLOOKUP(GG456,$FX$4:$FX$15,1,FALSE)=GG456,VLOOKUP(GH456,$FX$4:$FX$15,1,FALSE)=GH456,VLOOKUP(GI456,$FX$4:$FX$15,1,FALSE)=GI456),FZ456,""),"")</f>
        <v/>
      </c>
    </row>
    <row r="457" ht="14.25" customHeight="1">
      <c r="FZ457" s="79" t="n">
        <v>455</v>
      </c>
      <c r="GA457" s="3">
        <f>GB457&amp;GC457&amp;GD457&amp;GE457&amp;GF457&amp;GG457&amp;GH457&amp;GI457</f>
        <v/>
      </c>
      <c r="GB457" s="3" t="inlineStr">
        <is>
          <t>C</t>
        </is>
      </c>
      <c r="GC457" s="3" t="inlineStr">
        <is>
          <t>G</t>
        </is>
      </c>
      <c r="GD457" s="3" t="inlineStr">
        <is>
          <t>B</t>
        </is>
      </c>
      <c r="GE457" s="3" t="inlineStr">
        <is>
          <t>D</t>
        </is>
      </c>
      <c r="GF457" s="3" t="inlineStr">
        <is>
          <t>A</t>
        </is>
      </c>
      <c r="GG457" s="3" t="inlineStr">
        <is>
          <t>F</t>
        </is>
      </c>
      <c r="GH457" s="3" t="inlineStr">
        <is>
          <t>L</t>
        </is>
      </c>
      <c r="GI457" s="3" t="inlineStr">
        <is>
          <t>I</t>
        </is>
      </c>
      <c r="GJ457" s="9">
        <f>VLOOKUP(GB457,$FM$3:$FN$15,2,FALSE)</f>
        <v/>
      </c>
      <c r="GK457" s="9">
        <f>VLOOKUP(GC457,$FM$3:$FN$15,2,FALSE)</f>
        <v/>
      </c>
      <c r="GL457" s="9">
        <f>VLOOKUP(GD457,$FM$3:$FN$15,2,FALSE)</f>
        <v/>
      </c>
      <c r="GM457" s="9">
        <f>VLOOKUP(GE457,$FM$3:$FN$15,2,FALSE)</f>
        <v/>
      </c>
      <c r="GN457" s="9">
        <f>VLOOKUP(GF457,$FM$3:$FN$15,2,FALSE)</f>
        <v/>
      </c>
      <c r="GO457" s="9">
        <f>VLOOKUP(GG457,$FM$3:$FN$15,2,FALSE)</f>
        <v/>
      </c>
      <c r="GP457" s="9">
        <f>VLOOKUP(GH457,$FM$3:$FN$15,2,FALSE)</f>
        <v/>
      </c>
      <c r="GQ457" s="9">
        <f>VLOOKUP(GI457,$FM$3:$FN$15,2,FALSE)</f>
        <v/>
      </c>
      <c r="GR457" s="9">
        <f>IFERROR(IF(AND(VLOOKUP(GB457,$FX$4:$FX$15,1,FALSE)=GB457,VLOOKUP(GC457,$FX$4:$FX$15,1,FALSE)=GC457,VLOOKUP(GD457,$FX$4:$FX$15,1,FALSE)=GD457,VLOOKUP(GE457,$FX$4:$FX$15,1,FALSE)=GE457,VLOOKUP(GF457,$FX$4:$FX$15,1,FALSE)=GF457,VLOOKUP(GG457,$FX$4:$FX$15,1,FALSE)=GG457,VLOOKUP(GH457,$FX$4:$FX$15,1,FALSE)=GH457,VLOOKUP(GI457,$FX$4:$FX$15,1,FALSE)=GI457),FZ457,""),"")</f>
        <v/>
      </c>
    </row>
    <row r="458" ht="14.25" customHeight="1">
      <c r="FZ458" s="79" t="n">
        <v>456</v>
      </c>
      <c r="GA458" s="3">
        <f>GB458&amp;GC458&amp;GD458&amp;GE458&amp;GF458&amp;GG458&amp;GH458&amp;GI458</f>
        <v/>
      </c>
      <c r="GB458" s="3" t="inlineStr">
        <is>
          <t>C</t>
        </is>
      </c>
      <c r="GC458" s="3" t="inlineStr">
        <is>
          <t>G</t>
        </is>
      </c>
      <c r="GD458" s="3" t="inlineStr">
        <is>
          <t>B</t>
        </is>
      </c>
      <c r="GE458" s="3" t="inlineStr">
        <is>
          <t>D</t>
        </is>
      </c>
      <c r="GF458" s="3" t="inlineStr">
        <is>
          <t>A</t>
        </is>
      </c>
      <c r="GG458" s="3" t="inlineStr">
        <is>
          <t>F</t>
        </is>
      </c>
      <c r="GH458" s="3" t="inlineStr">
        <is>
          <t>I</t>
        </is>
      </c>
      <c r="GI458" s="3" t="inlineStr">
        <is>
          <t>K</t>
        </is>
      </c>
      <c r="GJ458" s="9">
        <f>VLOOKUP(GB458,$FM$3:$FN$15,2,FALSE)</f>
        <v/>
      </c>
      <c r="GK458" s="9">
        <f>VLOOKUP(GC458,$FM$3:$FN$15,2,FALSE)</f>
        <v/>
      </c>
      <c r="GL458" s="9">
        <f>VLOOKUP(GD458,$FM$3:$FN$15,2,FALSE)</f>
        <v/>
      </c>
      <c r="GM458" s="9">
        <f>VLOOKUP(GE458,$FM$3:$FN$15,2,FALSE)</f>
        <v/>
      </c>
      <c r="GN458" s="9">
        <f>VLOOKUP(GF458,$FM$3:$FN$15,2,FALSE)</f>
        <v/>
      </c>
      <c r="GO458" s="9">
        <f>VLOOKUP(GG458,$FM$3:$FN$15,2,FALSE)</f>
        <v/>
      </c>
      <c r="GP458" s="9">
        <f>VLOOKUP(GH458,$FM$3:$FN$15,2,FALSE)</f>
        <v/>
      </c>
      <c r="GQ458" s="9">
        <f>VLOOKUP(GI458,$FM$3:$FN$15,2,FALSE)</f>
        <v/>
      </c>
      <c r="GR458" s="9">
        <f>IFERROR(IF(AND(VLOOKUP(GB458,$FX$4:$FX$15,1,FALSE)=GB458,VLOOKUP(GC458,$FX$4:$FX$15,1,FALSE)=GC458,VLOOKUP(GD458,$FX$4:$FX$15,1,FALSE)=GD458,VLOOKUP(GE458,$FX$4:$FX$15,1,FALSE)=GE458,VLOOKUP(GF458,$FX$4:$FX$15,1,FALSE)=GF458,VLOOKUP(GG458,$FX$4:$FX$15,1,FALSE)=GG458,VLOOKUP(GH458,$FX$4:$FX$15,1,FALSE)=GH458,VLOOKUP(GI458,$FX$4:$FX$15,1,FALSE)=GI458),FZ458,""),"")</f>
        <v/>
      </c>
    </row>
    <row r="459" ht="14.25" customHeight="1">
      <c r="FZ459" s="79" t="n">
        <v>457</v>
      </c>
      <c r="GA459" s="3">
        <f>GB459&amp;GC459&amp;GD459&amp;GE459&amp;GF459&amp;GG459&amp;GH459&amp;GI459</f>
        <v/>
      </c>
      <c r="GB459" s="3" t="inlineStr">
        <is>
          <t>C</t>
        </is>
      </c>
      <c r="GC459" s="3" t="inlineStr">
        <is>
          <t>G</t>
        </is>
      </c>
      <c r="GD459" s="3" t="inlineStr">
        <is>
          <t>B</t>
        </is>
      </c>
      <c r="GE459" s="3" t="inlineStr">
        <is>
          <t>D</t>
        </is>
      </c>
      <c r="GF459" s="3" t="inlineStr">
        <is>
          <t>A</t>
        </is>
      </c>
      <c r="GG459" s="3" t="inlineStr">
        <is>
          <t>F</t>
        </is>
      </c>
      <c r="GH459" s="3" t="inlineStr">
        <is>
          <t>I</t>
        </is>
      </c>
      <c r="GI459" s="3" t="inlineStr">
        <is>
          <t>J</t>
        </is>
      </c>
      <c r="GJ459" s="9">
        <f>VLOOKUP(GB459,$FM$3:$FN$15,2,FALSE)</f>
        <v/>
      </c>
      <c r="GK459" s="9">
        <f>VLOOKUP(GC459,$FM$3:$FN$15,2,FALSE)</f>
        <v/>
      </c>
      <c r="GL459" s="9">
        <f>VLOOKUP(GD459,$FM$3:$FN$15,2,FALSE)</f>
        <v/>
      </c>
      <c r="GM459" s="9">
        <f>VLOOKUP(GE459,$FM$3:$FN$15,2,FALSE)</f>
        <v/>
      </c>
      <c r="GN459" s="9">
        <f>VLOOKUP(GF459,$FM$3:$FN$15,2,FALSE)</f>
        <v/>
      </c>
      <c r="GO459" s="9">
        <f>VLOOKUP(GG459,$FM$3:$FN$15,2,FALSE)</f>
        <v/>
      </c>
      <c r="GP459" s="9">
        <f>VLOOKUP(GH459,$FM$3:$FN$15,2,FALSE)</f>
        <v/>
      </c>
      <c r="GQ459" s="9">
        <f>VLOOKUP(GI459,$FM$3:$FN$15,2,FALSE)</f>
        <v/>
      </c>
      <c r="GR459" s="9">
        <f>IFERROR(IF(AND(VLOOKUP(GB459,$FX$4:$FX$15,1,FALSE)=GB459,VLOOKUP(GC459,$FX$4:$FX$15,1,FALSE)=GC459,VLOOKUP(GD459,$FX$4:$FX$15,1,FALSE)=GD459,VLOOKUP(GE459,$FX$4:$FX$15,1,FALSE)=GE459,VLOOKUP(GF459,$FX$4:$FX$15,1,FALSE)=GF459,VLOOKUP(GG459,$FX$4:$FX$15,1,FALSE)=GG459,VLOOKUP(GH459,$FX$4:$FX$15,1,FALSE)=GH459,VLOOKUP(GI459,$FX$4:$FX$15,1,FALSE)=GI459),FZ459,""),"")</f>
        <v/>
      </c>
    </row>
    <row r="460" ht="14.25" customHeight="1">
      <c r="FZ460" s="79" t="n">
        <v>458</v>
      </c>
      <c r="GA460" s="3">
        <f>GB460&amp;GC460&amp;GD460&amp;GE460&amp;GF460&amp;GG460&amp;GH460&amp;GI460</f>
        <v/>
      </c>
      <c r="GB460" s="3" t="inlineStr">
        <is>
          <t>C</t>
        </is>
      </c>
      <c r="GC460" s="3" t="inlineStr">
        <is>
          <t>G</t>
        </is>
      </c>
      <c r="GD460" s="3" t="inlineStr">
        <is>
          <t>B</t>
        </is>
      </c>
      <c r="GE460" s="3" t="inlineStr">
        <is>
          <t>D</t>
        </is>
      </c>
      <c r="GF460" s="3" t="inlineStr">
        <is>
          <t>A</t>
        </is>
      </c>
      <c r="GG460" s="3" t="inlineStr">
        <is>
          <t>F</t>
        </is>
      </c>
      <c r="GH460" s="3" t="inlineStr">
        <is>
          <t>L</t>
        </is>
      </c>
      <c r="GI460" s="3" t="inlineStr">
        <is>
          <t>H</t>
        </is>
      </c>
      <c r="GJ460" s="9">
        <f>VLOOKUP(GB460,$FM$3:$FN$15,2,FALSE)</f>
        <v/>
      </c>
      <c r="GK460" s="9">
        <f>VLOOKUP(GC460,$FM$3:$FN$15,2,FALSE)</f>
        <v/>
      </c>
      <c r="GL460" s="9">
        <f>VLOOKUP(GD460,$FM$3:$FN$15,2,FALSE)</f>
        <v/>
      </c>
      <c r="GM460" s="9">
        <f>VLOOKUP(GE460,$FM$3:$FN$15,2,FALSE)</f>
        <v/>
      </c>
      <c r="GN460" s="9">
        <f>VLOOKUP(GF460,$FM$3:$FN$15,2,FALSE)</f>
        <v/>
      </c>
      <c r="GO460" s="9">
        <f>VLOOKUP(GG460,$FM$3:$FN$15,2,FALSE)</f>
        <v/>
      </c>
      <c r="GP460" s="9">
        <f>VLOOKUP(GH460,$FM$3:$FN$15,2,FALSE)</f>
        <v/>
      </c>
      <c r="GQ460" s="9">
        <f>VLOOKUP(GI460,$FM$3:$FN$15,2,FALSE)</f>
        <v/>
      </c>
      <c r="GR460" s="9">
        <f>IFERROR(IF(AND(VLOOKUP(GB460,$FX$4:$FX$15,1,FALSE)=GB460,VLOOKUP(GC460,$FX$4:$FX$15,1,FALSE)=GC460,VLOOKUP(GD460,$FX$4:$FX$15,1,FALSE)=GD460,VLOOKUP(GE460,$FX$4:$FX$15,1,FALSE)=GE460,VLOOKUP(GF460,$FX$4:$FX$15,1,FALSE)=GF460,VLOOKUP(GG460,$FX$4:$FX$15,1,FALSE)=GG460,VLOOKUP(GH460,$FX$4:$FX$15,1,FALSE)=GH460,VLOOKUP(GI460,$FX$4:$FX$15,1,FALSE)=GI460),FZ460,""),"")</f>
        <v/>
      </c>
    </row>
    <row r="461" ht="14.25" customHeight="1">
      <c r="FZ461" s="79" t="n">
        <v>459</v>
      </c>
      <c r="GA461" s="3">
        <f>GB461&amp;GC461&amp;GD461&amp;GE461&amp;GF461&amp;GG461&amp;GH461&amp;GI461</f>
        <v/>
      </c>
      <c r="GB461" s="3" t="inlineStr">
        <is>
          <t>H</t>
        </is>
      </c>
      <c r="GC461" s="3" t="inlineStr">
        <is>
          <t>G</t>
        </is>
      </c>
      <c r="GD461" s="3" t="inlineStr">
        <is>
          <t>B</t>
        </is>
      </c>
      <c r="GE461" s="3" t="inlineStr">
        <is>
          <t>C</t>
        </is>
      </c>
      <c r="GF461" s="3" t="inlineStr">
        <is>
          <t>A</t>
        </is>
      </c>
      <c r="GG461" s="3" t="inlineStr">
        <is>
          <t>F</t>
        </is>
      </c>
      <c r="GH461" s="3" t="inlineStr">
        <is>
          <t>D</t>
        </is>
      </c>
      <c r="GI461" s="3" t="inlineStr">
        <is>
          <t>K</t>
        </is>
      </c>
      <c r="GJ461" s="9">
        <f>VLOOKUP(GB461,$FM$3:$FN$15,2,FALSE)</f>
        <v/>
      </c>
      <c r="GK461" s="9">
        <f>VLOOKUP(GC461,$FM$3:$FN$15,2,FALSE)</f>
        <v/>
      </c>
      <c r="GL461" s="9">
        <f>VLOOKUP(GD461,$FM$3:$FN$15,2,FALSE)</f>
        <v/>
      </c>
      <c r="GM461" s="9">
        <f>VLOOKUP(GE461,$FM$3:$FN$15,2,FALSE)</f>
        <v/>
      </c>
      <c r="GN461" s="9">
        <f>VLOOKUP(GF461,$FM$3:$FN$15,2,FALSE)</f>
        <v/>
      </c>
      <c r="GO461" s="9">
        <f>VLOOKUP(GG461,$FM$3:$FN$15,2,FALSE)</f>
        <v/>
      </c>
      <c r="GP461" s="9">
        <f>VLOOKUP(GH461,$FM$3:$FN$15,2,FALSE)</f>
        <v/>
      </c>
      <c r="GQ461" s="9">
        <f>VLOOKUP(GI461,$FM$3:$FN$15,2,FALSE)</f>
        <v/>
      </c>
      <c r="GR461" s="9">
        <f>IFERROR(IF(AND(VLOOKUP(GB461,$FX$4:$FX$15,1,FALSE)=GB461,VLOOKUP(GC461,$FX$4:$FX$15,1,FALSE)=GC461,VLOOKUP(GD461,$FX$4:$FX$15,1,FALSE)=GD461,VLOOKUP(GE461,$FX$4:$FX$15,1,FALSE)=GE461,VLOOKUP(GF461,$FX$4:$FX$15,1,FALSE)=GF461,VLOOKUP(GG461,$FX$4:$FX$15,1,FALSE)=GG461,VLOOKUP(GH461,$FX$4:$FX$15,1,FALSE)=GH461,VLOOKUP(GI461,$FX$4:$FX$15,1,FALSE)=GI461),FZ461,""),"")</f>
        <v/>
      </c>
    </row>
    <row r="462" ht="14.25" customHeight="1">
      <c r="FZ462" s="79" t="n">
        <v>460</v>
      </c>
      <c r="GA462" s="3">
        <f>GB462&amp;GC462&amp;GD462&amp;GE462&amp;GF462&amp;GG462&amp;GH462&amp;GI462</f>
        <v/>
      </c>
      <c r="GB462" s="3" t="inlineStr">
        <is>
          <t>H</t>
        </is>
      </c>
      <c r="GC462" s="3" t="inlineStr">
        <is>
          <t>G</t>
        </is>
      </c>
      <c r="GD462" s="3" t="inlineStr">
        <is>
          <t>B</t>
        </is>
      </c>
      <c r="GE462" s="3" t="inlineStr">
        <is>
          <t>C</t>
        </is>
      </c>
      <c r="GF462" s="3" t="inlineStr">
        <is>
          <t>A</t>
        </is>
      </c>
      <c r="GG462" s="3" t="inlineStr">
        <is>
          <t>F</t>
        </is>
      </c>
      <c r="GH462" s="3" t="inlineStr">
        <is>
          <t>D</t>
        </is>
      </c>
      <c r="GI462" s="3" t="inlineStr">
        <is>
          <t>J</t>
        </is>
      </c>
      <c r="GJ462" s="9">
        <f>VLOOKUP(GB462,$FM$3:$FN$15,2,FALSE)</f>
        <v/>
      </c>
      <c r="GK462" s="9">
        <f>VLOOKUP(GC462,$FM$3:$FN$15,2,FALSE)</f>
        <v/>
      </c>
      <c r="GL462" s="9">
        <f>VLOOKUP(GD462,$FM$3:$FN$15,2,FALSE)</f>
        <v/>
      </c>
      <c r="GM462" s="9">
        <f>VLOOKUP(GE462,$FM$3:$FN$15,2,FALSE)</f>
        <v/>
      </c>
      <c r="GN462" s="9">
        <f>VLOOKUP(GF462,$FM$3:$FN$15,2,FALSE)</f>
        <v/>
      </c>
      <c r="GO462" s="9">
        <f>VLOOKUP(GG462,$FM$3:$FN$15,2,FALSE)</f>
        <v/>
      </c>
      <c r="GP462" s="9">
        <f>VLOOKUP(GH462,$FM$3:$FN$15,2,FALSE)</f>
        <v/>
      </c>
      <c r="GQ462" s="9">
        <f>VLOOKUP(GI462,$FM$3:$FN$15,2,FALSE)</f>
        <v/>
      </c>
      <c r="GR462" s="9">
        <f>IFERROR(IF(AND(VLOOKUP(GB462,$FX$4:$FX$15,1,FALSE)=GB462,VLOOKUP(GC462,$FX$4:$FX$15,1,FALSE)=GC462,VLOOKUP(GD462,$FX$4:$FX$15,1,FALSE)=GD462,VLOOKUP(GE462,$FX$4:$FX$15,1,FALSE)=GE462,VLOOKUP(GF462,$FX$4:$FX$15,1,FALSE)=GF462,VLOOKUP(GG462,$FX$4:$FX$15,1,FALSE)=GG462,VLOOKUP(GH462,$FX$4:$FX$15,1,FALSE)=GH462,VLOOKUP(GI462,$FX$4:$FX$15,1,FALSE)=GI462),FZ462,""),"")</f>
        <v/>
      </c>
    </row>
    <row r="463" ht="14.25" customHeight="1">
      <c r="FZ463" s="79" t="n">
        <v>461</v>
      </c>
      <c r="GA463" s="3">
        <f>GB463&amp;GC463&amp;GD463&amp;GE463&amp;GF463&amp;GG463&amp;GH463&amp;GI463</f>
        <v/>
      </c>
      <c r="GB463" s="3" t="inlineStr">
        <is>
          <t>H</t>
        </is>
      </c>
      <c r="GC463" s="3" t="inlineStr">
        <is>
          <t>G</t>
        </is>
      </c>
      <c r="GD463" s="3" t="inlineStr">
        <is>
          <t>B</t>
        </is>
      </c>
      <c r="GE463" s="3" t="inlineStr">
        <is>
          <t>C</t>
        </is>
      </c>
      <c r="GF463" s="3" t="inlineStr">
        <is>
          <t>A</t>
        </is>
      </c>
      <c r="GG463" s="3" t="inlineStr">
        <is>
          <t>F</t>
        </is>
      </c>
      <c r="GH463" s="3" t="inlineStr">
        <is>
          <t>D</t>
        </is>
      </c>
      <c r="GI463" s="3" t="inlineStr">
        <is>
          <t>I</t>
        </is>
      </c>
      <c r="GJ463" s="9">
        <f>VLOOKUP(GB463,$FM$3:$FN$15,2,FALSE)</f>
        <v/>
      </c>
      <c r="GK463" s="9">
        <f>VLOOKUP(GC463,$FM$3:$FN$15,2,FALSE)</f>
        <v/>
      </c>
      <c r="GL463" s="9">
        <f>VLOOKUP(GD463,$FM$3:$FN$15,2,FALSE)</f>
        <v/>
      </c>
      <c r="GM463" s="9">
        <f>VLOOKUP(GE463,$FM$3:$FN$15,2,FALSE)</f>
        <v/>
      </c>
      <c r="GN463" s="9">
        <f>VLOOKUP(GF463,$FM$3:$FN$15,2,FALSE)</f>
        <v/>
      </c>
      <c r="GO463" s="9">
        <f>VLOOKUP(GG463,$FM$3:$FN$15,2,FALSE)</f>
        <v/>
      </c>
      <c r="GP463" s="9">
        <f>VLOOKUP(GH463,$FM$3:$FN$15,2,FALSE)</f>
        <v/>
      </c>
      <c r="GQ463" s="9">
        <f>VLOOKUP(GI463,$FM$3:$FN$15,2,FALSE)</f>
        <v/>
      </c>
      <c r="GR463" s="9">
        <f>IFERROR(IF(AND(VLOOKUP(GB463,$FX$4:$FX$15,1,FALSE)=GB463,VLOOKUP(GC463,$FX$4:$FX$15,1,FALSE)=GC463,VLOOKUP(GD463,$FX$4:$FX$15,1,FALSE)=GD463,VLOOKUP(GE463,$FX$4:$FX$15,1,FALSE)=GE463,VLOOKUP(GF463,$FX$4:$FX$15,1,FALSE)=GF463,VLOOKUP(GG463,$FX$4:$FX$15,1,FALSE)=GG463,VLOOKUP(GH463,$FX$4:$FX$15,1,FALSE)=GH463,VLOOKUP(GI463,$FX$4:$FX$15,1,FALSE)=GI463),FZ463,""),"")</f>
        <v/>
      </c>
    </row>
    <row r="464" ht="14.25" customHeight="1">
      <c r="FZ464" s="79" t="n">
        <v>462</v>
      </c>
      <c r="GA464" s="3">
        <f>GB464&amp;GC464&amp;GD464&amp;GE464&amp;GF464&amp;GG464&amp;GH464&amp;GI464</f>
        <v/>
      </c>
      <c r="GB464" s="3" t="inlineStr">
        <is>
          <t>E</t>
        </is>
      </c>
      <c r="GC464" s="3" t="inlineStr">
        <is>
          <t>J</t>
        </is>
      </c>
      <c r="GD464" s="3" t="inlineStr">
        <is>
          <t>B</t>
        </is>
      </c>
      <c r="GE464" s="3" t="inlineStr">
        <is>
          <t>C</t>
        </is>
      </c>
      <c r="GF464" s="3" t="inlineStr">
        <is>
          <t>A</t>
        </is>
      </c>
      <c r="GG464" s="3" t="inlineStr">
        <is>
          <t>D</t>
        </is>
      </c>
      <c r="GH464" s="3" t="inlineStr">
        <is>
          <t>L</t>
        </is>
      </c>
      <c r="GI464" s="3" t="inlineStr">
        <is>
          <t>K</t>
        </is>
      </c>
      <c r="GJ464" s="9">
        <f>VLOOKUP(GB464,$FM$3:$FN$15,2,FALSE)</f>
        <v/>
      </c>
      <c r="GK464" s="9">
        <f>VLOOKUP(GC464,$FM$3:$FN$15,2,FALSE)</f>
        <v/>
      </c>
      <c r="GL464" s="9">
        <f>VLOOKUP(GD464,$FM$3:$FN$15,2,FALSE)</f>
        <v/>
      </c>
      <c r="GM464" s="9">
        <f>VLOOKUP(GE464,$FM$3:$FN$15,2,FALSE)</f>
        <v/>
      </c>
      <c r="GN464" s="9">
        <f>VLOOKUP(GF464,$FM$3:$FN$15,2,FALSE)</f>
        <v/>
      </c>
      <c r="GO464" s="9">
        <f>VLOOKUP(GG464,$FM$3:$FN$15,2,FALSE)</f>
        <v/>
      </c>
      <c r="GP464" s="9">
        <f>VLOOKUP(GH464,$FM$3:$FN$15,2,FALSE)</f>
        <v/>
      </c>
      <c r="GQ464" s="9">
        <f>VLOOKUP(GI464,$FM$3:$FN$15,2,FALSE)</f>
        <v/>
      </c>
      <c r="GR464" s="9">
        <f>IFERROR(IF(AND(VLOOKUP(GB464,$FX$4:$FX$15,1,FALSE)=GB464,VLOOKUP(GC464,$FX$4:$FX$15,1,FALSE)=GC464,VLOOKUP(GD464,$FX$4:$FX$15,1,FALSE)=GD464,VLOOKUP(GE464,$FX$4:$FX$15,1,FALSE)=GE464,VLOOKUP(GF464,$FX$4:$FX$15,1,FALSE)=GF464,VLOOKUP(GG464,$FX$4:$FX$15,1,FALSE)=GG464,VLOOKUP(GH464,$FX$4:$FX$15,1,FALSE)=GH464,VLOOKUP(GI464,$FX$4:$FX$15,1,FALSE)=GI464),FZ464,""),"")</f>
        <v/>
      </c>
    </row>
    <row r="465" ht="14.25" customHeight="1">
      <c r="FZ465" s="79" t="n">
        <v>463</v>
      </c>
      <c r="GA465" s="3">
        <f>GB465&amp;GC465&amp;GD465&amp;GE465&amp;GF465&amp;GG465&amp;GH465&amp;GI465</f>
        <v/>
      </c>
      <c r="GB465" s="3" t="inlineStr">
        <is>
          <t>E</t>
        </is>
      </c>
      <c r="GC465" s="3" t="inlineStr">
        <is>
          <t>I</t>
        </is>
      </c>
      <c r="GD465" s="3" t="inlineStr">
        <is>
          <t>B</t>
        </is>
      </c>
      <c r="GE465" s="3" t="inlineStr">
        <is>
          <t>C</t>
        </is>
      </c>
      <c r="GF465" s="3" t="inlineStr">
        <is>
          <t>A</t>
        </is>
      </c>
      <c r="GG465" s="3" t="inlineStr">
        <is>
          <t>D</t>
        </is>
      </c>
      <c r="GH465" s="3" t="inlineStr">
        <is>
          <t>L</t>
        </is>
      </c>
      <c r="GI465" s="3" t="inlineStr">
        <is>
          <t>K</t>
        </is>
      </c>
      <c r="GJ465" s="9">
        <f>VLOOKUP(GB465,$FM$3:$FN$15,2,FALSE)</f>
        <v/>
      </c>
      <c r="GK465" s="9">
        <f>VLOOKUP(GC465,$FM$3:$FN$15,2,FALSE)</f>
        <v/>
      </c>
      <c r="GL465" s="9">
        <f>VLOOKUP(GD465,$FM$3:$FN$15,2,FALSE)</f>
        <v/>
      </c>
      <c r="GM465" s="9">
        <f>VLOOKUP(GE465,$FM$3:$FN$15,2,FALSE)</f>
        <v/>
      </c>
      <c r="GN465" s="9">
        <f>VLOOKUP(GF465,$FM$3:$FN$15,2,FALSE)</f>
        <v/>
      </c>
      <c r="GO465" s="9">
        <f>VLOOKUP(GG465,$FM$3:$FN$15,2,FALSE)</f>
        <v/>
      </c>
      <c r="GP465" s="9">
        <f>VLOOKUP(GH465,$FM$3:$FN$15,2,FALSE)</f>
        <v/>
      </c>
      <c r="GQ465" s="9">
        <f>VLOOKUP(GI465,$FM$3:$FN$15,2,FALSE)</f>
        <v/>
      </c>
      <c r="GR465" s="9">
        <f>IFERROR(IF(AND(VLOOKUP(GB465,$FX$4:$FX$15,1,FALSE)=GB465,VLOOKUP(GC465,$FX$4:$FX$15,1,FALSE)=GC465,VLOOKUP(GD465,$FX$4:$FX$15,1,FALSE)=GD465,VLOOKUP(GE465,$FX$4:$FX$15,1,FALSE)=GE465,VLOOKUP(GF465,$FX$4:$FX$15,1,FALSE)=GF465,VLOOKUP(GG465,$FX$4:$FX$15,1,FALSE)=GG465,VLOOKUP(GH465,$FX$4:$FX$15,1,FALSE)=GH465,VLOOKUP(GI465,$FX$4:$FX$15,1,FALSE)=GI465),FZ465,""),"")</f>
        <v/>
      </c>
    </row>
    <row r="466" ht="14.25" customHeight="1">
      <c r="FZ466" s="79" t="n">
        <v>464</v>
      </c>
      <c r="GA466" s="3">
        <f>GB466&amp;GC466&amp;GD466&amp;GE466&amp;GF466&amp;GG466&amp;GH466&amp;GI466</f>
        <v/>
      </c>
      <c r="GB466" s="3" t="inlineStr">
        <is>
          <t>E</t>
        </is>
      </c>
      <c r="GC466" s="3" t="inlineStr">
        <is>
          <t>J</t>
        </is>
      </c>
      <c r="GD466" s="3" t="inlineStr">
        <is>
          <t>B</t>
        </is>
      </c>
      <c r="GE466" s="3" t="inlineStr">
        <is>
          <t>C</t>
        </is>
      </c>
      <c r="GF466" s="3" t="inlineStr">
        <is>
          <t>A</t>
        </is>
      </c>
      <c r="GG466" s="3" t="inlineStr">
        <is>
          <t>D</t>
        </is>
      </c>
      <c r="GH466" s="3" t="inlineStr">
        <is>
          <t>L</t>
        </is>
      </c>
      <c r="GI466" s="3" t="inlineStr">
        <is>
          <t>I</t>
        </is>
      </c>
      <c r="GJ466" s="9">
        <f>VLOOKUP(GB466,$FM$3:$FN$15,2,FALSE)</f>
        <v/>
      </c>
      <c r="GK466" s="9">
        <f>VLOOKUP(GC466,$FM$3:$FN$15,2,FALSE)</f>
        <v/>
      </c>
      <c r="GL466" s="9">
        <f>VLOOKUP(GD466,$FM$3:$FN$15,2,FALSE)</f>
        <v/>
      </c>
      <c r="GM466" s="9">
        <f>VLOOKUP(GE466,$FM$3:$FN$15,2,FALSE)</f>
        <v/>
      </c>
      <c r="GN466" s="9">
        <f>VLOOKUP(GF466,$FM$3:$FN$15,2,FALSE)</f>
        <v/>
      </c>
      <c r="GO466" s="9">
        <f>VLOOKUP(GG466,$FM$3:$FN$15,2,FALSE)</f>
        <v/>
      </c>
      <c r="GP466" s="9">
        <f>VLOOKUP(GH466,$FM$3:$FN$15,2,FALSE)</f>
        <v/>
      </c>
      <c r="GQ466" s="9">
        <f>VLOOKUP(GI466,$FM$3:$FN$15,2,FALSE)</f>
        <v/>
      </c>
      <c r="GR466" s="9">
        <f>IFERROR(IF(AND(VLOOKUP(GB466,$FX$4:$FX$15,1,FALSE)=GB466,VLOOKUP(GC466,$FX$4:$FX$15,1,FALSE)=GC466,VLOOKUP(GD466,$FX$4:$FX$15,1,FALSE)=GD466,VLOOKUP(GE466,$FX$4:$FX$15,1,FALSE)=GE466,VLOOKUP(GF466,$FX$4:$FX$15,1,FALSE)=GF466,VLOOKUP(GG466,$FX$4:$FX$15,1,FALSE)=GG466,VLOOKUP(GH466,$FX$4:$FX$15,1,FALSE)=GH466,VLOOKUP(GI466,$FX$4:$FX$15,1,FALSE)=GI466),FZ466,""),"")</f>
        <v/>
      </c>
    </row>
    <row r="467" ht="14.25" customHeight="1">
      <c r="FZ467" s="79" t="n">
        <v>465</v>
      </c>
      <c r="GA467" s="3">
        <f>GB467&amp;GC467&amp;GD467&amp;GE467&amp;GF467&amp;GG467&amp;GH467&amp;GI467</f>
        <v/>
      </c>
      <c r="GB467" s="3" t="inlineStr">
        <is>
          <t>E</t>
        </is>
      </c>
      <c r="GC467" s="3" t="inlineStr">
        <is>
          <t>J</t>
        </is>
      </c>
      <c r="GD467" s="3" t="inlineStr">
        <is>
          <t>B</t>
        </is>
      </c>
      <c r="GE467" s="3" t="inlineStr">
        <is>
          <t>C</t>
        </is>
      </c>
      <c r="GF467" s="3" t="inlineStr">
        <is>
          <t>A</t>
        </is>
      </c>
      <c r="GG467" s="3" t="inlineStr">
        <is>
          <t>D</t>
        </is>
      </c>
      <c r="GH467" s="3" t="inlineStr">
        <is>
          <t>I</t>
        </is>
      </c>
      <c r="GI467" s="3" t="inlineStr">
        <is>
          <t>K</t>
        </is>
      </c>
      <c r="GJ467" s="9">
        <f>VLOOKUP(GB467,$FM$3:$FN$15,2,FALSE)</f>
        <v/>
      </c>
      <c r="GK467" s="9">
        <f>VLOOKUP(GC467,$FM$3:$FN$15,2,FALSE)</f>
        <v/>
      </c>
      <c r="GL467" s="9">
        <f>VLOOKUP(GD467,$FM$3:$FN$15,2,FALSE)</f>
        <v/>
      </c>
      <c r="GM467" s="9">
        <f>VLOOKUP(GE467,$FM$3:$FN$15,2,FALSE)</f>
        <v/>
      </c>
      <c r="GN467" s="9">
        <f>VLOOKUP(GF467,$FM$3:$FN$15,2,FALSE)</f>
        <v/>
      </c>
      <c r="GO467" s="9">
        <f>VLOOKUP(GG467,$FM$3:$FN$15,2,FALSE)</f>
        <v/>
      </c>
      <c r="GP467" s="9">
        <f>VLOOKUP(GH467,$FM$3:$FN$15,2,FALSE)</f>
        <v/>
      </c>
      <c r="GQ467" s="9">
        <f>VLOOKUP(GI467,$FM$3:$FN$15,2,FALSE)</f>
        <v/>
      </c>
      <c r="GR467" s="9">
        <f>IFERROR(IF(AND(VLOOKUP(GB467,$FX$4:$FX$15,1,FALSE)=GB467,VLOOKUP(GC467,$FX$4:$FX$15,1,FALSE)=GC467,VLOOKUP(GD467,$FX$4:$FX$15,1,FALSE)=GD467,VLOOKUP(GE467,$FX$4:$FX$15,1,FALSE)=GE467,VLOOKUP(GF467,$FX$4:$FX$15,1,FALSE)=GF467,VLOOKUP(GG467,$FX$4:$FX$15,1,FALSE)=GG467,VLOOKUP(GH467,$FX$4:$FX$15,1,FALSE)=GH467,VLOOKUP(GI467,$FX$4:$FX$15,1,FALSE)=GI467),FZ467,""),"")</f>
        <v/>
      </c>
    </row>
    <row r="468" ht="14.25" customHeight="1">
      <c r="FZ468" s="79" t="n">
        <v>466</v>
      </c>
      <c r="GA468" s="3">
        <f>GB468&amp;GC468&amp;GD468&amp;GE468&amp;GF468&amp;GG468&amp;GH468&amp;GI468</f>
        <v/>
      </c>
      <c r="GB468" s="3" t="inlineStr">
        <is>
          <t>H</t>
        </is>
      </c>
      <c r="GC468" s="3" t="inlineStr">
        <is>
          <t>E</t>
        </is>
      </c>
      <c r="GD468" s="3" t="inlineStr">
        <is>
          <t>B</t>
        </is>
      </c>
      <c r="GE468" s="3" t="inlineStr">
        <is>
          <t>C</t>
        </is>
      </c>
      <c r="GF468" s="3" t="inlineStr">
        <is>
          <t>A</t>
        </is>
      </c>
      <c r="GG468" s="3" t="inlineStr">
        <is>
          <t>D</t>
        </is>
      </c>
      <c r="GH468" s="3" t="inlineStr">
        <is>
          <t>L</t>
        </is>
      </c>
      <c r="GI468" s="3" t="inlineStr">
        <is>
          <t>K</t>
        </is>
      </c>
      <c r="GJ468" s="9">
        <f>VLOOKUP(GB468,$FM$3:$FN$15,2,FALSE)</f>
        <v/>
      </c>
      <c r="GK468" s="9">
        <f>VLOOKUP(GC468,$FM$3:$FN$15,2,FALSE)</f>
        <v/>
      </c>
      <c r="GL468" s="9">
        <f>VLOOKUP(GD468,$FM$3:$FN$15,2,FALSE)</f>
        <v/>
      </c>
      <c r="GM468" s="9">
        <f>VLOOKUP(GE468,$FM$3:$FN$15,2,FALSE)</f>
        <v/>
      </c>
      <c r="GN468" s="9">
        <f>VLOOKUP(GF468,$FM$3:$FN$15,2,FALSE)</f>
        <v/>
      </c>
      <c r="GO468" s="9">
        <f>VLOOKUP(GG468,$FM$3:$FN$15,2,FALSE)</f>
        <v/>
      </c>
      <c r="GP468" s="9">
        <f>VLOOKUP(GH468,$FM$3:$FN$15,2,FALSE)</f>
        <v/>
      </c>
      <c r="GQ468" s="9">
        <f>VLOOKUP(GI468,$FM$3:$FN$15,2,FALSE)</f>
        <v/>
      </c>
      <c r="GR468" s="9">
        <f>IFERROR(IF(AND(VLOOKUP(GB468,$FX$4:$FX$15,1,FALSE)=GB468,VLOOKUP(GC468,$FX$4:$FX$15,1,FALSE)=GC468,VLOOKUP(GD468,$FX$4:$FX$15,1,FALSE)=GD468,VLOOKUP(GE468,$FX$4:$FX$15,1,FALSE)=GE468,VLOOKUP(GF468,$FX$4:$FX$15,1,FALSE)=GF468,VLOOKUP(GG468,$FX$4:$FX$15,1,FALSE)=GG468,VLOOKUP(GH468,$FX$4:$FX$15,1,FALSE)=GH468,VLOOKUP(GI468,$FX$4:$FX$15,1,FALSE)=GI468),FZ468,""),"")</f>
        <v/>
      </c>
    </row>
    <row r="469" ht="14.25" customHeight="1">
      <c r="FZ469" s="79" t="n">
        <v>467</v>
      </c>
      <c r="GA469" s="3">
        <f>GB469&amp;GC469&amp;GD469&amp;GE469&amp;GF469&amp;GG469&amp;GH469&amp;GI469</f>
        <v/>
      </c>
      <c r="GB469" s="3" t="inlineStr">
        <is>
          <t>H</t>
        </is>
      </c>
      <c r="GC469" s="3" t="inlineStr">
        <is>
          <t>J</t>
        </is>
      </c>
      <c r="GD469" s="3" t="inlineStr">
        <is>
          <t>B</t>
        </is>
      </c>
      <c r="GE469" s="3" t="inlineStr">
        <is>
          <t>C</t>
        </is>
      </c>
      <c r="GF469" s="3" t="inlineStr">
        <is>
          <t>A</t>
        </is>
      </c>
      <c r="GG469" s="3" t="inlineStr">
        <is>
          <t>D</t>
        </is>
      </c>
      <c r="GH469" s="3" t="inlineStr">
        <is>
          <t>L</t>
        </is>
      </c>
      <c r="GI469" s="3" t="inlineStr">
        <is>
          <t>E</t>
        </is>
      </c>
      <c r="GJ469" s="9">
        <f>VLOOKUP(GB469,$FM$3:$FN$15,2,FALSE)</f>
        <v/>
      </c>
      <c r="GK469" s="9">
        <f>VLOOKUP(GC469,$FM$3:$FN$15,2,FALSE)</f>
        <v/>
      </c>
      <c r="GL469" s="9">
        <f>VLOOKUP(GD469,$FM$3:$FN$15,2,FALSE)</f>
        <v/>
      </c>
      <c r="GM469" s="9">
        <f>VLOOKUP(GE469,$FM$3:$FN$15,2,FALSE)</f>
        <v/>
      </c>
      <c r="GN469" s="9">
        <f>VLOOKUP(GF469,$FM$3:$FN$15,2,FALSE)</f>
        <v/>
      </c>
      <c r="GO469" s="9">
        <f>VLOOKUP(GG469,$FM$3:$FN$15,2,FALSE)</f>
        <v/>
      </c>
      <c r="GP469" s="9">
        <f>VLOOKUP(GH469,$FM$3:$FN$15,2,FALSE)</f>
        <v/>
      </c>
      <c r="GQ469" s="9">
        <f>VLOOKUP(GI469,$FM$3:$FN$15,2,FALSE)</f>
        <v/>
      </c>
      <c r="GR469" s="9">
        <f>IFERROR(IF(AND(VLOOKUP(GB469,$FX$4:$FX$15,1,FALSE)=GB469,VLOOKUP(GC469,$FX$4:$FX$15,1,FALSE)=GC469,VLOOKUP(GD469,$FX$4:$FX$15,1,FALSE)=GD469,VLOOKUP(GE469,$FX$4:$FX$15,1,FALSE)=GE469,VLOOKUP(GF469,$FX$4:$FX$15,1,FALSE)=GF469,VLOOKUP(GG469,$FX$4:$FX$15,1,FALSE)=GG469,VLOOKUP(GH469,$FX$4:$FX$15,1,FALSE)=GH469,VLOOKUP(GI469,$FX$4:$FX$15,1,FALSE)=GI469),FZ469,""),"")</f>
        <v/>
      </c>
    </row>
    <row r="470" ht="14.25" customHeight="1">
      <c r="FZ470" s="79" t="n">
        <v>468</v>
      </c>
      <c r="GA470" s="3">
        <f>GB470&amp;GC470&amp;GD470&amp;GE470&amp;GF470&amp;GG470&amp;GH470&amp;GI470</f>
        <v/>
      </c>
      <c r="GB470" s="3" t="inlineStr">
        <is>
          <t>H</t>
        </is>
      </c>
      <c r="GC470" s="3" t="inlineStr">
        <is>
          <t>J</t>
        </is>
      </c>
      <c r="GD470" s="3" t="inlineStr">
        <is>
          <t>B</t>
        </is>
      </c>
      <c r="GE470" s="3" t="inlineStr">
        <is>
          <t>C</t>
        </is>
      </c>
      <c r="GF470" s="3" t="inlineStr">
        <is>
          <t>A</t>
        </is>
      </c>
      <c r="GG470" s="3" t="inlineStr">
        <is>
          <t>D</t>
        </is>
      </c>
      <c r="GH470" s="3" t="inlineStr">
        <is>
          <t>E</t>
        </is>
      </c>
      <c r="GI470" s="3" t="inlineStr">
        <is>
          <t>K</t>
        </is>
      </c>
      <c r="GJ470" s="9">
        <f>VLOOKUP(GB470,$FM$3:$FN$15,2,FALSE)</f>
        <v/>
      </c>
      <c r="GK470" s="9">
        <f>VLOOKUP(GC470,$FM$3:$FN$15,2,FALSE)</f>
        <v/>
      </c>
      <c r="GL470" s="9">
        <f>VLOOKUP(GD470,$FM$3:$FN$15,2,FALSE)</f>
        <v/>
      </c>
      <c r="GM470" s="9">
        <f>VLOOKUP(GE470,$FM$3:$FN$15,2,FALSE)</f>
        <v/>
      </c>
      <c r="GN470" s="9">
        <f>VLOOKUP(GF470,$FM$3:$FN$15,2,FALSE)</f>
        <v/>
      </c>
      <c r="GO470" s="9">
        <f>VLOOKUP(GG470,$FM$3:$FN$15,2,FALSE)</f>
        <v/>
      </c>
      <c r="GP470" s="9">
        <f>VLOOKUP(GH470,$FM$3:$FN$15,2,FALSE)</f>
        <v/>
      </c>
      <c r="GQ470" s="9">
        <f>VLOOKUP(GI470,$FM$3:$FN$15,2,FALSE)</f>
        <v/>
      </c>
      <c r="GR470" s="9">
        <f>IFERROR(IF(AND(VLOOKUP(GB470,$FX$4:$FX$15,1,FALSE)=GB470,VLOOKUP(GC470,$FX$4:$FX$15,1,FALSE)=GC470,VLOOKUP(GD470,$FX$4:$FX$15,1,FALSE)=GD470,VLOOKUP(GE470,$FX$4:$FX$15,1,FALSE)=GE470,VLOOKUP(GF470,$FX$4:$FX$15,1,FALSE)=GF470,VLOOKUP(GG470,$FX$4:$FX$15,1,FALSE)=GG470,VLOOKUP(GH470,$FX$4:$FX$15,1,FALSE)=GH470,VLOOKUP(GI470,$FX$4:$FX$15,1,FALSE)=GI470),FZ470,""),"")</f>
        <v/>
      </c>
    </row>
    <row r="471" ht="14.25" customHeight="1">
      <c r="FZ471" s="79" t="n">
        <v>469</v>
      </c>
      <c r="GA471" s="3">
        <f>GB471&amp;GC471&amp;GD471&amp;GE471&amp;GF471&amp;GG471&amp;GH471&amp;GI471</f>
        <v/>
      </c>
      <c r="GB471" s="3" t="inlineStr">
        <is>
          <t>H</t>
        </is>
      </c>
      <c r="GC471" s="3" t="inlineStr">
        <is>
          <t>E</t>
        </is>
      </c>
      <c r="GD471" s="3" t="inlineStr">
        <is>
          <t>B</t>
        </is>
      </c>
      <c r="GE471" s="3" t="inlineStr">
        <is>
          <t>C</t>
        </is>
      </c>
      <c r="GF471" s="3" t="inlineStr">
        <is>
          <t>A</t>
        </is>
      </c>
      <c r="GG471" s="3" t="inlineStr">
        <is>
          <t>D</t>
        </is>
      </c>
      <c r="GH471" s="3" t="inlineStr">
        <is>
          <t>L</t>
        </is>
      </c>
      <c r="GI471" s="3" t="inlineStr">
        <is>
          <t>I</t>
        </is>
      </c>
      <c r="GJ471" s="9">
        <f>VLOOKUP(GB471,$FM$3:$FN$15,2,FALSE)</f>
        <v/>
      </c>
      <c r="GK471" s="9">
        <f>VLOOKUP(GC471,$FM$3:$FN$15,2,FALSE)</f>
        <v/>
      </c>
      <c r="GL471" s="9">
        <f>VLOOKUP(GD471,$FM$3:$FN$15,2,FALSE)</f>
        <v/>
      </c>
      <c r="GM471" s="9">
        <f>VLOOKUP(GE471,$FM$3:$FN$15,2,FALSE)</f>
        <v/>
      </c>
      <c r="GN471" s="9">
        <f>VLOOKUP(GF471,$FM$3:$FN$15,2,FALSE)</f>
        <v/>
      </c>
      <c r="GO471" s="9">
        <f>VLOOKUP(GG471,$FM$3:$FN$15,2,FALSE)</f>
        <v/>
      </c>
      <c r="GP471" s="9">
        <f>VLOOKUP(GH471,$FM$3:$FN$15,2,FALSE)</f>
        <v/>
      </c>
      <c r="GQ471" s="9">
        <f>VLOOKUP(GI471,$FM$3:$FN$15,2,FALSE)</f>
        <v/>
      </c>
      <c r="GR471" s="9">
        <f>IFERROR(IF(AND(VLOOKUP(GB471,$FX$4:$FX$15,1,FALSE)=GB471,VLOOKUP(GC471,$FX$4:$FX$15,1,FALSE)=GC471,VLOOKUP(GD471,$FX$4:$FX$15,1,FALSE)=GD471,VLOOKUP(GE471,$FX$4:$FX$15,1,FALSE)=GE471,VLOOKUP(GF471,$FX$4:$FX$15,1,FALSE)=GF471,VLOOKUP(GG471,$FX$4:$FX$15,1,FALSE)=GG471,VLOOKUP(GH471,$FX$4:$FX$15,1,FALSE)=GH471,VLOOKUP(GI471,$FX$4:$FX$15,1,FALSE)=GI471),FZ471,""),"")</f>
        <v/>
      </c>
    </row>
    <row r="472" ht="14.25" customHeight="1">
      <c r="FZ472" s="79" t="n">
        <v>470</v>
      </c>
      <c r="GA472" s="3">
        <f>GB472&amp;GC472&amp;GD472&amp;GE472&amp;GF472&amp;GG472&amp;GH472&amp;GI472</f>
        <v/>
      </c>
      <c r="GB472" s="3" t="inlineStr">
        <is>
          <t>H</t>
        </is>
      </c>
      <c r="GC472" s="3" t="inlineStr">
        <is>
          <t>E</t>
        </is>
      </c>
      <c r="GD472" s="3" t="inlineStr">
        <is>
          <t>B</t>
        </is>
      </c>
      <c r="GE472" s="3" t="inlineStr">
        <is>
          <t>C</t>
        </is>
      </c>
      <c r="GF472" s="3" t="inlineStr">
        <is>
          <t>A</t>
        </is>
      </c>
      <c r="GG472" s="3" t="inlineStr">
        <is>
          <t>D</t>
        </is>
      </c>
      <c r="GH472" s="3" t="inlineStr">
        <is>
          <t>I</t>
        </is>
      </c>
      <c r="GI472" s="3" t="inlineStr">
        <is>
          <t>K</t>
        </is>
      </c>
      <c r="GJ472" s="9">
        <f>VLOOKUP(GB472,$FM$3:$FN$15,2,FALSE)</f>
        <v/>
      </c>
      <c r="GK472" s="9">
        <f>VLOOKUP(GC472,$FM$3:$FN$15,2,FALSE)</f>
        <v/>
      </c>
      <c r="GL472" s="9">
        <f>VLOOKUP(GD472,$FM$3:$FN$15,2,FALSE)</f>
        <v/>
      </c>
      <c r="GM472" s="9">
        <f>VLOOKUP(GE472,$FM$3:$FN$15,2,FALSE)</f>
        <v/>
      </c>
      <c r="GN472" s="9">
        <f>VLOOKUP(GF472,$FM$3:$FN$15,2,FALSE)</f>
        <v/>
      </c>
      <c r="GO472" s="9">
        <f>VLOOKUP(GG472,$FM$3:$FN$15,2,FALSE)</f>
        <v/>
      </c>
      <c r="GP472" s="9">
        <f>VLOOKUP(GH472,$FM$3:$FN$15,2,FALSE)</f>
        <v/>
      </c>
      <c r="GQ472" s="9">
        <f>VLOOKUP(GI472,$FM$3:$FN$15,2,FALSE)</f>
        <v/>
      </c>
      <c r="GR472" s="9">
        <f>IFERROR(IF(AND(VLOOKUP(GB472,$FX$4:$FX$15,1,FALSE)=GB472,VLOOKUP(GC472,$FX$4:$FX$15,1,FALSE)=GC472,VLOOKUP(GD472,$FX$4:$FX$15,1,FALSE)=GD472,VLOOKUP(GE472,$FX$4:$FX$15,1,FALSE)=GE472,VLOOKUP(GF472,$FX$4:$FX$15,1,FALSE)=GF472,VLOOKUP(GG472,$FX$4:$FX$15,1,FALSE)=GG472,VLOOKUP(GH472,$FX$4:$FX$15,1,FALSE)=GH472,VLOOKUP(GI472,$FX$4:$FX$15,1,FALSE)=GI472),FZ472,""),"")</f>
        <v/>
      </c>
    </row>
    <row r="473" ht="14.25" customHeight="1">
      <c r="FZ473" s="79" t="n">
        <v>471</v>
      </c>
      <c r="GA473" s="3">
        <f>GB473&amp;GC473&amp;GD473&amp;GE473&amp;GF473&amp;GG473&amp;GH473&amp;GI473</f>
        <v/>
      </c>
      <c r="GB473" s="3" t="inlineStr">
        <is>
          <t>H</t>
        </is>
      </c>
      <c r="GC473" s="3" t="inlineStr">
        <is>
          <t>J</t>
        </is>
      </c>
      <c r="GD473" s="3" t="inlineStr">
        <is>
          <t>B</t>
        </is>
      </c>
      <c r="GE473" s="3" t="inlineStr">
        <is>
          <t>C</t>
        </is>
      </c>
      <c r="GF473" s="3" t="inlineStr">
        <is>
          <t>A</t>
        </is>
      </c>
      <c r="GG473" s="3" t="inlineStr">
        <is>
          <t>D</t>
        </is>
      </c>
      <c r="GH473" s="3" t="inlineStr">
        <is>
          <t>E</t>
        </is>
      </c>
      <c r="GI473" s="3" t="inlineStr">
        <is>
          <t>I</t>
        </is>
      </c>
      <c r="GJ473" s="9">
        <f>VLOOKUP(GB473,$FM$3:$FN$15,2,FALSE)</f>
        <v/>
      </c>
      <c r="GK473" s="9">
        <f>VLOOKUP(GC473,$FM$3:$FN$15,2,FALSE)</f>
        <v/>
      </c>
      <c r="GL473" s="9">
        <f>VLOOKUP(GD473,$FM$3:$FN$15,2,FALSE)</f>
        <v/>
      </c>
      <c r="GM473" s="9">
        <f>VLOOKUP(GE473,$FM$3:$FN$15,2,FALSE)</f>
        <v/>
      </c>
      <c r="GN473" s="9">
        <f>VLOOKUP(GF473,$FM$3:$FN$15,2,FALSE)</f>
        <v/>
      </c>
      <c r="GO473" s="9">
        <f>VLOOKUP(GG473,$FM$3:$FN$15,2,FALSE)</f>
        <v/>
      </c>
      <c r="GP473" s="9">
        <f>VLOOKUP(GH473,$FM$3:$FN$15,2,FALSE)</f>
        <v/>
      </c>
      <c r="GQ473" s="9">
        <f>VLOOKUP(GI473,$FM$3:$FN$15,2,FALSE)</f>
        <v/>
      </c>
      <c r="GR473" s="9">
        <f>IFERROR(IF(AND(VLOOKUP(GB473,$FX$4:$FX$15,1,FALSE)=GB473,VLOOKUP(GC473,$FX$4:$FX$15,1,FALSE)=GC473,VLOOKUP(GD473,$FX$4:$FX$15,1,FALSE)=GD473,VLOOKUP(GE473,$FX$4:$FX$15,1,FALSE)=GE473,VLOOKUP(GF473,$FX$4:$FX$15,1,FALSE)=GF473,VLOOKUP(GG473,$FX$4:$FX$15,1,FALSE)=GG473,VLOOKUP(GH473,$FX$4:$FX$15,1,FALSE)=GH473,VLOOKUP(GI473,$FX$4:$FX$15,1,FALSE)=GI473),FZ473,""),"")</f>
        <v/>
      </c>
    </row>
    <row r="474" ht="14.25" customHeight="1">
      <c r="FZ474" s="79" t="n">
        <v>472</v>
      </c>
      <c r="GA474" s="3">
        <f>GB474&amp;GC474&amp;GD474&amp;GE474&amp;GF474&amp;GG474&amp;GH474&amp;GI474</f>
        <v/>
      </c>
      <c r="GB474" s="3" t="inlineStr">
        <is>
          <t>E</t>
        </is>
      </c>
      <c r="GC474" s="3" t="inlineStr">
        <is>
          <t>G</t>
        </is>
      </c>
      <c r="GD474" s="3" t="inlineStr">
        <is>
          <t>B</t>
        </is>
      </c>
      <c r="GE474" s="3" t="inlineStr">
        <is>
          <t>C</t>
        </is>
      </c>
      <c r="GF474" s="3" t="inlineStr">
        <is>
          <t>A</t>
        </is>
      </c>
      <c r="GG474" s="3" t="inlineStr">
        <is>
          <t>D</t>
        </is>
      </c>
      <c r="GH474" s="3" t="inlineStr">
        <is>
          <t>L</t>
        </is>
      </c>
      <c r="GI474" s="3" t="inlineStr">
        <is>
          <t>K</t>
        </is>
      </c>
      <c r="GJ474" s="9">
        <f>VLOOKUP(GB474,$FM$3:$FN$15,2,FALSE)</f>
        <v/>
      </c>
      <c r="GK474" s="9">
        <f>VLOOKUP(GC474,$FM$3:$FN$15,2,FALSE)</f>
        <v/>
      </c>
      <c r="GL474" s="9">
        <f>VLOOKUP(GD474,$FM$3:$FN$15,2,FALSE)</f>
        <v/>
      </c>
      <c r="GM474" s="9">
        <f>VLOOKUP(GE474,$FM$3:$FN$15,2,FALSE)</f>
        <v/>
      </c>
      <c r="GN474" s="9">
        <f>VLOOKUP(GF474,$FM$3:$FN$15,2,FALSE)</f>
        <v/>
      </c>
      <c r="GO474" s="9">
        <f>VLOOKUP(GG474,$FM$3:$FN$15,2,FALSE)</f>
        <v/>
      </c>
      <c r="GP474" s="9">
        <f>VLOOKUP(GH474,$FM$3:$FN$15,2,FALSE)</f>
        <v/>
      </c>
      <c r="GQ474" s="9">
        <f>VLOOKUP(GI474,$FM$3:$FN$15,2,FALSE)</f>
        <v/>
      </c>
      <c r="GR474" s="9">
        <f>IFERROR(IF(AND(VLOOKUP(GB474,$FX$4:$FX$15,1,FALSE)=GB474,VLOOKUP(GC474,$FX$4:$FX$15,1,FALSE)=GC474,VLOOKUP(GD474,$FX$4:$FX$15,1,FALSE)=GD474,VLOOKUP(GE474,$FX$4:$FX$15,1,FALSE)=GE474,VLOOKUP(GF474,$FX$4:$FX$15,1,FALSE)=GF474,VLOOKUP(GG474,$FX$4:$FX$15,1,FALSE)=GG474,VLOOKUP(GH474,$FX$4:$FX$15,1,FALSE)=GH474,VLOOKUP(GI474,$FX$4:$FX$15,1,FALSE)=GI474),FZ474,""),"")</f>
        <v/>
      </c>
    </row>
    <row r="475" ht="14.25" customHeight="1">
      <c r="FZ475" s="79" t="n">
        <v>473</v>
      </c>
      <c r="GA475" s="3">
        <f>GB475&amp;GC475&amp;GD475&amp;GE475&amp;GF475&amp;GG475&amp;GH475&amp;GI475</f>
        <v/>
      </c>
      <c r="GB475" s="3" t="inlineStr">
        <is>
          <t>E</t>
        </is>
      </c>
      <c r="GC475" s="3" t="inlineStr">
        <is>
          <t>G</t>
        </is>
      </c>
      <c r="GD475" s="3" t="inlineStr">
        <is>
          <t>B</t>
        </is>
      </c>
      <c r="GE475" s="3" t="inlineStr">
        <is>
          <t>C</t>
        </is>
      </c>
      <c r="GF475" s="3" t="inlineStr">
        <is>
          <t>A</t>
        </is>
      </c>
      <c r="GG475" s="3" t="inlineStr">
        <is>
          <t>D</t>
        </is>
      </c>
      <c r="GH475" s="3" t="inlineStr">
        <is>
          <t>L</t>
        </is>
      </c>
      <c r="GI475" s="3" t="inlineStr">
        <is>
          <t>J</t>
        </is>
      </c>
      <c r="GJ475" s="9">
        <f>VLOOKUP(GB475,$FM$3:$FN$15,2,FALSE)</f>
        <v/>
      </c>
      <c r="GK475" s="9">
        <f>VLOOKUP(GC475,$FM$3:$FN$15,2,FALSE)</f>
        <v/>
      </c>
      <c r="GL475" s="9">
        <f>VLOOKUP(GD475,$FM$3:$FN$15,2,FALSE)</f>
        <v/>
      </c>
      <c r="GM475" s="9">
        <f>VLOOKUP(GE475,$FM$3:$FN$15,2,FALSE)</f>
        <v/>
      </c>
      <c r="GN475" s="9">
        <f>VLOOKUP(GF475,$FM$3:$FN$15,2,FALSE)</f>
        <v/>
      </c>
      <c r="GO475" s="9">
        <f>VLOOKUP(GG475,$FM$3:$FN$15,2,FALSE)</f>
        <v/>
      </c>
      <c r="GP475" s="9">
        <f>VLOOKUP(GH475,$FM$3:$FN$15,2,FALSE)</f>
        <v/>
      </c>
      <c r="GQ475" s="9">
        <f>VLOOKUP(GI475,$FM$3:$FN$15,2,FALSE)</f>
        <v/>
      </c>
      <c r="GR475" s="9">
        <f>IFERROR(IF(AND(VLOOKUP(GB475,$FX$4:$FX$15,1,FALSE)=GB475,VLOOKUP(GC475,$FX$4:$FX$15,1,FALSE)=GC475,VLOOKUP(GD475,$FX$4:$FX$15,1,FALSE)=GD475,VLOOKUP(GE475,$FX$4:$FX$15,1,FALSE)=GE475,VLOOKUP(GF475,$FX$4:$FX$15,1,FALSE)=GF475,VLOOKUP(GG475,$FX$4:$FX$15,1,FALSE)=GG475,VLOOKUP(GH475,$FX$4:$FX$15,1,FALSE)=GH475,VLOOKUP(GI475,$FX$4:$FX$15,1,FALSE)=GI475),FZ475,""),"")</f>
        <v/>
      </c>
    </row>
    <row r="476" ht="14.25" customHeight="1">
      <c r="FZ476" s="79" t="n">
        <v>474</v>
      </c>
      <c r="GA476" s="3">
        <f>GB476&amp;GC476&amp;GD476&amp;GE476&amp;GF476&amp;GG476&amp;GH476&amp;GI476</f>
        <v/>
      </c>
      <c r="GB476" s="3" t="inlineStr">
        <is>
          <t>E</t>
        </is>
      </c>
      <c r="GC476" s="3" t="inlineStr">
        <is>
          <t>G</t>
        </is>
      </c>
      <c r="GD476" s="3" t="inlineStr">
        <is>
          <t>B</t>
        </is>
      </c>
      <c r="GE476" s="3" t="inlineStr">
        <is>
          <t>C</t>
        </is>
      </c>
      <c r="GF476" s="3" t="inlineStr">
        <is>
          <t>A</t>
        </is>
      </c>
      <c r="GG476" s="3" t="inlineStr">
        <is>
          <t>D</t>
        </is>
      </c>
      <c r="GH476" s="3" t="inlineStr">
        <is>
          <t>J</t>
        </is>
      </c>
      <c r="GI476" s="3" t="inlineStr">
        <is>
          <t>K</t>
        </is>
      </c>
      <c r="GJ476" s="9">
        <f>VLOOKUP(GB476,$FM$3:$FN$15,2,FALSE)</f>
        <v/>
      </c>
      <c r="GK476" s="9">
        <f>VLOOKUP(GC476,$FM$3:$FN$15,2,FALSE)</f>
        <v/>
      </c>
      <c r="GL476" s="9">
        <f>VLOOKUP(GD476,$FM$3:$FN$15,2,FALSE)</f>
        <v/>
      </c>
      <c r="GM476" s="9">
        <f>VLOOKUP(GE476,$FM$3:$FN$15,2,FALSE)</f>
        <v/>
      </c>
      <c r="GN476" s="9">
        <f>VLOOKUP(GF476,$FM$3:$FN$15,2,FALSE)</f>
        <v/>
      </c>
      <c r="GO476" s="9">
        <f>VLOOKUP(GG476,$FM$3:$FN$15,2,FALSE)</f>
        <v/>
      </c>
      <c r="GP476" s="9">
        <f>VLOOKUP(GH476,$FM$3:$FN$15,2,FALSE)</f>
        <v/>
      </c>
      <c r="GQ476" s="9">
        <f>VLOOKUP(GI476,$FM$3:$FN$15,2,FALSE)</f>
        <v/>
      </c>
      <c r="GR476" s="9">
        <f>IFERROR(IF(AND(VLOOKUP(GB476,$FX$4:$FX$15,1,FALSE)=GB476,VLOOKUP(GC476,$FX$4:$FX$15,1,FALSE)=GC476,VLOOKUP(GD476,$FX$4:$FX$15,1,FALSE)=GD476,VLOOKUP(GE476,$FX$4:$FX$15,1,FALSE)=GE476,VLOOKUP(GF476,$FX$4:$FX$15,1,FALSE)=GF476,VLOOKUP(GG476,$FX$4:$FX$15,1,FALSE)=GG476,VLOOKUP(GH476,$FX$4:$FX$15,1,FALSE)=GH476,VLOOKUP(GI476,$FX$4:$FX$15,1,FALSE)=GI476),FZ476,""),"")</f>
        <v/>
      </c>
    </row>
    <row r="477" ht="14.25" customHeight="1">
      <c r="FZ477" s="79" t="n">
        <v>475</v>
      </c>
      <c r="GA477" s="3">
        <f>GB477&amp;GC477&amp;GD477&amp;GE477&amp;GF477&amp;GG477&amp;GH477&amp;GI477</f>
        <v/>
      </c>
      <c r="GB477" s="3" t="inlineStr">
        <is>
          <t>E</t>
        </is>
      </c>
      <c r="GC477" s="3" t="inlineStr">
        <is>
          <t>G</t>
        </is>
      </c>
      <c r="GD477" s="3" t="inlineStr">
        <is>
          <t>B</t>
        </is>
      </c>
      <c r="GE477" s="3" t="inlineStr">
        <is>
          <t>C</t>
        </is>
      </c>
      <c r="GF477" s="3" t="inlineStr">
        <is>
          <t>A</t>
        </is>
      </c>
      <c r="GG477" s="3" t="inlineStr">
        <is>
          <t>D</t>
        </is>
      </c>
      <c r="GH477" s="3" t="inlineStr">
        <is>
          <t>L</t>
        </is>
      </c>
      <c r="GI477" s="3" t="inlineStr">
        <is>
          <t>I</t>
        </is>
      </c>
      <c r="GJ477" s="9">
        <f>VLOOKUP(GB477,$FM$3:$FN$15,2,FALSE)</f>
        <v/>
      </c>
      <c r="GK477" s="9">
        <f>VLOOKUP(GC477,$FM$3:$FN$15,2,FALSE)</f>
        <v/>
      </c>
      <c r="GL477" s="9">
        <f>VLOOKUP(GD477,$FM$3:$FN$15,2,FALSE)</f>
        <v/>
      </c>
      <c r="GM477" s="9">
        <f>VLOOKUP(GE477,$FM$3:$FN$15,2,FALSE)</f>
        <v/>
      </c>
      <c r="GN477" s="9">
        <f>VLOOKUP(GF477,$FM$3:$FN$15,2,FALSE)</f>
        <v/>
      </c>
      <c r="GO477" s="9">
        <f>VLOOKUP(GG477,$FM$3:$FN$15,2,FALSE)</f>
        <v/>
      </c>
      <c r="GP477" s="9">
        <f>VLOOKUP(GH477,$FM$3:$FN$15,2,FALSE)</f>
        <v/>
      </c>
      <c r="GQ477" s="9">
        <f>VLOOKUP(GI477,$FM$3:$FN$15,2,FALSE)</f>
        <v/>
      </c>
      <c r="GR477" s="9">
        <f>IFERROR(IF(AND(VLOOKUP(GB477,$FX$4:$FX$15,1,FALSE)=GB477,VLOOKUP(GC477,$FX$4:$FX$15,1,FALSE)=GC477,VLOOKUP(GD477,$FX$4:$FX$15,1,FALSE)=GD477,VLOOKUP(GE477,$FX$4:$FX$15,1,FALSE)=GE477,VLOOKUP(GF477,$FX$4:$FX$15,1,FALSE)=GF477,VLOOKUP(GG477,$FX$4:$FX$15,1,FALSE)=GG477,VLOOKUP(GH477,$FX$4:$FX$15,1,FALSE)=GH477,VLOOKUP(GI477,$FX$4:$FX$15,1,FALSE)=GI477),FZ477,""),"")</f>
        <v/>
      </c>
    </row>
    <row r="478" ht="14.25" customHeight="1">
      <c r="FZ478" s="79" t="n">
        <v>476</v>
      </c>
      <c r="GA478" s="3">
        <f>GB478&amp;GC478&amp;GD478&amp;GE478&amp;GF478&amp;GG478&amp;GH478&amp;GI478</f>
        <v/>
      </c>
      <c r="GB478" s="3" t="inlineStr">
        <is>
          <t>E</t>
        </is>
      </c>
      <c r="GC478" s="3" t="inlineStr">
        <is>
          <t>G</t>
        </is>
      </c>
      <c r="GD478" s="3" t="inlineStr">
        <is>
          <t>B</t>
        </is>
      </c>
      <c r="GE478" s="3" t="inlineStr">
        <is>
          <t>C</t>
        </is>
      </c>
      <c r="GF478" s="3" t="inlineStr">
        <is>
          <t>A</t>
        </is>
      </c>
      <c r="GG478" s="3" t="inlineStr">
        <is>
          <t>D</t>
        </is>
      </c>
      <c r="GH478" s="3" t="inlineStr">
        <is>
          <t>I</t>
        </is>
      </c>
      <c r="GI478" s="3" t="inlineStr">
        <is>
          <t>K</t>
        </is>
      </c>
      <c r="GJ478" s="9">
        <f>VLOOKUP(GB478,$FM$3:$FN$15,2,FALSE)</f>
        <v/>
      </c>
      <c r="GK478" s="9">
        <f>VLOOKUP(GC478,$FM$3:$FN$15,2,FALSE)</f>
        <v/>
      </c>
      <c r="GL478" s="9">
        <f>VLOOKUP(GD478,$FM$3:$FN$15,2,FALSE)</f>
        <v/>
      </c>
      <c r="GM478" s="9">
        <f>VLOOKUP(GE478,$FM$3:$FN$15,2,FALSE)</f>
        <v/>
      </c>
      <c r="GN478" s="9">
        <f>VLOOKUP(GF478,$FM$3:$FN$15,2,FALSE)</f>
        <v/>
      </c>
      <c r="GO478" s="9">
        <f>VLOOKUP(GG478,$FM$3:$FN$15,2,FALSE)</f>
        <v/>
      </c>
      <c r="GP478" s="9">
        <f>VLOOKUP(GH478,$FM$3:$FN$15,2,FALSE)</f>
        <v/>
      </c>
      <c r="GQ478" s="9">
        <f>VLOOKUP(GI478,$FM$3:$FN$15,2,FALSE)</f>
        <v/>
      </c>
      <c r="GR478" s="9">
        <f>IFERROR(IF(AND(VLOOKUP(GB478,$FX$4:$FX$15,1,FALSE)=GB478,VLOOKUP(GC478,$FX$4:$FX$15,1,FALSE)=GC478,VLOOKUP(GD478,$FX$4:$FX$15,1,FALSE)=GD478,VLOOKUP(GE478,$FX$4:$FX$15,1,FALSE)=GE478,VLOOKUP(GF478,$FX$4:$FX$15,1,FALSE)=GF478,VLOOKUP(GG478,$FX$4:$FX$15,1,FALSE)=GG478,VLOOKUP(GH478,$FX$4:$FX$15,1,FALSE)=GH478,VLOOKUP(GI478,$FX$4:$FX$15,1,FALSE)=GI478),FZ478,""),"")</f>
        <v/>
      </c>
    </row>
    <row r="479" ht="14.25" customHeight="1">
      <c r="FZ479" s="79" t="n">
        <v>477</v>
      </c>
      <c r="GA479" s="3">
        <f>GB479&amp;GC479&amp;GD479&amp;GE479&amp;GF479&amp;GG479&amp;GH479&amp;GI479</f>
        <v/>
      </c>
      <c r="GB479" s="3" t="inlineStr">
        <is>
          <t>E</t>
        </is>
      </c>
      <c r="GC479" s="3" t="inlineStr">
        <is>
          <t>G</t>
        </is>
      </c>
      <c r="GD479" s="3" t="inlineStr">
        <is>
          <t>B</t>
        </is>
      </c>
      <c r="GE479" s="3" t="inlineStr">
        <is>
          <t>C</t>
        </is>
      </c>
      <c r="GF479" s="3" t="inlineStr">
        <is>
          <t>A</t>
        </is>
      </c>
      <c r="GG479" s="3" t="inlineStr">
        <is>
          <t>D</t>
        </is>
      </c>
      <c r="GH479" s="3" t="inlineStr">
        <is>
          <t>I</t>
        </is>
      </c>
      <c r="GI479" s="3" t="inlineStr">
        <is>
          <t>J</t>
        </is>
      </c>
      <c r="GJ479" s="9">
        <f>VLOOKUP(GB479,$FM$3:$FN$15,2,FALSE)</f>
        <v/>
      </c>
      <c r="GK479" s="9">
        <f>VLOOKUP(GC479,$FM$3:$FN$15,2,FALSE)</f>
        <v/>
      </c>
      <c r="GL479" s="9">
        <f>VLOOKUP(GD479,$FM$3:$FN$15,2,FALSE)</f>
        <v/>
      </c>
      <c r="GM479" s="9">
        <f>VLOOKUP(GE479,$FM$3:$FN$15,2,FALSE)</f>
        <v/>
      </c>
      <c r="GN479" s="9">
        <f>VLOOKUP(GF479,$FM$3:$FN$15,2,FALSE)</f>
        <v/>
      </c>
      <c r="GO479" s="9">
        <f>VLOOKUP(GG479,$FM$3:$FN$15,2,FALSE)</f>
        <v/>
      </c>
      <c r="GP479" s="9">
        <f>VLOOKUP(GH479,$FM$3:$FN$15,2,FALSE)</f>
        <v/>
      </c>
      <c r="GQ479" s="9">
        <f>VLOOKUP(GI479,$FM$3:$FN$15,2,FALSE)</f>
        <v/>
      </c>
      <c r="GR479" s="9">
        <f>IFERROR(IF(AND(VLOOKUP(GB479,$FX$4:$FX$15,1,FALSE)=GB479,VLOOKUP(GC479,$FX$4:$FX$15,1,FALSE)=GC479,VLOOKUP(GD479,$FX$4:$FX$15,1,FALSE)=GD479,VLOOKUP(GE479,$FX$4:$FX$15,1,FALSE)=GE479,VLOOKUP(GF479,$FX$4:$FX$15,1,FALSE)=GF479,VLOOKUP(GG479,$FX$4:$FX$15,1,FALSE)=GG479,VLOOKUP(GH479,$FX$4:$FX$15,1,FALSE)=GH479,VLOOKUP(GI479,$FX$4:$FX$15,1,FALSE)=GI479),FZ479,""),"")</f>
        <v/>
      </c>
    </row>
    <row r="480" ht="14.25" customHeight="1">
      <c r="FZ480" s="79" t="n">
        <v>478</v>
      </c>
      <c r="GA480" s="3">
        <f>GB480&amp;GC480&amp;GD480&amp;GE480&amp;GF480&amp;GG480&amp;GH480&amp;GI480</f>
        <v/>
      </c>
      <c r="GB480" s="3" t="inlineStr">
        <is>
          <t>H</t>
        </is>
      </c>
      <c r="GC480" s="3" t="inlineStr">
        <is>
          <t>G</t>
        </is>
      </c>
      <c r="GD480" s="3" t="inlineStr">
        <is>
          <t>B</t>
        </is>
      </c>
      <c r="GE480" s="3" t="inlineStr">
        <is>
          <t>C</t>
        </is>
      </c>
      <c r="GF480" s="3" t="inlineStr">
        <is>
          <t>A</t>
        </is>
      </c>
      <c r="GG480" s="3" t="inlineStr">
        <is>
          <t>D</t>
        </is>
      </c>
      <c r="GH480" s="3" t="inlineStr">
        <is>
          <t>L</t>
        </is>
      </c>
      <c r="GI480" s="3" t="inlineStr">
        <is>
          <t>E</t>
        </is>
      </c>
      <c r="GJ480" s="9">
        <f>VLOOKUP(GB480,$FM$3:$FN$15,2,FALSE)</f>
        <v/>
      </c>
      <c r="GK480" s="9">
        <f>VLOOKUP(GC480,$FM$3:$FN$15,2,FALSE)</f>
        <v/>
      </c>
      <c r="GL480" s="9">
        <f>VLOOKUP(GD480,$FM$3:$FN$15,2,FALSE)</f>
        <v/>
      </c>
      <c r="GM480" s="9">
        <f>VLOOKUP(GE480,$FM$3:$FN$15,2,FALSE)</f>
        <v/>
      </c>
      <c r="GN480" s="9">
        <f>VLOOKUP(GF480,$FM$3:$FN$15,2,FALSE)</f>
        <v/>
      </c>
      <c r="GO480" s="9">
        <f>VLOOKUP(GG480,$FM$3:$FN$15,2,FALSE)</f>
        <v/>
      </c>
      <c r="GP480" s="9">
        <f>VLOOKUP(GH480,$FM$3:$FN$15,2,FALSE)</f>
        <v/>
      </c>
      <c r="GQ480" s="9">
        <f>VLOOKUP(GI480,$FM$3:$FN$15,2,FALSE)</f>
        <v/>
      </c>
      <c r="GR480" s="9">
        <f>IFERROR(IF(AND(VLOOKUP(GB480,$FX$4:$FX$15,1,FALSE)=GB480,VLOOKUP(GC480,$FX$4:$FX$15,1,FALSE)=GC480,VLOOKUP(GD480,$FX$4:$FX$15,1,FALSE)=GD480,VLOOKUP(GE480,$FX$4:$FX$15,1,FALSE)=GE480,VLOOKUP(GF480,$FX$4:$FX$15,1,FALSE)=GF480,VLOOKUP(GG480,$FX$4:$FX$15,1,FALSE)=GG480,VLOOKUP(GH480,$FX$4:$FX$15,1,FALSE)=GH480,VLOOKUP(GI480,$FX$4:$FX$15,1,FALSE)=GI480),FZ480,""),"")</f>
        <v/>
      </c>
    </row>
    <row r="481" ht="14.25" customHeight="1">
      <c r="FZ481" s="79" t="n">
        <v>479</v>
      </c>
      <c r="GA481" s="3">
        <f>GB481&amp;GC481&amp;GD481&amp;GE481&amp;GF481&amp;GG481&amp;GH481&amp;GI481</f>
        <v/>
      </c>
      <c r="GB481" s="3" t="inlineStr">
        <is>
          <t>H</t>
        </is>
      </c>
      <c r="GC481" s="3" t="inlineStr">
        <is>
          <t>G</t>
        </is>
      </c>
      <c r="GD481" s="3" t="inlineStr">
        <is>
          <t>B</t>
        </is>
      </c>
      <c r="GE481" s="3" t="inlineStr">
        <is>
          <t>C</t>
        </is>
      </c>
      <c r="GF481" s="3" t="inlineStr">
        <is>
          <t>A</t>
        </is>
      </c>
      <c r="GG481" s="3" t="inlineStr">
        <is>
          <t>D</t>
        </is>
      </c>
      <c r="GH481" s="3" t="inlineStr">
        <is>
          <t>E</t>
        </is>
      </c>
      <c r="GI481" s="3" t="inlineStr">
        <is>
          <t>K</t>
        </is>
      </c>
      <c r="GJ481" s="9">
        <f>VLOOKUP(GB481,$FM$3:$FN$15,2,FALSE)</f>
        <v/>
      </c>
      <c r="GK481" s="9">
        <f>VLOOKUP(GC481,$FM$3:$FN$15,2,FALSE)</f>
        <v/>
      </c>
      <c r="GL481" s="9">
        <f>VLOOKUP(GD481,$FM$3:$FN$15,2,FALSE)</f>
        <v/>
      </c>
      <c r="GM481" s="9">
        <f>VLOOKUP(GE481,$FM$3:$FN$15,2,FALSE)</f>
        <v/>
      </c>
      <c r="GN481" s="9">
        <f>VLOOKUP(GF481,$FM$3:$FN$15,2,FALSE)</f>
        <v/>
      </c>
      <c r="GO481" s="9">
        <f>VLOOKUP(GG481,$FM$3:$FN$15,2,FALSE)</f>
        <v/>
      </c>
      <c r="GP481" s="9">
        <f>VLOOKUP(GH481,$FM$3:$FN$15,2,FALSE)</f>
        <v/>
      </c>
      <c r="GQ481" s="9">
        <f>VLOOKUP(GI481,$FM$3:$FN$15,2,FALSE)</f>
        <v/>
      </c>
      <c r="GR481" s="9">
        <f>IFERROR(IF(AND(VLOOKUP(GB481,$FX$4:$FX$15,1,FALSE)=GB481,VLOOKUP(GC481,$FX$4:$FX$15,1,FALSE)=GC481,VLOOKUP(GD481,$FX$4:$FX$15,1,FALSE)=GD481,VLOOKUP(GE481,$FX$4:$FX$15,1,FALSE)=GE481,VLOOKUP(GF481,$FX$4:$FX$15,1,FALSE)=GF481,VLOOKUP(GG481,$FX$4:$FX$15,1,FALSE)=GG481,VLOOKUP(GH481,$FX$4:$FX$15,1,FALSE)=GH481,VLOOKUP(GI481,$FX$4:$FX$15,1,FALSE)=GI481),FZ481,""),"")</f>
        <v/>
      </c>
    </row>
    <row r="482" ht="14.25" customHeight="1">
      <c r="FZ482" s="79" t="n">
        <v>480</v>
      </c>
      <c r="GA482" s="3">
        <f>GB482&amp;GC482&amp;GD482&amp;GE482&amp;GF482&amp;GG482&amp;GH482&amp;GI482</f>
        <v/>
      </c>
      <c r="GB482" s="3" t="inlineStr">
        <is>
          <t>H</t>
        </is>
      </c>
      <c r="GC482" s="3" t="inlineStr">
        <is>
          <t>G</t>
        </is>
      </c>
      <c r="GD482" s="3" t="inlineStr">
        <is>
          <t>B</t>
        </is>
      </c>
      <c r="GE482" s="3" t="inlineStr">
        <is>
          <t>C</t>
        </is>
      </c>
      <c r="GF482" s="3" t="inlineStr">
        <is>
          <t>A</t>
        </is>
      </c>
      <c r="GG482" s="3" t="inlineStr">
        <is>
          <t>D</t>
        </is>
      </c>
      <c r="GH482" s="3" t="inlineStr">
        <is>
          <t>E</t>
        </is>
      </c>
      <c r="GI482" s="3" t="inlineStr">
        <is>
          <t>J</t>
        </is>
      </c>
      <c r="GJ482" s="9">
        <f>VLOOKUP(GB482,$FM$3:$FN$15,2,FALSE)</f>
        <v/>
      </c>
      <c r="GK482" s="9">
        <f>VLOOKUP(GC482,$FM$3:$FN$15,2,FALSE)</f>
        <v/>
      </c>
      <c r="GL482" s="9">
        <f>VLOOKUP(GD482,$FM$3:$FN$15,2,FALSE)</f>
        <v/>
      </c>
      <c r="GM482" s="9">
        <f>VLOOKUP(GE482,$FM$3:$FN$15,2,FALSE)</f>
        <v/>
      </c>
      <c r="GN482" s="9">
        <f>VLOOKUP(GF482,$FM$3:$FN$15,2,FALSE)</f>
        <v/>
      </c>
      <c r="GO482" s="9">
        <f>VLOOKUP(GG482,$FM$3:$FN$15,2,FALSE)</f>
        <v/>
      </c>
      <c r="GP482" s="9">
        <f>VLOOKUP(GH482,$FM$3:$FN$15,2,FALSE)</f>
        <v/>
      </c>
      <c r="GQ482" s="9">
        <f>VLOOKUP(GI482,$FM$3:$FN$15,2,FALSE)</f>
        <v/>
      </c>
      <c r="GR482" s="9">
        <f>IFERROR(IF(AND(VLOOKUP(GB482,$FX$4:$FX$15,1,FALSE)=GB482,VLOOKUP(GC482,$FX$4:$FX$15,1,FALSE)=GC482,VLOOKUP(GD482,$FX$4:$FX$15,1,FALSE)=GD482,VLOOKUP(GE482,$FX$4:$FX$15,1,FALSE)=GE482,VLOOKUP(GF482,$FX$4:$FX$15,1,FALSE)=GF482,VLOOKUP(GG482,$FX$4:$FX$15,1,FALSE)=GG482,VLOOKUP(GH482,$FX$4:$FX$15,1,FALSE)=GH482,VLOOKUP(GI482,$FX$4:$FX$15,1,FALSE)=GI482),FZ482,""),"")</f>
        <v/>
      </c>
    </row>
    <row r="483" ht="14.25" customHeight="1">
      <c r="FZ483" s="79" t="n">
        <v>481</v>
      </c>
      <c r="GA483" s="3">
        <f>GB483&amp;GC483&amp;GD483&amp;GE483&amp;GF483&amp;GG483&amp;GH483&amp;GI483</f>
        <v/>
      </c>
      <c r="GB483" s="3" t="inlineStr">
        <is>
          <t>H</t>
        </is>
      </c>
      <c r="GC483" s="3" t="inlineStr">
        <is>
          <t>G</t>
        </is>
      </c>
      <c r="GD483" s="3" t="inlineStr">
        <is>
          <t>B</t>
        </is>
      </c>
      <c r="GE483" s="3" t="inlineStr">
        <is>
          <t>C</t>
        </is>
      </c>
      <c r="GF483" s="3" t="inlineStr">
        <is>
          <t>A</t>
        </is>
      </c>
      <c r="GG483" s="3" t="inlineStr">
        <is>
          <t>D</t>
        </is>
      </c>
      <c r="GH483" s="3" t="inlineStr">
        <is>
          <t>E</t>
        </is>
      </c>
      <c r="GI483" s="3" t="inlineStr">
        <is>
          <t>I</t>
        </is>
      </c>
      <c r="GJ483" s="9">
        <f>VLOOKUP(GB483,$FM$3:$FN$15,2,FALSE)</f>
        <v/>
      </c>
      <c r="GK483" s="9">
        <f>VLOOKUP(GC483,$FM$3:$FN$15,2,FALSE)</f>
        <v/>
      </c>
      <c r="GL483" s="9">
        <f>VLOOKUP(GD483,$FM$3:$FN$15,2,FALSE)</f>
        <v/>
      </c>
      <c r="GM483" s="9">
        <f>VLOOKUP(GE483,$FM$3:$FN$15,2,FALSE)</f>
        <v/>
      </c>
      <c r="GN483" s="9">
        <f>VLOOKUP(GF483,$FM$3:$FN$15,2,FALSE)</f>
        <v/>
      </c>
      <c r="GO483" s="9">
        <f>VLOOKUP(GG483,$FM$3:$FN$15,2,FALSE)</f>
        <v/>
      </c>
      <c r="GP483" s="9">
        <f>VLOOKUP(GH483,$FM$3:$FN$15,2,FALSE)</f>
        <v/>
      </c>
      <c r="GQ483" s="9">
        <f>VLOOKUP(GI483,$FM$3:$FN$15,2,FALSE)</f>
        <v/>
      </c>
      <c r="GR483" s="9">
        <f>IFERROR(IF(AND(VLOOKUP(GB483,$FX$4:$FX$15,1,FALSE)=GB483,VLOOKUP(GC483,$FX$4:$FX$15,1,FALSE)=GC483,VLOOKUP(GD483,$FX$4:$FX$15,1,FALSE)=GD483,VLOOKUP(GE483,$FX$4:$FX$15,1,FALSE)=GE483,VLOOKUP(GF483,$FX$4:$FX$15,1,FALSE)=GF483,VLOOKUP(GG483,$FX$4:$FX$15,1,FALSE)=GG483,VLOOKUP(GH483,$FX$4:$FX$15,1,FALSE)=GH483,VLOOKUP(GI483,$FX$4:$FX$15,1,FALSE)=GI483),FZ483,""),"")</f>
        <v/>
      </c>
    </row>
    <row r="484" ht="14.25" customHeight="1">
      <c r="FZ484" s="79" t="n">
        <v>482</v>
      </c>
      <c r="GA484" s="3">
        <f>GB484&amp;GC484&amp;GD484&amp;GE484&amp;GF484&amp;GG484&amp;GH484&amp;GI484</f>
        <v/>
      </c>
      <c r="GB484" s="3" t="inlineStr">
        <is>
          <t>C</t>
        </is>
      </c>
      <c r="GC484" s="3" t="inlineStr">
        <is>
          <t>E</t>
        </is>
      </c>
      <c r="GD484" s="3" t="inlineStr">
        <is>
          <t>B</t>
        </is>
      </c>
      <c r="GE484" s="3" t="inlineStr">
        <is>
          <t>D</t>
        </is>
      </c>
      <c r="GF484" s="3" t="inlineStr">
        <is>
          <t>A</t>
        </is>
      </c>
      <c r="GG484" s="3" t="inlineStr">
        <is>
          <t>F</t>
        </is>
      </c>
      <c r="GH484" s="3" t="inlineStr">
        <is>
          <t>L</t>
        </is>
      </c>
      <c r="GI484" s="3" t="inlineStr">
        <is>
          <t>K</t>
        </is>
      </c>
      <c r="GJ484" s="9">
        <f>VLOOKUP(GB484,$FM$3:$FN$15,2,FALSE)</f>
        <v/>
      </c>
      <c r="GK484" s="9">
        <f>VLOOKUP(GC484,$FM$3:$FN$15,2,FALSE)</f>
        <v/>
      </c>
      <c r="GL484" s="9">
        <f>VLOOKUP(GD484,$FM$3:$FN$15,2,FALSE)</f>
        <v/>
      </c>
      <c r="GM484" s="9">
        <f>VLOOKUP(GE484,$FM$3:$FN$15,2,FALSE)</f>
        <v/>
      </c>
      <c r="GN484" s="9">
        <f>VLOOKUP(GF484,$FM$3:$FN$15,2,FALSE)</f>
        <v/>
      </c>
      <c r="GO484" s="9">
        <f>VLOOKUP(GG484,$FM$3:$FN$15,2,FALSE)</f>
        <v/>
      </c>
      <c r="GP484" s="9">
        <f>VLOOKUP(GH484,$FM$3:$FN$15,2,FALSE)</f>
        <v/>
      </c>
      <c r="GQ484" s="9">
        <f>VLOOKUP(GI484,$FM$3:$FN$15,2,FALSE)</f>
        <v/>
      </c>
      <c r="GR484" s="9">
        <f>IFERROR(IF(AND(VLOOKUP(GB484,$FX$4:$FX$15,1,FALSE)=GB484,VLOOKUP(GC484,$FX$4:$FX$15,1,FALSE)=GC484,VLOOKUP(GD484,$FX$4:$FX$15,1,FALSE)=GD484,VLOOKUP(GE484,$FX$4:$FX$15,1,FALSE)=GE484,VLOOKUP(GF484,$FX$4:$FX$15,1,FALSE)=GF484,VLOOKUP(GG484,$FX$4:$FX$15,1,FALSE)=GG484,VLOOKUP(GH484,$FX$4:$FX$15,1,FALSE)=GH484,VLOOKUP(GI484,$FX$4:$FX$15,1,FALSE)=GI484),FZ484,""),"")</f>
        <v/>
      </c>
    </row>
    <row r="485" ht="14.25" customHeight="1">
      <c r="FZ485" s="79" t="n">
        <v>483</v>
      </c>
      <c r="GA485" s="3">
        <f>GB485&amp;GC485&amp;GD485&amp;GE485&amp;GF485&amp;GG485&amp;GH485&amp;GI485</f>
        <v/>
      </c>
      <c r="GB485" s="3" t="inlineStr">
        <is>
          <t>C</t>
        </is>
      </c>
      <c r="GC485" s="3" t="inlineStr">
        <is>
          <t>J</t>
        </is>
      </c>
      <c r="GD485" s="3" t="inlineStr">
        <is>
          <t>B</t>
        </is>
      </c>
      <c r="GE485" s="3" t="inlineStr">
        <is>
          <t>D</t>
        </is>
      </c>
      <c r="GF485" s="3" t="inlineStr">
        <is>
          <t>A</t>
        </is>
      </c>
      <c r="GG485" s="3" t="inlineStr">
        <is>
          <t>F</t>
        </is>
      </c>
      <c r="GH485" s="3" t="inlineStr">
        <is>
          <t>L</t>
        </is>
      </c>
      <c r="GI485" s="3" t="inlineStr">
        <is>
          <t>E</t>
        </is>
      </c>
      <c r="GJ485" s="9">
        <f>VLOOKUP(GB485,$FM$3:$FN$15,2,FALSE)</f>
        <v/>
      </c>
      <c r="GK485" s="9">
        <f>VLOOKUP(GC485,$FM$3:$FN$15,2,FALSE)</f>
        <v/>
      </c>
      <c r="GL485" s="9">
        <f>VLOOKUP(GD485,$FM$3:$FN$15,2,FALSE)</f>
        <v/>
      </c>
      <c r="GM485" s="9">
        <f>VLOOKUP(GE485,$FM$3:$FN$15,2,FALSE)</f>
        <v/>
      </c>
      <c r="GN485" s="9">
        <f>VLOOKUP(GF485,$FM$3:$FN$15,2,FALSE)</f>
        <v/>
      </c>
      <c r="GO485" s="9">
        <f>VLOOKUP(GG485,$FM$3:$FN$15,2,FALSE)</f>
        <v/>
      </c>
      <c r="GP485" s="9">
        <f>VLOOKUP(GH485,$FM$3:$FN$15,2,FALSE)</f>
        <v/>
      </c>
      <c r="GQ485" s="9">
        <f>VLOOKUP(GI485,$FM$3:$FN$15,2,FALSE)</f>
        <v/>
      </c>
      <c r="GR485" s="9">
        <f>IFERROR(IF(AND(VLOOKUP(GB485,$FX$4:$FX$15,1,FALSE)=GB485,VLOOKUP(GC485,$FX$4:$FX$15,1,FALSE)=GC485,VLOOKUP(GD485,$FX$4:$FX$15,1,FALSE)=GD485,VLOOKUP(GE485,$FX$4:$FX$15,1,FALSE)=GE485,VLOOKUP(GF485,$FX$4:$FX$15,1,FALSE)=GF485,VLOOKUP(GG485,$FX$4:$FX$15,1,FALSE)=GG485,VLOOKUP(GH485,$FX$4:$FX$15,1,FALSE)=GH485,VLOOKUP(GI485,$FX$4:$FX$15,1,FALSE)=GI485),FZ485,""),"")</f>
        <v/>
      </c>
    </row>
    <row r="486" ht="14.25" customHeight="1">
      <c r="FZ486" s="79" t="n">
        <v>484</v>
      </c>
      <c r="GA486" s="3">
        <f>GB486&amp;GC486&amp;GD486&amp;GE486&amp;GF486&amp;GG486&amp;GH486&amp;GI486</f>
        <v/>
      </c>
      <c r="GB486" s="3" t="inlineStr">
        <is>
          <t>C</t>
        </is>
      </c>
      <c r="GC486" s="3" t="inlineStr">
        <is>
          <t>J</t>
        </is>
      </c>
      <c r="GD486" s="3" t="inlineStr">
        <is>
          <t>B</t>
        </is>
      </c>
      <c r="GE486" s="3" t="inlineStr">
        <is>
          <t>D</t>
        </is>
      </c>
      <c r="GF486" s="3" t="inlineStr">
        <is>
          <t>A</t>
        </is>
      </c>
      <c r="GG486" s="3" t="inlineStr">
        <is>
          <t>F</t>
        </is>
      </c>
      <c r="GH486" s="3" t="inlineStr">
        <is>
          <t>E</t>
        </is>
      </c>
      <c r="GI486" s="3" t="inlineStr">
        <is>
          <t>K</t>
        </is>
      </c>
      <c r="GJ486" s="9">
        <f>VLOOKUP(GB486,$FM$3:$FN$15,2,FALSE)</f>
        <v/>
      </c>
      <c r="GK486" s="9">
        <f>VLOOKUP(GC486,$FM$3:$FN$15,2,FALSE)</f>
        <v/>
      </c>
      <c r="GL486" s="9">
        <f>VLOOKUP(GD486,$FM$3:$FN$15,2,FALSE)</f>
        <v/>
      </c>
      <c r="GM486" s="9">
        <f>VLOOKUP(GE486,$FM$3:$FN$15,2,FALSE)</f>
        <v/>
      </c>
      <c r="GN486" s="9">
        <f>VLOOKUP(GF486,$FM$3:$FN$15,2,FALSE)</f>
        <v/>
      </c>
      <c r="GO486" s="9">
        <f>VLOOKUP(GG486,$FM$3:$FN$15,2,FALSE)</f>
        <v/>
      </c>
      <c r="GP486" s="9">
        <f>VLOOKUP(GH486,$FM$3:$FN$15,2,FALSE)</f>
        <v/>
      </c>
      <c r="GQ486" s="9">
        <f>VLOOKUP(GI486,$FM$3:$FN$15,2,FALSE)</f>
        <v/>
      </c>
      <c r="GR486" s="9">
        <f>IFERROR(IF(AND(VLOOKUP(GB486,$FX$4:$FX$15,1,FALSE)=GB486,VLOOKUP(GC486,$FX$4:$FX$15,1,FALSE)=GC486,VLOOKUP(GD486,$FX$4:$FX$15,1,FALSE)=GD486,VLOOKUP(GE486,$FX$4:$FX$15,1,FALSE)=GE486,VLOOKUP(GF486,$FX$4:$FX$15,1,FALSE)=GF486,VLOOKUP(GG486,$FX$4:$FX$15,1,FALSE)=GG486,VLOOKUP(GH486,$FX$4:$FX$15,1,FALSE)=GH486,VLOOKUP(GI486,$FX$4:$FX$15,1,FALSE)=GI486),FZ486,""),"")</f>
        <v/>
      </c>
    </row>
    <row r="487" ht="14.25" customHeight="1">
      <c r="FZ487" s="79" t="n">
        <v>485</v>
      </c>
      <c r="GA487" s="3">
        <f>GB487&amp;GC487&amp;GD487&amp;GE487&amp;GF487&amp;GG487&amp;GH487&amp;GI487</f>
        <v/>
      </c>
      <c r="GB487" s="3" t="inlineStr">
        <is>
          <t>C</t>
        </is>
      </c>
      <c r="GC487" s="3" t="inlineStr">
        <is>
          <t>E</t>
        </is>
      </c>
      <c r="GD487" s="3" t="inlineStr">
        <is>
          <t>B</t>
        </is>
      </c>
      <c r="GE487" s="3" t="inlineStr">
        <is>
          <t>D</t>
        </is>
      </c>
      <c r="GF487" s="3" t="inlineStr">
        <is>
          <t>A</t>
        </is>
      </c>
      <c r="GG487" s="3" t="inlineStr">
        <is>
          <t>F</t>
        </is>
      </c>
      <c r="GH487" s="3" t="inlineStr">
        <is>
          <t>L</t>
        </is>
      </c>
      <c r="GI487" s="3" t="inlineStr">
        <is>
          <t>I</t>
        </is>
      </c>
      <c r="GJ487" s="9">
        <f>VLOOKUP(GB487,$FM$3:$FN$15,2,FALSE)</f>
        <v/>
      </c>
      <c r="GK487" s="9">
        <f>VLOOKUP(GC487,$FM$3:$FN$15,2,FALSE)</f>
        <v/>
      </c>
      <c r="GL487" s="9">
        <f>VLOOKUP(GD487,$FM$3:$FN$15,2,FALSE)</f>
        <v/>
      </c>
      <c r="GM487" s="9">
        <f>VLOOKUP(GE487,$FM$3:$FN$15,2,FALSE)</f>
        <v/>
      </c>
      <c r="GN487" s="9">
        <f>VLOOKUP(GF487,$FM$3:$FN$15,2,FALSE)</f>
        <v/>
      </c>
      <c r="GO487" s="9">
        <f>VLOOKUP(GG487,$FM$3:$FN$15,2,FALSE)</f>
        <v/>
      </c>
      <c r="GP487" s="9">
        <f>VLOOKUP(GH487,$FM$3:$FN$15,2,FALSE)</f>
        <v/>
      </c>
      <c r="GQ487" s="9">
        <f>VLOOKUP(GI487,$FM$3:$FN$15,2,FALSE)</f>
        <v/>
      </c>
      <c r="GR487" s="9">
        <f>IFERROR(IF(AND(VLOOKUP(GB487,$FX$4:$FX$15,1,FALSE)=GB487,VLOOKUP(GC487,$FX$4:$FX$15,1,FALSE)=GC487,VLOOKUP(GD487,$FX$4:$FX$15,1,FALSE)=GD487,VLOOKUP(GE487,$FX$4:$FX$15,1,FALSE)=GE487,VLOOKUP(GF487,$FX$4:$FX$15,1,FALSE)=GF487,VLOOKUP(GG487,$FX$4:$FX$15,1,FALSE)=GG487,VLOOKUP(GH487,$FX$4:$FX$15,1,FALSE)=GH487,VLOOKUP(GI487,$FX$4:$FX$15,1,FALSE)=GI487),FZ487,""),"")</f>
        <v/>
      </c>
    </row>
    <row r="488" ht="14.25" customHeight="1">
      <c r="FZ488" s="79" t="n">
        <v>486</v>
      </c>
      <c r="GA488" s="3">
        <f>GB488&amp;GC488&amp;GD488&amp;GE488&amp;GF488&amp;GG488&amp;GH488&amp;GI488</f>
        <v/>
      </c>
      <c r="GB488" s="3" t="inlineStr">
        <is>
          <t>C</t>
        </is>
      </c>
      <c r="GC488" s="3" t="inlineStr">
        <is>
          <t>E</t>
        </is>
      </c>
      <c r="GD488" s="3" t="inlineStr">
        <is>
          <t>B</t>
        </is>
      </c>
      <c r="GE488" s="3" t="inlineStr">
        <is>
          <t>D</t>
        </is>
      </c>
      <c r="GF488" s="3" t="inlineStr">
        <is>
          <t>A</t>
        </is>
      </c>
      <c r="GG488" s="3" t="inlineStr">
        <is>
          <t>F</t>
        </is>
      </c>
      <c r="GH488" s="3" t="inlineStr">
        <is>
          <t>I</t>
        </is>
      </c>
      <c r="GI488" s="3" t="inlineStr">
        <is>
          <t>K</t>
        </is>
      </c>
      <c r="GJ488" s="9">
        <f>VLOOKUP(GB488,$FM$3:$FN$15,2,FALSE)</f>
        <v/>
      </c>
      <c r="GK488" s="9">
        <f>VLOOKUP(GC488,$FM$3:$FN$15,2,FALSE)</f>
        <v/>
      </c>
      <c r="GL488" s="9">
        <f>VLOOKUP(GD488,$FM$3:$FN$15,2,FALSE)</f>
        <v/>
      </c>
      <c r="GM488" s="9">
        <f>VLOOKUP(GE488,$FM$3:$FN$15,2,FALSE)</f>
        <v/>
      </c>
      <c r="GN488" s="9">
        <f>VLOOKUP(GF488,$FM$3:$FN$15,2,FALSE)</f>
        <v/>
      </c>
      <c r="GO488" s="9">
        <f>VLOOKUP(GG488,$FM$3:$FN$15,2,FALSE)</f>
        <v/>
      </c>
      <c r="GP488" s="9">
        <f>VLOOKUP(GH488,$FM$3:$FN$15,2,FALSE)</f>
        <v/>
      </c>
      <c r="GQ488" s="9">
        <f>VLOOKUP(GI488,$FM$3:$FN$15,2,FALSE)</f>
        <v/>
      </c>
      <c r="GR488" s="9">
        <f>IFERROR(IF(AND(VLOOKUP(GB488,$FX$4:$FX$15,1,FALSE)=GB488,VLOOKUP(GC488,$FX$4:$FX$15,1,FALSE)=GC488,VLOOKUP(GD488,$FX$4:$FX$15,1,FALSE)=GD488,VLOOKUP(GE488,$FX$4:$FX$15,1,FALSE)=GE488,VLOOKUP(GF488,$FX$4:$FX$15,1,FALSE)=GF488,VLOOKUP(GG488,$FX$4:$FX$15,1,FALSE)=GG488,VLOOKUP(GH488,$FX$4:$FX$15,1,FALSE)=GH488,VLOOKUP(GI488,$FX$4:$FX$15,1,FALSE)=GI488),FZ488,""),"")</f>
        <v/>
      </c>
    </row>
    <row r="489" ht="14.25" customHeight="1">
      <c r="FZ489" s="79" t="n">
        <v>487</v>
      </c>
      <c r="GA489" s="3">
        <f>GB489&amp;GC489&amp;GD489&amp;GE489&amp;GF489&amp;GG489&amp;GH489&amp;GI489</f>
        <v/>
      </c>
      <c r="GB489" s="3" t="inlineStr">
        <is>
          <t>C</t>
        </is>
      </c>
      <c r="GC489" s="3" t="inlineStr">
        <is>
          <t>J</t>
        </is>
      </c>
      <c r="GD489" s="3" t="inlineStr">
        <is>
          <t>B</t>
        </is>
      </c>
      <c r="GE489" s="3" t="inlineStr">
        <is>
          <t>D</t>
        </is>
      </c>
      <c r="GF489" s="3" t="inlineStr">
        <is>
          <t>A</t>
        </is>
      </c>
      <c r="GG489" s="3" t="inlineStr">
        <is>
          <t>F</t>
        </is>
      </c>
      <c r="GH489" s="3" t="inlineStr">
        <is>
          <t>E</t>
        </is>
      </c>
      <c r="GI489" s="3" t="inlineStr">
        <is>
          <t>I</t>
        </is>
      </c>
      <c r="GJ489" s="9">
        <f>VLOOKUP(GB489,$FM$3:$FN$15,2,FALSE)</f>
        <v/>
      </c>
      <c r="GK489" s="9">
        <f>VLOOKUP(GC489,$FM$3:$FN$15,2,FALSE)</f>
        <v/>
      </c>
      <c r="GL489" s="9">
        <f>VLOOKUP(GD489,$FM$3:$FN$15,2,FALSE)</f>
        <v/>
      </c>
      <c r="GM489" s="9">
        <f>VLOOKUP(GE489,$FM$3:$FN$15,2,FALSE)</f>
        <v/>
      </c>
      <c r="GN489" s="9">
        <f>VLOOKUP(GF489,$FM$3:$FN$15,2,FALSE)</f>
        <v/>
      </c>
      <c r="GO489" s="9">
        <f>VLOOKUP(GG489,$FM$3:$FN$15,2,FALSE)</f>
        <v/>
      </c>
      <c r="GP489" s="9">
        <f>VLOOKUP(GH489,$FM$3:$FN$15,2,FALSE)</f>
        <v/>
      </c>
      <c r="GQ489" s="9">
        <f>VLOOKUP(GI489,$FM$3:$FN$15,2,FALSE)</f>
        <v/>
      </c>
      <c r="GR489" s="9">
        <f>IFERROR(IF(AND(VLOOKUP(GB489,$FX$4:$FX$15,1,FALSE)=GB489,VLOOKUP(GC489,$FX$4:$FX$15,1,FALSE)=GC489,VLOOKUP(GD489,$FX$4:$FX$15,1,FALSE)=GD489,VLOOKUP(GE489,$FX$4:$FX$15,1,FALSE)=GE489,VLOOKUP(GF489,$FX$4:$FX$15,1,FALSE)=GF489,VLOOKUP(GG489,$FX$4:$FX$15,1,FALSE)=GG489,VLOOKUP(GH489,$FX$4:$FX$15,1,FALSE)=GH489,VLOOKUP(GI489,$FX$4:$FX$15,1,FALSE)=GI489),FZ489,""),"")</f>
        <v/>
      </c>
    </row>
    <row r="490" ht="14.25" customHeight="1">
      <c r="FZ490" s="79" t="n">
        <v>488</v>
      </c>
      <c r="GA490" s="3">
        <f>GB490&amp;GC490&amp;GD490&amp;GE490&amp;GF490&amp;GG490&amp;GH490&amp;GI490</f>
        <v/>
      </c>
      <c r="GB490" s="3" t="inlineStr">
        <is>
          <t>H</t>
        </is>
      </c>
      <c r="GC490" s="3" t="inlineStr">
        <is>
          <t>F</t>
        </is>
      </c>
      <c r="GD490" s="3" t="inlineStr">
        <is>
          <t>B</t>
        </is>
      </c>
      <c r="GE490" s="3" t="inlineStr">
        <is>
          <t>C</t>
        </is>
      </c>
      <c r="GF490" s="3" t="inlineStr">
        <is>
          <t>A</t>
        </is>
      </c>
      <c r="GG490" s="3" t="inlineStr">
        <is>
          <t>D</t>
        </is>
      </c>
      <c r="GH490" s="3" t="inlineStr">
        <is>
          <t>L</t>
        </is>
      </c>
      <c r="GI490" s="3" t="inlineStr">
        <is>
          <t>E</t>
        </is>
      </c>
      <c r="GJ490" s="9">
        <f>VLOOKUP(GB490,$FM$3:$FN$15,2,FALSE)</f>
        <v/>
      </c>
      <c r="GK490" s="9">
        <f>VLOOKUP(GC490,$FM$3:$FN$15,2,FALSE)</f>
        <v/>
      </c>
      <c r="GL490" s="9">
        <f>VLOOKUP(GD490,$FM$3:$FN$15,2,FALSE)</f>
        <v/>
      </c>
      <c r="GM490" s="9">
        <f>VLOOKUP(GE490,$FM$3:$FN$15,2,FALSE)</f>
        <v/>
      </c>
      <c r="GN490" s="9">
        <f>VLOOKUP(GF490,$FM$3:$FN$15,2,FALSE)</f>
        <v/>
      </c>
      <c r="GO490" s="9">
        <f>VLOOKUP(GG490,$FM$3:$FN$15,2,FALSE)</f>
        <v/>
      </c>
      <c r="GP490" s="9">
        <f>VLOOKUP(GH490,$FM$3:$FN$15,2,FALSE)</f>
        <v/>
      </c>
      <c r="GQ490" s="9">
        <f>VLOOKUP(GI490,$FM$3:$FN$15,2,FALSE)</f>
        <v/>
      </c>
      <c r="GR490" s="9">
        <f>IFERROR(IF(AND(VLOOKUP(GB490,$FX$4:$FX$15,1,FALSE)=GB490,VLOOKUP(GC490,$FX$4:$FX$15,1,FALSE)=GC490,VLOOKUP(GD490,$FX$4:$FX$15,1,FALSE)=GD490,VLOOKUP(GE490,$FX$4:$FX$15,1,FALSE)=GE490,VLOOKUP(GF490,$FX$4:$FX$15,1,FALSE)=GF490,VLOOKUP(GG490,$FX$4:$FX$15,1,FALSE)=GG490,VLOOKUP(GH490,$FX$4:$FX$15,1,FALSE)=GH490,VLOOKUP(GI490,$FX$4:$FX$15,1,FALSE)=GI490),FZ490,""),"")</f>
        <v/>
      </c>
    </row>
    <row r="491" ht="14.25" customHeight="1">
      <c r="FZ491" s="79" t="n">
        <v>489</v>
      </c>
      <c r="GA491" s="3">
        <f>GB491&amp;GC491&amp;GD491&amp;GE491&amp;GF491&amp;GG491&amp;GH491&amp;GI491</f>
        <v/>
      </c>
      <c r="GB491" s="3" t="inlineStr">
        <is>
          <t>H</t>
        </is>
      </c>
      <c r="GC491" s="3" t="inlineStr">
        <is>
          <t>E</t>
        </is>
      </c>
      <c r="GD491" s="3" t="inlineStr">
        <is>
          <t>B</t>
        </is>
      </c>
      <c r="GE491" s="3" t="inlineStr">
        <is>
          <t>C</t>
        </is>
      </c>
      <c r="GF491" s="3" t="inlineStr">
        <is>
          <t>A</t>
        </is>
      </c>
      <c r="GG491" s="3" t="inlineStr">
        <is>
          <t>F</t>
        </is>
      </c>
      <c r="GH491" s="3" t="inlineStr">
        <is>
          <t>D</t>
        </is>
      </c>
      <c r="GI491" s="3" t="inlineStr">
        <is>
          <t>K</t>
        </is>
      </c>
      <c r="GJ491" s="9">
        <f>VLOOKUP(GB491,$FM$3:$FN$15,2,FALSE)</f>
        <v/>
      </c>
      <c r="GK491" s="9">
        <f>VLOOKUP(GC491,$FM$3:$FN$15,2,FALSE)</f>
        <v/>
      </c>
      <c r="GL491" s="9">
        <f>VLOOKUP(GD491,$FM$3:$FN$15,2,FALSE)</f>
        <v/>
      </c>
      <c r="GM491" s="9">
        <f>VLOOKUP(GE491,$FM$3:$FN$15,2,FALSE)</f>
        <v/>
      </c>
      <c r="GN491" s="9">
        <f>VLOOKUP(GF491,$FM$3:$FN$15,2,FALSE)</f>
        <v/>
      </c>
      <c r="GO491" s="9">
        <f>VLOOKUP(GG491,$FM$3:$FN$15,2,FALSE)</f>
        <v/>
      </c>
      <c r="GP491" s="9">
        <f>VLOOKUP(GH491,$FM$3:$FN$15,2,FALSE)</f>
        <v/>
      </c>
      <c r="GQ491" s="9">
        <f>VLOOKUP(GI491,$FM$3:$FN$15,2,FALSE)</f>
        <v/>
      </c>
      <c r="GR491" s="9">
        <f>IFERROR(IF(AND(VLOOKUP(GB491,$FX$4:$FX$15,1,FALSE)=GB491,VLOOKUP(GC491,$FX$4:$FX$15,1,FALSE)=GC491,VLOOKUP(GD491,$FX$4:$FX$15,1,FALSE)=GD491,VLOOKUP(GE491,$FX$4:$FX$15,1,FALSE)=GE491,VLOOKUP(GF491,$FX$4:$FX$15,1,FALSE)=GF491,VLOOKUP(GG491,$FX$4:$FX$15,1,FALSE)=GG491,VLOOKUP(GH491,$FX$4:$FX$15,1,FALSE)=GH491,VLOOKUP(GI491,$FX$4:$FX$15,1,FALSE)=GI491),FZ491,""),"")</f>
        <v/>
      </c>
    </row>
    <row r="492" ht="14.25" customHeight="1">
      <c r="FZ492" s="79" t="n">
        <v>490</v>
      </c>
      <c r="GA492" s="3">
        <f>GB492&amp;GC492&amp;GD492&amp;GE492&amp;GF492&amp;GG492&amp;GH492&amp;GI492</f>
        <v/>
      </c>
      <c r="GB492" s="3" t="inlineStr">
        <is>
          <t>H</t>
        </is>
      </c>
      <c r="GC492" s="3" t="inlineStr">
        <is>
          <t>J</t>
        </is>
      </c>
      <c r="GD492" s="3" t="inlineStr">
        <is>
          <t>B</t>
        </is>
      </c>
      <c r="GE492" s="3" t="inlineStr">
        <is>
          <t>C</t>
        </is>
      </c>
      <c r="GF492" s="3" t="inlineStr">
        <is>
          <t>A</t>
        </is>
      </c>
      <c r="GG492" s="3" t="inlineStr">
        <is>
          <t>F</t>
        </is>
      </c>
      <c r="GH492" s="3" t="inlineStr">
        <is>
          <t>D</t>
        </is>
      </c>
      <c r="GI492" s="3" t="inlineStr">
        <is>
          <t>E</t>
        </is>
      </c>
      <c r="GJ492" s="9">
        <f>VLOOKUP(GB492,$FM$3:$FN$15,2,FALSE)</f>
        <v/>
      </c>
      <c r="GK492" s="9">
        <f>VLOOKUP(GC492,$FM$3:$FN$15,2,FALSE)</f>
        <v/>
      </c>
      <c r="GL492" s="9">
        <f>VLOOKUP(GD492,$FM$3:$FN$15,2,FALSE)</f>
        <v/>
      </c>
      <c r="GM492" s="9">
        <f>VLOOKUP(GE492,$FM$3:$FN$15,2,FALSE)</f>
        <v/>
      </c>
      <c r="GN492" s="9">
        <f>VLOOKUP(GF492,$FM$3:$FN$15,2,FALSE)</f>
        <v/>
      </c>
      <c r="GO492" s="9">
        <f>VLOOKUP(GG492,$FM$3:$FN$15,2,FALSE)</f>
        <v/>
      </c>
      <c r="GP492" s="9">
        <f>VLOOKUP(GH492,$FM$3:$FN$15,2,FALSE)</f>
        <v/>
      </c>
      <c r="GQ492" s="9">
        <f>VLOOKUP(GI492,$FM$3:$FN$15,2,FALSE)</f>
        <v/>
      </c>
      <c r="GR492" s="9">
        <f>IFERROR(IF(AND(VLOOKUP(GB492,$FX$4:$FX$15,1,FALSE)=GB492,VLOOKUP(GC492,$FX$4:$FX$15,1,FALSE)=GC492,VLOOKUP(GD492,$FX$4:$FX$15,1,FALSE)=GD492,VLOOKUP(GE492,$FX$4:$FX$15,1,FALSE)=GE492,VLOOKUP(GF492,$FX$4:$FX$15,1,FALSE)=GF492,VLOOKUP(GG492,$FX$4:$FX$15,1,FALSE)=GG492,VLOOKUP(GH492,$FX$4:$FX$15,1,FALSE)=GH492,VLOOKUP(GI492,$FX$4:$FX$15,1,FALSE)=GI492),FZ492,""),"")</f>
        <v/>
      </c>
    </row>
    <row r="493" ht="14.25" customHeight="1">
      <c r="FZ493" s="79" t="n">
        <v>491</v>
      </c>
      <c r="GA493" s="3">
        <f>GB493&amp;GC493&amp;GD493&amp;GE493&amp;GF493&amp;GG493&amp;GH493&amp;GI493</f>
        <v/>
      </c>
      <c r="GB493" s="3" t="inlineStr">
        <is>
          <t>H</t>
        </is>
      </c>
      <c r="GC493" s="3" t="inlineStr">
        <is>
          <t>E</t>
        </is>
      </c>
      <c r="GD493" s="3" t="inlineStr">
        <is>
          <t>B</t>
        </is>
      </c>
      <c r="GE493" s="3" t="inlineStr">
        <is>
          <t>C</t>
        </is>
      </c>
      <c r="GF493" s="3" t="inlineStr">
        <is>
          <t>A</t>
        </is>
      </c>
      <c r="GG493" s="3" t="inlineStr">
        <is>
          <t>F</t>
        </is>
      </c>
      <c r="GH493" s="3" t="inlineStr">
        <is>
          <t>D</t>
        </is>
      </c>
      <c r="GI493" s="3" t="inlineStr">
        <is>
          <t>I</t>
        </is>
      </c>
      <c r="GJ493" s="9">
        <f>VLOOKUP(GB493,$FM$3:$FN$15,2,FALSE)</f>
        <v/>
      </c>
      <c r="GK493" s="9">
        <f>VLOOKUP(GC493,$FM$3:$FN$15,2,FALSE)</f>
        <v/>
      </c>
      <c r="GL493" s="9">
        <f>VLOOKUP(GD493,$FM$3:$FN$15,2,FALSE)</f>
        <v/>
      </c>
      <c r="GM493" s="9">
        <f>VLOOKUP(GE493,$FM$3:$FN$15,2,FALSE)</f>
        <v/>
      </c>
      <c r="GN493" s="9">
        <f>VLOOKUP(GF493,$FM$3:$FN$15,2,FALSE)</f>
        <v/>
      </c>
      <c r="GO493" s="9">
        <f>VLOOKUP(GG493,$FM$3:$FN$15,2,FALSE)</f>
        <v/>
      </c>
      <c r="GP493" s="9">
        <f>VLOOKUP(GH493,$FM$3:$FN$15,2,FALSE)</f>
        <v/>
      </c>
      <c r="GQ493" s="9">
        <f>VLOOKUP(GI493,$FM$3:$FN$15,2,FALSE)</f>
        <v/>
      </c>
      <c r="GR493" s="9">
        <f>IFERROR(IF(AND(VLOOKUP(GB493,$FX$4:$FX$15,1,FALSE)=GB493,VLOOKUP(GC493,$FX$4:$FX$15,1,FALSE)=GC493,VLOOKUP(GD493,$FX$4:$FX$15,1,FALSE)=GD493,VLOOKUP(GE493,$FX$4:$FX$15,1,FALSE)=GE493,VLOOKUP(GF493,$FX$4:$FX$15,1,FALSE)=GF493,VLOOKUP(GG493,$FX$4:$FX$15,1,FALSE)=GG493,VLOOKUP(GH493,$FX$4:$FX$15,1,FALSE)=GH493,VLOOKUP(GI493,$FX$4:$FX$15,1,FALSE)=GI493),FZ493,""),"")</f>
        <v/>
      </c>
    </row>
    <row r="494" ht="14.25" customHeight="1">
      <c r="FZ494" s="79" t="n">
        <v>492</v>
      </c>
      <c r="GA494" s="3">
        <f>GB494&amp;GC494&amp;GD494&amp;GE494&amp;GF494&amp;GG494&amp;GH494&amp;GI494</f>
        <v/>
      </c>
      <c r="GB494" s="3" t="inlineStr">
        <is>
          <t>C</t>
        </is>
      </c>
      <c r="GC494" s="3" t="inlineStr">
        <is>
          <t>G</t>
        </is>
      </c>
      <c r="GD494" s="3" t="inlineStr">
        <is>
          <t>B</t>
        </is>
      </c>
      <c r="GE494" s="3" t="inlineStr">
        <is>
          <t>D</t>
        </is>
      </c>
      <c r="GF494" s="3" t="inlineStr">
        <is>
          <t>A</t>
        </is>
      </c>
      <c r="GG494" s="3" t="inlineStr">
        <is>
          <t>F</t>
        </is>
      </c>
      <c r="GH494" s="3" t="inlineStr">
        <is>
          <t>L</t>
        </is>
      </c>
      <c r="GI494" s="3" t="inlineStr">
        <is>
          <t>E</t>
        </is>
      </c>
      <c r="GJ494" s="9">
        <f>VLOOKUP(GB494,$FM$3:$FN$15,2,FALSE)</f>
        <v/>
      </c>
      <c r="GK494" s="9">
        <f>VLOOKUP(GC494,$FM$3:$FN$15,2,FALSE)</f>
        <v/>
      </c>
      <c r="GL494" s="9">
        <f>VLOOKUP(GD494,$FM$3:$FN$15,2,FALSE)</f>
        <v/>
      </c>
      <c r="GM494" s="9">
        <f>VLOOKUP(GE494,$FM$3:$FN$15,2,FALSE)</f>
        <v/>
      </c>
      <c r="GN494" s="9">
        <f>VLOOKUP(GF494,$FM$3:$FN$15,2,FALSE)</f>
        <v/>
      </c>
      <c r="GO494" s="9">
        <f>VLOOKUP(GG494,$FM$3:$FN$15,2,FALSE)</f>
        <v/>
      </c>
      <c r="GP494" s="9">
        <f>VLOOKUP(GH494,$FM$3:$FN$15,2,FALSE)</f>
        <v/>
      </c>
      <c r="GQ494" s="9">
        <f>VLOOKUP(GI494,$FM$3:$FN$15,2,FALSE)</f>
        <v/>
      </c>
      <c r="GR494" s="9">
        <f>IFERROR(IF(AND(VLOOKUP(GB494,$FX$4:$FX$15,1,FALSE)=GB494,VLOOKUP(GC494,$FX$4:$FX$15,1,FALSE)=GC494,VLOOKUP(GD494,$FX$4:$FX$15,1,FALSE)=GD494,VLOOKUP(GE494,$FX$4:$FX$15,1,FALSE)=GE494,VLOOKUP(GF494,$FX$4:$FX$15,1,FALSE)=GF494,VLOOKUP(GG494,$FX$4:$FX$15,1,FALSE)=GG494,VLOOKUP(GH494,$FX$4:$FX$15,1,FALSE)=GH494,VLOOKUP(GI494,$FX$4:$FX$15,1,FALSE)=GI494),FZ494,""),"")</f>
        <v/>
      </c>
    </row>
    <row r="495" ht="14.25" customHeight="1">
      <c r="FZ495" s="79" t="n">
        <v>493</v>
      </c>
      <c r="GA495" s="3">
        <f>GB495&amp;GC495&amp;GD495&amp;GE495&amp;GF495&amp;GG495&amp;GH495&amp;GI495</f>
        <v/>
      </c>
      <c r="GB495" s="3" t="inlineStr">
        <is>
          <t>C</t>
        </is>
      </c>
      <c r="GC495" s="3" t="inlineStr">
        <is>
          <t>G</t>
        </is>
      </c>
      <c r="GD495" s="3" t="inlineStr">
        <is>
          <t>B</t>
        </is>
      </c>
      <c r="GE495" s="3" t="inlineStr">
        <is>
          <t>D</t>
        </is>
      </c>
      <c r="GF495" s="3" t="inlineStr">
        <is>
          <t>A</t>
        </is>
      </c>
      <c r="GG495" s="3" t="inlineStr">
        <is>
          <t>F</t>
        </is>
      </c>
      <c r="GH495" s="3" t="inlineStr">
        <is>
          <t>E</t>
        </is>
      </c>
      <c r="GI495" s="3" t="inlineStr">
        <is>
          <t>K</t>
        </is>
      </c>
      <c r="GJ495" s="9">
        <f>VLOOKUP(GB495,$FM$3:$FN$15,2,FALSE)</f>
        <v/>
      </c>
      <c r="GK495" s="9">
        <f>VLOOKUP(GC495,$FM$3:$FN$15,2,FALSE)</f>
        <v/>
      </c>
      <c r="GL495" s="9">
        <f>VLOOKUP(GD495,$FM$3:$FN$15,2,FALSE)</f>
        <v/>
      </c>
      <c r="GM495" s="9">
        <f>VLOOKUP(GE495,$FM$3:$FN$15,2,FALSE)</f>
        <v/>
      </c>
      <c r="GN495" s="9">
        <f>VLOOKUP(GF495,$FM$3:$FN$15,2,FALSE)</f>
        <v/>
      </c>
      <c r="GO495" s="9">
        <f>VLOOKUP(GG495,$FM$3:$FN$15,2,FALSE)</f>
        <v/>
      </c>
      <c r="GP495" s="9">
        <f>VLOOKUP(GH495,$FM$3:$FN$15,2,FALSE)</f>
        <v/>
      </c>
      <c r="GQ495" s="9">
        <f>VLOOKUP(GI495,$FM$3:$FN$15,2,FALSE)</f>
        <v/>
      </c>
      <c r="GR495" s="9">
        <f>IFERROR(IF(AND(VLOOKUP(GB495,$FX$4:$FX$15,1,FALSE)=GB495,VLOOKUP(GC495,$FX$4:$FX$15,1,FALSE)=GC495,VLOOKUP(GD495,$FX$4:$FX$15,1,FALSE)=GD495,VLOOKUP(GE495,$FX$4:$FX$15,1,FALSE)=GE495,VLOOKUP(GF495,$FX$4:$FX$15,1,FALSE)=GF495,VLOOKUP(GG495,$FX$4:$FX$15,1,FALSE)=GG495,VLOOKUP(GH495,$FX$4:$FX$15,1,FALSE)=GH495,VLOOKUP(GI495,$FX$4:$FX$15,1,FALSE)=GI495),FZ495,""),"")</f>
        <v/>
      </c>
    </row>
    <row r="496" ht="14.25" customHeight="1">
      <c r="FZ496" s="79" t="n">
        <v>494</v>
      </c>
      <c r="GA496" s="3">
        <f>GB496&amp;GC496&amp;GD496&amp;GE496&amp;GF496&amp;GG496&amp;GH496&amp;GI496</f>
        <v/>
      </c>
      <c r="GB496" s="3" t="inlineStr">
        <is>
          <t>C</t>
        </is>
      </c>
      <c r="GC496" s="3" t="inlineStr">
        <is>
          <t>G</t>
        </is>
      </c>
      <c r="GD496" s="3" t="inlineStr">
        <is>
          <t>B</t>
        </is>
      </c>
      <c r="GE496" s="3" t="inlineStr">
        <is>
          <t>D</t>
        </is>
      </c>
      <c r="GF496" s="3" t="inlineStr">
        <is>
          <t>A</t>
        </is>
      </c>
      <c r="GG496" s="3" t="inlineStr">
        <is>
          <t>F</t>
        </is>
      </c>
      <c r="GH496" s="3" t="inlineStr">
        <is>
          <t>E</t>
        </is>
      </c>
      <c r="GI496" s="3" t="inlineStr">
        <is>
          <t>J</t>
        </is>
      </c>
      <c r="GJ496" s="9">
        <f>VLOOKUP(GB496,$FM$3:$FN$15,2,FALSE)</f>
        <v/>
      </c>
      <c r="GK496" s="9">
        <f>VLOOKUP(GC496,$FM$3:$FN$15,2,FALSE)</f>
        <v/>
      </c>
      <c r="GL496" s="9">
        <f>VLOOKUP(GD496,$FM$3:$FN$15,2,FALSE)</f>
        <v/>
      </c>
      <c r="GM496" s="9">
        <f>VLOOKUP(GE496,$FM$3:$FN$15,2,FALSE)</f>
        <v/>
      </c>
      <c r="GN496" s="9">
        <f>VLOOKUP(GF496,$FM$3:$FN$15,2,FALSE)</f>
        <v/>
      </c>
      <c r="GO496" s="9">
        <f>VLOOKUP(GG496,$FM$3:$FN$15,2,FALSE)</f>
        <v/>
      </c>
      <c r="GP496" s="9">
        <f>VLOOKUP(GH496,$FM$3:$FN$15,2,FALSE)</f>
        <v/>
      </c>
      <c r="GQ496" s="9">
        <f>VLOOKUP(GI496,$FM$3:$FN$15,2,FALSE)</f>
        <v/>
      </c>
      <c r="GR496" s="9">
        <f>IFERROR(IF(AND(VLOOKUP(GB496,$FX$4:$FX$15,1,FALSE)=GB496,VLOOKUP(GC496,$FX$4:$FX$15,1,FALSE)=GC496,VLOOKUP(GD496,$FX$4:$FX$15,1,FALSE)=GD496,VLOOKUP(GE496,$FX$4:$FX$15,1,FALSE)=GE496,VLOOKUP(GF496,$FX$4:$FX$15,1,FALSE)=GF496,VLOOKUP(GG496,$FX$4:$FX$15,1,FALSE)=GG496,VLOOKUP(GH496,$FX$4:$FX$15,1,FALSE)=GH496,VLOOKUP(GI496,$FX$4:$FX$15,1,FALSE)=GI496),FZ496,""),"")</f>
        <v/>
      </c>
    </row>
    <row r="497" ht="14.25" customHeight="1">
      <c r="FZ497" s="79" t="n">
        <v>495</v>
      </c>
      <c r="GA497" s="3">
        <f>GB497&amp;GC497&amp;GD497&amp;GE497&amp;GF497&amp;GG497&amp;GH497&amp;GI497</f>
        <v/>
      </c>
      <c r="GB497" s="3" t="inlineStr">
        <is>
          <t>C</t>
        </is>
      </c>
      <c r="GC497" s="3" t="inlineStr">
        <is>
          <t>G</t>
        </is>
      </c>
      <c r="GD497" s="3" t="inlineStr">
        <is>
          <t>B</t>
        </is>
      </c>
      <c r="GE497" s="3" t="inlineStr">
        <is>
          <t>D</t>
        </is>
      </c>
      <c r="GF497" s="3" t="inlineStr">
        <is>
          <t>A</t>
        </is>
      </c>
      <c r="GG497" s="3" t="inlineStr">
        <is>
          <t>F</t>
        </is>
      </c>
      <c r="GH497" s="3" t="inlineStr">
        <is>
          <t>E</t>
        </is>
      </c>
      <c r="GI497" s="3" t="inlineStr">
        <is>
          <t>I</t>
        </is>
      </c>
      <c r="GJ497" s="9">
        <f>VLOOKUP(GB497,$FM$3:$FN$15,2,FALSE)</f>
        <v/>
      </c>
      <c r="GK497" s="9">
        <f>VLOOKUP(GC497,$FM$3:$FN$15,2,FALSE)</f>
        <v/>
      </c>
      <c r="GL497" s="9">
        <f>VLOOKUP(GD497,$FM$3:$FN$15,2,FALSE)</f>
        <v/>
      </c>
      <c r="GM497" s="9">
        <f>VLOOKUP(GE497,$FM$3:$FN$15,2,FALSE)</f>
        <v/>
      </c>
      <c r="GN497" s="9">
        <f>VLOOKUP(GF497,$FM$3:$FN$15,2,FALSE)</f>
        <v/>
      </c>
      <c r="GO497" s="9">
        <f>VLOOKUP(GG497,$FM$3:$FN$15,2,FALSE)</f>
        <v/>
      </c>
      <c r="GP497" s="9">
        <f>VLOOKUP(GH497,$FM$3:$FN$15,2,FALSE)</f>
        <v/>
      </c>
      <c r="GQ497" s="9">
        <f>VLOOKUP(GI497,$FM$3:$FN$15,2,FALSE)</f>
        <v/>
      </c>
      <c r="GR497" s="9">
        <f>IFERROR(IF(AND(VLOOKUP(GB497,$FX$4:$FX$15,1,FALSE)=GB497,VLOOKUP(GC497,$FX$4:$FX$15,1,FALSE)=GC497,VLOOKUP(GD497,$FX$4:$FX$15,1,FALSE)=GD497,VLOOKUP(GE497,$FX$4:$FX$15,1,FALSE)=GE497,VLOOKUP(GF497,$FX$4:$FX$15,1,FALSE)=GF497,VLOOKUP(GG497,$FX$4:$FX$15,1,FALSE)=GG497,VLOOKUP(GH497,$FX$4:$FX$15,1,FALSE)=GH497,VLOOKUP(GI497,$FX$4:$FX$15,1,FALSE)=GI497),FZ497,""),"")</f>
        <v/>
      </c>
    </row>
    <row r="498" ht="14.25" customHeight="1">
      <c r="FZ498" s="79" t="n">
        <v>496</v>
      </c>
      <c r="GA498" s="3">
        <f>GB498&amp;GC498&amp;GD498&amp;GE498&amp;GF498&amp;GG498&amp;GH498&amp;GI498</f>
        <v/>
      </c>
      <c r="GB498" s="3" t="inlineStr">
        <is>
          <t>H</t>
        </is>
      </c>
      <c r="GC498" s="3" t="inlineStr">
        <is>
          <t>G</t>
        </is>
      </c>
      <c r="GD498" s="3" t="inlineStr">
        <is>
          <t>B</t>
        </is>
      </c>
      <c r="GE498" s="3" t="inlineStr">
        <is>
          <t>C</t>
        </is>
      </c>
      <c r="GF498" s="3" t="inlineStr">
        <is>
          <t>A</t>
        </is>
      </c>
      <c r="GG498" s="3" t="inlineStr">
        <is>
          <t>F</t>
        </is>
      </c>
      <c r="GH498" s="3" t="inlineStr">
        <is>
          <t>D</t>
        </is>
      </c>
      <c r="GI498" s="3" t="inlineStr">
        <is>
          <t>E</t>
        </is>
      </c>
      <c r="GJ498" s="9">
        <f>VLOOKUP(GB498,$FM$3:$FN$15,2,FALSE)</f>
        <v/>
      </c>
      <c r="GK498" s="9">
        <f>VLOOKUP(GC498,$FM$3:$FN$15,2,FALSE)</f>
        <v/>
      </c>
      <c r="GL498" s="9">
        <f>VLOOKUP(GD498,$FM$3:$FN$15,2,FALSE)</f>
        <v/>
      </c>
      <c r="GM498" s="9">
        <f>VLOOKUP(GE498,$FM$3:$FN$15,2,FALSE)</f>
        <v/>
      </c>
      <c r="GN498" s="9">
        <f>VLOOKUP(GF498,$FM$3:$FN$15,2,FALSE)</f>
        <v/>
      </c>
      <c r="GO498" s="9">
        <f>VLOOKUP(GG498,$FM$3:$FN$15,2,FALSE)</f>
        <v/>
      </c>
      <c r="GP498" s="9">
        <f>VLOOKUP(GH498,$FM$3:$FN$15,2,FALSE)</f>
        <v/>
      </c>
      <c r="GQ498" s="9">
        <f>VLOOKUP(GI498,$FM$3:$FN$15,2,FALSE)</f>
        <v/>
      </c>
      <c r="GR498" s="9">
        <f>IFERROR(IF(AND(VLOOKUP(GB498,$FX$4:$FX$15,1,FALSE)=GB498,VLOOKUP(GC498,$FX$4:$FX$15,1,FALSE)=GC498,VLOOKUP(GD498,$FX$4:$FX$15,1,FALSE)=GD498,VLOOKUP(GE498,$FX$4:$FX$15,1,FALSE)=GE498,VLOOKUP(GF498,$FX$4:$FX$15,1,FALSE)=GF498,VLOOKUP(GG498,$FX$4:$FX$15,1,FALSE)=GG498,VLOOKUP(GH498,$FX$4:$FX$15,1,FALSE)=GH498,VLOOKUP(GI498,$FX$4:$FX$15,1,FALSE)=GI498),FZ498,""),"")</f>
        <v/>
      </c>
    </row>
  </sheetData>
  <sheetProtection selectLockedCells="0" selectUnlockedCells="0" algorithmName="SHA-512" sheet="1" objects="0" insertRows="1" insertHyperlinks="1" autoFilter="0" scenarios="0" formatColumns="1" deleteColumns="1" insertColumns="1" pivotTables="1" deleteRows="1" formatCells="1" saltValue="bQwHGeTkT7/UWY8UyH9ADQ==" formatRows="1" sort="0" spinCount="100000" hashValue="sQcPNNpUHMxpgY2E6X/hSEXVgYrHyxe5ZNOMTqb7CbOH80eQhFEMHCKyROwP13Co/3OqW+x8T8ibKUkfU28j4A=="/>
  <mergeCells count="88">
    <mergeCell ref="R131:U131"/>
    <mergeCell ref="AF93:AH93"/>
    <mergeCell ref="D66:F66"/>
    <mergeCell ref="D75:F75"/>
    <mergeCell ref="AI153:AK153"/>
    <mergeCell ref="AF30:AH30"/>
    <mergeCell ref="D102:F102"/>
    <mergeCell ref="R157:U157"/>
    <mergeCell ref="Y4:AB4"/>
    <mergeCell ref="D12:F12"/>
    <mergeCell ref="D30:F30"/>
    <mergeCell ref="G153:I153"/>
    <mergeCell ref="AF75:AH75"/>
    <mergeCell ref="D39:F39"/>
    <mergeCell ref="R149:U149"/>
    <mergeCell ref="AF111:AH111"/>
    <mergeCell ref="R158:U158"/>
    <mergeCell ref="AF3:AH3"/>
    <mergeCell ref="AI57:AK57"/>
    <mergeCell ref="AI148:AK148"/>
    <mergeCell ref="AF39:AH39"/>
    <mergeCell ref="AF48:AH48"/>
    <mergeCell ref="R142:U142"/>
    <mergeCell ref="Y10:AB10"/>
    <mergeCell ref="G157:I157"/>
    <mergeCell ref="D57:F57"/>
    <mergeCell ref="AI30:AK30"/>
    <mergeCell ref="R112:U112"/>
    <mergeCell ref="G141:I141"/>
    <mergeCell ref="G30:I30"/>
    <mergeCell ref="D93:F93"/>
    <mergeCell ref="R148:U148"/>
    <mergeCell ref="D3:F3"/>
    <mergeCell ref="R153:U153"/>
    <mergeCell ref="D130:F130"/>
    <mergeCell ref="BK117:BM117"/>
    <mergeCell ref="AI21:AK21"/>
    <mergeCell ref="D157:F157"/>
    <mergeCell ref="AI111:AK111"/>
    <mergeCell ref="AF84:AH84"/>
    <mergeCell ref="AF102:AH102"/>
    <mergeCell ref="D111:F111"/>
    <mergeCell ref="Y7:AB7"/>
    <mergeCell ref="D21:F21"/>
    <mergeCell ref="R141:U141"/>
    <mergeCell ref="G66:I66"/>
    <mergeCell ref="G93:I93"/>
    <mergeCell ref="G3:I3"/>
    <mergeCell ref="BN117:BP117"/>
    <mergeCell ref="AF12:AH12"/>
    <mergeCell ref="AF21:AH21"/>
    <mergeCell ref="Y8:AB8"/>
    <mergeCell ref="AI75:AK75"/>
    <mergeCell ref="AI93:AK93"/>
    <mergeCell ref="Y3:AB3"/>
    <mergeCell ref="AI102:AK102"/>
    <mergeCell ref="AI3:AK3"/>
    <mergeCell ref="AI12:AK12"/>
    <mergeCell ref="Y9:AB9"/>
    <mergeCell ref="G84:I84"/>
    <mergeCell ref="D148:F148"/>
    <mergeCell ref="G102:I102"/>
    <mergeCell ref="AI48:AK48"/>
    <mergeCell ref="G111:I111"/>
    <mergeCell ref="G12:I12"/>
    <mergeCell ref="G21:I21"/>
    <mergeCell ref="R154:U154"/>
    <mergeCell ref="D84:F84"/>
    <mergeCell ref="AF66:AH66"/>
    <mergeCell ref="G57:I57"/>
    <mergeCell ref="D141:F141"/>
    <mergeCell ref="D48:F48"/>
    <mergeCell ref="R130:U130"/>
    <mergeCell ref="G148:I148"/>
    <mergeCell ref="AI66:AK66"/>
    <mergeCell ref="R111:U111"/>
    <mergeCell ref="G75:I75"/>
    <mergeCell ref="AE28:AF28"/>
    <mergeCell ref="AI157:AK157"/>
    <mergeCell ref="D153:F153"/>
    <mergeCell ref="AI39:AK39"/>
    <mergeCell ref="Y5:AB5"/>
    <mergeCell ref="G130:I130"/>
    <mergeCell ref="G39:I39"/>
    <mergeCell ref="AI84:AK84"/>
    <mergeCell ref="G48:I48"/>
    <mergeCell ref="AF57:AH57"/>
    <mergeCell ref="Y6:AB6"/>
  </mergeCells>
  <conditionalFormatting sqref="P112:P127">
    <cfRule type="containsText" priority="5" operator="containsText" dxfId="21" text="Ej OK">
      <formula>NOT(ISERROR(SEARCH("Ej OK",P112)))</formula>
    </cfRule>
  </conditionalFormatting>
  <conditionalFormatting sqref="P131:P138">
    <cfRule type="containsText" priority="4" operator="containsText" dxfId="21" text="Ej OK">
      <formula>NOT(ISERROR(SEARCH("Ej OK",P131)))</formula>
    </cfRule>
  </conditionalFormatting>
  <conditionalFormatting sqref="P142:P145">
    <cfRule type="containsText" priority="3" operator="containsText" dxfId="21" text="Ej OK">
      <formula>NOT(ISERROR(SEARCH("Ej OK",P142)))</formula>
    </cfRule>
  </conditionalFormatting>
  <conditionalFormatting sqref="P149:P150">
    <cfRule type="containsText" priority="2" operator="containsText" dxfId="21" text="Ej OK">
      <formula>NOT(ISERROR(SEARCH("Ej OK",P149)))</formula>
    </cfRule>
  </conditionalFormatting>
  <conditionalFormatting sqref="P154 P158">
    <cfRule type="containsText" priority="1" operator="containsText" dxfId="21" text="Ej OK">
      <formula>NOT(ISERROR(SEARCH("Ej OK",P154)))</formula>
    </cfRule>
  </conditionalFormatting>
  <conditionalFormatting sqref="BR60">
    <cfRule type="expression" priority="12" dxfId="2" stopIfTrue="1">
      <formula>IF(#REF!=CONCATENATE($H49,"_draw"),1,0)</formula>
    </cfRule>
    <cfRule type="expression" priority="13" dxfId="1" stopIfTrue="1">
      <formula>IF(#REF!=CONCATENATE($H49,"_win"),1,0)</formula>
    </cfRule>
    <cfRule type="expression" priority="14" dxfId="0" stopIfTrue="1">
      <formula>IF(#REF!=CONCATENATE($H49,"_lose"),1,0)</formula>
    </cfRule>
  </conditionalFormatting>
  <conditionalFormatting sqref="BR61">
    <cfRule type="expression" priority="15" dxfId="2" stopIfTrue="1">
      <formula>IF(#REF!=CONCATENATE($H43,"_draw"),1,0)</formula>
    </cfRule>
    <cfRule type="expression" priority="16" dxfId="1" stopIfTrue="1">
      <formula>IF(#REF!=CONCATENATE($H43,"_win"),1,0)</formula>
    </cfRule>
    <cfRule type="expression" priority="17" dxfId="0" stopIfTrue="1">
      <formula>IF(#REF!=CONCATENATE($H43,"_lose"),1,0)</formula>
    </cfRule>
  </conditionalFormatting>
  <conditionalFormatting sqref="BR62 BT62">
    <cfRule type="expression" priority="18" dxfId="2" stopIfTrue="1">
      <formula>IF(#REF!=CONCATENATE($H48,"_draw"),1,0)</formula>
    </cfRule>
    <cfRule type="expression" priority="19" dxfId="1" stopIfTrue="1">
      <formula>IF(#REF!=CONCATENATE($H48,"_win"),1,0)</formula>
    </cfRule>
    <cfRule type="expression" priority="20" dxfId="0" stopIfTrue="1">
      <formula>IF(#REF!=CONCATENATE($H48,"_lose"),1,0)</formula>
    </cfRule>
  </conditionalFormatting>
  <conditionalFormatting sqref="BR63 BT63">
    <cfRule type="expression" priority="6" dxfId="2" stopIfTrue="1">
      <formula>IF(#REF!=CONCATENATE($H42,"_draw"),1,0)</formula>
    </cfRule>
    <cfRule type="expression" priority="7" dxfId="1" stopIfTrue="1">
      <formula>IF(#REF!=CONCATENATE($H42,"_win"),1,0)</formula>
    </cfRule>
    <cfRule type="expression" priority="8" dxfId="0" stopIfTrue="1">
      <formula>IF(#REF!=CONCATENATE($H42,"_lose"),1,0)</formula>
    </cfRule>
  </conditionalFormatting>
  <conditionalFormatting sqref="BR64 BT64">
    <cfRule type="expression" priority="21" dxfId="2" stopIfTrue="1">
      <formula>IF(#REF!=CONCATENATE($H45,"_draw"),1,0)</formula>
    </cfRule>
    <cfRule type="expression" priority="22" dxfId="1" stopIfTrue="1">
      <formula>IF(#REF!=CONCATENATE($H45,"_win"),1,0)</formula>
    </cfRule>
    <cfRule type="expression" priority="23" dxfId="0" stopIfTrue="1">
      <formula>IF(#REF!=CONCATENATE($H45,"_lose"),1,0)</formula>
    </cfRule>
  </conditionalFormatting>
  <conditionalFormatting sqref="BR65">
    <cfRule type="expression" priority="9" dxfId="2" stopIfTrue="1">
      <formula>IF(#REF!=CONCATENATE($H44,"_draw"),1,0)</formula>
    </cfRule>
    <cfRule type="expression" priority="10" dxfId="1" stopIfTrue="1">
      <formula>IF(#REF!=CONCATENATE($H44,"_win"),1,0)</formula>
    </cfRule>
    <cfRule type="expression" priority="11" dxfId="0" stopIfTrue="1">
      <formula>IF(#REF!=CONCATENATE($H44,"_lose"),1,0)</formula>
    </cfRule>
  </conditionalFormatting>
  <conditionalFormatting sqref="BR66:BR67">
    <cfRule type="expression" priority="24" dxfId="2" stopIfTrue="1">
      <formula>IF(#REF!=CONCATENATE($H46,"_draw"),1,0)</formula>
    </cfRule>
    <cfRule type="expression" priority="25" dxfId="1" stopIfTrue="1">
      <formula>IF(#REF!=CONCATENATE($H46,"_win"),1,0)</formula>
    </cfRule>
    <cfRule type="expression" priority="26" dxfId="0" stopIfTrue="1">
      <formula>IF(#REF!=CONCATENATE($H46,"_lose"),1,0)</formula>
    </cfRule>
  </conditionalFormatting>
  <dataValidations count="2">
    <dataValidation sqref="O112" showDropDown="0" showInputMessage="1" showErrorMessage="1" allowBlank="1" type="list">
      <formula1>$D$112:$F$112</formula1>
    </dataValidation>
    <dataValidation sqref="O113:O127 O131:O138 O142:O145 O149:O150 O154 O158" showDropDown="0" showInputMessage="1" showErrorMessage="1" allowBlank="1" type="list">
      <formula1>D113:F113</formula1>
    </dataValidation>
  </dataValidations>
  <hyperlinks>
    <hyperlink xmlns:r="http://schemas.openxmlformats.org/officeDocument/2006/relationships" ref="G1" r:id="rId1"/>
  </hyperlink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34"/>
  <sheetViews>
    <sheetView showGridLines="0" zoomScaleNormal="100" workbookViewId="0">
      <selection activeCell="T36" sqref="T36"/>
    </sheetView>
  </sheetViews>
  <sheetFormatPr baseColWidth="8" defaultRowHeight="14.25"/>
  <cols>
    <col width="9.140625" customWidth="1" style="201" min="1" max="1"/>
    <col width="38.42578125" bestFit="1" customWidth="1" style="201" min="2" max="2"/>
    <col width="9.140625" customWidth="1" style="201" min="3" max="16384"/>
  </cols>
  <sheetData>
    <row r="2" ht="15" customHeight="1">
      <c r="B2" s="202" t="inlineStr">
        <is>
          <t>Poängräkning</t>
        </is>
      </c>
      <c r="C2" s="203" t="n"/>
      <c r="D2" s="203" t="n"/>
      <c r="E2" s="203" t="n"/>
    </row>
    <row r="3" ht="15" customHeight="1">
      <c r="B3" s="202" t="inlineStr">
        <is>
          <t>Samtliga matcher</t>
        </is>
      </c>
      <c r="C3" s="203" t="n"/>
      <c r="D3" s="203" t="n"/>
      <c r="E3" s="203" t="n"/>
    </row>
    <row r="4" ht="15" customHeight="1">
      <c r="B4" s="204" t="inlineStr">
        <is>
          <t>Rätt antal mål per lag</t>
        </is>
      </c>
      <c r="C4" s="204" t="inlineStr">
        <is>
          <t>2 poäng</t>
        </is>
      </c>
      <c r="D4" s="203" t="n"/>
      <c r="E4" s="203" t="n"/>
    </row>
    <row r="5" ht="15" customHeight="1">
      <c r="B5" s="204" t="inlineStr">
        <is>
          <t>Rätt tecken (1X2)</t>
        </is>
      </c>
      <c r="C5" s="204" t="inlineStr">
        <is>
          <t>2 poäng</t>
        </is>
      </c>
      <c r="D5" s="203" t="n"/>
      <c r="E5" s="203" t="n"/>
    </row>
    <row r="6" ht="15" customHeight="1">
      <c r="B6" s="204" t="inlineStr">
        <is>
          <t>6 poäng kan delas ut i samtliga matcher</t>
        </is>
      </c>
      <c r="C6" s="203" t="n"/>
      <c r="D6" s="203" t="n"/>
      <c r="E6" s="203" t="n"/>
    </row>
    <row r="7" ht="15" customHeight="1">
      <c r="B7" s="204" t="n"/>
      <c r="C7" s="203" t="n"/>
      <c r="D7" s="203" t="n"/>
      <c r="E7" s="203" t="n"/>
    </row>
    <row r="8" ht="15" customHeight="1">
      <c r="B8" s="202" t="inlineStr">
        <is>
          <t>Prediktion</t>
        </is>
      </c>
      <c r="C8" s="203" t="n"/>
      <c r="D8" s="203" t="n"/>
      <c r="E8" s="203" t="n"/>
    </row>
    <row r="9" ht="15" customHeight="1">
      <c r="B9" s="204" t="inlineStr">
        <is>
          <t>Rätt lag i sextondelsfinal</t>
        </is>
      </c>
      <c r="C9" s="203" t="inlineStr">
        <is>
          <t>1 poäng per lag</t>
        </is>
      </c>
      <c r="D9" s="203" t="n"/>
      <c r="E9" s="203" t="n"/>
      <c r="F9" s="205" t="inlineStr">
        <is>
          <t>Bra att veta!</t>
        </is>
      </c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</row>
    <row r="10" ht="15" customHeight="1">
      <c r="B10" s="204" t="inlineStr">
        <is>
          <t>Rätt lag i åttondelsfinal</t>
        </is>
      </c>
      <c r="C10" s="204" t="inlineStr">
        <is>
          <t>2 poäng per lag</t>
        </is>
      </c>
      <c r="D10" s="203" t="n"/>
      <c r="E10" s="203" t="n"/>
      <c r="F10" s="203" t="inlineStr">
        <is>
          <t xml:space="preserve">I sextondelsfinalerna och framåt är det möjligt att tippa ett annat lag vidare än vad resultatet visar. </t>
        </is>
      </c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</row>
    <row r="11" ht="15" customHeight="1">
      <c r="B11" s="204" t="inlineStr">
        <is>
          <t>Rätt lag i kvartsfinal</t>
        </is>
      </c>
      <c r="C11" s="204" t="inlineStr">
        <is>
          <t>4 poäng per lag</t>
        </is>
      </c>
      <c r="D11" s="203" t="n"/>
      <c r="E11" s="203" t="n"/>
      <c r="F11" s="203" t="inlineStr">
        <is>
          <t xml:space="preserve">Tex om Sverige möter Brasilien och du tippar resultatet 1-2 kan du ändå ange Sverige som vinnare. </t>
        </is>
      </c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</row>
    <row r="12" ht="15" customHeight="1">
      <c r="B12" s="204" t="inlineStr">
        <is>
          <t>Rätt lag i semifinal</t>
        </is>
      </c>
      <c r="C12" s="204" t="inlineStr">
        <is>
          <t>6 poäng per lag</t>
        </is>
      </c>
      <c r="D12" s="203" t="n"/>
      <c r="E12" s="203" t="n"/>
      <c r="F12" s="203" t="inlineStr">
        <is>
          <t xml:space="preserve">Gör man så visas "EJ OK" vid den matchen som indikerar att resultat och vinnare inte stämmer. </t>
        </is>
      </c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</row>
    <row r="13" ht="15" customHeight="1">
      <c r="B13" s="203" t="inlineStr">
        <is>
          <t>Rätt lag i bronsmatch</t>
        </is>
      </c>
      <c r="C13" s="204" t="inlineStr">
        <is>
          <t>8 poäng per lag</t>
        </is>
      </c>
      <c r="D13" s="203" t="n"/>
      <c r="E13" s="203" t="n"/>
      <c r="F13" s="203" t="inlineStr">
        <is>
          <t>Resultatet i slutspelet gäller efter 90 minuter och alltså ej efter ev förlängning /straffar</t>
        </is>
      </c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</row>
    <row r="14" ht="15" customHeight="1">
      <c r="B14" s="204" t="inlineStr">
        <is>
          <t>Rätt lag i final</t>
        </is>
      </c>
      <c r="C14" s="204" t="inlineStr">
        <is>
          <t>8 poäng per lag</t>
        </is>
      </c>
      <c r="D14" s="204" t="n"/>
      <c r="E14" s="203" t="n"/>
    </row>
    <row r="15" ht="15" customHeight="1">
      <c r="B15" s="203" t="n"/>
      <c r="C15" s="203" t="n"/>
      <c r="D15" s="203" t="n"/>
      <c r="E15" s="203" t="n"/>
    </row>
    <row r="16" ht="15" customHeight="1">
      <c r="B16" s="202" t="inlineStr">
        <is>
          <t>Bonusfrågor</t>
        </is>
      </c>
      <c r="C16" s="203" t="n"/>
      <c r="D16" s="203" t="n"/>
      <c r="E16" s="203" t="n"/>
    </row>
    <row r="17" ht="15" customHeight="1">
      <c r="B17" s="203" t="inlineStr">
        <is>
          <t>Skyttekung</t>
        </is>
      </c>
      <c r="C17" s="204" t="inlineStr">
        <is>
          <t>20 poäng</t>
        </is>
      </c>
      <c r="D17" s="203" t="n"/>
      <c r="E17" s="203" t="n"/>
    </row>
    <row r="18" ht="15" customHeight="1">
      <c r="B18" s="204" t="inlineStr">
        <is>
          <t>Världsmästare</t>
        </is>
      </c>
      <c r="C18" s="204" t="inlineStr">
        <is>
          <t>20 poäng</t>
        </is>
      </c>
      <c r="D18" s="203" t="n"/>
      <c r="E18" s="203" t="n"/>
    </row>
    <row r="19" ht="15" customHeight="1">
      <c r="B19" s="204" t="inlineStr">
        <is>
          <t>Vinnare bronsmatch</t>
        </is>
      </c>
      <c r="C19" s="204" t="inlineStr">
        <is>
          <t>20 poäng</t>
        </is>
      </c>
      <c r="D19" s="203" t="n"/>
      <c r="E19" s="204" t="n"/>
    </row>
    <row r="20" ht="15" customHeight="1">
      <c r="B20" s="204" t="inlineStr">
        <is>
          <t>Lag som gör flest mål i gruppspelet</t>
        </is>
      </c>
      <c r="C20" s="204" t="inlineStr">
        <is>
          <t>10 poäng</t>
        </is>
      </c>
      <c r="D20" s="203" t="n"/>
      <c r="E20" s="203" t="n"/>
    </row>
    <row r="21" ht="15" customHeight="1">
      <c r="B21" s="204" t="inlineStr">
        <is>
          <t>Lag som släpper in flest mål i gruppspelet</t>
        </is>
      </c>
      <c r="C21" s="204" t="inlineStr">
        <is>
          <t>10 poäng</t>
        </is>
      </c>
      <c r="D21" s="203" t="n"/>
      <c r="E21" s="203" t="n"/>
    </row>
    <row r="22" ht="15" customHeight="1">
      <c r="B22" s="204" t="inlineStr">
        <is>
          <t>Hur långt går Sverige?</t>
        </is>
      </c>
      <c r="C22" s="204" t="inlineStr">
        <is>
          <t>10 poäng</t>
        </is>
      </c>
      <c r="D22" s="203" t="n"/>
      <c r="E22" s="203" t="n"/>
      <c r="H22" s="204" t="n"/>
    </row>
    <row r="23" ht="15" customHeight="1">
      <c r="B23" s="204" t="inlineStr">
        <is>
          <t>Vem gör Sveriges första mål i VM?</t>
        </is>
      </c>
      <c r="C23" s="204" t="inlineStr">
        <is>
          <t>10 poäng</t>
        </is>
      </c>
      <c r="D23" s="203" t="n"/>
      <c r="E23" s="203" t="n"/>
    </row>
    <row r="24" ht="15" customHeight="1">
      <c r="B24" s="203" t="n"/>
      <c r="C24" s="203" t="n"/>
      <c r="D24" s="203" t="n"/>
      <c r="E24" s="203" t="n"/>
    </row>
    <row r="25" ht="15" customHeight="1">
      <c r="B25" s="205" t="inlineStr">
        <is>
          <t>Poängfördelning</t>
        </is>
      </c>
      <c r="C25" s="205" t="inlineStr">
        <is>
          <t>Totalt</t>
        </is>
      </c>
      <c r="D25" s="205" t="inlineStr">
        <is>
          <t>Matcher</t>
        </is>
      </c>
      <c r="E25" s="205" t="inlineStr">
        <is>
          <t>Bonus</t>
        </is>
      </c>
    </row>
    <row r="26" ht="15" customHeight="1">
      <c r="B26" s="203" t="inlineStr">
        <is>
          <t>Gruppspel</t>
        </is>
      </c>
      <c r="C26" s="206">
        <f>D26+E26</f>
        <v/>
      </c>
      <c r="D26" s="206" t="n">
        <v>432</v>
      </c>
      <c r="E26" s="203" t="n"/>
    </row>
    <row r="27" ht="15" customHeight="1">
      <c r="B27" s="203" t="inlineStr">
        <is>
          <t>Sextondelsfinal</t>
        </is>
      </c>
      <c r="C27" s="206">
        <f>D27+E27</f>
        <v/>
      </c>
      <c r="D27" s="206" t="n">
        <v>96</v>
      </c>
      <c r="E27" s="206" t="n">
        <v>32</v>
      </c>
    </row>
    <row r="28" ht="15" customHeight="1">
      <c r="B28" s="203" t="inlineStr">
        <is>
          <t>Åttondelsfinal</t>
        </is>
      </c>
      <c r="C28" s="206">
        <f>D28+E28</f>
        <v/>
      </c>
      <c r="D28" s="206" t="n">
        <v>48</v>
      </c>
      <c r="E28" s="206" t="n">
        <v>32</v>
      </c>
    </row>
    <row r="29" ht="15" customHeight="1">
      <c r="B29" s="203" t="inlineStr">
        <is>
          <t>Kvartsfinaler</t>
        </is>
      </c>
      <c r="C29" s="206">
        <f>D29+E29</f>
        <v/>
      </c>
      <c r="D29" s="206" t="n">
        <v>24</v>
      </c>
      <c r="E29" s="206" t="n">
        <v>32</v>
      </c>
    </row>
    <row r="30" ht="15" customHeight="1">
      <c r="B30" s="203" t="inlineStr">
        <is>
          <t>Semifinal</t>
        </is>
      </c>
      <c r="C30" s="206">
        <f>D30+E30</f>
        <v/>
      </c>
      <c r="D30" s="206" t="n">
        <v>12</v>
      </c>
      <c r="E30" s="206" t="n">
        <v>24</v>
      </c>
    </row>
    <row r="31" ht="15" customHeight="1">
      <c r="B31" s="203" t="inlineStr">
        <is>
          <t>Bronsmatch</t>
        </is>
      </c>
      <c r="C31" s="206">
        <f>D31+E31</f>
        <v/>
      </c>
      <c r="D31" s="206" t="n">
        <v>6</v>
      </c>
      <c r="E31" s="206" t="n">
        <v>16</v>
      </c>
    </row>
    <row r="32" ht="15" customHeight="1">
      <c r="B32" s="203" t="inlineStr">
        <is>
          <t>Final</t>
        </is>
      </c>
      <c r="C32" s="206">
        <f>D32+E32</f>
        <v/>
      </c>
      <c r="D32" s="206" t="n">
        <v>6</v>
      </c>
      <c r="E32" s="206" t="n">
        <v>16</v>
      </c>
    </row>
    <row r="33" ht="15" customHeight="1">
      <c r="B33" s="207" t="inlineStr">
        <is>
          <t>Bonusfrågor</t>
        </is>
      </c>
      <c r="C33" s="208">
        <f>D33+E33</f>
        <v/>
      </c>
      <c r="D33" s="208" t="n"/>
      <c r="E33" s="208" t="n">
        <v>100</v>
      </c>
    </row>
    <row r="34" ht="15" customHeight="1">
      <c r="B34" s="205" t="inlineStr">
        <is>
          <t>Totalt</t>
        </is>
      </c>
      <c r="C34" s="209">
        <f>D34+E34</f>
        <v/>
      </c>
      <c r="D34" s="209">
        <f>SUM(D26:D33)</f>
        <v/>
      </c>
      <c r="E34" s="209">
        <f>SUM(E27:E33)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Niklas Hermansson</dc:creator>
  <dcterms:created xsi:type="dcterms:W3CDTF">2026-05-22T10:42:58Z</dcterms:created>
  <dcterms:modified xsi:type="dcterms:W3CDTF">2026-06-03T09:45:37Z</dcterms:modified>
  <cp:lastModifiedBy>Niklas Hermansson</cp:lastModifiedBy>
</cp:coreProperties>
</file>