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tterwalls365-my.sharepoint.com/personal/niklas_hermansson_setterwalls_se/Documents/"/>
    </mc:Choice>
  </mc:AlternateContent>
  <xr:revisionPtr revIDLastSave="0" documentId="8_{A719A938-6F2B-4163-A8B5-95D9590E7BFF}" xr6:coauthVersionLast="47" xr6:coauthVersionMax="47" xr10:uidLastSave="{00000000-0000-0000-0000-000000000000}"/>
  <bookViews>
    <workbookView xWindow="19725" yWindow="1170" windowWidth="28020" windowHeight="18510" xr2:uid="{1EDC4F19-CB32-4E36-ABA3-187EE9380B25}"/>
  </bookViews>
  <sheets>
    <sheet name="Mitt tips" sheetId="1" r:id="rId1"/>
    <sheet name="Poängberäkning" sheetId="2" r:id="rId2"/>
  </sheets>
  <externalReferences>
    <externalReference r:id="rId3"/>
  </externalReferences>
  <definedNames>
    <definedName name="_xlnm.Criteria" localSheetId="0">'Mitt tips'!#REF!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4" i="2" l="1"/>
  <c r="D34" i="2"/>
  <c r="C34" i="2" s="1"/>
  <c r="C33" i="2"/>
  <c r="C32" i="2"/>
  <c r="C31" i="2"/>
  <c r="C30" i="2"/>
  <c r="C29" i="2"/>
  <c r="C28" i="2"/>
  <c r="C27" i="2"/>
  <c r="C26" i="2"/>
  <c r="GA498" i="1" l="1"/>
  <c r="GA497" i="1"/>
  <c r="GA496" i="1"/>
  <c r="GA495" i="1"/>
  <c r="GA494" i="1"/>
  <c r="GA493" i="1"/>
  <c r="GA492" i="1"/>
  <c r="GA491" i="1"/>
  <c r="GA490" i="1"/>
  <c r="GA489" i="1"/>
  <c r="GA488" i="1"/>
  <c r="GA487" i="1"/>
  <c r="GA486" i="1"/>
  <c r="GA485" i="1"/>
  <c r="GA484" i="1"/>
  <c r="GA483" i="1"/>
  <c r="GA482" i="1"/>
  <c r="GA481" i="1"/>
  <c r="GA480" i="1"/>
  <c r="GA479" i="1"/>
  <c r="GA478" i="1"/>
  <c r="GA477" i="1"/>
  <c r="GA476" i="1"/>
  <c r="GA475" i="1"/>
  <c r="GA474" i="1"/>
  <c r="GA473" i="1"/>
  <c r="GA472" i="1"/>
  <c r="GA471" i="1"/>
  <c r="GA470" i="1"/>
  <c r="GA469" i="1"/>
  <c r="GA468" i="1"/>
  <c r="GA467" i="1"/>
  <c r="GA466" i="1"/>
  <c r="GA465" i="1"/>
  <c r="GA464" i="1"/>
  <c r="GA463" i="1"/>
  <c r="GA462" i="1"/>
  <c r="GA461" i="1"/>
  <c r="GA460" i="1"/>
  <c r="GA459" i="1"/>
  <c r="GA458" i="1"/>
  <c r="GA457" i="1"/>
  <c r="GA456" i="1"/>
  <c r="GA455" i="1"/>
  <c r="GA454" i="1"/>
  <c r="GA453" i="1"/>
  <c r="GA452" i="1"/>
  <c r="GA451" i="1"/>
  <c r="GA450" i="1"/>
  <c r="GA449" i="1"/>
  <c r="GA448" i="1"/>
  <c r="GA447" i="1"/>
  <c r="GA446" i="1"/>
  <c r="GA445" i="1"/>
  <c r="GA444" i="1"/>
  <c r="GA443" i="1"/>
  <c r="GA442" i="1"/>
  <c r="GA441" i="1"/>
  <c r="GA440" i="1"/>
  <c r="GA439" i="1"/>
  <c r="GA438" i="1"/>
  <c r="GA437" i="1"/>
  <c r="GA436" i="1"/>
  <c r="GA435" i="1"/>
  <c r="GA434" i="1"/>
  <c r="GA433" i="1"/>
  <c r="GA432" i="1"/>
  <c r="GA431" i="1"/>
  <c r="GA430" i="1"/>
  <c r="GA429" i="1"/>
  <c r="GA428" i="1"/>
  <c r="GA427" i="1"/>
  <c r="GA426" i="1"/>
  <c r="GA425" i="1"/>
  <c r="GA424" i="1"/>
  <c r="GA423" i="1"/>
  <c r="GA422" i="1"/>
  <c r="GA421" i="1"/>
  <c r="GA420" i="1"/>
  <c r="GA419" i="1"/>
  <c r="GA418" i="1"/>
  <c r="GA417" i="1"/>
  <c r="GA416" i="1"/>
  <c r="GA415" i="1"/>
  <c r="GA414" i="1"/>
  <c r="GA413" i="1"/>
  <c r="GA412" i="1"/>
  <c r="GA411" i="1"/>
  <c r="GA410" i="1"/>
  <c r="GA409" i="1"/>
  <c r="GA408" i="1"/>
  <c r="GA407" i="1"/>
  <c r="GA406" i="1"/>
  <c r="GA405" i="1"/>
  <c r="GA404" i="1"/>
  <c r="GA403" i="1"/>
  <c r="GA402" i="1"/>
  <c r="GA401" i="1"/>
  <c r="GA400" i="1"/>
  <c r="GA399" i="1"/>
  <c r="GA398" i="1"/>
  <c r="GA397" i="1"/>
  <c r="GA396" i="1"/>
  <c r="GA395" i="1"/>
  <c r="GA394" i="1"/>
  <c r="GA393" i="1"/>
  <c r="GA392" i="1"/>
  <c r="GA391" i="1"/>
  <c r="GA390" i="1"/>
  <c r="GA389" i="1"/>
  <c r="GA388" i="1"/>
  <c r="GA387" i="1"/>
  <c r="GA386" i="1"/>
  <c r="GA385" i="1"/>
  <c r="GA384" i="1"/>
  <c r="GA383" i="1"/>
  <c r="GA382" i="1"/>
  <c r="GA381" i="1"/>
  <c r="GA380" i="1"/>
  <c r="GA379" i="1"/>
  <c r="GA378" i="1"/>
  <c r="GA377" i="1"/>
  <c r="GA376" i="1"/>
  <c r="GA375" i="1"/>
  <c r="GA374" i="1"/>
  <c r="GA373" i="1"/>
  <c r="GA372" i="1"/>
  <c r="GA371" i="1"/>
  <c r="GA370" i="1"/>
  <c r="GA369" i="1"/>
  <c r="GA368" i="1"/>
  <c r="GA367" i="1"/>
  <c r="GA366" i="1"/>
  <c r="GA365" i="1"/>
  <c r="GA364" i="1"/>
  <c r="GA363" i="1"/>
  <c r="GA362" i="1"/>
  <c r="GA361" i="1"/>
  <c r="GA360" i="1"/>
  <c r="GA359" i="1"/>
  <c r="GA358" i="1"/>
  <c r="GA357" i="1"/>
  <c r="GA356" i="1"/>
  <c r="GA355" i="1"/>
  <c r="GA354" i="1"/>
  <c r="GA353" i="1"/>
  <c r="GA352" i="1"/>
  <c r="GA351" i="1"/>
  <c r="GA350" i="1"/>
  <c r="GA349" i="1"/>
  <c r="GA348" i="1"/>
  <c r="GA347" i="1"/>
  <c r="GA346" i="1"/>
  <c r="GA345" i="1"/>
  <c r="GA344" i="1"/>
  <c r="GA343" i="1"/>
  <c r="GA342" i="1"/>
  <c r="GA341" i="1"/>
  <c r="GA340" i="1"/>
  <c r="GA339" i="1"/>
  <c r="GA338" i="1"/>
  <c r="GA337" i="1"/>
  <c r="GA336" i="1"/>
  <c r="GA335" i="1"/>
  <c r="GA334" i="1"/>
  <c r="GA333" i="1"/>
  <c r="GA332" i="1"/>
  <c r="GA331" i="1"/>
  <c r="GA330" i="1"/>
  <c r="GA329" i="1"/>
  <c r="GA328" i="1"/>
  <c r="GA327" i="1"/>
  <c r="GA326" i="1"/>
  <c r="GA325" i="1"/>
  <c r="GA324" i="1"/>
  <c r="GA323" i="1"/>
  <c r="GA322" i="1"/>
  <c r="GA321" i="1"/>
  <c r="GA320" i="1"/>
  <c r="GA319" i="1"/>
  <c r="GA318" i="1"/>
  <c r="GA317" i="1"/>
  <c r="GA316" i="1"/>
  <c r="GA315" i="1"/>
  <c r="GA314" i="1"/>
  <c r="GA313" i="1"/>
  <c r="GA312" i="1"/>
  <c r="GA311" i="1"/>
  <c r="GA310" i="1"/>
  <c r="GA309" i="1"/>
  <c r="GA308" i="1"/>
  <c r="GA307" i="1"/>
  <c r="GA306" i="1"/>
  <c r="GA305" i="1"/>
  <c r="GA304" i="1"/>
  <c r="GA303" i="1"/>
  <c r="GA302" i="1"/>
  <c r="GA301" i="1"/>
  <c r="GA300" i="1"/>
  <c r="GA299" i="1"/>
  <c r="GA298" i="1"/>
  <c r="GA297" i="1"/>
  <c r="GA296" i="1"/>
  <c r="GA295" i="1"/>
  <c r="GA294" i="1"/>
  <c r="GA293" i="1"/>
  <c r="GA292" i="1"/>
  <c r="GA291" i="1"/>
  <c r="GA290" i="1"/>
  <c r="GA289" i="1"/>
  <c r="GA288" i="1"/>
  <c r="GA287" i="1"/>
  <c r="GA286" i="1"/>
  <c r="GA285" i="1"/>
  <c r="GA284" i="1"/>
  <c r="GA283" i="1"/>
  <c r="GA282" i="1"/>
  <c r="GA281" i="1"/>
  <c r="GA280" i="1"/>
  <c r="GA279" i="1"/>
  <c r="GA278" i="1"/>
  <c r="GA277" i="1"/>
  <c r="GA276" i="1"/>
  <c r="GA275" i="1"/>
  <c r="GA274" i="1"/>
  <c r="GA273" i="1"/>
  <c r="GA272" i="1"/>
  <c r="GA271" i="1"/>
  <c r="GA270" i="1"/>
  <c r="GA269" i="1"/>
  <c r="GA268" i="1"/>
  <c r="GA267" i="1"/>
  <c r="GA266" i="1"/>
  <c r="GA265" i="1"/>
  <c r="GA264" i="1"/>
  <c r="GA263" i="1"/>
  <c r="GA262" i="1"/>
  <c r="GA261" i="1"/>
  <c r="GA260" i="1"/>
  <c r="GA259" i="1"/>
  <c r="GA258" i="1"/>
  <c r="GA257" i="1"/>
  <c r="GA256" i="1"/>
  <c r="GA255" i="1"/>
  <c r="GA254" i="1"/>
  <c r="GA253" i="1"/>
  <c r="GA252" i="1"/>
  <c r="GA251" i="1"/>
  <c r="GA250" i="1"/>
  <c r="GA249" i="1"/>
  <c r="GA248" i="1"/>
  <c r="GA247" i="1"/>
  <c r="GA246" i="1"/>
  <c r="GA245" i="1"/>
  <c r="GA244" i="1"/>
  <c r="GA243" i="1"/>
  <c r="GA242" i="1"/>
  <c r="GA241" i="1"/>
  <c r="GA240" i="1"/>
  <c r="GA239" i="1"/>
  <c r="GA238" i="1"/>
  <c r="GA237" i="1"/>
  <c r="GA236" i="1"/>
  <c r="GA235" i="1"/>
  <c r="GA234" i="1"/>
  <c r="GA233" i="1"/>
  <c r="GA232" i="1"/>
  <c r="GA231" i="1"/>
  <c r="GA230" i="1"/>
  <c r="GA229" i="1"/>
  <c r="GA228" i="1"/>
  <c r="GA227" i="1"/>
  <c r="GA226" i="1"/>
  <c r="GA225" i="1"/>
  <c r="GA224" i="1"/>
  <c r="GA223" i="1"/>
  <c r="GA222" i="1"/>
  <c r="GA221" i="1"/>
  <c r="GA220" i="1"/>
  <c r="GA219" i="1"/>
  <c r="GA218" i="1"/>
  <c r="GA217" i="1"/>
  <c r="GA216" i="1"/>
  <c r="GA215" i="1"/>
  <c r="GA214" i="1"/>
  <c r="GA213" i="1"/>
  <c r="GA212" i="1"/>
  <c r="GA211" i="1"/>
  <c r="GA210" i="1"/>
  <c r="GA209" i="1"/>
  <c r="GA208" i="1"/>
  <c r="GA207" i="1"/>
  <c r="GA206" i="1"/>
  <c r="GA205" i="1"/>
  <c r="GA204" i="1"/>
  <c r="GA203" i="1"/>
  <c r="GA202" i="1"/>
  <c r="GA201" i="1"/>
  <c r="GA200" i="1"/>
  <c r="GA199" i="1"/>
  <c r="GA198" i="1"/>
  <c r="GA197" i="1"/>
  <c r="GA196" i="1"/>
  <c r="GA195" i="1"/>
  <c r="GA194" i="1"/>
  <c r="GA193" i="1"/>
  <c r="GA192" i="1"/>
  <c r="GA191" i="1"/>
  <c r="GA190" i="1"/>
  <c r="BS190" i="1"/>
  <c r="BQ190" i="1"/>
  <c r="GA189" i="1"/>
  <c r="BS189" i="1"/>
  <c r="BQ189" i="1"/>
  <c r="GA188" i="1"/>
  <c r="GA187" i="1"/>
  <c r="GA186" i="1"/>
  <c r="GA185" i="1"/>
  <c r="BS185" i="1"/>
  <c r="BR185" i="1"/>
  <c r="BT185" i="1" s="1"/>
  <c r="BU185" i="1" s="1"/>
  <c r="BV185" i="1" s="1"/>
  <c r="BQ185" i="1"/>
  <c r="GA184" i="1"/>
  <c r="BS184" i="1"/>
  <c r="BQ184" i="1"/>
  <c r="GA183" i="1"/>
  <c r="GA182" i="1"/>
  <c r="GA181" i="1"/>
  <c r="GA180" i="1"/>
  <c r="BS180" i="1"/>
  <c r="BQ180" i="1"/>
  <c r="GA179" i="1"/>
  <c r="BS179" i="1"/>
  <c r="BR179" i="1"/>
  <c r="BQ179" i="1"/>
  <c r="GA178" i="1"/>
  <c r="BS178" i="1"/>
  <c r="BR178" i="1"/>
  <c r="BQ178" i="1"/>
  <c r="GA177" i="1"/>
  <c r="BS177" i="1"/>
  <c r="BR177" i="1"/>
  <c r="BQ177" i="1"/>
  <c r="GA176" i="1"/>
  <c r="GA175" i="1"/>
  <c r="GA174" i="1"/>
  <c r="GA173" i="1"/>
  <c r="BS173" i="1"/>
  <c r="BQ173" i="1"/>
  <c r="GA172" i="1"/>
  <c r="BS172" i="1"/>
  <c r="BR172" i="1"/>
  <c r="BQ172" i="1"/>
  <c r="GA171" i="1"/>
  <c r="BS171" i="1"/>
  <c r="BQ171" i="1"/>
  <c r="GA170" i="1"/>
  <c r="BS170" i="1"/>
  <c r="BQ170" i="1"/>
  <c r="GA169" i="1"/>
  <c r="BS169" i="1"/>
  <c r="BQ169" i="1"/>
  <c r="GA168" i="1"/>
  <c r="BS168" i="1"/>
  <c r="BQ168" i="1"/>
  <c r="GA167" i="1"/>
  <c r="BS167" i="1"/>
  <c r="BR167" i="1"/>
  <c r="BQ167" i="1"/>
  <c r="GA166" i="1"/>
  <c r="BS166" i="1"/>
  <c r="BQ166" i="1"/>
  <c r="GA165" i="1"/>
  <c r="GA164" i="1"/>
  <c r="GA163" i="1"/>
  <c r="GA162" i="1"/>
  <c r="BS162" i="1"/>
  <c r="BQ162" i="1"/>
  <c r="GA161" i="1"/>
  <c r="BS161" i="1"/>
  <c r="BR161" i="1"/>
  <c r="BQ161" i="1"/>
  <c r="GA160" i="1"/>
  <c r="BS160" i="1"/>
  <c r="BR160" i="1"/>
  <c r="BQ160" i="1"/>
  <c r="GA159" i="1"/>
  <c r="BS159" i="1"/>
  <c r="BR159" i="1"/>
  <c r="BQ159" i="1"/>
  <c r="GA158" i="1"/>
  <c r="BS158" i="1"/>
  <c r="BR158" i="1"/>
  <c r="BQ158" i="1"/>
  <c r="K158" i="1"/>
  <c r="J158" i="1"/>
  <c r="F158" i="1"/>
  <c r="BR190" i="1" s="1"/>
  <c r="D158" i="1"/>
  <c r="GA157" i="1"/>
  <c r="BS157" i="1"/>
  <c r="BR157" i="1"/>
  <c r="BQ157" i="1"/>
  <c r="GA156" i="1"/>
  <c r="BS156" i="1"/>
  <c r="BQ156" i="1"/>
  <c r="GA155" i="1"/>
  <c r="BS155" i="1"/>
  <c r="BQ155" i="1"/>
  <c r="GA154" i="1"/>
  <c r="BS154" i="1"/>
  <c r="BR154" i="1"/>
  <c r="BQ154" i="1"/>
  <c r="K154" i="1"/>
  <c r="Y27" i="1" s="1"/>
  <c r="J154" i="1"/>
  <c r="F154" i="1"/>
  <c r="D154" i="1"/>
  <c r="GA153" i="1"/>
  <c r="BS153" i="1"/>
  <c r="BR153" i="1"/>
  <c r="BQ153" i="1"/>
  <c r="GA152" i="1"/>
  <c r="BS152" i="1"/>
  <c r="BR152" i="1"/>
  <c r="BQ152" i="1"/>
  <c r="GA151" i="1"/>
  <c r="BS151" i="1"/>
  <c r="BQ151" i="1"/>
  <c r="GA150" i="1"/>
  <c r="BS150" i="1"/>
  <c r="BR150" i="1"/>
  <c r="BQ150" i="1"/>
  <c r="W150" i="1"/>
  <c r="K150" i="1"/>
  <c r="Y26" i="1" s="1"/>
  <c r="J150" i="1"/>
  <c r="F150" i="1"/>
  <c r="BR180" i="1" s="1"/>
  <c r="D150" i="1"/>
  <c r="GA149" i="1"/>
  <c r="BS149" i="1"/>
  <c r="BQ149" i="1"/>
  <c r="P149" i="1"/>
  <c r="K149" i="1"/>
  <c r="J149" i="1"/>
  <c r="F149" i="1"/>
  <c r="D149" i="1"/>
  <c r="W149" i="1" s="1"/>
  <c r="GA148" i="1"/>
  <c r="BS148" i="1"/>
  <c r="BQ148" i="1"/>
  <c r="GA147" i="1"/>
  <c r="BS147" i="1"/>
  <c r="BQ147" i="1"/>
  <c r="GA146" i="1"/>
  <c r="GA145" i="1"/>
  <c r="K145" i="1"/>
  <c r="J145" i="1"/>
  <c r="F145" i="1"/>
  <c r="D145" i="1"/>
  <c r="BR169" i="1" s="1"/>
  <c r="GA144" i="1"/>
  <c r="K144" i="1"/>
  <c r="J144" i="1"/>
  <c r="F144" i="1"/>
  <c r="D144" i="1"/>
  <c r="GA143" i="1"/>
  <c r="BS143" i="1"/>
  <c r="BQ143" i="1"/>
  <c r="K143" i="1"/>
  <c r="J143" i="1"/>
  <c r="F143" i="1"/>
  <c r="BR171" i="1" s="1"/>
  <c r="D143" i="1"/>
  <c r="GA142" i="1"/>
  <c r="BS142" i="1"/>
  <c r="BQ142" i="1"/>
  <c r="K142" i="1"/>
  <c r="J142" i="1"/>
  <c r="F142" i="1"/>
  <c r="D142" i="1"/>
  <c r="BR166" i="1" s="1"/>
  <c r="GA141" i="1"/>
  <c r="BS141" i="1"/>
  <c r="BQ141" i="1"/>
  <c r="GA140" i="1"/>
  <c r="BS140" i="1"/>
  <c r="BQ140" i="1"/>
  <c r="GA139" i="1"/>
  <c r="BS139" i="1"/>
  <c r="BQ139" i="1"/>
  <c r="GA138" i="1"/>
  <c r="BS138" i="1"/>
  <c r="BQ138" i="1"/>
  <c r="K138" i="1"/>
  <c r="J138" i="1"/>
  <c r="F138" i="1"/>
  <c r="BR162" i="1" s="1"/>
  <c r="D138" i="1"/>
  <c r="GA137" i="1"/>
  <c r="BS137" i="1"/>
  <c r="BQ137" i="1"/>
  <c r="K137" i="1"/>
  <c r="J137" i="1"/>
  <c r="F137" i="1"/>
  <c r="D137" i="1"/>
  <c r="P137" i="1" s="1"/>
  <c r="GA136" i="1"/>
  <c r="BS136" i="1"/>
  <c r="BQ136" i="1"/>
  <c r="K136" i="1"/>
  <c r="J136" i="1"/>
  <c r="F136" i="1"/>
  <c r="D136" i="1"/>
  <c r="GA135" i="1"/>
  <c r="BS135" i="1"/>
  <c r="BQ135" i="1"/>
  <c r="K135" i="1"/>
  <c r="J135" i="1"/>
  <c r="F135" i="1"/>
  <c r="D135" i="1"/>
  <c r="GA134" i="1"/>
  <c r="BS134" i="1"/>
  <c r="BQ134" i="1"/>
  <c r="K134" i="1"/>
  <c r="J134" i="1"/>
  <c r="F134" i="1"/>
  <c r="D134" i="1"/>
  <c r="GA133" i="1"/>
  <c r="BS133" i="1"/>
  <c r="BR133" i="1"/>
  <c r="BQ133" i="1"/>
  <c r="K133" i="1"/>
  <c r="J133" i="1"/>
  <c r="F133" i="1"/>
  <c r="D133" i="1"/>
  <c r="P133" i="1" s="1"/>
  <c r="GA132" i="1"/>
  <c r="BS132" i="1"/>
  <c r="BQ132" i="1"/>
  <c r="K132" i="1"/>
  <c r="J132" i="1"/>
  <c r="F132" i="1"/>
  <c r="BR156" i="1" s="1"/>
  <c r="D132" i="1"/>
  <c r="P132" i="1" s="1"/>
  <c r="GA131" i="1"/>
  <c r="BS131" i="1"/>
  <c r="BQ131" i="1"/>
  <c r="K131" i="1"/>
  <c r="Y24" i="1" s="1"/>
  <c r="J131" i="1"/>
  <c r="F131" i="1"/>
  <c r="BR155" i="1" s="1"/>
  <c r="D131" i="1"/>
  <c r="GA130" i="1"/>
  <c r="BS130" i="1"/>
  <c r="BQ130" i="1"/>
  <c r="GA129" i="1"/>
  <c r="BS129" i="1"/>
  <c r="BQ129" i="1"/>
  <c r="GA128" i="1"/>
  <c r="BS128" i="1"/>
  <c r="BQ128" i="1"/>
  <c r="GA127" i="1"/>
  <c r="BS127" i="1"/>
  <c r="BQ127" i="1"/>
  <c r="AL127" i="1"/>
  <c r="K127" i="1"/>
  <c r="J127" i="1"/>
  <c r="GA126" i="1"/>
  <c r="BS126" i="1"/>
  <c r="BQ126" i="1"/>
  <c r="AL126" i="1"/>
  <c r="K126" i="1"/>
  <c r="J126" i="1"/>
  <c r="GA125" i="1"/>
  <c r="BS125" i="1"/>
  <c r="BQ125" i="1"/>
  <c r="AL125" i="1"/>
  <c r="K125" i="1"/>
  <c r="J125" i="1"/>
  <c r="GA124" i="1"/>
  <c r="BS124" i="1"/>
  <c r="BQ124" i="1"/>
  <c r="AL124" i="1"/>
  <c r="K124" i="1"/>
  <c r="J124" i="1"/>
  <c r="GA123" i="1"/>
  <c r="BS123" i="1"/>
  <c r="BQ123" i="1"/>
  <c r="AL123" i="1"/>
  <c r="K123" i="1"/>
  <c r="J123" i="1"/>
  <c r="GA122" i="1"/>
  <c r="BS122" i="1"/>
  <c r="BQ122" i="1"/>
  <c r="AL122" i="1"/>
  <c r="K122" i="1"/>
  <c r="J122" i="1"/>
  <c r="D122" i="1"/>
  <c r="GA121" i="1"/>
  <c r="BS121" i="1"/>
  <c r="BQ121" i="1"/>
  <c r="AL121" i="1"/>
  <c r="K121" i="1"/>
  <c r="J121" i="1"/>
  <c r="GA120" i="1"/>
  <c r="BS120" i="1"/>
  <c r="BQ120" i="1"/>
  <c r="AL120" i="1"/>
  <c r="K120" i="1"/>
  <c r="J120" i="1"/>
  <c r="GA119" i="1"/>
  <c r="BS119" i="1"/>
  <c r="BQ119" i="1"/>
  <c r="AL119" i="1"/>
  <c r="AF119" i="1"/>
  <c r="K119" i="1"/>
  <c r="J119" i="1"/>
  <c r="GA118" i="1"/>
  <c r="BS118" i="1"/>
  <c r="BQ118" i="1"/>
  <c r="AL118" i="1"/>
  <c r="K118" i="1"/>
  <c r="J118" i="1"/>
  <c r="GA117" i="1"/>
  <c r="BS117" i="1"/>
  <c r="BQ117" i="1"/>
  <c r="AL117" i="1"/>
  <c r="AH117" i="1"/>
  <c r="K117" i="1"/>
  <c r="J117" i="1"/>
  <c r="F117" i="1"/>
  <c r="GA116" i="1"/>
  <c r="BS116" i="1"/>
  <c r="BR116" i="1"/>
  <c r="BQ116" i="1"/>
  <c r="AL116" i="1"/>
  <c r="AF116" i="1"/>
  <c r="K116" i="1"/>
  <c r="J116" i="1"/>
  <c r="D116" i="1"/>
  <c r="GA115" i="1"/>
  <c r="BS115" i="1"/>
  <c r="BQ115" i="1"/>
  <c r="AL115" i="1"/>
  <c r="K115" i="1"/>
  <c r="J115" i="1"/>
  <c r="D115" i="1"/>
  <c r="GA114" i="1"/>
  <c r="BS114" i="1"/>
  <c r="BQ114" i="1"/>
  <c r="AL114" i="1"/>
  <c r="K114" i="1"/>
  <c r="Y23" i="1" s="1"/>
  <c r="J114" i="1"/>
  <c r="GA113" i="1"/>
  <c r="BS113" i="1"/>
  <c r="BQ113" i="1"/>
  <c r="AL113" i="1"/>
  <c r="K113" i="1"/>
  <c r="J113" i="1"/>
  <c r="D113" i="1"/>
  <c r="GA112" i="1"/>
  <c r="BS112" i="1"/>
  <c r="BQ112" i="1"/>
  <c r="AL112" i="1"/>
  <c r="K112" i="1"/>
  <c r="J112" i="1"/>
  <c r="GA111" i="1"/>
  <c r="GA110" i="1"/>
  <c r="GA109" i="1"/>
  <c r="GA108" i="1"/>
  <c r="AK108" i="1"/>
  <c r="AJ108" i="1"/>
  <c r="AI108" i="1"/>
  <c r="AH108" i="1"/>
  <c r="AG108" i="1"/>
  <c r="AF108" i="1"/>
  <c r="AE108" i="1"/>
  <c r="K108" i="1"/>
  <c r="J108" i="1"/>
  <c r="AL108" i="1" s="1"/>
  <c r="GA107" i="1"/>
  <c r="AL107" i="1"/>
  <c r="AK107" i="1"/>
  <c r="AJ107" i="1"/>
  <c r="AI107" i="1"/>
  <c r="AH107" i="1"/>
  <c r="AG107" i="1"/>
  <c r="AF107" i="1"/>
  <c r="AE107" i="1"/>
  <c r="O107" i="1"/>
  <c r="K107" i="1"/>
  <c r="J107" i="1"/>
  <c r="GA106" i="1"/>
  <c r="FJ106" i="1"/>
  <c r="ES106" i="1"/>
  <c r="DY106" i="1"/>
  <c r="DE106" i="1"/>
  <c r="CK106" i="1"/>
  <c r="AR106" i="1"/>
  <c r="AQ106" i="1"/>
  <c r="AP106" i="1"/>
  <c r="AO106" i="1"/>
  <c r="AL106" i="1"/>
  <c r="AK106" i="1"/>
  <c r="AS106" i="1" s="1"/>
  <c r="AJ106" i="1"/>
  <c r="AI106" i="1"/>
  <c r="AH106" i="1"/>
  <c r="AG106" i="1"/>
  <c r="AF106" i="1"/>
  <c r="AE106" i="1"/>
  <c r="K106" i="1"/>
  <c r="J106" i="1"/>
  <c r="GA105" i="1"/>
  <c r="FJ105" i="1"/>
  <c r="ES105" i="1"/>
  <c r="DY105" i="1"/>
  <c r="DE105" i="1"/>
  <c r="CK105" i="1"/>
  <c r="AS105" i="1"/>
  <c r="AR105" i="1"/>
  <c r="AQ105" i="1"/>
  <c r="AP105" i="1"/>
  <c r="AK105" i="1"/>
  <c r="AO105" i="1" s="1"/>
  <c r="AJ105" i="1"/>
  <c r="AI105" i="1"/>
  <c r="AH105" i="1"/>
  <c r="AG105" i="1"/>
  <c r="AF105" i="1"/>
  <c r="AE105" i="1"/>
  <c r="K105" i="1"/>
  <c r="J105" i="1"/>
  <c r="AL105" i="1" s="1"/>
  <c r="GA104" i="1"/>
  <c r="FJ104" i="1"/>
  <c r="ES104" i="1"/>
  <c r="DY104" i="1"/>
  <c r="DE104" i="1"/>
  <c r="CK104" i="1"/>
  <c r="AK104" i="1"/>
  <c r="AJ104" i="1"/>
  <c r="AI104" i="1"/>
  <c r="AH104" i="1"/>
  <c r="AG104" i="1"/>
  <c r="AF104" i="1"/>
  <c r="AE104" i="1"/>
  <c r="K104" i="1"/>
  <c r="J104" i="1"/>
  <c r="AL104" i="1" s="1"/>
  <c r="GA103" i="1"/>
  <c r="FJ103" i="1"/>
  <c r="ES103" i="1"/>
  <c r="DY103" i="1"/>
  <c r="DE103" i="1"/>
  <c r="CK103" i="1"/>
  <c r="AL103" i="1"/>
  <c r="AK103" i="1"/>
  <c r="AJ103" i="1"/>
  <c r="AI103" i="1"/>
  <c r="AH103" i="1"/>
  <c r="AG103" i="1"/>
  <c r="AF103" i="1"/>
  <c r="AE103" i="1"/>
  <c r="K103" i="1"/>
  <c r="J103" i="1"/>
  <c r="GA102" i="1"/>
  <c r="GA101" i="1"/>
  <c r="GA100" i="1"/>
  <c r="GA99" i="1"/>
  <c r="AK99" i="1"/>
  <c r="AS99" i="1" s="1"/>
  <c r="AJ99" i="1"/>
  <c r="AI99" i="1"/>
  <c r="AH99" i="1"/>
  <c r="AG99" i="1"/>
  <c r="AF99" i="1"/>
  <c r="AE99" i="1"/>
  <c r="K99" i="1"/>
  <c r="J99" i="1"/>
  <c r="AL99" i="1" s="1"/>
  <c r="GA98" i="1"/>
  <c r="AS98" i="1"/>
  <c r="AK98" i="1"/>
  <c r="AJ98" i="1"/>
  <c r="AI98" i="1"/>
  <c r="AH98" i="1"/>
  <c r="AG98" i="1"/>
  <c r="AF98" i="1"/>
  <c r="AE98" i="1"/>
  <c r="O98" i="1"/>
  <c r="K98" i="1"/>
  <c r="J98" i="1"/>
  <c r="AL98" i="1" s="1"/>
  <c r="GA97" i="1"/>
  <c r="FJ97" i="1"/>
  <c r="ES97" i="1"/>
  <c r="DY97" i="1"/>
  <c r="DE97" i="1"/>
  <c r="CK97" i="1"/>
  <c r="AS97" i="1"/>
  <c r="AP97" i="1"/>
  <c r="AO97" i="1"/>
  <c r="AN97" i="1"/>
  <c r="AK97" i="1"/>
  <c r="AJ97" i="1"/>
  <c r="AI97" i="1"/>
  <c r="AR97" i="1" s="1"/>
  <c r="AH97" i="1"/>
  <c r="AG97" i="1"/>
  <c r="AF97" i="1"/>
  <c r="AE97" i="1"/>
  <c r="K97" i="1"/>
  <c r="J97" i="1"/>
  <c r="AL97" i="1" s="1"/>
  <c r="GA96" i="1"/>
  <c r="FJ96" i="1"/>
  <c r="ES96" i="1"/>
  <c r="DY96" i="1"/>
  <c r="DE96" i="1"/>
  <c r="CK96" i="1"/>
  <c r="AK96" i="1"/>
  <c r="AJ96" i="1"/>
  <c r="AI96" i="1"/>
  <c r="AH96" i="1"/>
  <c r="AG96" i="1"/>
  <c r="AF96" i="1"/>
  <c r="AE96" i="1"/>
  <c r="K96" i="1"/>
  <c r="J96" i="1"/>
  <c r="AL96" i="1" s="1"/>
  <c r="GA95" i="1"/>
  <c r="FJ95" i="1"/>
  <c r="ES95" i="1"/>
  <c r="DY95" i="1"/>
  <c r="DE95" i="1"/>
  <c r="CK95" i="1"/>
  <c r="AS95" i="1"/>
  <c r="AR95" i="1"/>
  <c r="AK95" i="1"/>
  <c r="AJ95" i="1"/>
  <c r="AI95" i="1"/>
  <c r="AH95" i="1"/>
  <c r="AG95" i="1"/>
  <c r="AF95" i="1"/>
  <c r="AE95" i="1"/>
  <c r="K95" i="1"/>
  <c r="J95" i="1"/>
  <c r="AL95" i="1" s="1"/>
  <c r="GA94" i="1"/>
  <c r="FJ94" i="1"/>
  <c r="ES94" i="1"/>
  <c r="DY94" i="1"/>
  <c r="DE94" i="1"/>
  <c r="CK94" i="1"/>
  <c r="AP94" i="1"/>
  <c r="AO94" i="1"/>
  <c r="AK94" i="1"/>
  <c r="AJ94" i="1"/>
  <c r="AI94" i="1"/>
  <c r="AH94" i="1"/>
  <c r="AG94" i="1"/>
  <c r="AF94" i="1"/>
  <c r="AE94" i="1"/>
  <c r="K94" i="1"/>
  <c r="J94" i="1"/>
  <c r="AL94" i="1" s="1"/>
  <c r="GA93" i="1"/>
  <c r="GA92" i="1"/>
  <c r="GA91" i="1"/>
  <c r="GA90" i="1"/>
  <c r="AR90" i="1"/>
  <c r="AK90" i="1"/>
  <c r="AS90" i="1" s="1"/>
  <c r="AJ90" i="1"/>
  <c r="AI90" i="1"/>
  <c r="AH90" i="1"/>
  <c r="AG90" i="1"/>
  <c r="AF90" i="1"/>
  <c r="AE90" i="1"/>
  <c r="K90" i="1"/>
  <c r="J90" i="1"/>
  <c r="AL90" i="1" s="1"/>
  <c r="GA89" i="1"/>
  <c r="AP89" i="1"/>
  <c r="AO89" i="1"/>
  <c r="AN89" i="1"/>
  <c r="AL89" i="1"/>
  <c r="AK89" i="1"/>
  <c r="AJ89" i="1"/>
  <c r="AI89" i="1"/>
  <c r="AH89" i="1"/>
  <c r="AG89" i="1"/>
  <c r="AF89" i="1"/>
  <c r="AE89" i="1"/>
  <c r="O89" i="1"/>
  <c r="K89" i="1"/>
  <c r="J89" i="1"/>
  <c r="GA88" i="1"/>
  <c r="FJ88" i="1"/>
  <c r="ES88" i="1"/>
  <c r="DY88" i="1"/>
  <c r="DE88" i="1"/>
  <c r="CK88" i="1"/>
  <c r="AS88" i="1"/>
  <c r="AR88" i="1"/>
  <c r="AQ88" i="1"/>
  <c r="AK88" i="1"/>
  <c r="AJ88" i="1"/>
  <c r="AI88" i="1"/>
  <c r="AH88" i="1"/>
  <c r="AG88" i="1"/>
  <c r="AF88" i="1"/>
  <c r="AE88" i="1"/>
  <c r="K88" i="1"/>
  <c r="J88" i="1"/>
  <c r="AL88" i="1" s="1"/>
  <c r="GA87" i="1"/>
  <c r="FJ87" i="1"/>
  <c r="ES87" i="1"/>
  <c r="DY87" i="1"/>
  <c r="DE87" i="1"/>
  <c r="CK87" i="1"/>
  <c r="AS87" i="1"/>
  <c r="AQ87" i="1"/>
  <c r="AP87" i="1"/>
  <c r="AK87" i="1"/>
  <c r="AJ87" i="1"/>
  <c r="AI87" i="1"/>
  <c r="AH87" i="1"/>
  <c r="AG87" i="1"/>
  <c r="AF87" i="1"/>
  <c r="AE87" i="1"/>
  <c r="K87" i="1"/>
  <c r="J87" i="1"/>
  <c r="AL87" i="1" s="1"/>
  <c r="GA86" i="1"/>
  <c r="FJ86" i="1"/>
  <c r="ES86" i="1"/>
  <c r="DY86" i="1"/>
  <c r="DE86" i="1"/>
  <c r="CK86" i="1"/>
  <c r="AR86" i="1"/>
  <c r="AQ86" i="1"/>
  <c r="AO86" i="1"/>
  <c r="AL86" i="1"/>
  <c r="AK86" i="1"/>
  <c r="AS86" i="1" s="1"/>
  <c r="AJ86" i="1"/>
  <c r="AI86" i="1"/>
  <c r="AH86" i="1"/>
  <c r="AG86" i="1"/>
  <c r="AF86" i="1"/>
  <c r="AE86" i="1"/>
  <c r="K86" i="1"/>
  <c r="J86" i="1"/>
  <c r="GA85" i="1"/>
  <c r="FJ85" i="1"/>
  <c r="ES85" i="1"/>
  <c r="DY85" i="1"/>
  <c r="DE85" i="1"/>
  <c r="CK85" i="1"/>
  <c r="AS85" i="1"/>
  <c r="AQ85" i="1"/>
  <c r="AP85" i="1"/>
  <c r="AN85" i="1"/>
  <c r="AK85" i="1"/>
  <c r="AO85" i="1" s="1"/>
  <c r="AJ85" i="1"/>
  <c r="AI85" i="1"/>
  <c r="AR85" i="1" s="1"/>
  <c r="AH85" i="1"/>
  <c r="AG85" i="1"/>
  <c r="AF85" i="1"/>
  <c r="AE85" i="1"/>
  <c r="K85" i="1"/>
  <c r="J85" i="1"/>
  <c r="AL85" i="1" s="1"/>
  <c r="GA84" i="1"/>
  <c r="GA83" i="1"/>
  <c r="GA82" i="1"/>
  <c r="GA81" i="1"/>
  <c r="AL81" i="1"/>
  <c r="AK81" i="1"/>
  <c r="AJ81" i="1"/>
  <c r="AI81" i="1"/>
  <c r="AH81" i="1"/>
  <c r="AG81" i="1"/>
  <c r="AF81" i="1"/>
  <c r="AE81" i="1"/>
  <c r="K81" i="1"/>
  <c r="J81" i="1"/>
  <c r="GA80" i="1"/>
  <c r="AL80" i="1"/>
  <c r="AK80" i="1"/>
  <c r="AJ80" i="1"/>
  <c r="AI80" i="1"/>
  <c r="AH80" i="1"/>
  <c r="AG80" i="1"/>
  <c r="AF80" i="1"/>
  <c r="AE80" i="1"/>
  <c r="O80" i="1"/>
  <c r="K80" i="1"/>
  <c r="J80" i="1"/>
  <c r="GA79" i="1"/>
  <c r="FJ79" i="1"/>
  <c r="ES79" i="1"/>
  <c r="DY79" i="1"/>
  <c r="DE79" i="1"/>
  <c r="CK79" i="1"/>
  <c r="AP79" i="1"/>
  <c r="AK79" i="1"/>
  <c r="AJ79" i="1"/>
  <c r="AI79" i="1"/>
  <c r="AH79" i="1"/>
  <c r="AG79" i="1"/>
  <c r="AF79" i="1"/>
  <c r="AE79" i="1"/>
  <c r="K79" i="1"/>
  <c r="J79" i="1"/>
  <c r="AL79" i="1" s="1"/>
  <c r="GA78" i="1"/>
  <c r="FJ78" i="1"/>
  <c r="ES78" i="1"/>
  <c r="DY78" i="1"/>
  <c r="DE78" i="1"/>
  <c r="CK78" i="1"/>
  <c r="AS78" i="1"/>
  <c r="AR78" i="1"/>
  <c r="AQ78" i="1"/>
  <c r="AP78" i="1"/>
  <c r="AO78" i="1"/>
  <c r="AN78" i="1"/>
  <c r="AL78" i="1"/>
  <c r="AK78" i="1"/>
  <c r="AJ78" i="1"/>
  <c r="AI78" i="1"/>
  <c r="AH78" i="1"/>
  <c r="AG78" i="1"/>
  <c r="AF78" i="1"/>
  <c r="AE78" i="1"/>
  <c r="K78" i="1"/>
  <c r="J78" i="1"/>
  <c r="GA77" i="1"/>
  <c r="FJ77" i="1"/>
  <c r="ES77" i="1"/>
  <c r="DY77" i="1"/>
  <c r="DE77" i="1"/>
  <c r="CK77" i="1"/>
  <c r="AL77" i="1"/>
  <c r="AK77" i="1"/>
  <c r="AJ77" i="1"/>
  <c r="AI77" i="1"/>
  <c r="AH77" i="1"/>
  <c r="AG77" i="1"/>
  <c r="AF77" i="1"/>
  <c r="AE77" i="1"/>
  <c r="K77" i="1"/>
  <c r="J77" i="1"/>
  <c r="GA76" i="1"/>
  <c r="FJ76" i="1"/>
  <c r="ES76" i="1"/>
  <c r="DY76" i="1"/>
  <c r="DE76" i="1"/>
  <c r="CK76" i="1"/>
  <c r="AQ76" i="1"/>
  <c r="AL76" i="1"/>
  <c r="AK76" i="1"/>
  <c r="AS76" i="1" s="1"/>
  <c r="AJ76" i="1"/>
  <c r="AI76" i="1"/>
  <c r="AH76" i="1"/>
  <c r="AG76" i="1"/>
  <c r="AF76" i="1"/>
  <c r="AE76" i="1"/>
  <c r="K76" i="1"/>
  <c r="J76" i="1"/>
  <c r="GA75" i="1"/>
  <c r="GA74" i="1"/>
  <c r="GA73" i="1"/>
  <c r="GA72" i="1"/>
  <c r="AL72" i="1"/>
  <c r="AK72" i="1"/>
  <c r="AJ72" i="1"/>
  <c r="AI72" i="1"/>
  <c r="AH72" i="1"/>
  <c r="AG72" i="1"/>
  <c r="AF72" i="1"/>
  <c r="AE72" i="1"/>
  <c r="K72" i="1"/>
  <c r="J72" i="1"/>
  <c r="GA71" i="1"/>
  <c r="AS71" i="1"/>
  <c r="AR71" i="1"/>
  <c r="AQ71" i="1"/>
  <c r="AP71" i="1"/>
  <c r="AO71" i="1"/>
  <c r="AN71" i="1"/>
  <c r="AL71" i="1"/>
  <c r="AK71" i="1"/>
  <c r="AJ71" i="1"/>
  <c r="AI71" i="1"/>
  <c r="AH71" i="1"/>
  <c r="AG71" i="1"/>
  <c r="AF71" i="1"/>
  <c r="AE71" i="1"/>
  <c r="O71" i="1"/>
  <c r="AH125" i="1" s="1"/>
  <c r="K71" i="1"/>
  <c r="J71" i="1"/>
  <c r="GA70" i="1"/>
  <c r="FJ70" i="1"/>
  <c r="ES70" i="1"/>
  <c r="DY70" i="1"/>
  <c r="DE70" i="1"/>
  <c r="CK70" i="1"/>
  <c r="AQ70" i="1"/>
  <c r="AO70" i="1"/>
  <c r="AL70" i="1"/>
  <c r="AK70" i="1"/>
  <c r="AJ70" i="1"/>
  <c r="AI70" i="1"/>
  <c r="AS70" i="1" s="1"/>
  <c r="AH70" i="1"/>
  <c r="AG70" i="1"/>
  <c r="AF70" i="1"/>
  <c r="AE70" i="1"/>
  <c r="K70" i="1"/>
  <c r="J70" i="1"/>
  <c r="GA69" i="1"/>
  <c r="FJ69" i="1"/>
  <c r="ES69" i="1"/>
  <c r="DY69" i="1"/>
  <c r="DE69" i="1"/>
  <c r="CK69" i="1"/>
  <c r="AK69" i="1"/>
  <c r="AJ69" i="1"/>
  <c r="AI69" i="1"/>
  <c r="AH69" i="1"/>
  <c r="AG69" i="1"/>
  <c r="AF69" i="1"/>
  <c r="AE69" i="1"/>
  <c r="K69" i="1"/>
  <c r="J69" i="1"/>
  <c r="AL69" i="1" s="1"/>
  <c r="GA68" i="1"/>
  <c r="FJ68" i="1"/>
  <c r="ES68" i="1"/>
  <c r="DY68" i="1"/>
  <c r="DE68" i="1"/>
  <c r="CK68" i="1"/>
  <c r="AS68" i="1"/>
  <c r="AR68" i="1"/>
  <c r="AQ68" i="1"/>
  <c r="AP68" i="1"/>
  <c r="AO68" i="1"/>
  <c r="AN68" i="1"/>
  <c r="AK68" i="1"/>
  <c r="AJ68" i="1"/>
  <c r="AI68" i="1"/>
  <c r="AH68" i="1"/>
  <c r="AG68" i="1"/>
  <c r="AF68" i="1"/>
  <c r="AE68" i="1"/>
  <c r="K68" i="1"/>
  <c r="J68" i="1"/>
  <c r="AL68" i="1" s="1"/>
  <c r="GA67" i="1"/>
  <c r="FJ67" i="1"/>
  <c r="ES67" i="1"/>
  <c r="DY67" i="1"/>
  <c r="DE67" i="1"/>
  <c r="CK67" i="1"/>
  <c r="AP67" i="1"/>
  <c r="AO67" i="1"/>
  <c r="AN67" i="1"/>
  <c r="AL67" i="1"/>
  <c r="AK67" i="1"/>
  <c r="AJ67" i="1"/>
  <c r="AI67" i="1"/>
  <c r="AH67" i="1"/>
  <c r="AG67" i="1"/>
  <c r="AF67" i="1"/>
  <c r="AE67" i="1"/>
  <c r="K67" i="1"/>
  <c r="J67" i="1"/>
  <c r="GA66" i="1"/>
  <c r="GA65" i="1"/>
  <c r="GA64" i="1"/>
  <c r="GA63" i="1"/>
  <c r="AS63" i="1"/>
  <c r="AR63" i="1"/>
  <c r="AO63" i="1"/>
  <c r="AK63" i="1"/>
  <c r="AJ63" i="1"/>
  <c r="AI63" i="1"/>
  <c r="AN63" i="1" s="1"/>
  <c r="AH63" i="1"/>
  <c r="AG63" i="1"/>
  <c r="AF63" i="1"/>
  <c r="AE63" i="1"/>
  <c r="K63" i="1"/>
  <c r="J63" i="1"/>
  <c r="AL63" i="1" s="1"/>
  <c r="GA62" i="1"/>
  <c r="AQ62" i="1"/>
  <c r="AP62" i="1"/>
  <c r="AL62" i="1"/>
  <c r="AK62" i="1"/>
  <c r="AJ62" i="1"/>
  <c r="AI62" i="1"/>
  <c r="AS62" i="1" s="1"/>
  <c r="AH62" i="1"/>
  <c r="AG62" i="1"/>
  <c r="AF62" i="1"/>
  <c r="AE62" i="1"/>
  <c r="O62" i="1"/>
  <c r="K62" i="1"/>
  <c r="J62" i="1"/>
  <c r="GA61" i="1"/>
  <c r="FJ61" i="1"/>
  <c r="ES61" i="1"/>
  <c r="DY61" i="1"/>
  <c r="DE61" i="1"/>
  <c r="CK61" i="1"/>
  <c r="AS61" i="1"/>
  <c r="AR61" i="1"/>
  <c r="AQ61" i="1"/>
  <c r="AP61" i="1"/>
  <c r="AL61" i="1"/>
  <c r="AK61" i="1"/>
  <c r="AJ61" i="1"/>
  <c r="AI61" i="1"/>
  <c r="AH61" i="1"/>
  <c r="AG61" i="1"/>
  <c r="AF61" i="1"/>
  <c r="AE61" i="1"/>
  <c r="K61" i="1"/>
  <c r="J61" i="1"/>
  <c r="GA60" i="1"/>
  <c r="FJ60" i="1"/>
  <c r="ES60" i="1"/>
  <c r="DY60" i="1"/>
  <c r="DE60" i="1"/>
  <c r="CK60" i="1"/>
  <c r="AS60" i="1"/>
  <c r="AQ60" i="1"/>
  <c r="AN60" i="1"/>
  <c r="AL60" i="1"/>
  <c r="AK60" i="1"/>
  <c r="AJ60" i="1"/>
  <c r="AI60" i="1"/>
  <c r="AH60" i="1"/>
  <c r="AG60" i="1"/>
  <c r="AF60" i="1"/>
  <c r="AE60" i="1"/>
  <c r="K60" i="1"/>
  <c r="J60" i="1"/>
  <c r="GA59" i="1"/>
  <c r="FJ59" i="1"/>
  <c r="ES59" i="1"/>
  <c r="DY59" i="1"/>
  <c r="DE59" i="1"/>
  <c r="CK59" i="1"/>
  <c r="AL59" i="1"/>
  <c r="AK59" i="1"/>
  <c r="AJ59" i="1"/>
  <c r="AI59" i="1"/>
  <c r="AH59" i="1"/>
  <c r="AG59" i="1"/>
  <c r="AF59" i="1"/>
  <c r="AE59" i="1"/>
  <c r="K59" i="1"/>
  <c r="J59" i="1"/>
  <c r="GA58" i="1"/>
  <c r="FJ58" i="1"/>
  <c r="ES58" i="1"/>
  <c r="DY58" i="1"/>
  <c r="DE58" i="1"/>
  <c r="CK58" i="1"/>
  <c r="AK58" i="1"/>
  <c r="AJ58" i="1"/>
  <c r="AI58" i="1"/>
  <c r="AH58" i="1"/>
  <c r="AG58" i="1"/>
  <c r="AF58" i="1"/>
  <c r="AE58" i="1"/>
  <c r="K58" i="1"/>
  <c r="J58" i="1"/>
  <c r="AL58" i="1" s="1"/>
  <c r="GA57" i="1"/>
  <c r="GA56" i="1"/>
  <c r="GA55" i="1"/>
  <c r="GA54" i="1"/>
  <c r="AL54" i="1"/>
  <c r="AK54" i="1"/>
  <c r="AJ54" i="1"/>
  <c r="AI54" i="1"/>
  <c r="AH54" i="1"/>
  <c r="AG54" i="1"/>
  <c r="AF54" i="1"/>
  <c r="AE54" i="1"/>
  <c r="K54" i="1"/>
  <c r="J54" i="1"/>
  <c r="GA53" i="1"/>
  <c r="AO53" i="1"/>
  <c r="AN53" i="1"/>
  <c r="AK53" i="1"/>
  <c r="AJ53" i="1"/>
  <c r="AI53" i="1"/>
  <c r="AH53" i="1"/>
  <c r="AG53" i="1"/>
  <c r="AF53" i="1"/>
  <c r="AE53" i="1"/>
  <c r="O53" i="1"/>
  <c r="F115" i="1" s="1"/>
  <c r="BR131" i="1" s="1"/>
  <c r="K53" i="1"/>
  <c r="J53" i="1"/>
  <c r="AL53" i="1" s="1"/>
  <c r="GA52" i="1"/>
  <c r="FJ52" i="1"/>
  <c r="ES52" i="1"/>
  <c r="DY52" i="1"/>
  <c r="DE52" i="1"/>
  <c r="CK52" i="1"/>
  <c r="AP52" i="1"/>
  <c r="AO52" i="1"/>
  <c r="AK52" i="1"/>
  <c r="AJ52" i="1"/>
  <c r="AI52" i="1"/>
  <c r="AH52" i="1"/>
  <c r="AG52" i="1"/>
  <c r="AF52" i="1"/>
  <c r="AE52" i="1"/>
  <c r="K52" i="1"/>
  <c r="J52" i="1"/>
  <c r="AL52" i="1" s="1"/>
  <c r="GA51" i="1"/>
  <c r="FJ51" i="1"/>
  <c r="ES51" i="1"/>
  <c r="DY51" i="1"/>
  <c r="DE51" i="1"/>
  <c r="CK51" i="1"/>
  <c r="AS51" i="1"/>
  <c r="AO51" i="1"/>
  <c r="AN51" i="1"/>
  <c r="AK51" i="1"/>
  <c r="AJ51" i="1"/>
  <c r="AI51" i="1"/>
  <c r="AH51" i="1"/>
  <c r="AG51" i="1"/>
  <c r="AF51" i="1"/>
  <c r="AE51" i="1"/>
  <c r="K51" i="1"/>
  <c r="J51" i="1"/>
  <c r="AL51" i="1" s="1"/>
  <c r="GA50" i="1"/>
  <c r="FJ50" i="1"/>
  <c r="ES50" i="1"/>
  <c r="DY50" i="1"/>
  <c r="DE50" i="1"/>
  <c r="CK50" i="1"/>
  <c r="AK50" i="1"/>
  <c r="AJ50" i="1"/>
  <c r="AI50" i="1"/>
  <c r="AH50" i="1"/>
  <c r="AG50" i="1"/>
  <c r="AF50" i="1"/>
  <c r="AE50" i="1"/>
  <c r="K50" i="1"/>
  <c r="J50" i="1"/>
  <c r="AL50" i="1" s="1"/>
  <c r="GA49" i="1"/>
  <c r="FJ49" i="1"/>
  <c r="ES49" i="1"/>
  <c r="DY49" i="1"/>
  <c r="DE49" i="1"/>
  <c r="CK49" i="1"/>
  <c r="AK49" i="1"/>
  <c r="AJ49" i="1"/>
  <c r="AI49" i="1"/>
  <c r="AH49" i="1"/>
  <c r="AG49" i="1"/>
  <c r="AF49" i="1"/>
  <c r="AE49" i="1"/>
  <c r="K49" i="1"/>
  <c r="J49" i="1"/>
  <c r="AL49" i="1" s="1"/>
  <c r="GA48" i="1"/>
  <c r="GA47" i="1"/>
  <c r="GA46" i="1"/>
  <c r="GA45" i="1"/>
  <c r="AS45" i="1"/>
  <c r="AN45" i="1"/>
  <c r="AL45" i="1"/>
  <c r="AK45" i="1"/>
  <c r="AJ45" i="1"/>
  <c r="AI45" i="1"/>
  <c r="AP45" i="1" s="1"/>
  <c r="AH45" i="1"/>
  <c r="AG45" i="1"/>
  <c r="AF45" i="1"/>
  <c r="AE45" i="1"/>
  <c r="K45" i="1"/>
  <c r="J45" i="1"/>
  <c r="GA44" i="1"/>
  <c r="AO44" i="1"/>
  <c r="AN44" i="1"/>
  <c r="AK44" i="1"/>
  <c r="AJ44" i="1"/>
  <c r="AI44" i="1"/>
  <c r="AH44" i="1"/>
  <c r="AG44" i="1"/>
  <c r="AF44" i="1"/>
  <c r="AE44" i="1"/>
  <c r="O44" i="1"/>
  <c r="K44" i="1"/>
  <c r="J44" i="1"/>
  <c r="AL44" i="1" s="1"/>
  <c r="GA43" i="1"/>
  <c r="FJ43" i="1"/>
  <c r="ES43" i="1"/>
  <c r="DY43" i="1"/>
  <c r="DE43" i="1"/>
  <c r="CK43" i="1"/>
  <c r="AP43" i="1"/>
  <c r="AO43" i="1"/>
  <c r="AN43" i="1"/>
  <c r="AK43" i="1"/>
  <c r="AJ43" i="1"/>
  <c r="AI43" i="1"/>
  <c r="AH43" i="1"/>
  <c r="AG43" i="1"/>
  <c r="AF43" i="1"/>
  <c r="AE43" i="1"/>
  <c r="K43" i="1"/>
  <c r="J43" i="1"/>
  <c r="AL43" i="1" s="1"/>
  <c r="GA42" i="1"/>
  <c r="FJ42" i="1"/>
  <c r="ES42" i="1"/>
  <c r="DY42" i="1"/>
  <c r="DE42" i="1"/>
  <c r="CK42" i="1"/>
  <c r="AK42" i="1"/>
  <c r="AJ42" i="1"/>
  <c r="AI42" i="1"/>
  <c r="AH42" i="1"/>
  <c r="AG42" i="1"/>
  <c r="AF42" i="1"/>
  <c r="AE42" i="1"/>
  <c r="K42" i="1"/>
  <c r="J42" i="1"/>
  <c r="AL42" i="1" s="1"/>
  <c r="GA41" i="1"/>
  <c r="FJ41" i="1"/>
  <c r="ES41" i="1"/>
  <c r="DY41" i="1"/>
  <c r="DE41" i="1"/>
  <c r="CK41" i="1"/>
  <c r="AK41" i="1"/>
  <c r="AJ41" i="1"/>
  <c r="AI41" i="1"/>
  <c r="AH41" i="1"/>
  <c r="AG41" i="1"/>
  <c r="AF41" i="1"/>
  <c r="AE41" i="1"/>
  <c r="K41" i="1"/>
  <c r="J41" i="1"/>
  <c r="AL41" i="1" s="1"/>
  <c r="GA40" i="1"/>
  <c r="FJ40" i="1"/>
  <c r="ES40" i="1"/>
  <c r="DY40" i="1"/>
  <c r="DE40" i="1"/>
  <c r="CK40" i="1"/>
  <c r="AS40" i="1"/>
  <c r="AR40" i="1"/>
  <c r="AN40" i="1"/>
  <c r="AL40" i="1"/>
  <c r="AK40" i="1"/>
  <c r="AJ40" i="1"/>
  <c r="AI40" i="1"/>
  <c r="AH40" i="1"/>
  <c r="AG40" i="1"/>
  <c r="AF40" i="1"/>
  <c r="AE40" i="1"/>
  <c r="K40" i="1"/>
  <c r="J40" i="1"/>
  <c r="GA39" i="1"/>
  <c r="GA38" i="1"/>
  <c r="GA37" i="1"/>
  <c r="AI37" i="1"/>
  <c r="GA36" i="1"/>
  <c r="AK36" i="1"/>
  <c r="AJ36" i="1"/>
  <c r="AI36" i="1"/>
  <c r="AH36" i="1"/>
  <c r="AG36" i="1"/>
  <c r="AF36" i="1"/>
  <c r="AE36" i="1"/>
  <c r="K36" i="1"/>
  <c r="J36" i="1"/>
  <c r="AL36" i="1" s="1"/>
  <c r="GA35" i="1"/>
  <c r="AR35" i="1"/>
  <c r="AQ35" i="1"/>
  <c r="AP35" i="1"/>
  <c r="AO35" i="1"/>
  <c r="AK35" i="1"/>
  <c r="AJ35" i="1"/>
  <c r="AI35" i="1"/>
  <c r="AN35" i="1" s="1"/>
  <c r="AH35" i="1"/>
  <c r="AG35" i="1"/>
  <c r="AF35" i="1"/>
  <c r="AE35" i="1"/>
  <c r="O35" i="1"/>
  <c r="K35" i="1"/>
  <c r="J35" i="1"/>
  <c r="AL35" i="1" s="1"/>
  <c r="GA34" i="1"/>
  <c r="FJ34" i="1"/>
  <c r="ES34" i="1"/>
  <c r="DY34" i="1"/>
  <c r="DE34" i="1"/>
  <c r="CK34" i="1"/>
  <c r="AR34" i="1"/>
  <c r="AQ34" i="1"/>
  <c r="AP34" i="1"/>
  <c r="AO34" i="1"/>
  <c r="AL34" i="1"/>
  <c r="AK34" i="1"/>
  <c r="AS34" i="1" s="1"/>
  <c r="AJ34" i="1"/>
  <c r="AI34" i="1"/>
  <c r="AH34" i="1"/>
  <c r="AG34" i="1"/>
  <c r="AF34" i="1"/>
  <c r="AE34" i="1"/>
  <c r="K34" i="1"/>
  <c r="J34" i="1"/>
  <c r="GA33" i="1"/>
  <c r="FJ33" i="1"/>
  <c r="ES33" i="1"/>
  <c r="DY33" i="1"/>
  <c r="DE33" i="1"/>
  <c r="CK33" i="1"/>
  <c r="AK33" i="1"/>
  <c r="AO33" i="1" s="1"/>
  <c r="AJ33" i="1"/>
  <c r="AI33" i="1"/>
  <c r="AH33" i="1"/>
  <c r="AG33" i="1"/>
  <c r="AF33" i="1"/>
  <c r="AE33" i="1"/>
  <c r="K33" i="1"/>
  <c r="J33" i="1"/>
  <c r="AL33" i="1" s="1"/>
  <c r="GA32" i="1"/>
  <c r="FJ32" i="1"/>
  <c r="ES32" i="1"/>
  <c r="DY32" i="1"/>
  <c r="DE32" i="1"/>
  <c r="CK32" i="1"/>
  <c r="AS32" i="1"/>
  <c r="AQ32" i="1"/>
  <c r="AK32" i="1"/>
  <c r="AP32" i="1" s="1"/>
  <c r="AJ32" i="1"/>
  <c r="AI32" i="1"/>
  <c r="AH32" i="1"/>
  <c r="AG32" i="1"/>
  <c r="AF32" i="1"/>
  <c r="AE32" i="1"/>
  <c r="K32" i="1"/>
  <c r="J32" i="1"/>
  <c r="AL32" i="1" s="1"/>
  <c r="GA31" i="1"/>
  <c r="FJ31" i="1"/>
  <c r="ES31" i="1"/>
  <c r="DY31" i="1"/>
  <c r="DE31" i="1"/>
  <c r="CK31" i="1"/>
  <c r="AP31" i="1"/>
  <c r="AL31" i="1"/>
  <c r="AK31" i="1"/>
  <c r="AJ31" i="1"/>
  <c r="AI31" i="1"/>
  <c r="AH31" i="1"/>
  <c r="AG31" i="1"/>
  <c r="AF31" i="1"/>
  <c r="AE31" i="1"/>
  <c r="K31" i="1"/>
  <c r="J31" i="1"/>
  <c r="GA30" i="1"/>
  <c r="GA29" i="1"/>
  <c r="GA28" i="1"/>
  <c r="AI28" i="1"/>
  <c r="Y28" i="1"/>
  <c r="GA27" i="1"/>
  <c r="AO27" i="1"/>
  <c r="AL27" i="1"/>
  <c r="AK27" i="1"/>
  <c r="AJ27" i="1"/>
  <c r="AI27" i="1"/>
  <c r="AH27" i="1"/>
  <c r="AG27" i="1"/>
  <c r="AF27" i="1"/>
  <c r="AE27" i="1"/>
  <c r="K27" i="1"/>
  <c r="J27" i="1"/>
  <c r="GA26" i="1"/>
  <c r="AS26" i="1"/>
  <c r="AK26" i="1"/>
  <c r="AO26" i="1" s="1"/>
  <c r="AJ26" i="1"/>
  <c r="AI26" i="1"/>
  <c r="AH26" i="1"/>
  <c r="AG26" i="1"/>
  <c r="AF26" i="1"/>
  <c r="AE26" i="1"/>
  <c r="O26" i="1"/>
  <c r="K26" i="1"/>
  <c r="J26" i="1"/>
  <c r="AL26" i="1" s="1"/>
  <c r="GA25" i="1"/>
  <c r="FJ25" i="1"/>
  <c r="ES25" i="1"/>
  <c r="DY25" i="1"/>
  <c r="DE25" i="1"/>
  <c r="CK25" i="1"/>
  <c r="AQ25" i="1"/>
  <c r="AP25" i="1"/>
  <c r="AL25" i="1"/>
  <c r="AK25" i="1"/>
  <c r="AS25" i="1" s="1"/>
  <c r="AJ25" i="1"/>
  <c r="AI25" i="1"/>
  <c r="AH25" i="1"/>
  <c r="AG25" i="1"/>
  <c r="AF25" i="1"/>
  <c r="AE25" i="1"/>
  <c r="Y25" i="1"/>
  <c r="K25" i="1"/>
  <c r="J25" i="1"/>
  <c r="GA24" i="1"/>
  <c r="FJ24" i="1"/>
  <c r="ES24" i="1"/>
  <c r="DY24" i="1"/>
  <c r="DE24" i="1"/>
  <c r="CK24" i="1"/>
  <c r="AS24" i="1"/>
  <c r="AR24" i="1"/>
  <c r="AO24" i="1"/>
  <c r="AL24" i="1"/>
  <c r="AK24" i="1"/>
  <c r="AJ24" i="1"/>
  <c r="AI24" i="1"/>
  <c r="AH24" i="1"/>
  <c r="AG24" i="1"/>
  <c r="AF24" i="1"/>
  <c r="AE24" i="1"/>
  <c r="K24" i="1"/>
  <c r="J24" i="1"/>
  <c r="GA23" i="1"/>
  <c r="FJ23" i="1"/>
  <c r="ES23" i="1"/>
  <c r="DY23" i="1"/>
  <c r="DE23" i="1"/>
  <c r="CK23" i="1"/>
  <c r="AL23" i="1"/>
  <c r="AK23" i="1"/>
  <c r="AN23" i="1" s="1"/>
  <c r="AJ23" i="1"/>
  <c r="AI23" i="1"/>
  <c r="AH23" i="1"/>
  <c r="AG23" i="1"/>
  <c r="AF23" i="1"/>
  <c r="AE23" i="1"/>
  <c r="K23" i="1"/>
  <c r="J23" i="1"/>
  <c r="GA22" i="1"/>
  <c r="FJ22" i="1"/>
  <c r="ES22" i="1"/>
  <c r="DY22" i="1"/>
  <c r="DE22" i="1"/>
  <c r="CK22" i="1"/>
  <c r="AK22" i="1"/>
  <c r="AO22" i="1" s="1"/>
  <c r="AJ22" i="1"/>
  <c r="AI22" i="1"/>
  <c r="AH22" i="1"/>
  <c r="AG22" i="1"/>
  <c r="AF22" i="1"/>
  <c r="AE22" i="1"/>
  <c r="K22" i="1"/>
  <c r="J22" i="1"/>
  <c r="AL22" i="1" s="1"/>
  <c r="GA21" i="1"/>
  <c r="GA20" i="1"/>
  <c r="GA19" i="1"/>
  <c r="GA18" i="1"/>
  <c r="AS18" i="1"/>
  <c r="AQ18" i="1"/>
  <c r="AP18" i="1"/>
  <c r="AO18" i="1"/>
  <c r="AN18" i="1"/>
  <c r="AL18" i="1"/>
  <c r="AK18" i="1"/>
  <c r="AJ18" i="1"/>
  <c r="AI18" i="1"/>
  <c r="AR18" i="1" s="1"/>
  <c r="AH18" i="1"/>
  <c r="AG18" i="1"/>
  <c r="AF18" i="1"/>
  <c r="AE18" i="1"/>
  <c r="K18" i="1"/>
  <c r="J18" i="1"/>
  <c r="GA17" i="1"/>
  <c r="AR17" i="1"/>
  <c r="AN17" i="1"/>
  <c r="AK17" i="1"/>
  <c r="AJ17" i="1"/>
  <c r="AI17" i="1"/>
  <c r="AH17" i="1"/>
  <c r="AG17" i="1"/>
  <c r="AF17" i="1"/>
  <c r="AE17" i="1"/>
  <c r="O17" i="1"/>
  <c r="K17" i="1"/>
  <c r="J17" i="1"/>
  <c r="AL17" i="1" s="1"/>
  <c r="GA16" i="1"/>
  <c r="FJ16" i="1"/>
  <c r="ES16" i="1"/>
  <c r="DY16" i="1"/>
  <c r="DE16" i="1"/>
  <c r="CK16" i="1"/>
  <c r="AK16" i="1"/>
  <c r="AJ16" i="1"/>
  <c r="AI16" i="1"/>
  <c r="AH16" i="1"/>
  <c r="AG16" i="1"/>
  <c r="AF16" i="1"/>
  <c r="AE16" i="1"/>
  <c r="K16" i="1"/>
  <c r="J16" i="1"/>
  <c r="AL16" i="1" s="1"/>
  <c r="GA15" i="1"/>
  <c r="FW15" i="1"/>
  <c r="FJ15" i="1"/>
  <c r="ES15" i="1"/>
  <c r="DY15" i="1"/>
  <c r="DE15" i="1"/>
  <c r="CK15" i="1"/>
  <c r="AL15" i="1"/>
  <c r="AK15" i="1"/>
  <c r="AJ15" i="1"/>
  <c r="AI15" i="1"/>
  <c r="AH15" i="1"/>
  <c r="AG15" i="1"/>
  <c r="AF15" i="1"/>
  <c r="AE15" i="1"/>
  <c r="K15" i="1"/>
  <c r="J15" i="1"/>
  <c r="GA14" i="1"/>
  <c r="FW14" i="1"/>
  <c r="FJ14" i="1"/>
  <c r="ES14" i="1"/>
  <c r="DY14" i="1"/>
  <c r="DE14" i="1"/>
  <c r="CK14" i="1"/>
  <c r="AR14" i="1"/>
  <c r="AK14" i="1"/>
  <c r="AJ14" i="1"/>
  <c r="AI14" i="1"/>
  <c r="AH14" i="1"/>
  <c r="AG14" i="1"/>
  <c r="AF14" i="1"/>
  <c r="AE14" i="1"/>
  <c r="K14" i="1"/>
  <c r="J14" i="1"/>
  <c r="AL14" i="1" s="1"/>
  <c r="GA13" i="1"/>
  <c r="FW13" i="1"/>
  <c r="FJ13" i="1"/>
  <c r="ES13" i="1"/>
  <c r="DY13" i="1"/>
  <c r="DE13" i="1"/>
  <c r="CK13" i="1"/>
  <c r="AS13" i="1"/>
  <c r="AL13" i="1"/>
  <c r="AK13" i="1"/>
  <c r="AO13" i="1" s="1"/>
  <c r="AJ13" i="1"/>
  <c r="AI13" i="1"/>
  <c r="AH13" i="1"/>
  <c r="AG13" i="1"/>
  <c r="AF13" i="1"/>
  <c r="AE13" i="1"/>
  <c r="K13" i="1"/>
  <c r="J13" i="1"/>
  <c r="GA12" i="1"/>
  <c r="FW12" i="1"/>
  <c r="GA11" i="1"/>
  <c r="FW11" i="1"/>
  <c r="GA10" i="1"/>
  <c r="FW10" i="1"/>
  <c r="AI10" i="1"/>
  <c r="AC10" i="1"/>
  <c r="GA9" i="1"/>
  <c r="FW9" i="1"/>
  <c r="AS9" i="1"/>
  <c r="AR9" i="1"/>
  <c r="AQ9" i="1"/>
  <c r="AP9" i="1"/>
  <c r="AO9" i="1"/>
  <c r="AN9" i="1"/>
  <c r="AK9" i="1"/>
  <c r="AJ9" i="1"/>
  <c r="AI9" i="1"/>
  <c r="AH9" i="1"/>
  <c r="AG9" i="1"/>
  <c r="AF9" i="1"/>
  <c r="AE9" i="1"/>
  <c r="AC9" i="1"/>
  <c r="K9" i="1"/>
  <c r="J9" i="1"/>
  <c r="AL9" i="1" s="1"/>
  <c r="GA8" i="1"/>
  <c r="FW8" i="1"/>
  <c r="AL8" i="1"/>
  <c r="AK8" i="1"/>
  <c r="AJ8" i="1"/>
  <c r="AI8" i="1"/>
  <c r="AH8" i="1"/>
  <c r="AG8" i="1"/>
  <c r="AF8" i="1"/>
  <c r="AE8" i="1"/>
  <c r="AC8" i="1"/>
  <c r="O8" i="1"/>
  <c r="FN19" i="1" s="1"/>
  <c r="K8" i="1"/>
  <c r="J8" i="1"/>
  <c r="GA7" i="1"/>
  <c r="FW7" i="1"/>
  <c r="FJ7" i="1"/>
  <c r="ES7" i="1"/>
  <c r="DY7" i="1"/>
  <c r="DE7" i="1"/>
  <c r="CK7" i="1"/>
  <c r="AR7" i="1"/>
  <c r="AL7" i="1"/>
  <c r="AK7" i="1"/>
  <c r="AJ7" i="1"/>
  <c r="AI7" i="1"/>
  <c r="AH7" i="1"/>
  <c r="AG7" i="1"/>
  <c r="AF7" i="1"/>
  <c r="AE7" i="1"/>
  <c r="AC7" i="1"/>
  <c r="K7" i="1"/>
  <c r="J7" i="1"/>
  <c r="GA6" i="1"/>
  <c r="FW6" i="1"/>
  <c r="FJ6" i="1"/>
  <c r="ES6" i="1"/>
  <c r="DY6" i="1"/>
  <c r="DE6" i="1"/>
  <c r="CK6" i="1"/>
  <c r="AK6" i="1"/>
  <c r="AJ6" i="1"/>
  <c r="AI6" i="1"/>
  <c r="AH6" i="1"/>
  <c r="AG6" i="1"/>
  <c r="AF6" i="1"/>
  <c r="AE6" i="1"/>
  <c r="AC6" i="1"/>
  <c r="K6" i="1"/>
  <c r="J6" i="1"/>
  <c r="AL6" i="1" s="1"/>
  <c r="GA5" i="1"/>
  <c r="FW5" i="1"/>
  <c r="FJ5" i="1"/>
  <c r="ES5" i="1"/>
  <c r="DY5" i="1"/>
  <c r="DE5" i="1"/>
  <c r="CK5" i="1"/>
  <c r="AR5" i="1"/>
  <c r="AQ5" i="1"/>
  <c r="AN5" i="1"/>
  <c r="AK5" i="1"/>
  <c r="AJ5" i="1"/>
  <c r="AI5" i="1"/>
  <c r="AP5" i="1" s="1"/>
  <c r="AH5" i="1"/>
  <c r="AG5" i="1"/>
  <c r="AF5" i="1"/>
  <c r="AE5" i="1"/>
  <c r="AC5" i="1"/>
  <c r="K5" i="1"/>
  <c r="Y22" i="1" s="1"/>
  <c r="AA22" i="1" s="1"/>
  <c r="J5" i="1"/>
  <c r="AL5" i="1" s="1"/>
  <c r="GA4" i="1"/>
  <c r="FW4" i="1"/>
  <c r="FJ4" i="1"/>
  <c r="ES4" i="1"/>
  <c r="DY4" i="1"/>
  <c r="DE4" i="1"/>
  <c r="CK4" i="1"/>
  <c r="AS4" i="1"/>
  <c r="AR4" i="1"/>
  <c r="AP4" i="1"/>
  <c r="AO4" i="1"/>
  <c r="AL4" i="1"/>
  <c r="AK4" i="1"/>
  <c r="AJ4" i="1"/>
  <c r="AI4" i="1"/>
  <c r="AH4" i="1"/>
  <c r="AG4" i="1"/>
  <c r="AF4" i="1"/>
  <c r="AE4" i="1"/>
  <c r="AC4" i="1"/>
  <c r="K4" i="1"/>
  <c r="J4" i="1"/>
  <c r="BT131" i="1" l="1"/>
  <c r="BU131" i="1" s="1"/>
  <c r="BV131" i="1" s="1"/>
  <c r="BT155" i="1"/>
  <c r="BU155" i="1" s="1"/>
  <c r="BV155" i="1" s="1"/>
  <c r="BT156" i="1"/>
  <c r="BU156" i="1" s="1"/>
  <c r="BV156" i="1" s="1"/>
  <c r="BT180" i="1"/>
  <c r="BU180" i="1" s="1"/>
  <c r="BV180" i="1" s="1"/>
  <c r="BT162" i="1"/>
  <c r="BU162" i="1" s="1"/>
  <c r="BV162" i="1" s="1"/>
  <c r="BT154" i="1"/>
  <c r="BU154" i="1" s="1"/>
  <c r="BV154" i="1" s="1"/>
  <c r="BT190" i="1"/>
  <c r="BU190" i="1" s="1"/>
  <c r="BV190" i="1" s="1"/>
  <c r="BT167" i="1"/>
  <c r="BU167" i="1" s="1"/>
  <c r="BV167" i="1" s="1"/>
  <c r="BT133" i="1"/>
  <c r="BU133" i="1" s="1"/>
  <c r="BV133" i="1" s="1"/>
  <c r="AH116" i="1"/>
  <c r="AH121" i="1"/>
  <c r="F118" i="1"/>
  <c r="BR134" i="1" s="1"/>
  <c r="BT134" i="1" s="1"/>
  <c r="BU134" i="1" s="1"/>
  <c r="BV134" i="1" s="1"/>
  <c r="F116" i="1"/>
  <c r="AH126" i="1"/>
  <c r="AH124" i="1"/>
  <c r="F119" i="1"/>
  <c r="BR135" i="1" s="1"/>
  <c r="BT135" i="1" s="1"/>
  <c r="BU135" i="1" s="1"/>
  <c r="BV135" i="1" s="1"/>
  <c r="F113" i="1"/>
  <c r="BR129" i="1" s="1"/>
  <c r="BT129" i="1" s="1"/>
  <c r="BU129" i="1" s="1"/>
  <c r="BV129" i="1" s="1"/>
  <c r="F121" i="1"/>
  <c r="BR137" i="1" s="1"/>
  <c r="BT137" i="1" s="1"/>
  <c r="BU137" i="1" s="1"/>
  <c r="BV137" i="1" s="1"/>
  <c r="AH120" i="1"/>
  <c r="F124" i="1"/>
  <c r="BR140" i="1" s="1"/>
  <c r="BT140" i="1" s="1"/>
  <c r="BU140" i="1" s="1"/>
  <c r="BV140" i="1" s="1"/>
  <c r="AH113" i="1"/>
  <c r="F120" i="1"/>
  <c r="BR136" i="1" s="1"/>
  <c r="BT136" i="1" s="1"/>
  <c r="BU136" i="1" s="1"/>
  <c r="BV136" i="1" s="1"/>
  <c r="AH118" i="1"/>
  <c r="F126" i="1"/>
  <c r="BR142" i="1" s="1"/>
  <c r="BT142" i="1" s="1"/>
  <c r="BU142" i="1" s="1"/>
  <c r="BV142" i="1" s="1"/>
  <c r="AH119" i="1"/>
  <c r="AQ41" i="1"/>
  <c r="AP41" i="1"/>
  <c r="AN41" i="1"/>
  <c r="AR41" i="1"/>
  <c r="AN42" i="1"/>
  <c r="AR42" i="1"/>
  <c r="AQ42" i="1"/>
  <c r="D125" i="1"/>
  <c r="AH123" i="1"/>
  <c r="F123" i="1"/>
  <c r="BR139" i="1" s="1"/>
  <c r="BT139" i="1" s="1"/>
  <c r="BU139" i="1" s="1"/>
  <c r="BV139" i="1" s="1"/>
  <c r="AF125" i="1"/>
  <c r="AQ27" i="1"/>
  <c r="AR27" i="1"/>
  <c r="AP27" i="1"/>
  <c r="AN27" i="1"/>
  <c r="AO40" i="1"/>
  <c r="AQ40" i="1"/>
  <c r="AP40" i="1"/>
  <c r="AO42" i="1"/>
  <c r="BX49" i="1"/>
  <c r="AH112" i="1"/>
  <c r="AF124" i="1"/>
  <c r="F112" i="1"/>
  <c r="BR128" i="1" s="1"/>
  <c r="BT128" i="1" s="1"/>
  <c r="BU128" i="1" s="1"/>
  <c r="BV128" i="1" s="1"/>
  <c r="D124" i="1"/>
  <c r="AP42" i="1"/>
  <c r="AQ59" i="1"/>
  <c r="AR59" i="1"/>
  <c r="AP59" i="1"/>
  <c r="AO59" i="1"/>
  <c r="AN59" i="1"/>
  <c r="AS58" i="1"/>
  <c r="AO58" i="1"/>
  <c r="AR58" i="1"/>
  <c r="AQ58" i="1"/>
  <c r="BX78" i="1"/>
  <c r="BY15" i="1"/>
  <c r="BU23" i="1"/>
  <c r="BV5" i="1"/>
  <c r="AS15" i="1"/>
  <c r="AO15" i="1"/>
  <c r="AN50" i="1"/>
  <c r="AQ50" i="1"/>
  <c r="AP50" i="1"/>
  <c r="AR50" i="1"/>
  <c r="AO72" i="1"/>
  <c r="AS72" i="1"/>
  <c r="BR122" i="1"/>
  <c r="BT122" i="1" s="1"/>
  <c r="BU122" i="1" s="1"/>
  <c r="BV122" i="1" s="1"/>
  <c r="AN16" i="1"/>
  <c r="AR16" i="1"/>
  <c r="AQ16" i="1"/>
  <c r="AS16" i="1"/>
  <c r="AP16" i="1"/>
  <c r="AO16" i="1"/>
  <c r="AS23" i="1"/>
  <c r="AP23" i="1"/>
  <c r="AR23" i="1"/>
  <c r="AQ23" i="1"/>
  <c r="AO23" i="1"/>
  <c r="AR6" i="1"/>
  <c r="AP6" i="1"/>
  <c r="AO6" i="1"/>
  <c r="AN6" i="1"/>
  <c r="AQ6" i="1"/>
  <c r="BV22" i="1"/>
  <c r="AS42" i="1"/>
  <c r="BV50" i="1"/>
  <c r="AS6" i="1"/>
  <c r="BX6" i="1"/>
  <c r="AS8" i="1"/>
  <c r="AO8" i="1"/>
  <c r="BW34" i="1"/>
  <c r="BX50" i="1"/>
  <c r="P113" i="1"/>
  <c r="BR113" i="1"/>
  <c r="BT113" i="1" s="1"/>
  <c r="BU113" i="1" s="1"/>
  <c r="BV113" i="1" s="1"/>
  <c r="BR115" i="1"/>
  <c r="BT115" i="1" s="1"/>
  <c r="BU115" i="1" s="1"/>
  <c r="BV115" i="1" s="1"/>
  <c r="P115" i="1"/>
  <c r="P142" i="1"/>
  <c r="BR170" i="1"/>
  <c r="BT170" i="1" s="1"/>
  <c r="BU170" i="1" s="1"/>
  <c r="BV170" i="1" s="1"/>
  <c r="AP22" i="1"/>
  <c r="BX4" i="1"/>
  <c r="BZ4" i="1" s="1"/>
  <c r="AS7" i="1"/>
  <c r="AQ7" i="1"/>
  <c r="AP7" i="1"/>
  <c r="AO7" i="1"/>
  <c r="BU6" i="1" s="1"/>
  <c r="AP8" i="1"/>
  <c r="BX13" i="1"/>
  <c r="AS22" i="1"/>
  <c r="BY31" i="1"/>
  <c r="BY33" i="1"/>
  <c r="BY4" i="1"/>
  <c r="AN13" i="1"/>
  <c r="AN14" i="1"/>
  <c r="AQ14" i="1"/>
  <c r="AP14" i="1"/>
  <c r="BW14" i="1"/>
  <c r="AN24" i="1"/>
  <c r="AQ24" i="1"/>
  <c r="AP24" i="1"/>
  <c r="BV25" i="1" s="1"/>
  <c r="AN25" i="1"/>
  <c r="AP26" i="1"/>
  <c r="AN26" i="1"/>
  <c r="AR26" i="1"/>
  <c r="AQ26" i="1"/>
  <c r="BY32" i="1"/>
  <c r="AP36" i="1"/>
  <c r="BU42" i="1"/>
  <c r="CA42" i="1" s="1"/>
  <c r="BY43" i="1"/>
  <c r="AR53" i="1"/>
  <c r="AQ53" i="1"/>
  <c r="AP53" i="1"/>
  <c r="AS53" i="1"/>
  <c r="AN7" i="1"/>
  <c r="AR13" i="1"/>
  <c r="BY14" i="1"/>
  <c r="BX24" i="1"/>
  <c r="BZ24" i="1" s="1"/>
  <c r="AO25" i="1"/>
  <c r="AO31" i="1"/>
  <c r="AN31" i="1"/>
  <c r="AR31" i="1"/>
  <c r="AQ31" i="1"/>
  <c r="AS31" i="1"/>
  <c r="BY42" i="1"/>
  <c r="AQ44" i="1"/>
  <c r="AS44" i="1"/>
  <c r="AR44" i="1"/>
  <c r="AP44" i="1"/>
  <c r="BW68" i="1"/>
  <c r="AS80" i="1"/>
  <c r="AO80" i="1"/>
  <c r="AP80" i="1"/>
  <c r="AQ103" i="1"/>
  <c r="AP103" i="1"/>
  <c r="AR103" i="1"/>
  <c r="AN103" i="1"/>
  <c r="AS14" i="1"/>
  <c r="AO14" i="1"/>
  <c r="BY24" i="1"/>
  <c r="AS36" i="1"/>
  <c r="AO36" i="1"/>
  <c r="BX68" i="1"/>
  <c r="BZ68" i="1" s="1"/>
  <c r="BW96" i="1"/>
  <c r="BW94" i="1"/>
  <c r="BX79" i="1"/>
  <c r="BX77" i="1"/>
  <c r="BX103" i="1"/>
  <c r="BZ103" i="1" s="1"/>
  <c r="BY97" i="1"/>
  <c r="BX69" i="1"/>
  <c r="BX67" i="1"/>
  <c r="BU58" i="1"/>
  <c r="BY52" i="1"/>
  <c r="BY50" i="1"/>
  <c r="BY96" i="1"/>
  <c r="BY103" i="1"/>
  <c r="BX96" i="1"/>
  <c r="BY95" i="1"/>
  <c r="BX88" i="1"/>
  <c r="BZ88" i="1" s="1"/>
  <c r="BX51" i="1"/>
  <c r="BU50" i="1"/>
  <c r="CA50" i="1" s="1"/>
  <c r="BW25" i="1"/>
  <c r="BY22" i="1"/>
  <c r="BX15" i="1"/>
  <c r="BZ15" i="1" s="1"/>
  <c r="BX7" i="1"/>
  <c r="BX5" i="1"/>
  <c r="BX97" i="1"/>
  <c r="BZ97" i="1" s="1"/>
  <c r="BY88" i="1"/>
  <c r="BU78" i="1"/>
  <c r="CA78" i="1" s="1"/>
  <c r="BY60" i="1"/>
  <c r="BV42" i="1"/>
  <c r="BX33" i="1"/>
  <c r="BZ33" i="1" s="1"/>
  <c r="BU14" i="1"/>
  <c r="BY6" i="1"/>
  <c r="BW5" i="1"/>
  <c r="BU4" i="1"/>
  <c r="BY105" i="1"/>
  <c r="BY85" i="1"/>
  <c r="BV77" i="1"/>
  <c r="BY76" i="1"/>
  <c r="BX85" i="1"/>
  <c r="BZ85" i="1" s="1"/>
  <c r="BX76" i="1"/>
  <c r="BZ76" i="1" s="1"/>
  <c r="BY94" i="1"/>
  <c r="BX60" i="1"/>
  <c r="BZ60" i="1" s="1"/>
  <c r="BX52" i="1"/>
  <c r="BZ52" i="1" s="1"/>
  <c r="BX31" i="1"/>
  <c r="BV24" i="1"/>
  <c r="BY23" i="1"/>
  <c r="BV6" i="1"/>
  <c r="BX94" i="1"/>
  <c r="BZ94" i="1" s="1"/>
  <c r="BY86" i="1"/>
  <c r="BY69" i="1"/>
  <c r="BY61" i="1"/>
  <c r="BW60" i="1"/>
  <c r="BY104" i="1"/>
  <c r="BY79" i="1"/>
  <c r="BY78" i="1"/>
  <c r="BX106" i="1"/>
  <c r="BZ106" i="1" s="1"/>
  <c r="BW95" i="1"/>
  <c r="BX87" i="1"/>
  <c r="BZ87" i="1" s="1"/>
  <c r="BV86" i="1"/>
  <c r="BV79" i="1"/>
  <c r="BU41" i="1"/>
  <c r="BY16" i="1"/>
  <c r="BV7" i="1"/>
  <c r="BY5" i="1"/>
  <c r="BX105" i="1"/>
  <c r="BZ105" i="1" s="1"/>
  <c r="BY68" i="1"/>
  <c r="BY58" i="1"/>
  <c r="BU52" i="1"/>
  <c r="BX22" i="1"/>
  <c r="BZ22" i="1" s="1"/>
  <c r="BX16" i="1"/>
  <c r="BZ16" i="1" s="1"/>
  <c r="BX104" i="1"/>
  <c r="BW78" i="1"/>
  <c r="BW77" i="1"/>
  <c r="BV61" i="1"/>
  <c r="BX58" i="1"/>
  <c r="BZ58" i="1" s="1"/>
  <c r="BX43" i="1"/>
  <c r="BY106" i="1"/>
  <c r="BU68" i="1"/>
  <c r="BV59" i="1"/>
  <c r="BX42" i="1"/>
  <c r="BZ42" i="1" s="1"/>
  <c r="BY41" i="1"/>
  <c r="BY40" i="1"/>
  <c r="BV34" i="1"/>
  <c r="BX32" i="1"/>
  <c r="BX23" i="1"/>
  <c r="BZ23" i="1" s="1"/>
  <c r="BY7" i="1"/>
  <c r="BW6" i="1"/>
  <c r="BY87" i="1"/>
  <c r="BX41" i="1"/>
  <c r="BX40" i="1"/>
  <c r="BZ40" i="1" s="1"/>
  <c r="BW23" i="1"/>
  <c r="BY13" i="1"/>
  <c r="BY70" i="1"/>
  <c r="BX61" i="1"/>
  <c r="BZ61" i="1" s="1"/>
  <c r="BX70" i="1"/>
  <c r="BY77" i="1"/>
  <c r="BY51" i="1"/>
  <c r="BW88" i="1"/>
  <c r="BY49" i="1"/>
  <c r="BX86" i="1"/>
  <c r="BZ86" i="1" s="1"/>
  <c r="BY59" i="1"/>
  <c r="BV23" i="1"/>
  <c r="BV16" i="1"/>
  <c r="BW15" i="1"/>
  <c r="BX14" i="1"/>
  <c r="BZ14" i="1" s="1"/>
  <c r="BX59" i="1"/>
  <c r="BU51" i="1"/>
  <c r="BU15" i="1"/>
  <c r="BY67" i="1"/>
  <c r="BU13" i="1"/>
  <c r="BU67" i="1"/>
  <c r="BU43" i="1"/>
  <c r="BY34" i="1"/>
  <c r="BV31" i="1"/>
  <c r="BY25" i="1"/>
  <c r="BW40" i="1"/>
  <c r="BX34" i="1"/>
  <c r="BZ34" i="1" s="1"/>
  <c r="BU31" i="1"/>
  <c r="CA31" i="1" s="1"/>
  <c r="BX25" i="1"/>
  <c r="BZ25" i="1" s="1"/>
  <c r="D118" i="1"/>
  <c r="AF112" i="1"/>
  <c r="D112" i="1"/>
  <c r="AF118" i="1"/>
  <c r="AR15" i="1"/>
  <c r="BW16" i="1" s="1"/>
  <c r="AQ15" i="1"/>
  <c r="AP15" i="1"/>
  <c r="AN15" i="1"/>
  <c r="AN36" i="1"/>
  <c r="BU32" i="1" s="1"/>
  <c r="BX95" i="1"/>
  <c r="AO45" i="1"/>
  <c r="AQ45" i="1"/>
  <c r="AR49" i="1"/>
  <c r="AQ49" i="1"/>
  <c r="AS49" i="1"/>
  <c r="AO49" i="1"/>
  <c r="AN49" i="1"/>
  <c r="AS43" i="1"/>
  <c r="AR43" i="1"/>
  <c r="AP49" i="1"/>
  <c r="AS41" i="1"/>
  <c r="AS50" i="1"/>
  <c r="AO50" i="1"/>
  <c r="AN69" i="1"/>
  <c r="AQ69" i="1"/>
  <c r="AP69" i="1"/>
  <c r="AO69" i="1"/>
  <c r="AQ17" i="1"/>
  <c r="AP17" i="1"/>
  <c r="F114" i="1"/>
  <c r="BR130" i="1" s="1"/>
  <c r="BT130" i="1" s="1"/>
  <c r="BU130" i="1" s="1"/>
  <c r="BV130" i="1" s="1"/>
  <c r="AH114" i="1"/>
  <c r="AS27" i="1"/>
  <c r="AQ54" i="1"/>
  <c r="AN54" i="1"/>
  <c r="AR54" i="1"/>
  <c r="BW52" i="1" s="1"/>
  <c r="AP54" i="1"/>
  <c r="AN22" i="1"/>
  <c r="AR22" i="1"/>
  <c r="AQ22" i="1"/>
  <c r="AN32" i="1"/>
  <c r="AQ33" i="1"/>
  <c r="BV33" i="1" s="1"/>
  <c r="AR33" i="1"/>
  <c r="AP33" i="1"/>
  <c r="AN33" i="1"/>
  <c r="AO41" i="1"/>
  <c r="AN4" i="1"/>
  <c r="AQ4" i="1"/>
  <c r="AO32" i="1"/>
  <c r="AN34" i="1"/>
  <c r="AQ52" i="1"/>
  <c r="AR52" i="1"/>
  <c r="AN52" i="1"/>
  <c r="AO54" i="1"/>
  <c r="F127" i="1"/>
  <c r="BR143" i="1" s="1"/>
  <c r="BT143" i="1" s="1"/>
  <c r="BU143" i="1" s="1"/>
  <c r="BV143" i="1" s="1"/>
  <c r="AF121" i="1"/>
  <c r="AH127" i="1"/>
  <c r="D121" i="1"/>
  <c r="AR69" i="1"/>
  <c r="AQ72" i="1"/>
  <c r="AR72" i="1"/>
  <c r="AP72" i="1"/>
  <c r="AN72" i="1"/>
  <c r="P131" i="1"/>
  <c r="BR147" i="1"/>
  <c r="BT147" i="1" s="1"/>
  <c r="BU147" i="1" s="1"/>
  <c r="BV147" i="1" s="1"/>
  <c r="AN8" i="1"/>
  <c r="AR8" i="1"/>
  <c r="AQ8" i="1"/>
  <c r="AO17" i="1"/>
  <c r="AR32" i="1"/>
  <c r="AS33" i="1"/>
  <c r="AS54" i="1"/>
  <c r="AS35" i="1"/>
  <c r="AN104" i="1"/>
  <c r="AR104" i="1"/>
  <c r="BW105" i="1" s="1"/>
  <c r="AQ104" i="1"/>
  <c r="AP104" i="1"/>
  <c r="AO104" i="1"/>
  <c r="AS104" i="1"/>
  <c r="AP81" i="1"/>
  <c r="AQ81" i="1"/>
  <c r="BV78" i="1" s="1"/>
  <c r="AS81" i="1"/>
  <c r="AR81" i="1"/>
  <c r="AO81" i="1"/>
  <c r="AN81" i="1"/>
  <c r="AS77" i="1"/>
  <c r="AO77" i="1"/>
  <c r="AR77" i="1"/>
  <c r="AN77" i="1"/>
  <c r="Z29" i="1"/>
  <c r="AA29" i="1" s="1"/>
  <c r="AP60" i="1"/>
  <c r="AR60" i="1"/>
  <c r="AP108" i="1"/>
  <c r="AR108" i="1"/>
  <c r="AQ108" i="1"/>
  <c r="AN108" i="1"/>
  <c r="AQ13" i="1"/>
  <c r="AP13" i="1"/>
  <c r="AP77" i="1"/>
  <c r="AF126" i="1"/>
  <c r="AF122" i="1"/>
  <c r="D126" i="1"/>
  <c r="BR151" i="1"/>
  <c r="BT151" i="1" s="1"/>
  <c r="BU151" i="1" s="1"/>
  <c r="BV151" i="1" s="1"/>
  <c r="P135" i="1"/>
  <c r="D114" i="1"/>
  <c r="AH115" i="1"/>
  <c r="AF114" i="1"/>
  <c r="AR62" i="1"/>
  <c r="AN62" i="1"/>
  <c r="AO62" i="1"/>
  <c r="AQ77" i="1"/>
  <c r="P154" i="1"/>
  <c r="BR184" i="1"/>
  <c r="BT184" i="1" s="1"/>
  <c r="BU184" i="1" s="1"/>
  <c r="BV184" i="1" s="1"/>
  <c r="BV186" i="1" s="1"/>
  <c r="R154" i="1" s="1"/>
  <c r="Z27" i="1" s="1"/>
  <c r="AA27" i="1" s="1"/>
  <c r="AR36" i="1"/>
  <c r="AQ36" i="1"/>
  <c r="AR45" i="1"/>
  <c r="AR80" i="1"/>
  <c r="AQ80" i="1"/>
  <c r="AN80" i="1"/>
  <c r="AQ51" i="1"/>
  <c r="AS59" i="1"/>
  <c r="AS67" i="1"/>
  <c r="AR67" i="1"/>
  <c r="BW67" i="1" s="1"/>
  <c r="AQ67" i="1"/>
  <c r="AR94" i="1"/>
  <c r="AN94" i="1"/>
  <c r="AS108" i="1"/>
  <c r="AO108" i="1"/>
  <c r="AP51" i="1"/>
  <c r="AO61" i="1"/>
  <c r="AN61" i="1"/>
  <c r="AP63" i="1"/>
  <c r="AO76" i="1"/>
  <c r="AR87" i="1"/>
  <c r="BW85" i="1" s="1"/>
  <c r="AN87" i="1"/>
  <c r="BU85" i="1" s="1"/>
  <c r="AS5" i="1"/>
  <c r="AO5" i="1"/>
  <c r="AR25" i="1"/>
  <c r="D127" i="1"/>
  <c r="AF120" i="1"/>
  <c r="AF127" i="1"/>
  <c r="D120" i="1"/>
  <c r="AR51" i="1"/>
  <c r="AP58" i="1"/>
  <c r="AN58" i="1"/>
  <c r="AQ63" i="1"/>
  <c r="AP76" i="1"/>
  <c r="AQ94" i="1"/>
  <c r="AO98" i="1"/>
  <c r="AP98" i="1"/>
  <c r="BT116" i="1"/>
  <c r="BU116" i="1" s="1"/>
  <c r="BV116" i="1" s="1"/>
  <c r="BT153" i="1"/>
  <c r="BU153" i="1" s="1"/>
  <c r="BV153" i="1" s="1"/>
  <c r="AS79" i="1"/>
  <c r="AO79" i="1"/>
  <c r="AR79" i="1"/>
  <c r="AP70" i="1"/>
  <c r="AR70" i="1"/>
  <c r="BW70" i="1" s="1"/>
  <c r="AN70" i="1"/>
  <c r="BU70" i="1" s="1"/>
  <c r="AP88" i="1"/>
  <c r="AN88" i="1"/>
  <c r="AQ95" i="1"/>
  <c r="AP95" i="1"/>
  <c r="AN95" i="1"/>
  <c r="AO95" i="1"/>
  <c r="AN79" i="1"/>
  <c r="AQ79" i="1"/>
  <c r="AO87" i="1"/>
  <c r="AR98" i="1"/>
  <c r="AQ98" i="1"/>
  <c r="AN98" i="1"/>
  <c r="AO103" i="1"/>
  <c r="AS103" i="1"/>
  <c r="BT152" i="1"/>
  <c r="BU152" i="1" s="1"/>
  <c r="BV152" i="1" s="1"/>
  <c r="BT157" i="1"/>
  <c r="BU157" i="1" s="1"/>
  <c r="BV157" i="1" s="1"/>
  <c r="AR96" i="1"/>
  <c r="AN96" i="1"/>
  <c r="AR107" i="1"/>
  <c r="AQ107" i="1"/>
  <c r="AP107" i="1"/>
  <c r="BT159" i="1"/>
  <c r="BU159" i="1" s="1"/>
  <c r="BV159" i="1" s="1"/>
  <c r="AS52" i="1"/>
  <c r="AS69" i="1"/>
  <c r="AO96" i="1"/>
  <c r="AS96" i="1"/>
  <c r="AO107" i="1"/>
  <c r="BR189" i="1"/>
  <c r="BT189" i="1" s="1"/>
  <c r="BU189" i="1" s="1"/>
  <c r="BV189" i="1" s="1"/>
  <c r="P158" i="1"/>
  <c r="AS17" i="1"/>
  <c r="AF117" i="1"/>
  <c r="AF113" i="1"/>
  <c r="D117" i="1"/>
  <c r="AO60" i="1"/>
  <c r="AP86" i="1"/>
  <c r="AN86" i="1"/>
  <c r="BU87" i="1" s="1"/>
  <c r="AO88" i="1"/>
  <c r="AN90" i="1"/>
  <c r="AP96" i="1"/>
  <c r="AO99" i="1"/>
  <c r="AS107" i="1"/>
  <c r="AN76" i="1"/>
  <c r="AR76" i="1"/>
  <c r="BW76" i="1" s="1"/>
  <c r="AO90" i="1"/>
  <c r="AQ96" i="1"/>
  <c r="AQ99" i="1"/>
  <c r="AF123" i="1"/>
  <c r="D123" i="1"/>
  <c r="F125" i="1"/>
  <c r="BR141" i="1" s="1"/>
  <c r="BT141" i="1" s="1"/>
  <c r="BU141" i="1" s="1"/>
  <c r="BV141" i="1" s="1"/>
  <c r="AS89" i="1"/>
  <c r="AR89" i="1"/>
  <c r="AQ90" i="1"/>
  <c r="BV85" i="1" s="1"/>
  <c r="AR99" i="1"/>
  <c r="AS94" i="1"/>
  <c r="AQ97" i="1"/>
  <c r="BR148" i="1"/>
  <c r="BT148" i="1" s="1"/>
  <c r="BU148" i="1" s="1"/>
  <c r="BV148" i="1" s="1"/>
  <c r="BT166" i="1"/>
  <c r="BU166" i="1" s="1"/>
  <c r="BV166" i="1" s="1"/>
  <c r="BT172" i="1"/>
  <c r="BU172" i="1" s="1"/>
  <c r="BV172" i="1" s="1"/>
  <c r="BT177" i="1"/>
  <c r="BU177" i="1" s="1"/>
  <c r="BV177" i="1" s="1"/>
  <c r="AP99" i="1"/>
  <c r="AN99" i="1"/>
  <c r="BT150" i="1"/>
  <c r="BU150" i="1" s="1"/>
  <c r="BV150" i="1" s="1"/>
  <c r="BR149" i="1"/>
  <c r="BT149" i="1" s="1"/>
  <c r="BU149" i="1" s="1"/>
  <c r="BV149" i="1" s="1"/>
  <c r="F122" i="1"/>
  <c r="BR138" i="1" s="1"/>
  <c r="BT138" i="1" s="1"/>
  <c r="BU138" i="1" s="1"/>
  <c r="BV138" i="1" s="1"/>
  <c r="D119" i="1"/>
  <c r="BT158" i="1"/>
  <c r="BU158" i="1" s="1"/>
  <c r="BV158" i="1" s="1"/>
  <c r="BT160" i="1"/>
  <c r="BU160" i="1" s="1"/>
  <c r="BV160" i="1" s="1"/>
  <c r="AQ43" i="1"/>
  <c r="AQ89" i="1"/>
  <c r="AP90" i="1"/>
  <c r="AH122" i="1"/>
  <c r="P138" i="1"/>
  <c r="AN105" i="1"/>
  <c r="P143" i="1"/>
  <c r="BT171" i="1"/>
  <c r="BU171" i="1" s="1"/>
  <c r="BV171" i="1" s="1"/>
  <c r="P150" i="1"/>
  <c r="BT179" i="1"/>
  <c r="BU179" i="1" s="1"/>
  <c r="BV179" i="1" s="1"/>
  <c r="P136" i="1"/>
  <c r="AN107" i="1"/>
  <c r="P144" i="1"/>
  <c r="BT169" i="1"/>
  <c r="BU169" i="1" s="1"/>
  <c r="BV169" i="1" s="1"/>
  <c r="BT161" i="1"/>
  <c r="BU161" i="1" s="1"/>
  <c r="BV161" i="1" s="1"/>
  <c r="BR168" i="1"/>
  <c r="BT168" i="1" s="1"/>
  <c r="BU168" i="1" s="1"/>
  <c r="BV168" i="1" s="1"/>
  <c r="BR173" i="1"/>
  <c r="BT173" i="1" s="1"/>
  <c r="BU173" i="1" s="1"/>
  <c r="BV173" i="1" s="1"/>
  <c r="P145" i="1"/>
  <c r="BT178" i="1"/>
  <c r="BU178" i="1" s="1"/>
  <c r="BV178" i="1" s="1"/>
  <c r="AN106" i="1"/>
  <c r="P134" i="1"/>
  <c r="BV174" i="1" l="1"/>
  <c r="R142" i="1" s="1"/>
  <c r="Z25" i="1" s="1"/>
  <c r="AA25" i="1" s="1"/>
  <c r="BV191" i="1"/>
  <c r="R158" i="1" s="1"/>
  <c r="Z28" i="1" s="1"/>
  <c r="AA28" i="1" s="1"/>
  <c r="BW87" i="1"/>
  <c r="BW7" i="1"/>
  <c r="BW59" i="1"/>
  <c r="BW13" i="1"/>
  <c r="CA6" i="1"/>
  <c r="P122" i="1"/>
  <c r="CA23" i="1"/>
  <c r="CC23" i="1" s="1"/>
  <c r="BW97" i="1"/>
  <c r="BR120" i="1"/>
  <c r="BT120" i="1" s="1"/>
  <c r="BU120" i="1" s="1"/>
  <c r="BV120" i="1" s="1"/>
  <c r="P120" i="1"/>
  <c r="BV94" i="1"/>
  <c r="CA85" i="1"/>
  <c r="BW33" i="1"/>
  <c r="BV49" i="1"/>
  <c r="BW103" i="1"/>
  <c r="P124" i="1"/>
  <c r="BR124" i="1"/>
  <c r="BT124" i="1" s="1"/>
  <c r="BU124" i="1" s="1"/>
  <c r="BV124" i="1" s="1"/>
  <c r="BV104" i="1"/>
  <c r="P123" i="1"/>
  <c r="BR123" i="1"/>
  <c r="BT123" i="1" s="1"/>
  <c r="BU123" i="1" s="1"/>
  <c r="BV123" i="1" s="1"/>
  <c r="CA13" i="1"/>
  <c r="BW104" i="1"/>
  <c r="BV103" i="1"/>
  <c r="BU97" i="1"/>
  <c r="CA97" i="1" s="1"/>
  <c r="BU86" i="1"/>
  <c r="CA86" i="1" s="1"/>
  <c r="BW22" i="1"/>
  <c r="BV43" i="1"/>
  <c r="CA43" i="1" s="1"/>
  <c r="CC43" i="1" s="1"/>
  <c r="BV67" i="1"/>
  <c r="CA15" i="1"/>
  <c r="CC15" i="1" s="1"/>
  <c r="BU61" i="1"/>
  <c r="CA61" i="1" s="1"/>
  <c r="BW106" i="1"/>
  <c r="BU22" i="1"/>
  <c r="CA22" i="1" s="1"/>
  <c r="BV97" i="1"/>
  <c r="BV13" i="1"/>
  <c r="BV58" i="1"/>
  <c r="CA58" i="1" s="1"/>
  <c r="BV105" i="1"/>
  <c r="BV163" i="1"/>
  <c r="R131" i="1" s="1"/>
  <c r="Z24" i="1" s="1"/>
  <c r="AA24" i="1" s="1"/>
  <c r="BU24" i="1"/>
  <c r="CA24" i="1" s="1"/>
  <c r="BW69" i="1"/>
  <c r="BU88" i="1"/>
  <c r="BV68" i="1"/>
  <c r="BV106" i="1"/>
  <c r="BV15" i="1"/>
  <c r="BU5" i="1"/>
  <c r="CA5" i="1" s="1"/>
  <c r="BW41" i="1"/>
  <c r="BV14" i="1"/>
  <c r="BU106" i="1"/>
  <c r="BU76" i="1"/>
  <c r="CA76" i="1" s="1"/>
  <c r="BW49" i="1"/>
  <c r="BV76" i="1"/>
  <c r="BW4" i="1"/>
  <c r="P119" i="1"/>
  <c r="BR119" i="1"/>
  <c r="BT119" i="1" s="1"/>
  <c r="BU119" i="1" s="1"/>
  <c r="BV119" i="1" s="1"/>
  <c r="BV88" i="1"/>
  <c r="BW43" i="1"/>
  <c r="BV4" i="1"/>
  <c r="CA4" i="1" s="1"/>
  <c r="BU60" i="1"/>
  <c r="CA60" i="1" s="1"/>
  <c r="BZ7" i="1"/>
  <c r="BU25" i="1"/>
  <c r="CA25" i="1" s="1"/>
  <c r="BZ13" i="1"/>
  <c r="BW51" i="1"/>
  <c r="BV70" i="1"/>
  <c r="CA70" i="1" s="1"/>
  <c r="CC70" i="1" s="1"/>
  <c r="BU34" i="1"/>
  <c r="CA34" i="1" s="1"/>
  <c r="BV51" i="1"/>
  <c r="CA51" i="1" s="1"/>
  <c r="P125" i="1"/>
  <c r="BR125" i="1"/>
  <c r="BT125" i="1" s="1"/>
  <c r="BU125" i="1" s="1"/>
  <c r="BV125" i="1" s="1"/>
  <c r="BW24" i="1"/>
  <c r="CA41" i="1"/>
  <c r="CA67" i="1"/>
  <c r="BZ50" i="1"/>
  <c r="BV87" i="1"/>
  <c r="CA87" i="1" s="1"/>
  <c r="BU105" i="1"/>
  <c r="CA105" i="1" s="1"/>
  <c r="BR121" i="1"/>
  <c r="BT121" i="1" s="1"/>
  <c r="BU121" i="1" s="1"/>
  <c r="BV121" i="1" s="1"/>
  <c r="P121" i="1"/>
  <c r="BU49" i="1"/>
  <c r="CA49" i="1" s="1"/>
  <c r="CA68" i="1"/>
  <c r="BU103" i="1"/>
  <c r="CA103" i="1" s="1"/>
  <c r="BU95" i="1"/>
  <c r="CA95" i="1" s="1"/>
  <c r="BU79" i="1"/>
  <c r="CA79" i="1" s="1"/>
  <c r="BW79" i="1"/>
  <c r="BV52" i="1"/>
  <c r="CA52" i="1" s="1"/>
  <c r="CC52" i="1" s="1"/>
  <c r="P112" i="1"/>
  <c r="BR112" i="1"/>
  <c r="BT112" i="1" s="1"/>
  <c r="BU112" i="1" s="1"/>
  <c r="BV112" i="1" s="1"/>
  <c r="BU94" i="1"/>
  <c r="CA94" i="1" s="1"/>
  <c r="BV95" i="1"/>
  <c r="BW32" i="1"/>
  <c r="BU69" i="1"/>
  <c r="CA69" i="1" s="1"/>
  <c r="BV41" i="1"/>
  <c r="BW50" i="1"/>
  <c r="BR118" i="1"/>
  <c r="BT118" i="1" s="1"/>
  <c r="BU118" i="1" s="1"/>
  <c r="BV118" i="1" s="1"/>
  <c r="P118" i="1"/>
  <c r="BV32" i="1"/>
  <c r="CA32" i="1" s="1"/>
  <c r="BW58" i="1"/>
  <c r="BV40" i="1"/>
  <c r="P117" i="1"/>
  <c r="BR117" i="1"/>
  <c r="BT117" i="1" s="1"/>
  <c r="BU117" i="1" s="1"/>
  <c r="BV117" i="1" s="1"/>
  <c r="BU96" i="1"/>
  <c r="BU77" i="1"/>
  <c r="CA77" i="1" s="1"/>
  <c r="BW61" i="1"/>
  <c r="BW86" i="1"/>
  <c r="BV96" i="1"/>
  <c r="BU59" i="1"/>
  <c r="CA59" i="1" s="1"/>
  <c r="BU104" i="1"/>
  <c r="BW31" i="1"/>
  <c r="BZ49" i="1"/>
  <c r="BZ43" i="1"/>
  <c r="BU40" i="1"/>
  <c r="CA40" i="1" s="1"/>
  <c r="BZ77" i="1"/>
  <c r="P114" i="1"/>
  <c r="BR114" i="1"/>
  <c r="BT114" i="1" s="1"/>
  <c r="BU114" i="1" s="1"/>
  <c r="BV114" i="1" s="1"/>
  <c r="BZ79" i="1"/>
  <c r="BU7" i="1"/>
  <c r="CA7" i="1" s="1"/>
  <c r="BR132" i="1"/>
  <c r="BT132" i="1" s="1"/>
  <c r="BU132" i="1" s="1"/>
  <c r="BV132" i="1" s="1"/>
  <c r="P116" i="1"/>
  <c r="BZ67" i="1"/>
  <c r="BZ104" i="1"/>
  <c r="BZ6" i="1"/>
  <c r="BV181" i="1"/>
  <c r="R149" i="1" s="1"/>
  <c r="Z26" i="1" s="1"/>
  <c r="AA26" i="1" s="1"/>
  <c r="BZ59" i="1"/>
  <c r="BW42" i="1"/>
  <c r="BV60" i="1"/>
  <c r="BZ31" i="1"/>
  <c r="CD31" i="1" s="1"/>
  <c r="BZ5" i="1"/>
  <c r="BU16" i="1"/>
  <c r="CA16" i="1" s="1"/>
  <c r="P127" i="1"/>
  <c r="BR127" i="1"/>
  <c r="BT127" i="1" s="1"/>
  <c r="BU127" i="1" s="1"/>
  <c r="BV127" i="1" s="1"/>
  <c r="BZ70" i="1"/>
  <c r="BZ41" i="1"/>
  <c r="BR126" i="1"/>
  <c r="BT126" i="1" s="1"/>
  <c r="BU126" i="1" s="1"/>
  <c r="BV126" i="1" s="1"/>
  <c r="P126" i="1"/>
  <c r="CA14" i="1"/>
  <c r="BZ51" i="1"/>
  <c r="BZ95" i="1"/>
  <c r="BV69" i="1"/>
  <c r="BZ32" i="1"/>
  <c r="BZ96" i="1"/>
  <c r="BZ69" i="1"/>
  <c r="BU33" i="1"/>
  <c r="CA33" i="1" s="1"/>
  <c r="BZ78" i="1"/>
  <c r="CD4" i="1" l="1"/>
  <c r="CC4" i="1"/>
  <c r="CD7" i="1"/>
  <c r="CD6" i="1"/>
  <c r="CD5" i="1"/>
  <c r="DT43" i="1"/>
  <c r="CZ43" i="1"/>
  <c r="M45" i="1"/>
  <c r="CF43" i="1"/>
  <c r="EN43" i="1"/>
  <c r="CC42" i="1"/>
  <c r="EN52" i="1"/>
  <c r="M52" i="1"/>
  <c r="CF52" i="1"/>
  <c r="DT52" i="1"/>
  <c r="CZ52" i="1"/>
  <c r="CC32" i="1"/>
  <c r="CC31" i="1"/>
  <c r="CD32" i="1"/>
  <c r="CC51" i="1"/>
  <c r="CD34" i="1"/>
  <c r="CC58" i="1"/>
  <c r="CD58" i="1"/>
  <c r="CD61" i="1"/>
  <c r="CD59" i="1"/>
  <c r="CD60" i="1"/>
  <c r="EN70" i="1"/>
  <c r="DT70" i="1"/>
  <c r="CF70" i="1"/>
  <c r="M72" i="1"/>
  <c r="CZ70" i="1"/>
  <c r="CC24" i="1"/>
  <c r="EN23" i="1"/>
  <c r="M27" i="1"/>
  <c r="CF23" i="1"/>
  <c r="DT23" i="1"/>
  <c r="CZ23" i="1"/>
  <c r="CC60" i="1"/>
  <c r="CC5" i="1"/>
  <c r="CC59" i="1"/>
  <c r="CD76" i="1"/>
  <c r="CD78" i="1"/>
  <c r="CD77" i="1"/>
  <c r="CC76" i="1"/>
  <c r="CD79" i="1"/>
  <c r="CC34" i="1"/>
  <c r="CC33" i="1"/>
  <c r="CC25" i="1"/>
  <c r="CC68" i="1"/>
  <c r="M70" i="1" s="1"/>
  <c r="CC6" i="1"/>
  <c r="M14" i="1"/>
  <c r="EN15" i="1"/>
  <c r="CZ15" i="1"/>
  <c r="DT15" i="1"/>
  <c r="CF15" i="1"/>
  <c r="CD67" i="1"/>
  <c r="CD69" i="1"/>
  <c r="CD68" i="1"/>
  <c r="CD70" i="1"/>
  <c r="CC67" i="1"/>
  <c r="CC13" i="1"/>
  <c r="CD13" i="1"/>
  <c r="CD16" i="1"/>
  <c r="CD15" i="1"/>
  <c r="CD14" i="1"/>
  <c r="CC7" i="1"/>
  <c r="CC78" i="1"/>
  <c r="CD33" i="1"/>
  <c r="CC79" i="1"/>
  <c r="CA88" i="1"/>
  <c r="CC88" i="1" s="1"/>
  <c r="CC41" i="1"/>
  <c r="M43" i="1" s="1"/>
  <c r="CA106" i="1"/>
  <c r="CC106" i="1" s="1"/>
  <c r="CC61" i="1"/>
  <c r="CC16" i="1"/>
  <c r="CA96" i="1"/>
  <c r="CC96" i="1" s="1"/>
  <c r="CD94" i="1"/>
  <c r="CD95" i="1"/>
  <c r="CD96" i="1"/>
  <c r="CD97" i="1"/>
  <c r="CA104" i="1"/>
  <c r="BV144" i="1"/>
  <c r="R112" i="1" s="1"/>
  <c r="Z23" i="1" s="1"/>
  <c r="AA23" i="1" s="1"/>
  <c r="AA30" i="1" s="1"/>
  <c r="CC14" i="1"/>
  <c r="CD42" i="1"/>
  <c r="CD40" i="1"/>
  <c r="CD41" i="1"/>
  <c r="CC40" i="1"/>
  <c r="CD43" i="1"/>
  <c r="CC69" i="1"/>
  <c r="CD52" i="1"/>
  <c r="CD51" i="1"/>
  <c r="CD49" i="1"/>
  <c r="CD50" i="1"/>
  <c r="CC49" i="1"/>
  <c r="CD23" i="1"/>
  <c r="CC22" i="1"/>
  <c r="CD24" i="1"/>
  <c r="CD25" i="1"/>
  <c r="CD22" i="1"/>
  <c r="CD105" i="1"/>
  <c r="CC77" i="1"/>
  <c r="CC50" i="1"/>
  <c r="FF43" i="1" l="1"/>
  <c r="ET43" i="1"/>
  <c r="CZ22" i="1"/>
  <c r="M25" i="1"/>
  <c r="M22" i="1"/>
  <c r="EO20" i="1"/>
  <c r="DU20" i="1"/>
  <c r="DA20" i="1"/>
  <c r="CG20" i="1"/>
  <c r="DT22" i="1"/>
  <c r="CF22" i="1"/>
  <c r="EN22" i="1"/>
  <c r="EL15" i="1"/>
  <c r="DZ15" i="1"/>
  <c r="EN24" i="1"/>
  <c r="DT24" i="1"/>
  <c r="CF24" i="1"/>
  <c r="CZ24" i="1"/>
  <c r="M23" i="1"/>
  <c r="CZ58" i="1"/>
  <c r="EO56" i="1"/>
  <c r="DU56" i="1"/>
  <c r="DA56" i="1"/>
  <c r="DT58" i="1"/>
  <c r="EN58" i="1"/>
  <c r="M58" i="1"/>
  <c r="CG56" i="1"/>
  <c r="M60" i="1"/>
  <c r="CF58" i="1"/>
  <c r="CC104" i="1"/>
  <c r="EN78" i="1"/>
  <c r="CZ78" i="1"/>
  <c r="CF78" i="1"/>
  <c r="M77" i="1"/>
  <c r="DT78" i="1"/>
  <c r="DR15" i="1"/>
  <c r="DF15" i="1"/>
  <c r="EN76" i="1"/>
  <c r="M78" i="1"/>
  <c r="CF76" i="1"/>
  <c r="DA74" i="1"/>
  <c r="M76" i="1"/>
  <c r="EO74" i="1"/>
  <c r="CG74" i="1"/>
  <c r="DT76" i="1"/>
  <c r="DU74" i="1"/>
  <c r="CZ76" i="1"/>
  <c r="CC95" i="1"/>
  <c r="ET23" i="1"/>
  <c r="FF23" i="1"/>
  <c r="DF43" i="1"/>
  <c r="DR43" i="1"/>
  <c r="EN50" i="1"/>
  <c r="CZ50" i="1"/>
  <c r="CF50" i="1"/>
  <c r="DT50" i="1"/>
  <c r="M53" i="1"/>
  <c r="EN6" i="1"/>
  <c r="CZ6" i="1"/>
  <c r="M5" i="1"/>
  <c r="CF6" i="1"/>
  <c r="DT6" i="1"/>
  <c r="DR70" i="1"/>
  <c r="DF70" i="1"/>
  <c r="EO29" i="1"/>
  <c r="DT31" i="1"/>
  <c r="DA29" i="1"/>
  <c r="CG29" i="1"/>
  <c r="M31" i="1"/>
  <c r="CF31" i="1"/>
  <c r="CZ31" i="1"/>
  <c r="M33" i="1"/>
  <c r="EN31" i="1"/>
  <c r="DU29" i="1"/>
  <c r="DZ43" i="1"/>
  <c r="EL43" i="1"/>
  <c r="M26" i="1"/>
  <c r="CZ25" i="1"/>
  <c r="CF25" i="1"/>
  <c r="DT25" i="1"/>
  <c r="M24" i="1"/>
  <c r="EN25" i="1"/>
  <c r="EN34" i="1"/>
  <c r="M35" i="1"/>
  <c r="DT34" i="1"/>
  <c r="CZ34" i="1"/>
  <c r="M34" i="1"/>
  <c r="CF34" i="1"/>
  <c r="CC87" i="1"/>
  <c r="DT77" i="1"/>
  <c r="EN77" i="1"/>
  <c r="CF77" i="1"/>
  <c r="M81" i="1"/>
  <c r="CZ77" i="1"/>
  <c r="CC94" i="1"/>
  <c r="CD87" i="1"/>
  <c r="M62" i="1"/>
  <c r="EN59" i="1"/>
  <c r="DT59" i="1"/>
  <c r="CF59" i="1"/>
  <c r="CZ59" i="1"/>
  <c r="DT32" i="1"/>
  <c r="M36" i="1"/>
  <c r="EN32" i="1"/>
  <c r="CF32" i="1"/>
  <c r="CZ32" i="1"/>
  <c r="DT33" i="1"/>
  <c r="EN33" i="1"/>
  <c r="M32" i="1"/>
  <c r="CF33" i="1"/>
  <c r="CZ33" i="1"/>
  <c r="ET15" i="1"/>
  <c r="FF15" i="1"/>
  <c r="CD106" i="1"/>
  <c r="M68" i="1"/>
  <c r="CF69" i="1"/>
  <c r="CZ69" i="1"/>
  <c r="DT69" i="1"/>
  <c r="EN69" i="1"/>
  <c r="DT96" i="1"/>
  <c r="EN96" i="1"/>
  <c r="CF96" i="1"/>
  <c r="CZ96" i="1"/>
  <c r="DU11" i="1"/>
  <c r="CG11" i="1"/>
  <c r="M16" i="1"/>
  <c r="EN13" i="1"/>
  <c r="DT13" i="1"/>
  <c r="CZ13" i="1"/>
  <c r="M13" i="1"/>
  <c r="CF13" i="1"/>
  <c r="EO11" i="1"/>
  <c r="DA11" i="1"/>
  <c r="CD85" i="1"/>
  <c r="CC97" i="1"/>
  <c r="M95" i="1" s="1"/>
  <c r="DZ52" i="1"/>
  <c r="EL52" i="1"/>
  <c r="CF51" i="1"/>
  <c r="DT51" i="1"/>
  <c r="M50" i="1"/>
  <c r="EN51" i="1"/>
  <c r="CZ51" i="1"/>
  <c r="CC103" i="1"/>
  <c r="M17" i="1"/>
  <c r="CF16" i="1"/>
  <c r="CZ16" i="1"/>
  <c r="EN16" i="1"/>
  <c r="DT16" i="1"/>
  <c r="M15" i="1"/>
  <c r="EN67" i="1"/>
  <c r="CF67" i="1"/>
  <c r="EO65" i="1"/>
  <c r="DT67" i="1"/>
  <c r="M67" i="1"/>
  <c r="DU65" i="1"/>
  <c r="DA65" i="1"/>
  <c r="CG65" i="1"/>
  <c r="CZ67" i="1"/>
  <c r="M69" i="1"/>
  <c r="CD88" i="1"/>
  <c r="CZ60" i="1"/>
  <c r="CF60" i="1"/>
  <c r="EN60" i="1"/>
  <c r="M59" i="1"/>
  <c r="DT60" i="1"/>
  <c r="EL70" i="1"/>
  <c r="DZ70" i="1"/>
  <c r="EN4" i="1"/>
  <c r="M7" i="1"/>
  <c r="CZ4" i="1"/>
  <c r="EO2" i="1"/>
  <c r="DU2" i="1"/>
  <c r="DA2" i="1"/>
  <c r="DT4" i="1"/>
  <c r="CF4" i="1"/>
  <c r="M4" i="1"/>
  <c r="CG2" i="1"/>
  <c r="CZ106" i="1"/>
  <c r="CF106" i="1"/>
  <c r="EN106" i="1"/>
  <c r="M106" i="1"/>
  <c r="DT106" i="1"/>
  <c r="M107" i="1"/>
  <c r="EN68" i="1"/>
  <c r="CZ68" i="1"/>
  <c r="M71" i="1"/>
  <c r="DT68" i="1"/>
  <c r="CF68" i="1"/>
  <c r="EL23" i="1"/>
  <c r="DZ23" i="1"/>
  <c r="M44" i="1"/>
  <c r="DT41" i="1"/>
  <c r="EN41" i="1"/>
  <c r="CF41" i="1"/>
  <c r="CZ41" i="1"/>
  <c r="ET52" i="1"/>
  <c r="FF52" i="1"/>
  <c r="CF88" i="1"/>
  <c r="DT88" i="1"/>
  <c r="CZ88" i="1"/>
  <c r="EN88" i="1"/>
  <c r="EN42" i="1"/>
  <c r="M41" i="1"/>
  <c r="DT42" i="1"/>
  <c r="CF42" i="1"/>
  <c r="CZ42" i="1"/>
  <c r="CF14" i="1"/>
  <c r="M18" i="1"/>
  <c r="EN14" i="1"/>
  <c r="CZ14" i="1"/>
  <c r="DT14" i="1"/>
  <c r="M79" i="1"/>
  <c r="M80" i="1"/>
  <c r="EN79" i="1"/>
  <c r="CZ79" i="1"/>
  <c r="DT79" i="1"/>
  <c r="CF79" i="1"/>
  <c r="CG47" i="1"/>
  <c r="CZ49" i="1"/>
  <c r="DT49" i="1"/>
  <c r="EN49" i="1"/>
  <c r="CF49" i="1"/>
  <c r="M49" i="1"/>
  <c r="EO47" i="1"/>
  <c r="DU47" i="1"/>
  <c r="DA47" i="1"/>
  <c r="M51" i="1"/>
  <c r="M6" i="1"/>
  <c r="EN7" i="1"/>
  <c r="M8" i="1"/>
  <c r="CZ7" i="1"/>
  <c r="CF7" i="1"/>
  <c r="DT7" i="1"/>
  <c r="CC105" i="1"/>
  <c r="CC86" i="1"/>
  <c r="CD103" i="1"/>
  <c r="CC85" i="1"/>
  <c r="M9" i="1"/>
  <c r="DT5" i="1"/>
  <c r="EN5" i="1"/>
  <c r="CZ5" i="1"/>
  <c r="CF5" i="1"/>
  <c r="DR52" i="1"/>
  <c r="DF52" i="1"/>
  <c r="CD104" i="1"/>
  <c r="EO38" i="1"/>
  <c r="EN40" i="1"/>
  <c r="DT40" i="1"/>
  <c r="DA38" i="1"/>
  <c r="CG38" i="1"/>
  <c r="M42" i="1"/>
  <c r="CF40" i="1"/>
  <c r="M40" i="1"/>
  <c r="DU38" i="1"/>
  <c r="CZ40" i="1"/>
  <c r="M61" i="1"/>
  <c r="CZ61" i="1"/>
  <c r="CF61" i="1"/>
  <c r="M63" i="1"/>
  <c r="DT61" i="1"/>
  <c r="EN61" i="1"/>
  <c r="CD86" i="1"/>
  <c r="DR23" i="1"/>
  <c r="DF23" i="1"/>
  <c r="FF70" i="1"/>
  <c r="ET70" i="1"/>
  <c r="M54" i="1"/>
  <c r="DH52" i="1" l="1"/>
  <c r="EA40" i="1"/>
  <c r="EL40" i="1"/>
  <c r="DZ40" i="1"/>
  <c r="EB43" i="1" s="1"/>
  <c r="DR4" i="1"/>
  <c r="DG4" i="1"/>
  <c r="DF4" i="1"/>
  <c r="DH4" i="1"/>
  <c r="ET31" i="1"/>
  <c r="EV31" i="1" s="1"/>
  <c r="FF31" i="1"/>
  <c r="EU61" i="1"/>
  <c r="FF61" i="1"/>
  <c r="ET61" i="1"/>
  <c r="ET40" i="1"/>
  <c r="EV40" i="1" s="1"/>
  <c r="FF40" i="1"/>
  <c r="DU83" i="1"/>
  <c r="CF85" i="1"/>
  <c r="DA83" i="1"/>
  <c r="EN85" i="1"/>
  <c r="M87" i="1"/>
  <c r="EO83" i="1"/>
  <c r="CG83" i="1"/>
  <c r="M85" i="1"/>
  <c r="DT85" i="1"/>
  <c r="CZ85" i="1"/>
  <c r="BB25" i="1" s="1"/>
  <c r="DR79" i="1"/>
  <c r="DF79" i="1"/>
  <c r="DG78" i="1" s="1"/>
  <c r="FF88" i="1"/>
  <c r="ET88" i="1"/>
  <c r="FF41" i="1"/>
  <c r="ET41" i="1"/>
  <c r="EV41" i="1" s="1"/>
  <c r="DZ60" i="1"/>
  <c r="EL60" i="1"/>
  <c r="ET25" i="1"/>
  <c r="FF25" i="1"/>
  <c r="EL6" i="1"/>
  <c r="DZ6" i="1"/>
  <c r="EB4" i="1" s="1"/>
  <c r="CF95" i="1"/>
  <c r="CZ95" i="1"/>
  <c r="EN95" i="1"/>
  <c r="DT95" i="1"/>
  <c r="M99" i="1"/>
  <c r="EL24" i="1"/>
  <c r="DZ24" i="1"/>
  <c r="EA23" i="1" s="1"/>
  <c r="EB67" i="1"/>
  <c r="EL67" i="1"/>
  <c r="DZ67" i="1"/>
  <c r="CF97" i="1"/>
  <c r="M97" i="1"/>
  <c r="EN97" i="1"/>
  <c r="DT97" i="1"/>
  <c r="M98" i="1"/>
  <c r="CZ97" i="1"/>
  <c r="ET96" i="1"/>
  <c r="FF96" i="1"/>
  <c r="ET59" i="1"/>
  <c r="EV59" i="1" s="1"/>
  <c r="FF59" i="1"/>
  <c r="DF24" i="1"/>
  <c r="DG25" i="1" s="1"/>
  <c r="DR24" i="1"/>
  <c r="DZ79" i="1"/>
  <c r="EA79" i="1" s="1"/>
  <c r="EL79" i="1"/>
  <c r="ET42" i="1"/>
  <c r="EU41" i="1" s="1"/>
  <c r="FF42" i="1"/>
  <c r="ET68" i="1"/>
  <c r="EU68" i="1" s="1"/>
  <c r="FF68" i="1"/>
  <c r="DZ96" i="1"/>
  <c r="EL96" i="1"/>
  <c r="DR33" i="1"/>
  <c r="DF33" i="1"/>
  <c r="DH33" i="1" s="1"/>
  <c r="FF34" i="1"/>
  <c r="ET34" i="1"/>
  <c r="DZ61" i="1"/>
  <c r="EA59" i="1" s="1"/>
  <c r="EL61" i="1"/>
  <c r="EU79" i="1"/>
  <c r="ET79" i="1"/>
  <c r="FF79" i="1"/>
  <c r="M90" i="1"/>
  <c r="EA41" i="1"/>
  <c r="EL41" i="1"/>
  <c r="DZ41" i="1"/>
  <c r="EA43" i="1" s="1"/>
  <c r="EL106" i="1"/>
  <c r="DZ106" i="1"/>
  <c r="ET4" i="1"/>
  <c r="EV4" i="1" s="1"/>
  <c r="BP71" i="1"/>
  <c r="BQ90" i="1"/>
  <c r="BM63" i="1"/>
  <c r="FF4" i="1"/>
  <c r="BO71" i="1"/>
  <c r="BP34" i="1"/>
  <c r="BP61" i="1"/>
  <c r="BN78" i="1"/>
  <c r="BN24" i="1"/>
  <c r="BM41" i="1"/>
  <c r="BM70" i="1"/>
  <c r="BM71" i="1"/>
  <c r="BM4" i="1"/>
  <c r="BL5" i="1"/>
  <c r="BN5" i="1"/>
  <c r="BP35" i="1"/>
  <c r="BP16" i="1"/>
  <c r="BM22" i="1"/>
  <c r="BQ13" i="1"/>
  <c r="BN31" i="1"/>
  <c r="BM51" i="1"/>
  <c r="BO7" i="1"/>
  <c r="BL6" i="1"/>
  <c r="BQ18" i="1"/>
  <c r="BO34" i="1"/>
  <c r="BO14" i="1"/>
  <c r="BM44" i="1"/>
  <c r="BQ9" i="1"/>
  <c r="BP24" i="1"/>
  <c r="BP80" i="1"/>
  <c r="BO76" i="1"/>
  <c r="BN54" i="1"/>
  <c r="BM68" i="1"/>
  <c r="BP106" i="1"/>
  <c r="BQ23" i="1"/>
  <c r="BN97" i="1"/>
  <c r="BN62" i="1"/>
  <c r="BM79" i="1"/>
  <c r="BM31" i="1"/>
  <c r="BQ60" i="1"/>
  <c r="BN14" i="1"/>
  <c r="BP23" i="1"/>
  <c r="BM72" i="1"/>
  <c r="BQ77" i="1"/>
  <c r="BN52" i="1"/>
  <c r="BM77" i="1"/>
  <c r="BN27" i="1"/>
  <c r="BL36" i="1"/>
  <c r="BM94" i="1"/>
  <c r="BL87" i="1"/>
  <c r="BO90" i="1"/>
  <c r="BO86" i="1"/>
  <c r="BO43" i="1"/>
  <c r="BN79" i="1"/>
  <c r="BN72" i="1"/>
  <c r="BO16" i="1"/>
  <c r="BO70" i="1"/>
  <c r="BM60" i="1"/>
  <c r="BN6" i="1"/>
  <c r="BN8" i="1"/>
  <c r="BP103" i="1"/>
  <c r="BM96" i="1"/>
  <c r="BN51" i="1"/>
  <c r="BP70" i="1"/>
  <c r="BN80" i="1"/>
  <c r="BN36" i="1"/>
  <c r="BP45" i="1"/>
  <c r="BM80" i="1"/>
  <c r="BL15" i="1"/>
  <c r="BP8" i="1"/>
  <c r="BL26" i="1"/>
  <c r="BM8" i="1"/>
  <c r="BO79" i="1"/>
  <c r="BP108" i="1"/>
  <c r="BN103" i="1"/>
  <c r="BQ96" i="1"/>
  <c r="BO99" i="1"/>
  <c r="BL34" i="1"/>
  <c r="BO103" i="1"/>
  <c r="BP50" i="1"/>
  <c r="BO81" i="1"/>
  <c r="BO6" i="1"/>
  <c r="BP41" i="1"/>
  <c r="BM81" i="1"/>
  <c r="BM87" i="1"/>
  <c r="BO104" i="1"/>
  <c r="BN50" i="1"/>
  <c r="BO98" i="1"/>
  <c r="BP32" i="1"/>
  <c r="BO72" i="1"/>
  <c r="BL52" i="1"/>
  <c r="BO97" i="1"/>
  <c r="BP6" i="1"/>
  <c r="ET67" i="1"/>
  <c r="EV67" i="1" s="1"/>
  <c r="FF67" i="1"/>
  <c r="DR51" i="1"/>
  <c r="DF51" i="1"/>
  <c r="DH51" i="1" s="1"/>
  <c r="ET69" i="1"/>
  <c r="FF69" i="1"/>
  <c r="M96" i="1"/>
  <c r="CG92" i="1"/>
  <c r="CF94" i="1"/>
  <c r="CZ94" i="1"/>
  <c r="M94" i="1"/>
  <c r="EO92" i="1"/>
  <c r="DU92" i="1"/>
  <c r="DA92" i="1"/>
  <c r="EN94" i="1"/>
  <c r="DT94" i="1"/>
  <c r="DR31" i="1"/>
  <c r="DF31" i="1"/>
  <c r="DH31" i="1" s="1"/>
  <c r="DF76" i="1"/>
  <c r="DH76" i="1" s="1"/>
  <c r="DR76" i="1"/>
  <c r="FF24" i="1"/>
  <c r="ET24" i="1"/>
  <c r="DH5" i="1"/>
  <c r="DR5" i="1"/>
  <c r="DF5" i="1"/>
  <c r="DG5" i="1" s="1"/>
  <c r="DF88" i="1"/>
  <c r="DR88" i="1"/>
  <c r="EL68" i="1"/>
  <c r="EB68" i="1"/>
  <c r="EA68" i="1"/>
  <c r="DZ68" i="1"/>
  <c r="EA67" i="1" s="1"/>
  <c r="DR96" i="1"/>
  <c r="DF96" i="1"/>
  <c r="DF34" i="1"/>
  <c r="DH34" i="1" s="1"/>
  <c r="DR34" i="1"/>
  <c r="FF76" i="1"/>
  <c r="ET76" i="1"/>
  <c r="EV79" i="1" s="1"/>
  <c r="DF58" i="1"/>
  <c r="DG58" i="1" s="1"/>
  <c r="DR58" i="1"/>
  <c r="EB22" i="1"/>
  <c r="EA22" i="1"/>
  <c r="DZ22" i="1"/>
  <c r="EL22" i="1"/>
  <c r="FF5" i="1"/>
  <c r="ET5" i="1"/>
  <c r="EU5" i="1" s="1"/>
  <c r="DZ42" i="1"/>
  <c r="EB42" i="1" s="1"/>
  <c r="EA42" i="1"/>
  <c r="EL42" i="1"/>
  <c r="EL59" i="1"/>
  <c r="DZ59" i="1"/>
  <c r="EB59" i="1" s="1"/>
  <c r="EL34" i="1"/>
  <c r="DZ34" i="1"/>
  <c r="EA34" i="1" s="1"/>
  <c r="DZ5" i="1"/>
  <c r="EB5" i="1" s="1"/>
  <c r="EL5" i="1"/>
  <c r="DF68" i="1"/>
  <c r="DR68" i="1"/>
  <c r="DT86" i="1"/>
  <c r="M89" i="1"/>
  <c r="CZ86" i="1"/>
  <c r="BA13" i="1" s="1"/>
  <c r="CF86" i="1"/>
  <c r="AV89" i="1" s="1"/>
  <c r="EN86" i="1"/>
  <c r="ET51" i="1"/>
  <c r="FF51" i="1"/>
  <c r="EB69" i="1"/>
  <c r="EL69" i="1"/>
  <c r="EA69" i="1"/>
  <c r="DZ69" i="1"/>
  <c r="ET33" i="1"/>
  <c r="EU33" i="1" s="1"/>
  <c r="FF33" i="1"/>
  <c r="DF77" i="1"/>
  <c r="DH77" i="1" s="1"/>
  <c r="DR77" i="1"/>
  <c r="DZ25" i="1"/>
  <c r="EB25" i="1" s="1"/>
  <c r="EL25" i="1"/>
  <c r="DT105" i="1"/>
  <c r="CF105" i="1"/>
  <c r="M104" i="1"/>
  <c r="CZ105" i="1"/>
  <c r="EN105" i="1"/>
  <c r="DZ49" i="1"/>
  <c r="EL49" i="1"/>
  <c r="EB49" i="1"/>
  <c r="M88" i="1"/>
  <c r="ET106" i="1"/>
  <c r="FF106" i="1"/>
  <c r="DZ16" i="1"/>
  <c r="EA16" i="1" s="1"/>
  <c r="EL16" i="1"/>
  <c r="DR69" i="1"/>
  <c r="DF69" i="1"/>
  <c r="DZ33" i="1"/>
  <c r="EA33" i="1" s="1"/>
  <c r="EL33" i="1"/>
  <c r="DF6" i="1"/>
  <c r="DH6" i="1"/>
  <c r="DG6" i="1"/>
  <c r="DR6" i="1"/>
  <c r="DZ76" i="1"/>
  <c r="EB76" i="1" s="1"/>
  <c r="EL76" i="1"/>
  <c r="EL78" i="1"/>
  <c r="DZ78" i="1"/>
  <c r="EA78" i="1" s="1"/>
  <c r="DR22" i="1"/>
  <c r="DG22" i="1"/>
  <c r="DF22" i="1"/>
  <c r="DH22" i="1" s="1"/>
  <c r="DR61" i="1"/>
  <c r="DF61" i="1"/>
  <c r="DH61" i="1" s="1"/>
  <c r="DZ7" i="1"/>
  <c r="EA7" i="1" s="1"/>
  <c r="EL7" i="1"/>
  <c r="EB7" i="1"/>
  <c r="DR49" i="1"/>
  <c r="DF49" i="1"/>
  <c r="DG52" i="1" s="1"/>
  <c r="EL14" i="1"/>
  <c r="DZ14" i="1"/>
  <c r="EA14" i="1" s="1"/>
  <c r="DZ88" i="1"/>
  <c r="EL88" i="1"/>
  <c r="DG60" i="1"/>
  <c r="DR60" i="1"/>
  <c r="DF60" i="1"/>
  <c r="DH60" i="1" s="1"/>
  <c r="FF16" i="1"/>
  <c r="ET16" i="1"/>
  <c r="DZ51" i="1"/>
  <c r="EA51" i="1" s="1"/>
  <c r="EL51" i="1"/>
  <c r="EB51" i="1"/>
  <c r="DF32" i="1"/>
  <c r="DR32" i="1"/>
  <c r="DF25" i="1"/>
  <c r="DR25" i="1"/>
  <c r="EV6" i="1"/>
  <c r="EU6" i="1"/>
  <c r="FF6" i="1"/>
  <c r="ET6" i="1"/>
  <c r="DH14" i="1"/>
  <c r="DR14" i="1"/>
  <c r="DF14" i="1"/>
  <c r="DR106" i="1"/>
  <c r="DF106" i="1"/>
  <c r="DF16" i="1"/>
  <c r="DR16" i="1"/>
  <c r="DH16" i="1"/>
  <c r="ET77" i="1"/>
  <c r="EU77" i="1" s="1"/>
  <c r="FF77" i="1"/>
  <c r="FF58" i="1"/>
  <c r="ET58" i="1"/>
  <c r="EU58" i="1" s="1"/>
  <c r="DF40" i="1"/>
  <c r="DR40" i="1"/>
  <c r="DG40" i="1"/>
  <c r="DG7" i="1"/>
  <c r="DR7" i="1"/>
  <c r="DF7" i="1"/>
  <c r="DH7" i="1" s="1"/>
  <c r="ET13" i="1"/>
  <c r="EV15" i="1" s="1"/>
  <c r="FF13" i="1"/>
  <c r="FF32" i="1"/>
  <c r="ET32" i="1"/>
  <c r="EL77" i="1"/>
  <c r="EA77" i="1"/>
  <c r="DZ77" i="1"/>
  <c r="DZ31" i="1"/>
  <c r="EA31" i="1" s="1"/>
  <c r="EL31" i="1"/>
  <c r="EB50" i="1"/>
  <c r="EL50" i="1"/>
  <c r="EA50" i="1"/>
  <c r="DZ50" i="1"/>
  <c r="DF78" i="1"/>
  <c r="DR78" i="1"/>
  <c r="DH78" i="1"/>
  <c r="DZ58" i="1"/>
  <c r="EB60" i="1" s="1"/>
  <c r="EL58" i="1"/>
  <c r="DF67" i="1"/>
  <c r="DH67" i="1" s="1"/>
  <c r="DR67" i="1"/>
  <c r="EN87" i="1"/>
  <c r="M86" i="1"/>
  <c r="CZ87" i="1"/>
  <c r="DT87" i="1"/>
  <c r="CF87" i="1"/>
  <c r="ET78" i="1"/>
  <c r="FF78" i="1"/>
  <c r="FF49" i="1"/>
  <c r="ET49" i="1"/>
  <c r="EU49" i="1" s="1"/>
  <c r="FF7" i="1"/>
  <c r="ET7" i="1"/>
  <c r="EU7" i="1" s="1"/>
  <c r="EV7" i="1"/>
  <c r="AW71" i="1"/>
  <c r="AV61" i="1"/>
  <c r="AU63" i="1"/>
  <c r="AX68" i="1"/>
  <c r="AX78" i="1"/>
  <c r="AT68" i="1"/>
  <c r="AY86" i="1"/>
  <c r="AY4" i="1"/>
  <c r="AV52" i="1"/>
  <c r="AY51" i="1"/>
  <c r="AW18" i="1"/>
  <c r="AU33" i="1"/>
  <c r="AX7" i="1"/>
  <c r="AT60" i="1"/>
  <c r="AY25" i="1"/>
  <c r="AT63" i="1"/>
  <c r="AV5" i="1"/>
  <c r="AT17" i="1"/>
  <c r="AT5" i="1"/>
  <c r="AW5" i="1"/>
  <c r="AT35" i="1"/>
  <c r="AV43" i="1"/>
  <c r="CH43" i="1" s="1"/>
  <c r="AV67" i="1"/>
  <c r="AX24" i="1"/>
  <c r="AW34" i="1"/>
  <c r="AW59" i="1"/>
  <c r="AW80" i="1"/>
  <c r="AV105" i="1"/>
  <c r="AV78" i="1"/>
  <c r="AY62" i="1"/>
  <c r="AU51" i="1"/>
  <c r="AV62" i="1"/>
  <c r="AT80" i="1"/>
  <c r="AW35" i="1"/>
  <c r="AU26" i="1"/>
  <c r="AU43" i="1"/>
  <c r="AU24" i="1"/>
  <c r="AV4" i="1"/>
  <c r="CH4" i="1" s="1"/>
  <c r="AY76" i="1"/>
  <c r="AW76" i="1"/>
  <c r="AX41" i="1"/>
  <c r="AU71" i="1"/>
  <c r="AX59" i="1"/>
  <c r="AY26" i="1"/>
  <c r="AX18" i="1"/>
  <c r="CI14" i="1" s="1"/>
  <c r="AV31" i="1"/>
  <c r="AV9" i="1"/>
  <c r="AY45" i="1"/>
  <c r="AY80" i="1"/>
  <c r="AT50" i="1"/>
  <c r="CG51" i="1" s="1"/>
  <c r="AU53" i="1"/>
  <c r="AT15" i="1"/>
  <c r="AW42" i="1"/>
  <c r="AT27" i="1"/>
  <c r="AY13" i="1"/>
  <c r="AX71" i="1"/>
  <c r="AU35" i="1"/>
  <c r="AT18" i="1"/>
  <c r="AY40" i="1"/>
  <c r="AU23" i="1"/>
  <c r="AT43" i="1"/>
  <c r="CG43" i="1" s="1"/>
  <c r="CJ43" i="1" s="1"/>
  <c r="AW27" i="1"/>
  <c r="AY49" i="1"/>
  <c r="AX63" i="1"/>
  <c r="AU72" i="1"/>
  <c r="AT16" i="1"/>
  <c r="AV25" i="1"/>
  <c r="AV18" i="1"/>
  <c r="CH14" i="1" s="1"/>
  <c r="AX27" i="1"/>
  <c r="AX17" i="1"/>
  <c r="AY6" i="1"/>
  <c r="AV35" i="1"/>
  <c r="AU18" i="1"/>
  <c r="AT4" i="1"/>
  <c r="AY24" i="1"/>
  <c r="AT44" i="1"/>
  <c r="AU44" i="1"/>
  <c r="AV13" i="1"/>
  <c r="AT42" i="1"/>
  <c r="AY63" i="1"/>
  <c r="AW14" i="1"/>
  <c r="AU54" i="1"/>
  <c r="AW49" i="1"/>
  <c r="AY9" i="1"/>
  <c r="AW78" i="1"/>
  <c r="AX80" i="1"/>
  <c r="AT9" i="1"/>
  <c r="AX26" i="1"/>
  <c r="AW58" i="1"/>
  <c r="AT52" i="1"/>
  <c r="AV53" i="1"/>
  <c r="AY16" i="1"/>
  <c r="AU9" i="1"/>
  <c r="AU15" i="1"/>
  <c r="AY31" i="1"/>
  <c r="AX34" i="1"/>
  <c r="AV42" i="1"/>
  <c r="AX58" i="1"/>
  <c r="AY32" i="1"/>
  <c r="AT70" i="1"/>
  <c r="AT71" i="1"/>
  <c r="AX53" i="1"/>
  <c r="CI50" i="1" s="1"/>
  <c r="AW16" i="1"/>
  <c r="AY53" i="1"/>
  <c r="AX16" i="1"/>
  <c r="AU58" i="1"/>
  <c r="AW32" i="1"/>
  <c r="AV45" i="1"/>
  <c r="AV7" i="1"/>
  <c r="AT51" i="1"/>
  <c r="AY22" i="1"/>
  <c r="AU34" i="1"/>
  <c r="AU42" i="1"/>
  <c r="AY58" i="1"/>
  <c r="AX54" i="1"/>
  <c r="AX79" i="1"/>
  <c r="AU31" i="1"/>
  <c r="AT24" i="1"/>
  <c r="AW60" i="1"/>
  <c r="AX14" i="1"/>
  <c r="AW68" i="1"/>
  <c r="AW70" i="1"/>
  <c r="AT6" i="1"/>
  <c r="CG7" i="1" s="1"/>
  <c r="AW17" i="1"/>
  <c r="AT45" i="1"/>
  <c r="AY15" i="1"/>
  <c r="AU4" i="1"/>
  <c r="AX35" i="1"/>
  <c r="AY18" i="1"/>
  <c r="AT23" i="1"/>
  <c r="CG24" i="1" s="1"/>
  <c r="AW4" i="1"/>
  <c r="AV27" i="1"/>
  <c r="CH23" i="1" s="1"/>
  <c r="AY68" i="1"/>
  <c r="AW81" i="1"/>
  <c r="AY33" i="1"/>
  <c r="AW62" i="1"/>
  <c r="AX5" i="1"/>
  <c r="AW25" i="1"/>
  <c r="AY70" i="1"/>
  <c r="AX44" i="1"/>
  <c r="AU7" i="1"/>
  <c r="AU27" i="1"/>
  <c r="AX42" i="1"/>
  <c r="AW52" i="1"/>
  <c r="AU81" i="1"/>
  <c r="AY61" i="1"/>
  <c r="AU78" i="1"/>
  <c r="AY41" i="1"/>
  <c r="AU70" i="1"/>
  <c r="AW36" i="1"/>
  <c r="AV70" i="1"/>
  <c r="AV44" i="1"/>
  <c r="AV81" i="1"/>
  <c r="AW77" i="1"/>
  <c r="AU60" i="1"/>
  <c r="AY34" i="1"/>
  <c r="AW51" i="1"/>
  <c r="AU79" i="1"/>
  <c r="AY71" i="1"/>
  <c r="AT54" i="1"/>
  <c r="AX60" i="1"/>
  <c r="AV34" i="1"/>
  <c r="AV77" i="1"/>
  <c r="AU13" i="1"/>
  <c r="AY42" i="1"/>
  <c r="AX9" i="1"/>
  <c r="CI5" i="1" s="1"/>
  <c r="AY60" i="1"/>
  <c r="AU77" i="1"/>
  <c r="AU22" i="1"/>
  <c r="AW9" i="1"/>
  <c r="AU14" i="1"/>
  <c r="AV36" i="1"/>
  <c r="AX13" i="1"/>
  <c r="AV32" i="1"/>
  <c r="CH33" i="1" s="1"/>
  <c r="AX22" i="1"/>
  <c r="AT78" i="1"/>
  <c r="AW72" i="1"/>
  <c r="AX61" i="1"/>
  <c r="CI61" i="1" s="1"/>
  <c r="AW88" i="1"/>
  <c r="AT7" i="1"/>
  <c r="AT31" i="1"/>
  <c r="AY78" i="1"/>
  <c r="AU52" i="1"/>
  <c r="AV68" i="1"/>
  <c r="AV40" i="1"/>
  <c r="CH40" i="1" s="1"/>
  <c r="AY54" i="1"/>
  <c r="AX4" i="1"/>
  <c r="AX52" i="1"/>
  <c r="AV60" i="1"/>
  <c r="AY67" i="1"/>
  <c r="AV71" i="1"/>
  <c r="CH68" i="1" s="1"/>
  <c r="AX40" i="1"/>
  <c r="CI40" i="1" s="1"/>
  <c r="AV79" i="1"/>
  <c r="AT72" i="1"/>
  <c r="AX81" i="1"/>
  <c r="AT62" i="1"/>
  <c r="AU67" i="1"/>
  <c r="AW61" i="1"/>
  <c r="AT53" i="1"/>
  <c r="AT40" i="1"/>
  <c r="AY43" i="1"/>
  <c r="AT67" i="1"/>
  <c r="CG67" i="1" s="1"/>
  <c r="AU68" i="1"/>
  <c r="AW24" i="1"/>
  <c r="AX67" i="1"/>
  <c r="AV8" i="1"/>
  <c r="AW23" i="1"/>
  <c r="AT49" i="1"/>
  <c r="AV54" i="1"/>
  <c r="AX15" i="1"/>
  <c r="CI16" i="1" s="1"/>
  <c r="AT33" i="1"/>
  <c r="AU99" i="1"/>
  <c r="AV17" i="1"/>
  <c r="AV63" i="1"/>
  <c r="AW43" i="1"/>
  <c r="AU17" i="1"/>
  <c r="AY5" i="1"/>
  <c r="AW40" i="1"/>
  <c r="AX33" i="1"/>
  <c r="AV59" i="1"/>
  <c r="AV69" i="1"/>
  <c r="AT25" i="1"/>
  <c r="AV14" i="1"/>
  <c r="CH15" i="1" s="1"/>
  <c r="AT14" i="1"/>
  <c r="CG15" i="1" s="1"/>
  <c r="CJ15" i="1" s="1"/>
  <c r="AY59" i="1"/>
  <c r="AU5" i="1"/>
  <c r="AW54" i="1"/>
  <c r="AW22" i="1"/>
  <c r="AT32" i="1"/>
  <c r="AW69" i="1"/>
  <c r="AY52" i="1"/>
  <c r="AV26" i="1"/>
  <c r="AW15" i="1"/>
  <c r="AW6" i="1"/>
  <c r="AX49" i="1"/>
  <c r="CI49" i="1" s="1"/>
  <c r="AU49" i="1"/>
  <c r="AV41" i="1"/>
  <c r="CH42" i="1" s="1"/>
  <c r="AT36" i="1"/>
  <c r="AU80" i="1"/>
  <c r="AW13" i="1"/>
  <c r="AT22" i="1"/>
  <c r="AU6" i="1"/>
  <c r="AT13" i="1"/>
  <c r="CG13" i="1" s="1"/>
  <c r="AV72" i="1"/>
  <c r="AY7" i="1"/>
  <c r="AX36" i="1"/>
  <c r="AY50" i="1"/>
  <c r="AX43" i="1"/>
  <c r="CI43" i="1" s="1"/>
  <c r="AX25" i="1"/>
  <c r="AX31" i="1"/>
  <c r="AW44" i="1"/>
  <c r="AT61" i="1"/>
  <c r="AX51" i="1"/>
  <c r="AT59" i="1"/>
  <c r="AV50" i="1"/>
  <c r="AX45" i="1"/>
  <c r="AW53" i="1"/>
  <c r="AW63" i="1"/>
  <c r="AV86" i="1"/>
  <c r="AW31" i="1"/>
  <c r="AT26" i="1"/>
  <c r="AT8" i="1"/>
  <c r="AT58" i="1"/>
  <c r="AV23" i="1"/>
  <c r="AT79" i="1"/>
  <c r="AX77" i="1"/>
  <c r="CI78" i="1" s="1"/>
  <c r="AU40" i="1"/>
  <c r="AY27" i="1"/>
  <c r="AY72" i="1"/>
  <c r="AU41" i="1"/>
  <c r="AW33" i="1"/>
  <c r="AX62" i="1"/>
  <c r="AY79" i="1"/>
  <c r="AU45" i="1"/>
  <c r="AV16" i="1"/>
  <c r="AU69" i="1"/>
  <c r="AU62" i="1"/>
  <c r="AX70" i="1"/>
  <c r="AT81" i="1"/>
  <c r="AY14" i="1"/>
  <c r="AU59" i="1"/>
  <c r="AX6" i="1"/>
  <c r="AU25" i="1"/>
  <c r="AY69" i="1"/>
  <c r="AY44" i="1"/>
  <c r="AX8" i="1"/>
  <c r="AX50" i="1"/>
  <c r="CI51" i="1" s="1"/>
  <c r="AX72" i="1"/>
  <c r="AW26" i="1"/>
  <c r="AX69" i="1"/>
  <c r="AU50" i="1"/>
  <c r="AW79" i="1"/>
  <c r="AY81" i="1"/>
  <c r="AV80" i="1"/>
  <c r="AV51" i="1"/>
  <c r="AW67" i="1"/>
  <c r="AV6" i="1"/>
  <c r="CH7" i="1" s="1"/>
  <c r="AV22" i="1"/>
  <c r="CH22" i="1" s="1"/>
  <c r="AU16" i="1"/>
  <c r="AW8" i="1"/>
  <c r="AT69" i="1"/>
  <c r="AT41" i="1"/>
  <c r="AY35" i="1"/>
  <c r="AY36" i="1"/>
  <c r="AV33" i="1"/>
  <c r="AY77" i="1"/>
  <c r="AW50" i="1"/>
  <c r="AU61" i="1"/>
  <c r="AU32" i="1"/>
  <c r="AX76" i="1"/>
  <c r="AX23" i="1"/>
  <c r="AX32" i="1"/>
  <c r="AV15" i="1"/>
  <c r="CH16" i="1" s="1"/>
  <c r="AV58" i="1"/>
  <c r="AV49" i="1"/>
  <c r="CH49" i="1" s="1"/>
  <c r="AY8" i="1"/>
  <c r="AU76" i="1"/>
  <c r="AW45" i="1"/>
  <c r="AU36" i="1"/>
  <c r="AT77" i="1"/>
  <c r="AY17" i="1"/>
  <c r="AY23" i="1"/>
  <c r="AV24" i="1"/>
  <c r="AU8" i="1"/>
  <c r="AW7" i="1"/>
  <c r="AV76" i="1"/>
  <c r="CH76" i="1" s="1"/>
  <c r="AT34" i="1"/>
  <c r="CG34" i="1" s="1"/>
  <c r="AW41" i="1"/>
  <c r="AT76" i="1"/>
  <c r="CG76" i="1" s="1"/>
  <c r="DT103" i="1"/>
  <c r="BJ81" i="1" s="1"/>
  <c r="DU101" i="1"/>
  <c r="M105" i="1"/>
  <c r="EN103" i="1"/>
  <c r="CZ103" i="1"/>
  <c r="EO101" i="1"/>
  <c r="DA101" i="1"/>
  <c r="CF103" i="1"/>
  <c r="M103" i="1"/>
  <c r="CG101" i="1"/>
  <c r="DZ32" i="1"/>
  <c r="EA32" i="1" s="1"/>
  <c r="EL32" i="1"/>
  <c r="DR50" i="1"/>
  <c r="DF50" i="1"/>
  <c r="DG50" i="1" s="1"/>
  <c r="M108" i="1"/>
  <c r="EN104" i="1"/>
  <c r="DT104" i="1"/>
  <c r="CZ104" i="1"/>
  <c r="CF104" i="1"/>
  <c r="ET22" i="1"/>
  <c r="EU23" i="1" s="1"/>
  <c r="FF22" i="1"/>
  <c r="DF41" i="1"/>
  <c r="DH41" i="1" s="1"/>
  <c r="DR41" i="1"/>
  <c r="FF60" i="1"/>
  <c r="EU60" i="1"/>
  <c r="ET60" i="1"/>
  <c r="EV60" i="1"/>
  <c r="DR13" i="1"/>
  <c r="DH13" i="1"/>
  <c r="DF13" i="1"/>
  <c r="DG14" i="1" s="1"/>
  <c r="DZ13" i="1"/>
  <c r="EA15" i="1" s="1"/>
  <c r="EL13" i="1"/>
  <c r="FF14" i="1"/>
  <c r="ET14" i="1"/>
  <c r="EU14" i="1" s="1"/>
  <c r="DF42" i="1"/>
  <c r="DH42" i="1" s="1"/>
  <c r="DR42" i="1"/>
  <c r="DG42" i="1"/>
  <c r="DZ4" i="1"/>
  <c r="BJ68" i="1"/>
  <c r="BG85" i="1"/>
  <c r="BK86" i="1"/>
  <c r="BH94" i="1"/>
  <c r="BG94" i="1"/>
  <c r="BF68" i="1"/>
  <c r="BH43" i="1"/>
  <c r="BH78" i="1"/>
  <c r="BH4" i="1"/>
  <c r="EL4" i="1"/>
  <c r="BG78" i="1"/>
  <c r="BF71" i="1"/>
  <c r="BH89" i="1"/>
  <c r="BJ7" i="1"/>
  <c r="BI7" i="1"/>
  <c r="BJ85" i="1"/>
  <c r="BH60" i="1"/>
  <c r="BF89" i="1"/>
  <c r="BI87" i="1"/>
  <c r="BH15" i="1"/>
  <c r="BK96" i="1"/>
  <c r="BI25" i="1"/>
  <c r="BF40" i="1"/>
  <c r="BJ35" i="1"/>
  <c r="BK4" i="1"/>
  <c r="BK13" i="1"/>
  <c r="BK97" i="1"/>
  <c r="BF45" i="1"/>
  <c r="BG35" i="1"/>
  <c r="BK23" i="1"/>
  <c r="BG16" i="1"/>
  <c r="BG9" i="1"/>
  <c r="BI53" i="1"/>
  <c r="BJ94" i="1"/>
  <c r="BJ71" i="1"/>
  <c r="BF96" i="1"/>
  <c r="BH95" i="1"/>
  <c r="BK85" i="1"/>
  <c r="BJ16" i="1"/>
  <c r="BJ49" i="1"/>
  <c r="BI52" i="1"/>
  <c r="BI94" i="1"/>
  <c r="BJ86" i="1"/>
  <c r="BK98" i="1"/>
  <c r="BG77" i="1"/>
  <c r="BF97" i="1"/>
  <c r="BF35" i="1"/>
  <c r="BI32" i="1"/>
  <c r="BF79" i="1"/>
  <c r="BK49" i="1"/>
  <c r="BJ88" i="1"/>
  <c r="BH71" i="1"/>
  <c r="BH80" i="1"/>
  <c r="BJ40" i="1"/>
  <c r="BJ104" i="1"/>
  <c r="BH54" i="1"/>
  <c r="BK70" i="1"/>
  <c r="BJ72" i="1"/>
  <c r="BI40" i="1"/>
  <c r="BI79" i="1"/>
  <c r="BK68" i="1"/>
  <c r="BK60" i="1"/>
  <c r="BH105" i="1"/>
  <c r="BJ34" i="1"/>
  <c r="BJ14" i="1"/>
  <c r="BG44" i="1"/>
  <c r="BH27" i="1"/>
  <c r="BJ8" i="1"/>
  <c r="BH34" i="1"/>
  <c r="BI60" i="1"/>
  <c r="BK14" i="1"/>
  <c r="BH106" i="1"/>
  <c r="BI26" i="1"/>
  <c r="BJ87" i="1"/>
  <c r="BK95" i="1"/>
  <c r="BK53" i="1"/>
  <c r="BI95" i="1"/>
  <c r="BF105" i="1"/>
  <c r="BI78" i="1"/>
  <c r="BG62" i="1"/>
  <c r="BI41" i="1"/>
  <c r="BH90" i="1"/>
  <c r="BF67" i="1"/>
  <c r="BK44" i="1"/>
  <c r="BK105" i="1"/>
  <c r="BF95" i="1"/>
  <c r="BK72" i="1"/>
  <c r="BG95" i="1"/>
  <c r="BF78" i="1"/>
  <c r="BI104" i="1"/>
  <c r="BK89" i="1"/>
  <c r="BK94" i="1"/>
  <c r="BH103" i="1"/>
  <c r="BH69" i="1"/>
  <c r="BG108" i="1"/>
  <c r="BF32" i="1"/>
  <c r="BG59" i="1"/>
  <c r="BI69" i="1"/>
  <c r="BH8" i="1"/>
  <c r="BJ59" i="1"/>
  <c r="BF106" i="1"/>
  <c r="BJ62" i="1"/>
  <c r="BG96" i="1"/>
  <c r="BG79" i="1"/>
  <c r="BF69" i="1"/>
  <c r="BI81" i="1"/>
  <c r="BK107" i="1"/>
  <c r="BK67" i="1"/>
  <c r="BI13" i="1"/>
  <c r="BI98" i="1"/>
  <c r="BJ32" i="1"/>
  <c r="BJ22" i="1"/>
  <c r="BF22" i="1"/>
  <c r="BH108" i="1"/>
  <c r="BK17" i="1"/>
  <c r="BH86" i="1"/>
  <c r="BF54" i="1"/>
  <c r="BF50" i="1"/>
  <c r="BI99" i="1"/>
  <c r="BJ96" i="1"/>
  <c r="BG50" i="1"/>
  <c r="BG14" i="1"/>
  <c r="BG107" i="1"/>
  <c r="BK104" i="1"/>
  <c r="BK5" i="1"/>
  <c r="BI58" i="1"/>
  <c r="BK22" i="1"/>
  <c r="BK33" i="1"/>
  <c r="BH49" i="1"/>
  <c r="BJ44" i="1"/>
  <c r="BF107" i="1"/>
  <c r="BG36" i="1"/>
  <c r="BF77" i="1"/>
  <c r="BG99" i="1"/>
  <c r="BG32" i="1"/>
  <c r="BJ76" i="1"/>
  <c r="BI15" i="1"/>
  <c r="BK103" i="1"/>
  <c r="BJ43" i="1"/>
  <c r="BJ6" i="1"/>
  <c r="BF88" i="1"/>
  <c r="BJ67" i="1"/>
  <c r="BI23" i="1"/>
  <c r="BF41" i="1"/>
  <c r="BF15" i="1"/>
  <c r="BG54" i="1"/>
  <c r="BG87" i="1"/>
  <c r="BI97" i="1"/>
  <c r="BH50" i="1"/>
  <c r="BH81" i="1"/>
  <c r="BF26" i="1"/>
  <c r="BF31" i="1"/>
  <c r="BJ13" i="1"/>
  <c r="DW13" i="1" s="1"/>
  <c r="DH59" i="1"/>
  <c r="DF59" i="1"/>
  <c r="DR59" i="1"/>
  <c r="FF50" i="1"/>
  <c r="ET50" i="1"/>
  <c r="EU50" i="1" s="1"/>
  <c r="DI7" i="1" l="1"/>
  <c r="DJ7" i="1"/>
  <c r="DK7" i="1" s="1"/>
  <c r="DJ5" i="1"/>
  <c r="DK5" i="1" s="1"/>
  <c r="DJ61" i="1"/>
  <c r="DK61" i="1" s="1"/>
  <c r="DI60" i="1"/>
  <c r="DJ60" i="1"/>
  <c r="DK60" i="1" s="1"/>
  <c r="DJ6" i="1"/>
  <c r="DK6" i="1" s="1"/>
  <c r="DI59" i="1"/>
  <c r="EW79" i="1"/>
  <c r="DI5" i="1"/>
  <c r="DI6" i="1"/>
  <c r="EA61" i="1"/>
  <c r="EA6" i="1"/>
  <c r="BC63" i="1"/>
  <c r="BB72" i="1"/>
  <c r="BA80" i="1"/>
  <c r="AZ59" i="1"/>
  <c r="AZ61" i="1"/>
  <c r="BC94" i="1"/>
  <c r="AZ14" i="1"/>
  <c r="BC15" i="1"/>
  <c r="BD15" i="1"/>
  <c r="BB8" i="1"/>
  <c r="BE33" i="1"/>
  <c r="AZ62" i="1"/>
  <c r="BB67" i="1"/>
  <c r="BC62" i="1"/>
  <c r="BE53" i="1"/>
  <c r="BC86" i="1"/>
  <c r="BB26" i="1"/>
  <c r="BD6" i="1"/>
  <c r="BA77" i="1"/>
  <c r="BB9" i="1"/>
  <c r="BE95" i="1"/>
  <c r="BE31" i="1"/>
  <c r="AZ36" i="1"/>
  <c r="BB36" i="1"/>
  <c r="BE26" i="1"/>
  <c r="BC49" i="1"/>
  <c r="BC14" i="1"/>
  <c r="BC87" i="1"/>
  <c r="AZ5" i="1"/>
  <c r="AZ51" i="1"/>
  <c r="BD105" i="1"/>
  <c r="EA60" i="1"/>
  <c r="FF85" i="1"/>
  <c r="ET85" i="1"/>
  <c r="BE8" i="1"/>
  <c r="BB76" i="1"/>
  <c r="AZ22" i="1"/>
  <c r="AZ34" i="1"/>
  <c r="BB88" i="1"/>
  <c r="BC96" i="1"/>
  <c r="BA54" i="1"/>
  <c r="BD8" i="1"/>
  <c r="BC104" i="1"/>
  <c r="AZ86" i="1"/>
  <c r="BB22" i="1"/>
  <c r="BE15" i="1"/>
  <c r="BD53" i="1"/>
  <c r="BD36" i="1"/>
  <c r="BE42" i="1"/>
  <c r="BE67" i="1"/>
  <c r="BC85" i="1"/>
  <c r="BE85" i="1"/>
  <c r="BB32" i="1"/>
  <c r="BA8" i="1"/>
  <c r="AZ17" i="1"/>
  <c r="AZ13" i="1"/>
  <c r="BC4" i="1"/>
  <c r="BB81" i="1"/>
  <c r="AZ9" i="1"/>
  <c r="BB45" i="1"/>
  <c r="BD40" i="1"/>
  <c r="BA78" i="1"/>
  <c r="BE99" i="1"/>
  <c r="BC32" i="1"/>
  <c r="BC106" i="1"/>
  <c r="CH58" i="1"/>
  <c r="AW103" i="1"/>
  <c r="AX104" i="1"/>
  <c r="AX90" i="1"/>
  <c r="AT104" i="1"/>
  <c r="DH25" i="1"/>
  <c r="EV33" i="1"/>
  <c r="EL86" i="1"/>
  <c r="DZ86" i="1"/>
  <c r="DH58" i="1"/>
  <c r="DI61" i="1" s="1"/>
  <c r="EB15" i="1"/>
  <c r="BM59" i="1"/>
  <c r="BL25" i="1"/>
  <c r="BL90" i="1"/>
  <c r="BL95" i="1"/>
  <c r="BN60" i="1"/>
  <c r="BO45" i="1"/>
  <c r="BQ53" i="1"/>
  <c r="BL70" i="1"/>
  <c r="BL67" i="1"/>
  <c r="BP95" i="1"/>
  <c r="BP26" i="1"/>
  <c r="BP4" i="1"/>
  <c r="BN9" i="1"/>
  <c r="BO49" i="1"/>
  <c r="BQ78" i="1"/>
  <c r="DG24" i="1"/>
  <c r="BC95" i="1"/>
  <c r="BA17" i="1"/>
  <c r="BC41" i="1"/>
  <c r="BE79" i="1"/>
  <c r="BB50" i="1"/>
  <c r="BB107" i="1"/>
  <c r="BC61" i="1"/>
  <c r="BC42" i="1"/>
  <c r="BC24" i="1"/>
  <c r="BD25" i="1"/>
  <c r="BA107" i="1"/>
  <c r="BC7" i="1"/>
  <c r="BE61" i="1"/>
  <c r="BD52" i="1"/>
  <c r="BE9" i="1"/>
  <c r="BJ36" i="1"/>
  <c r="BF108" i="1"/>
  <c r="BH14" i="1"/>
  <c r="BF52" i="1"/>
  <c r="DU52" i="1" s="1"/>
  <c r="BG7" i="1"/>
  <c r="BF58" i="1"/>
  <c r="BG33" i="1"/>
  <c r="BI54" i="1"/>
  <c r="BK99" i="1"/>
  <c r="BG67" i="1"/>
  <c r="BH18" i="1"/>
  <c r="DV14" i="1" s="1"/>
  <c r="BK54" i="1"/>
  <c r="BK45" i="1"/>
  <c r="BJ5" i="1"/>
  <c r="BH9" i="1"/>
  <c r="BH32" i="1"/>
  <c r="BH68" i="1"/>
  <c r="AU90" i="1"/>
  <c r="AX108" i="1"/>
  <c r="CG79" i="1"/>
  <c r="AT98" i="1"/>
  <c r="AW89" i="1"/>
  <c r="CG40" i="1"/>
  <c r="CJ40" i="1" s="1"/>
  <c r="CI52" i="1"/>
  <c r="AX87" i="1"/>
  <c r="AY85" i="1"/>
  <c r="AW85" i="1"/>
  <c r="CH86" i="1" s="1"/>
  <c r="CH50" i="1"/>
  <c r="AX95" i="1"/>
  <c r="CG14" i="1"/>
  <c r="CJ14" i="1" s="1"/>
  <c r="CH5" i="1"/>
  <c r="CI25" i="1"/>
  <c r="CI69" i="1"/>
  <c r="EA58" i="1"/>
  <c r="DG32" i="1"/>
  <c r="EB78" i="1"/>
  <c r="EB33" i="1"/>
  <c r="DG76" i="1"/>
  <c r="BP52" i="1"/>
  <c r="BN104" i="1"/>
  <c r="BP22" i="1"/>
  <c r="BP87" i="1"/>
  <c r="BQ72" i="1"/>
  <c r="BO4" i="1"/>
  <c r="BP43" i="1"/>
  <c r="BO31" i="1"/>
  <c r="BP76" i="1"/>
  <c r="BM42" i="1"/>
  <c r="BN41" i="1"/>
  <c r="BM49" i="1"/>
  <c r="BP79" i="1"/>
  <c r="EQ79" i="1" s="1"/>
  <c r="BM78" i="1"/>
  <c r="BQ106" i="1"/>
  <c r="BP86" i="1"/>
  <c r="BL14" i="1"/>
  <c r="BP72" i="1"/>
  <c r="BQ15" i="1"/>
  <c r="BQ105" i="1"/>
  <c r="BM95" i="1"/>
  <c r="BL35" i="1"/>
  <c r="BN105" i="1"/>
  <c r="BL23" i="1"/>
  <c r="BQ62" i="1"/>
  <c r="BM97" i="1"/>
  <c r="BP68" i="1"/>
  <c r="BP9" i="1"/>
  <c r="BL89" i="1"/>
  <c r="BM89" i="1"/>
  <c r="BN94" i="1"/>
  <c r="EB61" i="1"/>
  <c r="DH24" i="1"/>
  <c r="EB24" i="1"/>
  <c r="DG79" i="1"/>
  <c r="AZ90" i="1"/>
  <c r="BE16" i="1"/>
  <c r="BD62" i="1"/>
  <c r="AZ24" i="1"/>
  <c r="BC99" i="1"/>
  <c r="BC22" i="1"/>
  <c r="BD42" i="1"/>
  <c r="BE17" i="1"/>
  <c r="BC8" i="1"/>
  <c r="BD51" i="1"/>
  <c r="BA87" i="1"/>
  <c r="BE80" i="1"/>
  <c r="BE59" i="1"/>
  <c r="BE81" i="1"/>
  <c r="BA53" i="1"/>
  <c r="BC44" i="1"/>
  <c r="BD54" i="1"/>
  <c r="BA67" i="1"/>
  <c r="AZ77" i="1"/>
  <c r="BC26" i="1"/>
  <c r="BA18" i="1"/>
  <c r="BB35" i="1"/>
  <c r="AZ70" i="1"/>
  <c r="BD85" i="1"/>
  <c r="DC85" i="1" s="1"/>
  <c r="BA97" i="1"/>
  <c r="AZ97" i="1"/>
  <c r="BA27" i="1"/>
  <c r="BB70" i="1"/>
  <c r="BE51" i="1"/>
  <c r="BC34" i="1"/>
  <c r="BD34" i="1"/>
  <c r="DI4" i="1"/>
  <c r="EV43" i="1"/>
  <c r="DW68" i="1"/>
  <c r="EU22" i="1"/>
  <c r="FF103" i="1"/>
  <c r="ET103" i="1"/>
  <c r="AW107" i="1"/>
  <c r="CI32" i="1"/>
  <c r="AU103" i="1"/>
  <c r="AW94" i="1"/>
  <c r="AV85" i="1"/>
  <c r="DH43" i="1"/>
  <c r="DG43" i="1"/>
  <c r="DH32" i="1"/>
  <c r="EB14" i="1"/>
  <c r="ED7" i="1"/>
  <c r="EE7" i="1" s="1"/>
  <c r="EA49" i="1"/>
  <c r="EA25" i="1"/>
  <c r="EV70" i="1"/>
  <c r="EU70" i="1"/>
  <c r="BP13" i="1"/>
  <c r="BQ50" i="1"/>
  <c r="BP60" i="1"/>
  <c r="BM108" i="1"/>
  <c r="BN76" i="1"/>
  <c r="BP62" i="1"/>
  <c r="BQ68" i="1"/>
  <c r="BQ98" i="1"/>
  <c r="BQ54" i="1"/>
  <c r="BL4" i="1"/>
  <c r="BP18" i="1"/>
  <c r="EQ14" i="1" s="1"/>
  <c r="BO87" i="1"/>
  <c r="BN53" i="1"/>
  <c r="BQ85" i="1"/>
  <c r="BP78" i="1"/>
  <c r="BQ70" i="1"/>
  <c r="EV42" i="1"/>
  <c r="EW40" i="1" s="1"/>
  <c r="EB6" i="1"/>
  <c r="EC4" i="1" s="1"/>
  <c r="EV61" i="1"/>
  <c r="EW60" i="1" s="1"/>
  <c r="BC52" i="1"/>
  <c r="BD32" i="1"/>
  <c r="AZ107" i="1"/>
  <c r="BC16" i="1"/>
  <c r="BD76" i="1"/>
  <c r="BC108" i="1"/>
  <c r="BD79" i="1"/>
  <c r="BB43" i="1"/>
  <c r="DB43" i="1" s="1"/>
  <c r="BB27" i="1"/>
  <c r="DB23" i="1" s="1"/>
  <c r="BB97" i="1"/>
  <c r="BD49" i="1"/>
  <c r="BE24" i="1"/>
  <c r="BA35" i="1"/>
  <c r="BD16" i="1"/>
  <c r="BA24" i="1"/>
  <c r="BD7" i="1"/>
  <c r="EB40" i="1"/>
  <c r="BH88" i="1"/>
  <c r="BH26" i="1"/>
  <c r="BH107" i="1"/>
  <c r="BI63" i="1"/>
  <c r="BH76" i="1"/>
  <c r="BK27" i="1"/>
  <c r="BH104" i="1"/>
  <c r="BK78" i="1"/>
  <c r="BJ90" i="1"/>
  <c r="BF17" i="1"/>
  <c r="BJ23" i="1"/>
  <c r="BK71" i="1"/>
  <c r="BJ107" i="1"/>
  <c r="BJ17" i="1"/>
  <c r="BH23" i="1"/>
  <c r="BI107" i="1"/>
  <c r="DV103" i="1" s="1"/>
  <c r="BH22" i="1"/>
  <c r="DV22" i="1" s="1"/>
  <c r="BJ103" i="1"/>
  <c r="BH16" i="1"/>
  <c r="BI80" i="1"/>
  <c r="BK81" i="1"/>
  <c r="BG15" i="1"/>
  <c r="BH33" i="1"/>
  <c r="BJ89" i="1"/>
  <c r="BF49" i="1"/>
  <c r="BI59" i="1"/>
  <c r="BG69" i="1"/>
  <c r="BI62" i="1"/>
  <c r="BG26" i="1"/>
  <c r="BJ78" i="1"/>
  <c r="BF94" i="1"/>
  <c r="DU94" i="1" s="1"/>
  <c r="BG97" i="1"/>
  <c r="BF86" i="1"/>
  <c r="BK34" i="1"/>
  <c r="BF42" i="1"/>
  <c r="BG52" i="1"/>
  <c r="BF53" i="1"/>
  <c r="BG98" i="1"/>
  <c r="BH7" i="1"/>
  <c r="DV4" i="1" s="1"/>
  <c r="BI35" i="1"/>
  <c r="BF63" i="1"/>
  <c r="BF7" i="1"/>
  <c r="BK18" i="1"/>
  <c r="BG63" i="1"/>
  <c r="BK87" i="1"/>
  <c r="EA13" i="1"/>
  <c r="EV22" i="1"/>
  <c r="CH25" i="1"/>
  <c r="AW96" i="1"/>
  <c r="AY107" i="1"/>
  <c r="AU87" i="1"/>
  <c r="CH24" i="1"/>
  <c r="CH60" i="1"/>
  <c r="CG49" i="1"/>
  <c r="CJ49" i="1" s="1"/>
  <c r="AX86" i="1"/>
  <c r="CI4" i="1"/>
  <c r="CI22" i="1"/>
  <c r="AV106" i="1"/>
  <c r="AY106" i="1"/>
  <c r="AU85" i="1"/>
  <c r="CG52" i="1"/>
  <c r="CI23" i="1"/>
  <c r="CH31" i="1"/>
  <c r="AY97" i="1"/>
  <c r="AU94" i="1"/>
  <c r="AX105" i="1"/>
  <c r="EU43" i="1"/>
  <c r="EL87" i="1"/>
  <c r="DZ87" i="1"/>
  <c r="DH40" i="1"/>
  <c r="DJ41" i="1" s="1"/>
  <c r="DK41" i="1" s="1"/>
  <c r="BP99" i="1"/>
  <c r="BM45" i="1"/>
  <c r="BN26" i="1"/>
  <c r="BL86" i="1"/>
  <c r="EO87" i="1" s="1"/>
  <c r="BP67" i="1"/>
  <c r="BL105" i="1"/>
  <c r="BM99" i="1"/>
  <c r="BQ7" i="1"/>
  <c r="BO17" i="1"/>
  <c r="BO40" i="1"/>
  <c r="BP59" i="1"/>
  <c r="EQ60" i="1" s="1"/>
  <c r="BL32" i="1"/>
  <c r="BN35" i="1"/>
  <c r="BL81" i="1"/>
  <c r="BM36" i="1"/>
  <c r="BN87" i="1"/>
  <c r="BM18" i="1"/>
  <c r="BQ63" i="1"/>
  <c r="BQ25" i="1"/>
  <c r="BO59" i="1"/>
  <c r="BP94" i="1"/>
  <c r="BP5" i="1"/>
  <c r="EQ6" i="1" s="1"/>
  <c r="BL80" i="1"/>
  <c r="BL44" i="1"/>
  <c r="BO9" i="1"/>
  <c r="BQ95" i="1"/>
  <c r="BO69" i="1"/>
  <c r="BP49" i="1"/>
  <c r="BN45" i="1"/>
  <c r="EU4" i="1"/>
  <c r="BM86" i="1"/>
  <c r="DG15" i="1"/>
  <c r="DF97" i="1"/>
  <c r="DR97" i="1"/>
  <c r="DH79" i="1"/>
  <c r="BB103" i="1"/>
  <c r="BC23" i="1"/>
  <c r="BA76" i="1"/>
  <c r="BA6" i="1"/>
  <c r="BE94" i="1"/>
  <c r="AZ31" i="1"/>
  <c r="BB16" i="1"/>
  <c r="BB95" i="1"/>
  <c r="DB96" i="1" s="1"/>
  <c r="AZ98" i="1"/>
  <c r="BA90" i="1"/>
  <c r="BB51" i="1"/>
  <c r="BB77" i="1"/>
  <c r="AZ42" i="1"/>
  <c r="BC43" i="1"/>
  <c r="BE103" i="1"/>
  <c r="BE97" i="1"/>
  <c r="BE76" i="1"/>
  <c r="BB53" i="1"/>
  <c r="BC107" i="1"/>
  <c r="BD27" i="1"/>
  <c r="BD17" i="1"/>
  <c r="AZ35" i="1"/>
  <c r="BD95" i="1"/>
  <c r="DC96" i="1" s="1"/>
  <c r="BC31" i="1"/>
  <c r="BE60" i="1"/>
  <c r="BA33" i="1"/>
  <c r="BA23" i="1"/>
  <c r="AZ18" i="1"/>
  <c r="DA14" i="1" s="1"/>
  <c r="BD9" i="1"/>
  <c r="BE71" i="1"/>
  <c r="BD68" i="1"/>
  <c r="DJ4" i="1"/>
  <c r="DK4" i="1" s="1"/>
  <c r="DU42" i="1"/>
  <c r="CG50" i="1"/>
  <c r="CJ50" i="1" s="1"/>
  <c r="BN25" i="1"/>
  <c r="BO105" i="1"/>
  <c r="BN18" i="1"/>
  <c r="BO85" i="1"/>
  <c r="EU34" i="1"/>
  <c r="EU42" i="1"/>
  <c r="BB108" i="1"/>
  <c r="BE5" i="1"/>
  <c r="AZ58" i="1"/>
  <c r="BD61" i="1"/>
  <c r="BI77" i="1"/>
  <c r="BK80" i="1"/>
  <c r="BJ27" i="1"/>
  <c r="CG60" i="1"/>
  <c r="CJ60" i="1" s="1"/>
  <c r="CI15" i="1"/>
  <c r="EU16" i="1"/>
  <c r="DH68" i="1"/>
  <c r="BM88" i="1"/>
  <c r="BP33" i="1"/>
  <c r="BO61" i="1"/>
  <c r="BP40" i="1"/>
  <c r="BP85" i="1"/>
  <c r="EQ85" i="1" s="1"/>
  <c r="EL97" i="1"/>
  <c r="DZ97" i="1"/>
  <c r="EA97" i="1" s="1"/>
  <c r="BD77" i="1"/>
  <c r="BH77" i="1"/>
  <c r="DV78" i="1" s="1"/>
  <c r="BK35" i="1"/>
  <c r="BG5" i="1"/>
  <c r="BI34" i="1"/>
  <c r="BF103" i="1"/>
  <c r="DU103" i="1" s="1"/>
  <c r="BK90" i="1"/>
  <c r="BK24" i="1"/>
  <c r="BK51" i="1"/>
  <c r="BJ63" i="1"/>
  <c r="BG27" i="1"/>
  <c r="BJ18" i="1"/>
  <c r="BG106" i="1"/>
  <c r="EL104" i="1"/>
  <c r="DZ104" i="1"/>
  <c r="DH50" i="1"/>
  <c r="EB32" i="1"/>
  <c r="AV103" i="1"/>
  <c r="CH103" i="1" s="1"/>
  <c r="CG78" i="1"/>
  <c r="AT87" i="1"/>
  <c r="CG42" i="1"/>
  <c r="CJ42" i="1" s="1"/>
  <c r="CI7" i="1"/>
  <c r="AX103" i="1"/>
  <c r="AV108" i="1"/>
  <c r="CH104" i="1" s="1"/>
  <c r="AW104" i="1"/>
  <c r="CH69" i="1"/>
  <c r="CH32" i="1"/>
  <c r="AU86" i="1"/>
  <c r="AY104" i="1"/>
  <c r="AT85" i="1"/>
  <c r="CG85" i="1" s="1"/>
  <c r="AX85" i="1"/>
  <c r="CG5" i="1"/>
  <c r="CJ5" i="1" s="1"/>
  <c r="CH13" i="1"/>
  <c r="CJ13" i="1" s="1"/>
  <c r="CL13" i="1" s="1"/>
  <c r="AU97" i="1"/>
  <c r="CI60" i="1"/>
  <c r="CH61" i="1"/>
  <c r="EW7" i="1"/>
  <c r="EV78" i="1"/>
  <c r="ET87" i="1"/>
  <c r="FF87" i="1"/>
  <c r="EV32" i="1"/>
  <c r="EV77" i="1"/>
  <c r="DG16" i="1"/>
  <c r="EV16" i="1"/>
  <c r="EW15" i="1" s="1"/>
  <c r="EB23" i="1"/>
  <c r="DG49" i="1"/>
  <c r="DH69" i="1"/>
  <c r="ET105" i="1"/>
  <c r="FF105" i="1"/>
  <c r="DH70" i="1"/>
  <c r="EV5" i="1"/>
  <c r="EW4" i="1" s="1"/>
  <c r="DZ94" i="1"/>
  <c r="EL94" i="1"/>
  <c r="BL49" i="1"/>
  <c r="EO49" i="1" s="1"/>
  <c r="BN86" i="1"/>
  <c r="BP36" i="1"/>
  <c r="BN88" i="1"/>
  <c r="BP98" i="1"/>
  <c r="BQ94" i="1"/>
  <c r="BO67" i="1"/>
  <c r="BQ89" i="1"/>
  <c r="BO52" i="1"/>
  <c r="BL98" i="1"/>
  <c r="BL108" i="1"/>
  <c r="EO104" i="1" s="1"/>
  <c r="BP89" i="1"/>
  <c r="EQ86" i="1" s="1"/>
  <c r="BN40" i="1"/>
  <c r="BM33" i="1"/>
  <c r="BP96" i="1"/>
  <c r="BP14" i="1"/>
  <c r="BO27" i="1"/>
  <c r="BN106" i="1"/>
  <c r="BL79" i="1"/>
  <c r="EO79" i="1" s="1"/>
  <c r="BQ61" i="1"/>
  <c r="BN13" i="1"/>
  <c r="BO13" i="1"/>
  <c r="BL71" i="1"/>
  <c r="BP58" i="1"/>
  <c r="EQ58" i="1" s="1"/>
  <c r="BN43" i="1"/>
  <c r="EP43" i="1" s="1"/>
  <c r="BQ31" i="1"/>
  <c r="BN68" i="1"/>
  <c r="EP69" i="1" s="1"/>
  <c r="BN17" i="1"/>
  <c r="BO77" i="1"/>
  <c r="EP79" i="1" s="1"/>
  <c r="BO25" i="1"/>
  <c r="BQ34" i="1"/>
  <c r="EB41" i="1"/>
  <c r="EU59" i="1"/>
  <c r="ET97" i="1"/>
  <c r="EV97" i="1" s="1"/>
  <c r="FF97" i="1"/>
  <c r="EA24" i="1"/>
  <c r="AZ54" i="1"/>
  <c r="BA72" i="1"/>
  <c r="BC103" i="1"/>
  <c r="AZ25" i="1"/>
  <c r="BB40" i="1"/>
  <c r="BB59" i="1"/>
  <c r="BA41" i="1"/>
  <c r="BC72" i="1"/>
  <c r="BE27" i="1"/>
  <c r="AZ27" i="1"/>
  <c r="BD98" i="1"/>
  <c r="AZ79" i="1"/>
  <c r="BC67" i="1"/>
  <c r="BA22" i="1"/>
  <c r="BE44" i="1"/>
  <c r="BB86" i="1"/>
  <c r="DB87" i="1" s="1"/>
  <c r="AZ33" i="1"/>
  <c r="BB87" i="1"/>
  <c r="BD72" i="1"/>
  <c r="AZ67" i="1"/>
  <c r="BD81" i="1"/>
  <c r="DC77" i="1" s="1"/>
  <c r="AZ85" i="1"/>
  <c r="DA85" i="1" s="1"/>
  <c r="BE50" i="1"/>
  <c r="BC69" i="1"/>
  <c r="AZ44" i="1"/>
  <c r="BE18" i="1"/>
  <c r="BD97" i="1"/>
  <c r="DC97" i="1" s="1"/>
  <c r="AZ23" i="1"/>
  <c r="DA24" i="1" s="1"/>
  <c r="BB31" i="1"/>
  <c r="DG70" i="1"/>
  <c r="EP59" i="1"/>
  <c r="DU16" i="1"/>
  <c r="DW7" i="1"/>
  <c r="DU78" i="1"/>
  <c r="DX78" i="1" s="1"/>
  <c r="DW87" i="1"/>
  <c r="DV86" i="1"/>
  <c r="CL15" i="1"/>
  <c r="EU52" i="1"/>
  <c r="EV52" i="1"/>
  <c r="DF94" i="1"/>
  <c r="DR94" i="1"/>
  <c r="EP32" i="1"/>
  <c r="EO32" i="1"/>
  <c r="ER32" i="1" s="1"/>
  <c r="EP52" i="1"/>
  <c r="EP6" i="1"/>
  <c r="EP25" i="1"/>
  <c r="BC51" i="1"/>
  <c r="BB44" i="1"/>
  <c r="BA42" i="1"/>
  <c r="AZ50" i="1"/>
  <c r="DA51" i="1" s="1"/>
  <c r="BE43" i="1"/>
  <c r="BB15" i="1"/>
  <c r="BA59" i="1"/>
  <c r="BD43" i="1"/>
  <c r="DC43" i="1" s="1"/>
  <c r="AZ94" i="1"/>
  <c r="DA94" i="1" s="1"/>
  <c r="BD23" i="1"/>
  <c r="DC24" i="1" s="1"/>
  <c r="BC90" i="1"/>
  <c r="BC54" i="1"/>
  <c r="BE88" i="1"/>
  <c r="BD63" i="1"/>
  <c r="BB52" i="1"/>
  <c r="AZ105" i="1"/>
  <c r="BD44" i="1"/>
  <c r="BA79" i="1"/>
  <c r="BC9" i="1"/>
  <c r="BC27" i="1"/>
  <c r="BD45" i="1"/>
  <c r="BA50" i="1"/>
  <c r="BB94" i="1"/>
  <c r="DB94" i="1" s="1"/>
  <c r="AZ32" i="1"/>
  <c r="DA33" i="1" s="1"/>
  <c r="BA44" i="1"/>
  <c r="BD60" i="1"/>
  <c r="BB80" i="1"/>
  <c r="BA4" i="1"/>
  <c r="BB5" i="1"/>
  <c r="BC18" i="1"/>
  <c r="BC71" i="1"/>
  <c r="EV50" i="1"/>
  <c r="DV106" i="1"/>
  <c r="DV96" i="1"/>
  <c r="DV94" i="1"/>
  <c r="AU108" i="1"/>
  <c r="AT95" i="1"/>
  <c r="AY103" i="1"/>
  <c r="AV98" i="1"/>
  <c r="CJ7" i="1"/>
  <c r="AY108" i="1"/>
  <c r="AU105" i="1"/>
  <c r="AV94" i="1"/>
  <c r="CG69" i="1"/>
  <c r="CJ69" i="1" s="1"/>
  <c r="EV49" i="1"/>
  <c r="EB58" i="1"/>
  <c r="EB77" i="1"/>
  <c r="EB16" i="1"/>
  <c r="DF86" i="1"/>
  <c r="DR86" i="1"/>
  <c r="DG34" i="1"/>
  <c r="EP7" i="1"/>
  <c r="EP15" i="1"/>
  <c r="EQ25" i="1"/>
  <c r="EQ70" i="1"/>
  <c r="EQ103" i="1"/>
  <c r="DW94" i="1"/>
  <c r="CI33" i="1"/>
  <c r="AU104" i="1"/>
  <c r="CJ24" i="1"/>
  <c r="CH67" i="1"/>
  <c r="CJ67" i="1" s="1"/>
  <c r="DR87" i="1"/>
  <c r="DF87" i="1"/>
  <c r="DG69" i="1"/>
  <c r="DG68" i="1"/>
  <c r="EU24" i="1"/>
  <c r="BL104" i="1"/>
  <c r="BN99" i="1"/>
  <c r="BQ107" i="1"/>
  <c r="BQ67" i="1"/>
  <c r="EQ68" i="1" s="1"/>
  <c r="BM5" i="1"/>
  <c r="BO50" i="1"/>
  <c r="BL99" i="1"/>
  <c r="EO95" i="1" s="1"/>
  <c r="BM61" i="1"/>
  <c r="BQ49" i="1"/>
  <c r="BM52" i="1"/>
  <c r="BO32" i="1"/>
  <c r="BP53" i="1"/>
  <c r="BN70" i="1"/>
  <c r="BL53" i="1"/>
  <c r="EO50" i="1" s="1"/>
  <c r="BA45" i="1"/>
  <c r="BA5" i="1"/>
  <c r="BB42" i="1"/>
  <c r="BC89" i="1"/>
  <c r="BE35" i="1"/>
  <c r="BC45" i="1"/>
  <c r="BA89" i="1"/>
  <c r="BC5" i="1"/>
  <c r="BE49" i="1"/>
  <c r="BE36" i="1"/>
  <c r="BC17" i="1"/>
  <c r="BD96" i="1"/>
  <c r="BA16" i="1"/>
  <c r="BC35" i="1"/>
  <c r="BD35" i="1"/>
  <c r="BB18" i="1"/>
  <c r="BD5" i="1"/>
  <c r="BE62" i="1"/>
  <c r="DJ52" i="1"/>
  <c r="DK52" i="1" s="1"/>
  <c r="DI52" i="1"/>
  <c r="DG59" i="1"/>
  <c r="BI6" i="1"/>
  <c r="BK41" i="1"/>
  <c r="BG40" i="1"/>
  <c r="BI44" i="1"/>
  <c r="BI108" i="1"/>
  <c r="BJ50" i="1"/>
  <c r="DW51" i="1" s="1"/>
  <c r="BH98" i="1"/>
  <c r="BK42" i="1"/>
  <c r="BF104" i="1"/>
  <c r="BK6" i="1"/>
  <c r="BH52" i="1"/>
  <c r="DV52" i="1" s="1"/>
  <c r="CJ76" i="1"/>
  <c r="AT99" i="1"/>
  <c r="CG95" i="1" s="1"/>
  <c r="AT103" i="1"/>
  <c r="AT96" i="1"/>
  <c r="CG68" i="1"/>
  <c r="CJ68" i="1" s="1"/>
  <c r="AY87" i="1"/>
  <c r="AW106" i="1"/>
  <c r="EU32" i="1"/>
  <c r="EA52" i="1"/>
  <c r="EB52" i="1"/>
  <c r="EA5" i="1"/>
  <c r="DG31" i="1"/>
  <c r="EV69" i="1"/>
  <c r="EU67" i="1"/>
  <c r="BM25" i="1"/>
  <c r="BO41" i="1"/>
  <c r="BN49" i="1"/>
  <c r="BO96" i="1"/>
  <c r="BO54" i="1"/>
  <c r="BL88" i="1"/>
  <c r="EO88" i="1" s="1"/>
  <c r="BN22" i="1"/>
  <c r="BL27" i="1"/>
  <c r="BL51" i="1"/>
  <c r="BN85" i="1"/>
  <c r="EP85" i="1" s="1"/>
  <c r="BM69" i="1"/>
  <c r="BM85" i="1"/>
  <c r="BM34" i="1"/>
  <c r="BO26" i="1"/>
  <c r="BM26" i="1"/>
  <c r="EV34" i="1"/>
  <c r="EV25" i="1"/>
  <c r="BA103" i="1"/>
  <c r="BD50" i="1"/>
  <c r="DC51" i="1" s="1"/>
  <c r="BC50" i="1"/>
  <c r="BD108" i="1"/>
  <c r="BD13" i="1"/>
  <c r="BD103" i="1"/>
  <c r="BA69" i="1"/>
  <c r="BB62" i="1"/>
  <c r="BA63" i="1"/>
  <c r="BA7" i="1"/>
  <c r="AZ87" i="1"/>
  <c r="BC60" i="1"/>
  <c r="BD18" i="1"/>
  <c r="BD107" i="1"/>
  <c r="BE70" i="1"/>
  <c r="BB78" i="1"/>
  <c r="BB85" i="1"/>
  <c r="AZ45" i="1"/>
  <c r="AZ103" i="1"/>
  <c r="DA103" i="1" s="1"/>
  <c r="BE32" i="1"/>
  <c r="AZ6" i="1"/>
  <c r="DA7" i="1" s="1"/>
  <c r="BE90" i="1"/>
  <c r="EV23" i="1"/>
  <c r="BK50" i="1"/>
  <c r="BI31" i="1"/>
  <c r="BH42" i="1"/>
  <c r="BF80" i="1"/>
  <c r="DU79" i="1" s="1"/>
  <c r="BI45" i="1"/>
  <c r="BF60" i="1"/>
  <c r="BI106" i="1"/>
  <c r="DV104" i="1" s="1"/>
  <c r="BI76" i="1"/>
  <c r="DV77" i="1" s="1"/>
  <c r="BI90" i="1"/>
  <c r="BK25" i="1"/>
  <c r="BI49" i="1"/>
  <c r="BH85" i="1"/>
  <c r="DV85" i="1" s="1"/>
  <c r="BF61" i="1"/>
  <c r="DU61" i="1" s="1"/>
  <c r="BJ69" i="1"/>
  <c r="DW67" i="1" s="1"/>
  <c r="BJ15" i="1"/>
  <c r="DW16" i="1" s="1"/>
  <c r="BJ80" i="1"/>
  <c r="BG60" i="1"/>
  <c r="BJ58" i="1"/>
  <c r="DW58" i="1" s="1"/>
  <c r="BG103" i="1"/>
  <c r="BI67" i="1"/>
  <c r="BG104" i="1"/>
  <c r="DU106" i="1" s="1"/>
  <c r="DX106" i="1" s="1"/>
  <c r="BF34" i="1"/>
  <c r="DU34" i="1" s="1"/>
  <c r="BG18" i="1"/>
  <c r="BK76" i="1"/>
  <c r="DW77" i="1" s="1"/>
  <c r="BH70" i="1"/>
  <c r="BJ24" i="1"/>
  <c r="DW25" i="1" s="1"/>
  <c r="BG81" i="1"/>
  <c r="BF44" i="1"/>
  <c r="BI27" i="1"/>
  <c r="BG89" i="1"/>
  <c r="AT86" i="1"/>
  <c r="CG87" i="1" s="1"/>
  <c r="CG61" i="1"/>
  <c r="CJ61" i="1" s="1"/>
  <c r="CG33" i="1"/>
  <c r="CJ33" i="1" s="1"/>
  <c r="CH77" i="1"/>
  <c r="CG25" i="1"/>
  <c r="CJ25" i="1" s="1"/>
  <c r="CL25" i="1" s="1"/>
  <c r="AU107" i="1"/>
  <c r="CG23" i="1"/>
  <c r="CJ23" i="1" s="1"/>
  <c r="AX106" i="1"/>
  <c r="AU98" i="1"/>
  <c r="AY99" i="1"/>
  <c r="DH49" i="1"/>
  <c r="DI51" i="1" s="1"/>
  <c r="EA76" i="1"/>
  <c r="DR105" i="1"/>
  <c r="DH105" i="1"/>
  <c r="DF105" i="1"/>
  <c r="EC69" i="1"/>
  <c r="EV51" i="1"/>
  <c r="EB34" i="1"/>
  <c r="ET94" i="1"/>
  <c r="EV94" i="1"/>
  <c r="FF94" i="1"/>
  <c r="EU69" i="1"/>
  <c r="BP44" i="1"/>
  <c r="EQ41" i="1" s="1"/>
  <c r="BL59" i="1"/>
  <c r="EO60" i="1" s="1"/>
  <c r="BQ108" i="1"/>
  <c r="BL106" i="1"/>
  <c r="BN33" i="1"/>
  <c r="BM23" i="1"/>
  <c r="BM76" i="1"/>
  <c r="BQ44" i="1"/>
  <c r="BP15" i="1"/>
  <c r="EQ16" i="1" s="1"/>
  <c r="BN96" i="1"/>
  <c r="BQ42" i="1"/>
  <c r="EQ42" i="1" s="1"/>
  <c r="BM62" i="1"/>
  <c r="BQ5" i="1"/>
  <c r="EQ7" i="1" s="1"/>
  <c r="BQ51" i="1"/>
  <c r="EQ51" i="1" s="1"/>
  <c r="BO106" i="1"/>
  <c r="BO51" i="1"/>
  <c r="EP51" i="1" s="1"/>
  <c r="BO60" i="1"/>
  <c r="BP77" i="1"/>
  <c r="EQ78" i="1" s="1"/>
  <c r="BO44" i="1"/>
  <c r="BM24" i="1"/>
  <c r="BN81" i="1"/>
  <c r="EP77" i="1" s="1"/>
  <c r="BP81" i="1"/>
  <c r="BP42" i="1"/>
  <c r="BQ76" i="1"/>
  <c r="BO62" i="1"/>
  <c r="BN44" i="1"/>
  <c r="BM106" i="1"/>
  <c r="BQ99" i="1"/>
  <c r="BO53" i="1"/>
  <c r="BN61" i="1"/>
  <c r="EP61" i="1" s="1"/>
  <c r="BM13" i="1"/>
  <c r="BQ71" i="1"/>
  <c r="EV68" i="1"/>
  <c r="AZ95" i="1"/>
  <c r="BA104" i="1"/>
  <c r="BD67" i="1"/>
  <c r="BD22" i="1"/>
  <c r="DC22" i="1" s="1"/>
  <c r="BB99" i="1"/>
  <c r="BC79" i="1"/>
  <c r="BB90" i="1"/>
  <c r="BD26" i="1"/>
  <c r="BE54" i="1"/>
  <c r="BC77" i="1"/>
  <c r="BB41" i="1"/>
  <c r="DB42" i="1" s="1"/>
  <c r="AZ49" i="1"/>
  <c r="DA49" i="1" s="1"/>
  <c r="BE72" i="1"/>
  <c r="BA40" i="1"/>
  <c r="BB98" i="1"/>
  <c r="BB63" i="1"/>
  <c r="BB58" i="1"/>
  <c r="BB104" i="1"/>
  <c r="AZ4" i="1"/>
  <c r="BE6" i="1"/>
  <c r="BA94" i="1"/>
  <c r="BA68" i="1"/>
  <c r="BE13" i="1"/>
  <c r="BE78" i="1"/>
  <c r="BC53" i="1"/>
  <c r="BA9" i="1"/>
  <c r="AZ71" i="1"/>
  <c r="DA68" i="1" s="1"/>
  <c r="BA99" i="1"/>
  <c r="BC68" i="1"/>
  <c r="BA34" i="1"/>
  <c r="BJ77" i="1"/>
  <c r="DW78" i="1" s="1"/>
  <c r="BK69" i="1"/>
  <c r="DW69" i="1" s="1"/>
  <c r="BG90" i="1"/>
  <c r="BK77" i="1"/>
  <c r="BK36" i="1"/>
  <c r="BF27" i="1"/>
  <c r="DU23" i="1" s="1"/>
  <c r="BG41" i="1"/>
  <c r="BJ52" i="1"/>
  <c r="BK7" i="1"/>
  <c r="BF99" i="1"/>
  <c r="DU95" i="1" s="1"/>
  <c r="DX95" i="1" s="1"/>
  <c r="BG17" i="1"/>
  <c r="BK52" i="1"/>
  <c r="BI103" i="1"/>
  <c r="BF81" i="1"/>
  <c r="BK61" i="1"/>
  <c r="BG31" i="1"/>
  <c r="BH87" i="1"/>
  <c r="BG25" i="1"/>
  <c r="BG71" i="1"/>
  <c r="BH53" i="1"/>
  <c r="DV50" i="1" s="1"/>
  <c r="BG72" i="1"/>
  <c r="DU67" i="1" s="1"/>
  <c r="DX67" i="1" s="1"/>
  <c r="BI71" i="1"/>
  <c r="BK15" i="1"/>
  <c r="BG53" i="1"/>
  <c r="BJ79" i="1"/>
  <c r="DW79" i="1" s="1"/>
  <c r="BG23" i="1"/>
  <c r="BH45" i="1"/>
  <c r="BI68" i="1"/>
  <c r="BG4" i="1"/>
  <c r="BJ4" i="1"/>
  <c r="DW4" i="1" s="1"/>
  <c r="BK63" i="1"/>
  <c r="BJ105" i="1"/>
  <c r="AY94" i="1"/>
  <c r="AT107" i="1"/>
  <c r="CI24" i="1"/>
  <c r="AT108" i="1"/>
  <c r="CG104" i="1" s="1"/>
  <c r="CJ104" i="1" s="1"/>
  <c r="AX99" i="1"/>
  <c r="CI95" i="1" s="1"/>
  <c r="AW97" i="1"/>
  <c r="AV104" i="1"/>
  <c r="CG59" i="1"/>
  <c r="CJ59" i="1" s="1"/>
  <c r="CL59" i="1" s="1"/>
  <c r="CH41" i="1"/>
  <c r="CI41" i="1"/>
  <c r="AX97" i="1"/>
  <c r="AW87" i="1"/>
  <c r="CH87" i="1" s="1"/>
  <c r="AW105" i="1"/>
  <c r="AT94" i="1"/>
  <c r="CG41" i="1"/>
  <c r="CH59" i="1"/>
  <c r="CG6" i="1"/>
  <c r="CJ6" i="1" s="1"/>
  <c r="CL6" i="1" s="1"/>
  <c r="CH52" i="1"/>
  <c r="EU78" i="1"/>
  <c r="DG67" i="1"/>
  <c r="DI78" i="1"/>
  <c r="EB31" i="1"/>
  <c r="EV13" i="1"/>
  <c r="EV58" i="1"/>
  <c r="DG61" i="1"/>
  <c r="DG77" i="1"/>
  <c r="EU76" i="1"/>
  <c r="BO95" i="1"/>
  <c r="BM103" i="1"/>
  <c r="BO15" i="1"/>
  <c r="BN16" i="1"/>
  <c r="BL76" i="1"/>
  <c r="EO76" i="1" s="1"/>
  <c r="BL8" i="1"/>
  <c r="BM32" i="1"/>
  <c r="EO34" i="1" s="1"/>
  <c r="BQ14" i="1"/>
  <c r="BQ17" i="1"/>
  <c r="BP31" i="1"/>
  <c r="BM17" i="1"/>
  <c r="BO58" i="1"/>
  <c r="BM104" i="1"/>
  <c r="BM54" i="1"/>
  <c r="BN67" i="1"/>
  <c r="BQ40" i="1"/>
  <c r="BO88" i="1"/>
  <c r="BP104" i="1"/>
  <c r="EQ105" i="1" s="1"/>
  <c r="BL43" i="1"/>
  <c r="BM15" i="1"/>
  <c r="BQ58" i="1"/>
  <c r="BO42" i="1"/>
  <c r="BP17" i="1"/>
  <c r="BL17" i="1"/>
  <c r="EO16" i="1" s="1"/>
  <c r="BQ6" i="1"/>
  <c r="BN15" i="1"/>
  <c r="BO24" i="1"/>
  <c r="EP23" i="1" s="1"/>
  <c r="BQ97" i="1"/>
  <c r="BL96" i="1"/>
  <c r="BL97" i="1"/>
  <c r="BO78" i="1"/>
  <c r="BQ86" i="1"/>
  <c r="EL95" i="1"/>
  <c r="DZ95" i="1"/>
  <c r="DH85" i="1"/>
  <c r="DG85" i="1"/>
  <c r="DF85" i="1"/>
  <c r="DR85" i="1"/>
  <c r="EU40" i="1"/>
  <c r="EU31" i="1"/>
  <c r="BE14" i="1"/>
  <c r="BB33" i="1"/>
  <c r="AZ88" i="1"/>
  <c r="DA88" i="1" s="1"/>
  <c r="BA96" i="1"/>
  <c r="BB23" i="1"/>
  <c r="BB6" i="1"/>
  <c r="BA108" i="1"/>
  <c r="BA81" i="1"/>
  <c r="BD41" i="1"/>
  <c r="DC42" i="1" s="1"/>
  <c r="BD59" i="1"/>
  <c r="DC60" i="1" s="1"/>
  <c r="BD80" i="1"/>
  <c r="AZ7" i="1"/>
  <c r="BA60" i="1"/>
  <c r="BD86" i="1"/>
  <c r="BE105" i="1"/>
  <c r="BA51" i="1"/>
  <c r="BA105" i="1"/>
  <c r="AZ52" i="1"/>
  <c r="BE106" i="1"/>
  <c r="BA15" i="1"/>
  <c r="BC33" i="1"/>
  <c r="BE96" i="1"/>
  <c r="BB4" i="1"/>
  <c r="DB4" i="1" s="1"/>
  <c r="AZ69" i="1"/>
  <c r="AZ16" i="1"/>
  <c r="BE45" i="1"/>
  <c r="AZ78" i="1"/>
  <c r="AZ68" i="1"/>
  <c r="BC76" i="1"/>
  <c r="AZ60" i="1"/>
  <c r="BD106" i="1"/>
  <c r="DH15" i="1"/>
  <c r="DJ14" i="1" s="1"/>
  <c r="DK14" i="1" s="1"/>
  <c r="BI14" i="1"/>
  <c r="BI96" i="1"/>
  <c r="BK59" i="1"/>
  <c r="BJ45" i="1"/>
  <c r="DW43" i="1" s="1"/>
  <c r="BF90" i="1"/>
  <c r="DU88" i="1" s="1"/>
  <c r="BH59" i="1"/>
  <c r="DV60" i="1" s="1"/>
  <c r="BI16" i="1"/>
  <c r="BJ99" i="1"/>
  <c r="DW95" i="1" s="1"/>
  <c r="BH72" i="1"/>
  <c r="BK108" i="1"/>
  <c r="DW105" i="1" s="1"/>
  <c r="BF24" i="1"/>
  <c r="BJ98" i="1"/>
  <c r="BK8" i="1"/>
  <c r="BH31" i="1"/>
  <c r="BJ31" i="1"/>
  <c r="BK26" i="1"/>
  <c r="BH61" i="1"/>
  <c r="BG80" i="1"/>
  <c r="BK62" i="1"/>
  <c r="DW60" i="1" s="1"/>
  <c r="BK106" i="1"/>
  <c r="BJ33" i="1"/>
  <c r="BI24" i="1"/>
  <c r="DV23" i="1" s="1"/>
  <c r="BF18" i="1"/>
  <c r="DU14" i="1" s="1"/>
  <c r="DX14" i="1" s="1"/>
  <c r="BG22" i="1"/>
  <c r="BJ106" i="1"/>
  <c r="DW106" i="1" s="1"/>
  <c r="BH25" i="1"/>
  <c r="BH5" i="1"/>
  <c r="BG24" i="1"/>
  <c r="BK88" i="1"/>
  <c r="BK9" i="1"/>
  <c r="BI85" i="1"/>
  <c r="DG13" i="1"/>
  <c r="DG41" i="1"/>
  <c r="AV95" i="1"/>
  <c r="CH96" i="1" s="1"/>
  <c r="CI76" i="1"/>
  <c r="AT106" i="1"/>
  <c r="CG106" i="1" s="1"/>
  <c r="CG77" i="1"/>
  <c r="CJ77" i="1" s="1"/>
  <c r="AX96" i="1"/>
  <c r="AV107" i="1"/>
  <c r="AW95" i="1"/>
  <c r="CI77" i="1"/>
  <c r="CG31" i="1"/>
  <c r="CJ31" i="1" s="1"/>
  <c r="AT89" i="1"/>
  <c r="AV87" i="1"/>
  <c r="AY98" i="1"/>
  <c r="AV97" i="1"/>
  <c r="CH97" i="1" s="1"/>
  <c r="CI58" i="1"/>
  <c r="CI42" i="1"/>
  <c r="EU13" i="1"/>
  <c r="EW6" i="1"/>
  <c r="DG51" i="1"/>
  <c r="BL107" i="1"/>
  <c r="BO107" i="1"/>
  <c r="EP103" i="1" s="1"/>
  <c r="BL72" i="1"/>
  <c r="BL54" i="1"/>
  <c r="BL33" i="1"/>
  <c r="BL50" i="1"/>
  <c r="BM90" i="1"/>
  <c r="BN90" i="1"/>
  <c r="BL13" i="1"/>
  <c r="BL41" i="1"/>
  <c r="EO42" i="1" s="1"/>
  <c r="BL24" i="1"/>
  <c r="EO25" i="1" s="1"/>
  <c r="BO89" i="1"/>
  <c r="BQ36" i="1"/>
  <c r="BQ41" i="1"/>
  <c r="BN63" i="1"/>
  <c r="BQ87" i="1"/>
  <c r="BL62" i="1"/>
  <c r="EO59" i="1" s="1"/>
  <c r="ER59" i="1" s="1"/>
  <c r="BL68" i="1"/>
  <c r="EO69" i="1" s="1"/>
  <c r="ER69" i="1" s="1"/>
  <c r="BQ26" i="1"/>
  <c r="BL60" i="1"/>
  <c r="BP27" i="1"/>
  <c r="BN34" i="1"/>
  <c r="EP34" i="1" s="1"/>
  <c r="BN7" i="1"/>
  <c r="BO22" i="1"/>
  <c r="BL85" i="1"/>
  <c r="BP7" i="1"/>
  <c r="BM14" i="1"/>
  <c r="BM98" i="1"/>
  <c r="BP90" i="1"/>
  <c r="BN32" i="1"/>
  <c r="DG33" i="1"/>
  <c r="EB79" i="1"/>
  <c r="EA70" i="1"/>
  <c r="EU95" i="1"/>
  <c r="FF95" i="1"/>
  <c r="ET95" i="1"/>
  <c r="EV95" i="1" s="1"/>
  <c r="EB85" i="1"/>
  <c r="EL85" i="1"/>
  <c r="DZ85" i="1"/>
  <c r="BC13" i="1"/>
  <c r="BA49" i="1"/>
  <c r="BA88" i="1"/>
  <c r="BA14" i="1"/>
  <c r="AZ26" i="1"/>
  <c r="BE52" i="1"/>
  <c r="BA25" i="1"/>
  <c r="BE23" i="1"/>
  <c r="BE107" i="1"/>
  <c r="AZ108" i="1"/>
  <c r="BC80" i="1"/>
  <c r="AZ76" i="1"/>
  <c r="BD99" i="1"/>
  <c r="BA95" i="1"/>
  <c r="BB71" i="1"/>
  <c r="BE87" i="1"/>
  <c r="AZ104" i="1"/>
  <c r="DA105" i="1" s="1"/>
  <c r="BB60" i="1"/>
  <c r="BC78" i="1"/>
  <c r="BA62" i="1"/>
  <c r="BE68" i="1"/>
  <c r="BA98" i="1"/>
  <c r="AZ15" i="1"/>
  <c r="DA16" i="1" s="1"/>
  <c r="AZ41" i="1"/>
  <c r="BA26" i="1"/>
  <c r="BE25" i="1"/>
  <c r="BD90" i="1"/>
  <c r="BC70" i="1"/>
  <c r="AZ43" i="1"/>
  <c r="DA43" i="1" s="1"/>
  <c r="DD43" i="1" s="1"/>
  <c r="BC25" i="1"/>
  <c r="BB61" i="1"/>
  <c r="EB70" i="1"/>
  <c r="CH51" i="1"/>
  <c r="CJ51" i="1" s="1"/>
  <c r="AV99" i="1"/>
  <c r="CH95" i="1" s="1"/>
  <c r="AU89" i="1"/>
  <c r="CI68" i="1"/>
  <c r="BQ43" i="1"/>
  <c r="BQ103" i="1"/>
  <c r="EQ104" i="1" s="1"/>
  <c r="BQ27" i="1"/>
  <c r="EQ24" i="1" s="1"/>
  <c r="BM67" i="1"/>
  <c r="BQ24" i="1"/>
  <c r="BM27" i="1"/>
  <c r="BQ4" i="1"/>
  <c r="BE104" i="1"/>
  <c r="BB49" i="1"/>
  <c r="BE22" i="1"/>
  <c r="AZ40" i="1"/>
  <c r="DA40" i="1" s="1"/>
  <c r="BI22" i="1"/>
  <c r="BH96" i="1"/>
  <c r="BG68" i="1"/>
  <c r="BJ97" i="1"/>
  <c r="BI105" i="1"/>
  <c r="BI9" i="1"/>
  <c r="EA4" i="1"/>
  <c r="EB13" i="1"/>
  <c r="DF104" i="1"/>
  <c r="DG104" i="1" s="1"/>
  <c r="DR104" i="1"/>
  <c r="AU96" i="1"/>
  <c r="CH34" i="1"/>
  <c r="BL22" i="1"/>
  <c r="BN69" i="1"/>
  <c r="BP54" i="1"/>
  <c r="BL16" i="1"/>
  <c r="BO94" i="1"/>
  <c r="BB96" i="1"/>
  <c r="BE89" i="1"/>
  <c r="BB14" i="1"/>
  <c r="DB15" i="1" s="1"/>
  <c r="BH40" i="1"/>
  <c r="DV40" i="1" s="1"/>
  <c r="BH99" i="1"/>
  <c r="DV95" i="1" s="1"/>
  <c r="BK40" i="1"/>
  <c r="DW41" i="1" s="1"/>
  <c r="BH67" i="1"/>
  <c r="DV67" i="1" s="1"/>
  <c r="BF36" i="1"/>
  <c r="BI8" i="1"/>
  <c r="BH41" i="1"/>
  <c r="BG86" i="1"/>
  <c r="BF43" i="1"/>
  <c r="BJ9" i="1"/>
  <c r="DW5" i="1" s="1"/>
  <c r="CI67" i="1"/>
  <c r="AY88" i="1"/>
  <c r="BF59" i="1"/>
  <c r="DU60" i="1" s="1"/>
  <c r="DX60" i="1" s="1"/>
  <c r="BI43" i="1"/>
  <c r="BG88" i="1"/>
  <c r="DU86" i="1" s="1"/>
  <c r="DX86" i="1" s="1"/>
  <c r="BF8" i="1"/>
  <c r="BH6" i="1"/>
  <c r="BF76" i="1"/>
  <c r="BF5" i="1"/>
  <c r="DU6" i="1" s="1"/>
  <c r="BH13" i="1"/>
  <c r="DV13" i="1" s="1"/>
  <c r="BI17" i="1"/>
  <c r="BK16" i="1"/>
  <c r="DW15" i="1" s="1"/>
  <c r="BF6" i="1"/>
  <c r="DU7" i="1" s="1"/>
  <c r="BF51" i="1"/>
  <c r="BI61" i="1"/>
  <c r="CI70" i="1"/>
  <c r="CG32" i="1"/>
  <c r="CJ32" i="1" s="1"/>
  <c r="CL32" i="1" s="1"/>
  <c r="AT90" i="1"/>
  <c r="CH70" i="1"/>
  <c r="CI79" i="1"/>
  <c r="AV90" i="1"/>
  <c r="CG4" i="1"/>
  <c r="CJ4" i="1" s="1"/>
  <c r="AY105" i="1"/>
  <c r="CG16" i="1"/>
  <c r="CJ16" i="1" s="1"/>
  <c r="CH6" i="1"/>
  <c r="AX88" i="1"/>
  <c r="CI88" i="1" s="1"/>
  <c r="DI16" i="1"/>
  <c r="DZ105" i="1"/>
  <c r="EB103" i="1" s="1"/>
  <c r="EL105" i="1"/>
  <c r="EB105" i="1"/>
  <c r="EU51" i="1"/>
  <c r="EV76" i="1"/>
  <c r="BP25" i="1"/>
  <c r="BN58" i="1"/>
  <c r="BO8" i="1"/>
  <c r="BO108" i="1"/>
  <c r="BM58" i="1"/>
  <c r="BQ79" i="1"/>
  <c r="BQ16" i="1"/>
  <c r="BN23" i="1"/>
  <c r="EP24" i="1" s="1"/>
  <c r="BQ69" i="1"/>
  <c r="BL69" i="1"/>
  <c r="BN98" i="1"/>
  <c r="EP97" i="1" s="1"/>
  <c r="BQ59" i="1"/>
  <c r="BL58" i="1"/>
  <c r="BL78" i="1"/>
  <c r="BM40" i="1"/>
  <c r="BP107" i="1"/>
  <c r="BO33" i="1"/>
  <c r="BQ8" i="1"/>
  <c r="BP63" i="1"/>
  <c r="EQ61" i="1" s="1"/>
  <c r="BL31" i="1"/>
  <c r="EO31" i="1" s="1"/>
  <c r="BN77" i="1"/>
  <c r="EP78" i="1" s="1"/>
  <c r="BL103" i="1"/>
  <c r="EO103" i="1" s="1"/>
  <c r="ER103" i="1" s="1"/>
  <c r="BL7" i="1"/>
  <c r="BM7" i="1"/>
  <c r="EO6" i="1" s="1"/>
  <c r="ER6" i="1" s="1"/>
  <c r="BL45" i="1"/>
  <c r="BM107" i="1"/>
  <c r="BL63" i="1"/>
  <c r="BQ80" i="1"/>
  <c r="BM105" i="1"/>
  <c r="BQ88" i="1"/>
  <c r="EU15" i="1"/>
  <c r="DR95" i="1"/>
  <c r="DF95" i="1"/>
  <c r="DH95" i="1" s="1"/>
  <c r="BE7" i="1"/>
  <c r="BC6" i="1"/>
  <c r="BC98" i="1"/>
  <c r="BE41" i="1"/>
  <c r="BB69" i="1"/>
  <c r="BD69" i="1"/>
  <c r="BB17" i="1"/>
  <c r="BC36" i="1"/>
  <c r="BC81" i="1"/>
  <c r="BE77" i="1"/>
  <c r="BD33" i="1"/>
  <c r="BE58" i="1"/>
  <c r="BB106" i="1"/>
  <c r="DB106" i="1" s="1"/>
  <c r="BC105" i="1"/>
  <c r="AZ63" i="1"/>
  <c r="BE40" i="1"/>
  <c r="BB68" i="1"/>
  <c r="BD31" i="1"/>
  <c r="BD88" i="1"/>
  <c r="BA52" i="1"/>
  <c r="BE86" i="1"/>
  <c r="BB89" i="1"/>
  <c r="BD104" i="1"/>
  <c r="BC88" i="1"/>
  <c r="BD4" i="1"/>
  <c r="DC4" i="1" s="1"/>
  <c r="BD24" i="1"/>
  <c r="DC25" i="1" s="1"/>
  <c r="BA43" i="1"/>
  <c r="BB13" i="1"/>
  <c r="DB13" i="1" s="1"/>
  <c r="AZ53" i="1"/>
  <c r="BB34" i="1"/>
  <c r="DB34" i="1" s="1"/>
  <c r="BE63" i="1"/>
  <c r="DW76" i="1"/>
  <c r="DV87" i="1"/>
  <c r="DW33" i="1"/>
  <c r="DU33" i="1"/>
  <c r="DU96" i="1"/>
  <c r="DW88" i="1"/>
  <c r="DU97" i="1"/>
  <c r="DW85" i="1"/>
  <c r="DV43" i="1"/>
  <c r="EV14" i="1"/>
  <c r="DH103" i="1"/>
  <c r="DR103" i="1"/>
  <c r="DF103" i="1"/>
  <c r="DH106" i="1" s="1"/>
  <c r="AV96" i="1"/>
  <c r="AY89" i="1"/>
  <c r="AX98" i="1"/>
  <c r="AW108" i="1"/>
  <c r="AU95" i="1"/>
  <c r="AW90" i="1"/>
  <c r="AT88" i="1"/>
  <c r="CG88" i="1" s="1"/>
  <c r="AX107" i="1"/>
  <c r="AY95" i="1"/>
  <c r="AU106" i="1"/>
  <c r="AT97" i="1"/>
  <c r="EV24" i="1"/>
  <c r="DU69" i="1"/>
  <c r="EL103" i="1"/>
  <c r="DZ103" i="1"/>
  <c r="CG58" i="1"/>
  <c r="CJ58" i="1" s="1"/>
  <c r="CH78" i="1"/>
  <c r="BQ33" i="1"/>
  <c r="EQ33" i="1" s="1"/>
  <c r="BP69" i="1"/>
  <c r="BN59" i="1"/>
  <c r="EP60" i="1" s="1"/>
  <c r="BL9" i="1"/>
  <c r="EO5" i="1" s="1"/>
  <c r="BQ45" i="1"/>
  <c r="BL42" i="1"/>
  <c r="EU25" i="1"/>
  <c r="BA61" i="1"/>
  <c r="AZ72" i="1"/>
  <c r="AZ106" i="1"/>
  <c r="DA106" i="1" s="1"/>
  <c r="AZ89" i="1"/>
  <c r="BA70" i="1"/>
  <c r="BF13" i="1"/>
  <c r="BH51" i="1"/>
  <c r="DV49" i="1" s="1"/>
  <c r="BG76" i="1"/>
  <c r="BI33" i="1"/>
  <c r="BG105" i="1"/>
  <c r="BF70" i="1"/>
  <c r="DU70" i="1" s="1"/>
  <c r="BG51" i="1"/>
  <c r="DU51" i="1" s="1"/>
  <c r="BI88" i="1"/>
  <c r="BI18" i="1"/>
  <c r="AV88" i="1"/>
  <c r="CI13" i="1"/>
  <c r="BN95" i="1"/>
  <c r="BM6" i="1"/>
  <c r="BN108" i="1"/>
  <c r="BL40" i="1"/>
  <c r="EO40" i="1" s="1"/>
  <c r="BM35" i="1"/>
  <c r="BN4" i="1"/>
  <c r="EP4" i="1" s="1"/>
  <c r="AZ80" i="1"/>
  <c r="BC97" i="1"/>
  <c r="BA106" i="1"/>
  <c r="BE98" i="1"/>
  <c r="BJ51" i="1"/>
  <c r="DW49" i="1" s="1"/>
  <c r="BH44" i="1"/>
  <c r="BH24" i="1"/>
  <c r="DV25" i="1" s="1"/>
  <c r="BF33" i="1"/>
  <c r="DU31" i="1" s="1"/>
  <c r="BJ26" i="1"/>
  <c r="BI72" i="1"/>
  <c r="BJ42" i="1"/>
  <c r="DW40" i="1" s="1"/>
  <c r="BI5" i="1"/>
  <c r="BJ95" i="1"/>
  <c r="DW96" i="1" s="1"/>
  <c r="BI51" i="1"/>
  <c r="DV51" i="1" s="1"/>
  <c r="BG70" i="1"/>
  <c r="DU68" i="1" s="1"/>
  <c r="BI70" i="1"/>
  <c r="FF104" i="1"/>
  <c r="ET104" i="1"/>
  <c r="CI59" i="1"/>
  <c r="AY96" i="1"/>
  <c r="CG22" i="1"/>
  <c r="CJ22" i="1" s="1"/>
  <c r="CG70" i="1"/>
  <c r="BF98" i="1"/>
  <c r="BG49" i="1"/>
  <c r="BF4" i="1"/>
  <c r="BK58" i="1"/>
  <c r="DW59" i="1" s="1"/>
  <c r="BG6" i="1"/>
  <c r="BJ70" i="1"/>
  <c r="DW70" i="1" s="1"/>
  <c r="BJ108" i="1"/>
  <c r="BJ60" i="1"/>
  <c r="BI89" i="1"/>
  <c r="BG61" i="1"/>
  <c r="BG58" i="1"/>
  <c r="BI42" i="1"/>
  <c r="BH79" i="1"/>
  <c r="BH17" i="1"/>
  <c r="DV16" i="1" s="1"/>
  <c r="BF9" i="1"/>
  <c r="BF85" i="1"/>
  <c r="DU85" i="1" s="1"/>
  <c r="DX85" i="1" s="1"/>
  <c r="BK32" i="1"/>
  <c r="DW34" i="1" s="1"/>
  <c r="CJ34" i="1"/>
  <c r="AT105" i="1"/>
  <c r="CI31" i="1"/>
  <c r="BK43" i="1"/>
  <c r="BF72" i="1"/>
  <c r="BJ53" i="1"/>
  <c r="BF87" i="1"/>
  <c r="BK79" i="1"/>
  <c r="BF62" i="1"/>
  <c r="BI4" i="1"/>
  <c r="BF14" i="1"/>
  <c r="DU15" i="1" s="1"/>
  <c r="BH58" i="1"/>
  <c r="DV58" i="1" s="1"/>
  <c r="BJ41" i="1"/>
  <c r="DW42" i="1" s="1"/>
  <c r="BF25" i="1"/>
  <c r="DU22" i="1" s="1"/>
  <c r="DX22" i="1" s="1"/>
  <c r="BH63" i="1"/>
  <c r="BG45" i="1"/>
  <c r="DU40" i="1" s="1"/>
  <c r="DX40" i="1" s="1"/>
  <c r="BI36" i="1"/>
  <c r="BI50" i="1"/>
  <c r="BH36" i="1"/>
  <c r="BH62" i="1"/>
  <c r="BG34" i="1"/>
  <c r="BK31" i="1"/>
  <c r="BG42" i="1"/>
  <c r="BI86" i="1"/>
  <c r="BF23" i="1"/>
  <c r="BJ25" i="1"/>
  <c r="DW22" i="1" s="1"/>
  <c r="BJ54" i="1"/>
  <c r="BF16" i="1"/>
  <c r="BH35" i="1"/>
  <c r="DV34" i="1" s="1"/>
  <c r="BG8" i="1"/>
  <c r="BH97" i="1"/>
  <c r="DV97" i="1" s="1"/>
  <c r="BG13" i="1"/>
  <c r="BG43" i="1"/>
  <c r="BJ61" i="1"/>
  <c r="DW61" i="1" s="1"/>
  <c r="AW98" i="1"/>
  <c r="AU88" i="1"/>
  <c r="AX89" i="1"/>
  <c r="AW99" i="1"/>
  <c r="CH79" i="1"/>
  <c r="AX94" i="1"/>
  <c r="CI6" i="1"/>
  <c r="CI34" i="1"/>
  <c r="AW86" i="1"/>
  <c r="AY90" i="1"/>
  <c r="DH23" i="1"/>
  <c r="DG23" i="1"/>
  <c r="ET86" i="1"/>
  <c r="FF86" i="1"/>
  <c r="BL77" i="1"/>
  <c r="EO78" i="1" s="1"/>
  <c r="BL61" i="1"/>
  <c r="EO61" i="1" s="1"/>
  <c r="BL94" i="1"/>
  <c r="EO94" i="1" s="1"/>
  <c r="BP51" i="1"/>
  <c r="BQ81" i="1"/>
  <c r="BN42" i="1"/>
  <c r="BQ35" i="1"/>
  <c r="BQ22" i="1"/>
  <c r="BO63" i="1"/>
  <c r="BO36" i="1"/>
  <c r="BQ104" i="1"/>
  <c r="EQ106" i="1" s="1"/>
  <c r="BO23" i="1"/>
  <c r="BN107" i="1"/>
  <c r="BQ52" i="1"/>
  <c r="BO68" i="1"/>
  <c r="BP105" i="1"/>
  <c r="BL18" i="1"/>
  <c r="BO5" i="1"/>
  <c r="BM9" i="1"/>
  <c r="BO35" i="1"/>
  <c r="BM16" i="1"/>
  <c r="BM50" i="1"/>
  <c r="BP97" i="1"/>
  <c r="EQ97" i="1" s="1"/>
  <c r="BM53" i="1"/>
  <c r="BQ32" i="1"/>
  <c r="EQ34" i="1" s="1"/>
  <c r="BM43" i="1"/>
  <c r="BN89" i="1"/>
  <c r="BO80" i="1"/>
  <c r="BN71" i="1"/>
  <c r="EP68" i="1" s="1"/>
  <c r="BP88" i="1"/>
  <c r="BO18" i="1"/>
  <c r="BE108" i="1"/>
  <c r="BD94" i="1"/>
  <c r="BD70" i="1"/>
  <c r="DC70" i="1" s="1"/>
  <c r="BB54" i="1"/>
  <c r="BA36" i="1"/>
  <c r="BC59" i="1"/>
  <c r="AZ81" i="1"/>
  <c r="AZ99" i="1"/>
  <c r="BD58" i="1"/>
  <c r="BD87" i="1"/>
  <c r="BC40" i="1"/>
  <c r="BA58" i="1"/>
  <c r="BE69" i="1"/>
  <c r="AZ96" i="1"/>
  <c r="BA32" i="1"/>
  <c r="BB7" i="1"/>
  <c r="BC58" i="1"/>
  <c r="AZ8" i="1"/>
  <c r="BA86" i="1"/>
  <c r="BE34" i="1"/>
  <c r="BB105" i="1"/>
  <c r="BB24" i="1"/>
  <c r="DB25" i="1" s="1"/>
  <c r="BD89" i="1"/>
  <c r="BD78" i="1"/>
  <c r="BE4" i="1"/>
  <c r="BD14" i="1"/>
  <c r="DC15" i="1" s="1"/>
  <c r="BA85" i="1"/>
  <c r="BB79" i="1"/>
  <c r="DB79" i="1" s="1"/>
  <c r="BA31" i="1"/>
  <c r="BD71" i="1"/>
  <c r="DC68" i="1" s="1"/>
  <c r="BA71" i="1"/>
  <c r="DI85" i="1" l="1"/>
  <c r="EO7" i="1"/>
  <c r="ER7" i="1" s="1"/>
  <c r="ER60" i="1"/>
  <c r="DX51" i="1"/>
  <c r="DD16" i="1"/>
  <c r="CJ88" i="1"/>
  <c r="DC94" i="1"/>
  <c r="DJ23" i="1"/>
  <c r="DK23" i="1" s="1"/>
  <c r="DI23" i="1"/>
  <c r="DJ22" i="1"/>
  <c r="DK22" i="1" s="1"/>
  <c r="DI22" i="1"/>
  <c r="DH104" i="1"/>
  <c r="DB68" i="1"/>
  <c r="DD68" i="1" s="1"/>
  <c r="EO43" i="1"/>
  <c r="ER43" i="1" s="1"/>
  <c r="DW52" i="1"/>
  <c r="ED23" i="1"/>
  <c r="EE23" i="1" s="1"/>
  <c r="EC23" i="1"/>
  <c r="EC25" i="1"/>
  <c r="ED25" i="1"/>
  <c r="EE25" i="1" s="1"/>
  <c r="EC22" i="1"/>
  <c r="ED22" i="1"/>
  <c r="EE22" i="1" s="1"/>
  <c r="ED13" i="1"/>
  <c r="EE13" i="1" s="1"/>
  <c r="EC13" i="1"/>
  <c r="EA88" i="1"/>
  <c r="EA86" i="1"/>
  <c r="EA85" i="1"/>
  <c r="EA87" i="1"/>
  <c r="EB88" i="1"/>
  <c r="EC52" i="1"/>
  <c r="ED52" i="1"/>
  <c r="EE52" i="1" s="1"/>
  <c r="ED49" i="1"/>
  <c r="EE49" i="1" s="1"/>
  <c r="EC51" i="1"/>
  <c r="EC50" i="1"/>
  <c r="EC49" i="1"/>
  <c r="ED51" i="1"/>
  <c r="EE51" i="1" s="1"/>
  <c r="ED50" i="1"/>
  <c r="EE50" i="1" s="1"/>
  <c r="EB87" i="1"/>
  <c r="EA105" i="1"/>
  <c r="EU103" i="1"/>
  <c r="EU106" i="1"/>
  <c r="EU105" i="1"/>
  <c r="EV104" i="1"/>
  <c r="EV103" i="1"/>
  <c r="EU104" i="1"/>
  <c r="EQ15" i="1"/>
  <c r="EP87" i="1"/>
  <c r="EA104" i="1"/>
  <c r="DC78" i="1"/>
  <c r="DI106" i="1"/>
  <c r="DJ106" i="1"/>
  <c r="DK106" i="1" s="1"/>
  <c r="ER5" i="1"/>
  <c r="DX69" i="1"/>
  <c r="DH88" i="1"/>
  <c r="DG86" i="1"/>
  <c r="DG88" i="1"/>
  <c r="DH86" i="1"/>
  <c r="ED77" i="1"/>
  <c r="EE77" i="1" s="1"/>
  <c r="EC77" i="1"/>
  <c r="ED76" i="1"/>
  <c r="EE76" i="1" s="1"/>
  <c r="EC76" i="1"/>
  <c r="DH94" i="1"/>
  <c r="EX31" i="1"/>
  <c r="EY31" i="1" s="1"/>
  <c r="CJ106" i="1"/>
  <c r="DD94" i="1"/>
  <c r="EX24" i="1"/>
  <c r="EY24" i="1" s="1"/>
  <c r="EW24" i="1"/>
  <c r="DA50" i="1"/>
  <c r="DX34" i="1"/>
  <c r="DB85" i="1"/>
  <c r="ER88" i="1"/>
  <c r="DG87" i="1"/>
  <c r="EC58" i="1"/>
  <c r="ED58" i="1"/>
  <c r="EE58" i="1" s="1"/>
  <c r="EC60" i="1"/>
  <c r="ED59" i="1"/>
  <c r="EE59" i="1" s="1"/>
  <c r="EC59" i="1"/>
  <c r="ED60" i="1"/>
  <c r="EE60" i="1" s="1"/>
  <c r="EA96" i="1"/>
  <c r="CL68" i="1"/>
  <c r="EX49" i="1"/>
  <c r="EY49" i="1" s="1"/>
  <c r="EW49" i="1"/>
  <c r="EV87" i="1"/>
  <c r="EU87" i="1"/>
  <c r="DJ103" i="1"/>
  <c r="DK103" i="1" s="1"/>
  <c r="EX14" i="1"/>
  <c r="EY14" i="1" s="1"/>
  <c r="EW14" i="1"/>
  <c r="EQ23" i="1"/>
  <c r="DV68" i="1"/>
  <c r="DX68" i="1" s="1"/>
  <c r="DH97" i="1"/>
  <c r="DG97" i="1"/>
  <c r="EV106" i="1"/>
  <c r="DG95" i="1"/>
  <c r="EO51" i="1"/>
  <c r="ER51" i="1" s="1"/>
  <c r="EB94" i="1"/>
  <c r="EB95" i="1"/>
  <c r="EA95" i="1"/>
  <c r="CL33" i="1"/>
  <c r="DH87" i="1"/>
  <c r="CH94" i="1"/>
  <c r="DG94" i="1"/>
  <c r="EV88" i="1"/>
  <c r="ER78" i="1"/>
  <c r="CL34" i="1"/>
  <c r="DU4" i="1"/>
  <c r="DX4" i="1" s="1"/>
  <c r="DG105" i="1"/>
  <c r="CL61" i="1"/>
  <c r="DX79" i="1"/>
  <c r="DC14" i="1"/>
  <c r="EX34" i="1"/>
  <c r="EY34" i="1" s="1"/>
  <c r="EW34" i="1"/>
  <c r="CJ95" i="1"/>
  <c r="CL67" i="1"/>
  <c r="CJ87" i="1"/>
  <c r="DO52" i="1"/>
  <c r="DQ52" i="1"/>
  <c r="DM52" i="1"/>
  <c r="EB86" i="1"/>
  <c r="DB105" i="1"/>
  <c r="DD105" i="1" s="1"/>
  <c r="EA103" i="1"/>
  <c r="EO52" i="1"/>
  <c r="ER52" i="1" s="1"/>
  <c r="ED31" i="1"/>
  <c r="EE31" i="1" s="1"/>
  <c r="EC31" i="1"/>
  <c r="EP31" i="1"/>
  <c r="ER31" i="1" s="1"/>
  <c r="DJ105" i="1"/>
  <c r="DK105" i="1" s="1"/>
  <c r="CL42" i="1"/>
  <c r="EV85" i="1"/>
  <c r="EU85" i="1"/>
  <c r="EU88" i="1"/>
  <c r="EV86" i="1"/>
  <c r="EU86" i="1"/>
  <c r="DU5" i="1"/>
  <c r="DX5" i="1" s="1"/>
  <c r="DU32" i="1"/>
  <c r="ED70" i="1"/>
  <c r="EE70" i="1" s="1"/>
  <c r="EC70" i="1"/>
  <c r="EC67" i="1"/>
  <c r="EC68" i="1"/>
  <c r="ED69" i="1"/>
  <c r="EE69" i="1" s="1"/>
  <c r="ED68" i="1"/>
  <c r="EE68" i="1" s="1"/>
  <c r="ED67" i="1"/>
  <c r="EE67" i="1" s="1"/>
  <c r="DQ14" i="1"/>
  <c r="DO14" i="1"/>
  <c r="DM14" i="1"/>
  <c r="CH105" i="1"/>
  <c r="EO106" i="1"/>
  <c r="EV105" i="1"/>
  <c r="DX97" i="1"/>
  <c r="EC79" i="1"/>
  <c r="ED79" i="1"/>
  <c r="EE79" i="1" s="1"/>
  <c r="EX68" i="1"/>
  <c r="EY68" i="1" s="1"/>
  <c r="EW68" i="1"/>
  <c r="EX67" i="1"/>
  <c r="EY67" i="1" s="1"/>
  <c r="EW67" i="1"/>
  <c r="DB61" i="1"/>
  <c r="DV6" i="1"/>
  <c r="DX6" i="1" s="1"/>
  <c r="DC106" i="1"/>
  <c r="ER34" i="1"/>
  <c r="EW97" i="1"/>
  <c r="DO41" i="1"/>
  <c r="DQ41" i="1"/>
  <c r="DM41" i="1"/>
  <c r="EQ5" i="1"/>
  <c r="EO67" i="1"/>
  <c r="DA34" i="1"/>
  <c r="DD34" i="1" s="1"/>
  <c r="DD51" i="1"/>
  <c r="DD85" i="1"/>
  <c r="DI70" i="1"/>
  <c r="DJ70" i="1"/>
  <c r="DK70" i="1" s="1"/>
  <c r="DI50" i="1"/>
  <c r="DJ50" i="1"/>
  <c r="DK50" i="1" s="1"/>
  <c r="DX103" i="1"/>
  <c r="DX94" i="1"/>
  <c r="DV59" i="1"/>
  <c r="CH88" i="1"/>
  <c r="DC88" i="1"/>
  <c r="EW76" i="1"/>
  <c r="EX76" i="1"/>
  <c r="EY76" i="1" s="1"/>
  <c r="DU76" i="1"/>
  <c r="DX76" i="1" s="1"/>
  <c r="DD40" i="1"/>
  <c r="EO85" i="1"/>
  <c r="ER85" i="1" s="1"/>
  <c r="EP16" i="1"/>
  <c r="ER16" i="1" s="1"/>
  <c r="EQ77" i="1"/>
  <c r="EV96" i="1"/>
  <c r="DV70" i="1"/>
  <c r="DX70" i="1" s="1"/>
  <c r="DC41" i="1"/>
  <c r="ER79" i="1"/>
  <c r="CH106" i="1"/>
  <c r="EK7" i="1"/>
  <c r="EG7" i="1"/>
  <c r="EI7" i="1"/>
  <c r="EP86" i="1"/>
  <c r="CI86" i="1"/>
  <c r="DV32" i="1"/>
  <c r="DV41" i="1"/>
  <c r="CG97" i="1"/>
  <c r="CJ97" i="1" s="1"/>
  <c r="DC31" i="1"/>
  <c r="EO58" i="1"/>
  <c r="ER58" i="1" s="1"/>
  <c r="DV7" i="1"/>
  <c r="DU25" i="1"/>
  <c r="DX25" i="1" s="1"/>
  <c r="EX58" i="1"/>
  <c r="EY58" i="1" s="1"/>
  <c r="EW58" i="1"/>
  <c r="DU77" i="1"/>
  <c r="DX77" i="1" s="1"/>
  <c r="ED34" i="1"/>
  <c r="EE34" i="1" s="1"/>
  <c r="EC34" i="1"/>
  <c r="CI106" i="1"/>
  <c r="DD103" i="1"/>
  <c r="DC13" i="1"/>
  <c r="EO23" i="1"/>
  <c r="ER23" i="1" s="1"/>
  <c r="EQ50" i="1"/>
  <c r="CG96" i="1"/>
  <c r="CJ96" i="1" s="1"/>
  <c r="DB41" i="1"/>
  <c r="DX16" i="1"/>
  <c r="DA67" i="1"/>
  <c r="DB60" i="1"/>
  <c r="ED41" i="1"/>
  <c r="EE41" i="1" s="1"/>
  <c r="EC41" i="1"/>
  <c r="EP106" i="1"/>
  <c r="EP88" i="1"/>
  <c r="EB104" i="1"/>
  <c r="ED105" i="1" s="1"/>
  <c r="EE105" i="1" s="1"/>
  <c r="DB78" i="1"/>
  <c r="DV24" i="1"/>
  <c r="DV88" i="1"/>
  <c r="DX88" i="1" s="1"/>
  <c r="ED14" i="1"/>
  <c r="EE14" i="1" s="1"/>
  <c r="EC14" i="1"/>
  <c r="DA70" i="1"/>
  <c r="DD70" i="1" s="1"/>
  <c r="EQ69" i="1"/>
  <c r="DX52" i="1"/>
  <c r="DB51" i="1"/>
  <c r="EO70" i="1"/>
  <c r="ER70" i="1" s="1"/>
  <c r="DA22" i="1"/>
  <c r="DD22" i="1" s="1"/>
  <c r="EX7" i="1"/>
  <c r="EY7" i="1" s="1"/>
  <c r="EX6" i="1"/>
  <c r="EY6" i="1" s="1"/>
  <c r="DO60" i="1"/>
  <c r="DM60" i="1"/>
  <c r="DQ60" i="1"/>
  <c r="DL60" i="1"/>
  <c r="DQ61" i="1"/>
  <c r="DO61" i="1"/>
  <c r="DM61" i="1"/>
  <c r="EX60" i="1"/>
  <c r="EY60" i="1" s="1"/>
  <c r="EW50" i="1"/>
  <c r="EX50" i="1"/>
  <c r="EY50" i="1" s="1"/>
  <c r="DI79" i="1"/>
  <c r="DJ79" i="1"/>
  <c r="DK79" i="1" s="1"/>
  <c r="DW50" i="1"/>
  <c r="CL4" i="1"/>
  <c r="CM6" i="1" s="1"/>
  <c r="ER25" i="1"/>
  <c r="CI97" i="1"/>
  <c r="DB58" i="1"/>
  <c r="DC67" i="1"/>
  <c r="DC103" i="1"/>
  <c r="EP70" i="1"/>
  <c r="EX52" i="1"/>
  <c r="EY52" i="1" s="1"/>
  <c r="EW52" i="1"/>
  <c r="EO41" i="1"/>
  <c r="ER41" i="1" s="1"/>
  <c r="DC76" i="1"/>
  <c r="EO4" i="1"/>
  <c r="ER4" i="1" s="1"/>
  <c r="DW104" i="1"/>
  <c r="DG103" i="1"/>
  <c r="DB69" i="1"/>
  <c r="DB49" i="1"/>
  <c r="DD49" i="1" s="1"/>
  <c r="EO13" i="1"/>
  <c r="DA69" i="1"/>
  <c r="DD69" i="1" s="1"/>
  <c r="DC87" i="1"/>
  <c r="EQ31" i="1"/>
  <c r="EW13" i="1"/>
  <c r="EX13" i="1"/>
  <c r="EY13" i="1" s="1"/>
  <c r="DA96" i="1"/>
  <c r="DD96" i="1" s="1"/>
  <c r="EW51" i="1"/>
  <c r="EX51" i="1"/>
  <c r="EY51" i="1" s="1"/>
  <c r="CL23" i="1"/>
  <c r="DC104" i="1"/>
  <c r="EP22" i="1"/>
  <c r="EC16" i="1"/>
  <c r="ED16" i="1"/>
  <c r="EE16" i="1" s="1"/>
  <c r="DB6" i="1"/>
  <c r="DB52" i="1"/>
  <c r="DB40" i="1"/>
  <c r="EQ32" i="1"/>
  <c r="DJ68" i="1"/>
  <c r="DK68" i="1" s="1"/>
  <c r="DI68" i="1"/>
  <c r="EP14" i="1"/>
  <c r="EC40" i="1"/>
  <c r="ED40" i="1"/>
  <c r="EE40" i="1" s="1"/>
  <c r="DJ32" i="1"/>
  <c r="DK32" i="1" s="1"/>
  <c r="DI32" i="1"/>
  <c r="EC33" i="1"/>
  <c r="ED33" i="1"/>
  <c r="EE33" i="1" s="1"/>
  <c r="CL14" i="1"/>
  <c r="CM15" i="1" s="1"/>
  <c r="DV69" i="1"/>
  <c r="DV15" i="1"/>
  <c r="DX15" i="1" s="1"/>
  <c r="DB76" i="1"/>
  <c r="DA6" i="1"/>
  <c r="DI42" i="1"/>
  <c r="EW31" i="1"/>
  <c r="DI13" i="1"/>
  <c r="EQ94" i="1"/>
  <c r="CI87" i="1"/>
  <c r="DC33" i="1"/>
  <c r="DI14" i="1"/>
  <c r="EP42" i="1"/>
  <c r="ER42" i="1" s="1"/>
  <c r="EC78" i="1"/>
  <c r="ED78" i="1"/>
  <c r="EE78" i="1" s="1"/>
  <c r="CI96" i="1"/>
  <c r="DV33" i="1"/>
  <c r="DX33" i="1" s="1"/>
  <c r="DU104" i="1"/>
  <c r="DX104" i="1" s="1"/>
  <c r="EX33" i="1"/>
  <c r="EY33" i="1" s="1"/>
  <c r="EW33" i="1"/>
  <c r="DJ42" i="1"/>
  <c r="DK42" i="1" s="1"/>
  <c r="DL6" i="1"/>
  <c r="DQ6" i="1"/>
  <c r="DO6" i="1"/>
  <c r="DM6" i="1"/>
  <c r="DN6" i="1" s="1"/>
  <c r="DJ33" i="1"/>
  <c r="DK33" i="1" s="1"/>
  <c r="EQ59" i="1"/>
  <c r="EO24" i="1"/>
  <c r="ER24" i="1" s="1"/>
  <c r="DV5" i="1"/>
  <c r="DW32" i="1"/>
  <c r="DI25" i="1"/>
  <c r="DJ25" i="1"/>
  <c r="DK25" i="1" s="1"/>
  <c r="DC32" i="1"/>
  <c r="DB67" i="1"/>
  <c r="EC7" i="1"/>
  <c r="EC5" i="1"/>
  <c r="DJ77" i="1"/>
  <c r="DK77" i="1" s="1"/>
  <c r="ED4" i="1"/>
  <c r="EE4" i="1" s="1"/>
  <c r="DI33" i="1"/>
  <c r="EW78" i="1"/>
  <c r="EX78" i="1"/>
  <c r="EY78" i="1" s="1"/>
  <c r="EB97" i="1"/>
  <c r="CL60" i="1"/>
  <c r="CM59" i="1" s="1"/>
  <c r="EQ67" i="1"/>
  <c r="DU49" i="1"/>
  <c r="DX49" i="1" s="1"/>
  <c r="DW24" i="1"/>
  <c r="EX61" i="1"/>
  <c r="EY61" i="1" s="1"/>
  <c r="EW61" i="1"/>
  <c r="EP76" i="1"/>
  <c r="ER76" i="1" s="1"/>
  <c r="DJ43" i="1"/>
  <c r="DK43" i="1" s="1"/>
  <c r="DI43" i="1"/>
  <c r="EX43" i="1"/>
  <c r="EY43" i="1" s="1"/>
  <c r="EW43" i="1"/>
  <c r="DA78" i="1"/>
  <c r="DD78" i="1" s="1"/>
  <c r="EQ76" i="1"/>
  <c r="DW6" i="1"/>
  <c r="EO96" i="1"/>
  <c r="CG105" i="1"/>
  <c r="CJ105" i="1" s="1"/>
  <c r="CL105" i="1" s="1"/>
  <c r="DC40" i="1"/>
  <c r="DC50" i="1"/>
  <c r="DA59" i="1"/>
  <c r="ED5" i="1"/>
  <c r="EE5" i="1" s="1"/>
  <c r="DI77" i="1"/>
  <c r="ED43" i="1"/>
  <c r="EE43" i="1" s="1"/>
  <c r="EX40" i="1"/>
  <c r="EY40" i="1" s="1"/>
  <c r="EX25" i="1"/>
  <c r="EY25" i="1" s="1"/>
  <c r="EW25" i="1"/>
  <c r="EP49" i="1"/>
  <c r="ER49" i="1" s="1"/>
  <c r="CG103" i="1"/>
  <c r="CJ103" i="1" s="1"/>
  <c r="ER95" i="1"/>
  <c r="CL69" i="1"/>
  <c r="DH96" i="1"/>
  <c r="DJ95" i="1" s="1"/>
  <c r="DK95" i="1" s="1"/>
  <c r="DG96" i="1"/>
  <c r="DB31" i="1"/>
  <c r="EP40" i="1"/>
  <c r="EA94" i="1"/>
  <c r="DJ69" i="1"/>
  <c r="DK69" i="1" s="1"/>
  <c r="DI69" i="1"/>
  <c r="CI103" i="1"/>
  <c r="DW23" i="1"/>
  <c r="ER87" i="1"/>
  <c r="DW86" i="1"/>
  <c r="EC6" i="1"/>
  <c r="ED6" i="1"/>
  <c r="EE6" i="1" s="1"/>
  <c r="CH85" i="1"/>
  <c r="CJ85" i="1" s="1"/>
  <c r="CL85" i="1" s="1"/>
  <c r="DA25" i="1"/>
  <c r="DD25" i="1" s="1"/>
  <c r="DC52" i="1"/>
  <c r="DJ78" i="1"/>
  <c r="DK78" i="1" s="1"/>
  <c r="EU96" i="1"/>
  <c r="EC43" i="1"/>
  <c r="DW14" i="1"/>
  <c r="DC23" i="1"/>
  <c r="DA31" i="1"/>
  <c r="DD31" i="1" s="1"/>
  <c r="DU50" i="1"/>
  <c r="DX50" i="1" s="1"/>
  <c r="EX42" i="1"/>
  <c r="EY42" i="1" s="1"/>
  <c r="EW42" i="1"/>
  <c r="DC34" i="1"/>
  <c r="DC59" i="1"/>
  <c r="ED24" i="1"/>
  <c r="EE24" i="1" s="1"/>
  <c r="EC24" i="1"/>
  <c r="EQ43" i="1"/>
  <c r="EA106" i="1"/>
  <c r="CI105" i="1"/>
  <c r="DA5" i="1"/>
  <c r="DB22" i="1"/>
  <c r="DB32" i="1"/>
  <c r="EW41" i="1"/>
  <c r="EB106" i="1"/>
  <c r="DJ16" i="1"/>
  <c r="DK16" i="1" s="1"/>
  <c r="EX59" i="1"/>
  <c r="EY59" i="1" s="1"/>
  <c r="DC49" i="1"/>
  <c r="DJ24" i="1"/>
  <c r="DK24" i="1" s="1"/>
  <c r="DI24" i="1"/>
  <c r="DB77" i="1"/>
  <c r="DA87" i="1"/>
  <c r="DD87" i="1" s="1"/>
  <c r="DA32" i="1"/>
  <c r="DC16" i="1"/>
  <c r="EX41" i="1"/>
  <c r="EY41" i="1" s="1"/>
  <c r="DJ51" i="1"/>
  <c r="DK51" i="1" s="1"/>
  <c r="EW59" i="1"/>
  <c r="EQ95" i="1"/>
  <c r="DV105" i="1"/>
  <c r="DB97" i="1"/>
  <c r="EQ13" i="1"/>
  <c r="EB96" i="1"/>
  <c r="CL40" i="1"/>
  <c r="ED15" i="1"/>
  <c r="EE15" i="1" s="1"/>
  <c r="EC15" i="1"/>
  <c r="DJ67" i="1"/>
  <c r="DK67" i="1" s="1"/>
  <c r="DJ34" i="1"/>
  <c r="DK34" i="1" s="1"/>
  <c r="DB70" i="1"/>
  <c r="ED61" i="1"/>
  <c r="EE61" i="1" s="1"/>
  <c r="EC61" i="1"/>
  <c r="EP5" i="1"/>
  <c r="DJ59" i="1"/>
  <c r="DK59" i="1" s="1"/>
  <c r="DI58" i="1"/>
  <c r="DJ58" i="1"/>
  <c r="DK58" i="1" s="1"/>
  <c r="DL61" i="1" s="1"/>
  <c r="DA13" i="1"/>
  <c r="DD13" i="1" s="1"/>
  <c r="DA15" i="1"/>
  <c r="DD15" i="1" s="1"/>
  <c r="DI67" i="1"/>
  <c r="DJ31" i="1"/>
  <c r="DK31" i="1" s="1"/>
  <c r="EX4" i="1"/>
  <c r="EY4" i="1" s="1"/>
  <c r="DI34" i="1"/>
  <c r="DU24" i="1"/>
  <c r="DX24" i="1" s="1"/>
  <c r="CJ70" i="1"/>
  <c r="CL70" i="1" s="1"/>
  <c r="CL58" i="1"/>
  <c r="DX96" i="1"/>
  <c r="DU43" i="1"/>
  <c r="DX43" i="1" s="1"/>
  <c r="EP33" i="1"/>
  <c r="DV61" i="1"/>
  <c r="DX61" i="1" s="1"/>
  <c r="DX23" i="1"/>
  <c r="CL24" i="1"/>
  <c r="DA79" i="1"/>
  <c r="DD79" i="1" s="1"/>
  <c r="EX16" i="1"/>
  <c r="EY16" i="1" s="1"/>
  <c r="EW16" i="1"/>
  <c r="DC61" i="1"/>
  <c r="DQ4" i="1"/>
  <c r="DM4" i="1"/>
  <c r="DL4" i="1"/>
  <c r="DO4" i="1"/>
  <c r="DB50" i="1"/>
  <c r="DC86" i="1"/>
  <c r="DC58" i="1"/>
  <c r="DV79" i="1"/>
  <c r="CL22" i="1"/>
  <c r="EP104" i="1"/>
  <c r="ER104" i="1" s="1"/>
  <c r="DC105" i="1"/>
  <c r="DW97" i="1"/>
  <c r="DA76" i="1"/>
  <c r="DD76" i="1" s="1"/>
  <c r="DB7" i="1"/>
  <c r="DD7" i="1" s="1"/>
  <c r="EO97" i="1"/>
  <c r="ER97" i="1" s="1"/>
  <c r="CJ41" i="1"/>
  <c r="EP41" i="1"/>
  <c r="EW69" i="1"/>
  <c r="EX69" i="1"/>
  <c r="EY69" i="1" s="1"/>
  <c r="DC6" i="1"/>
  <c r="DA41" i="1"/>
  <c r="DD41" i="1" s="1"/>
  <c r="EU97" i="1"/>
  <c r="EO68" i="1"/>
  <c r="ER68" i="1" s="1"/>
  <c r="CJ78" i="1"/>
  <c r="DA58" i="1"/>
  <c r="DC69" i="1"/>
  <c r="EQ49" i="1"/>
  <c r="EO77" i="1"/>
  <c r="ER77" i="1" s="1"/>
  <c r="DA95" i="1"/>
  <c r="EO14" i="1"/>
  <c r="DU59" i="1"/>
  <c r="DX59" i="1" s="1"/>
  <c r="DA86" i="1"/>
  <c r="DB86" i="1"/>
  <c r="DV42" i="1"/>
  <c r="DX42" i="1" s="1"/>
  <c r="EO22" i="1"/>
  <c r="ER22" i="1" s="1"/>
  <c r="CG86" i="1"/>
  <c r="CJ86" i="1" s="1"/>
  <c r="DW31" i="1"/>
  <c r="DB24" i="1"/>
  <c r="DD24" i="1" s="1"/>
  <c r="EP67" i="1"/>
  <c r="CG94" i="1"/>
  <c r="CJ94" i="1" s="1"/>
  <c r="CL94" i="1" s="1"/>
  <c r="DU41" i="1"/>
  <c r="DX41" i="1" s="1"/>
  <c r="EW23" i="1"/>
  <c r="EX23" i="1"/>
  <c r="EY23" i="1" s="1"/>
  <c r="DU105" i="1"/>
  <c r="DB14" i="1"/>
  <c r="DD14" i="1" s="1"/>
  <c r="EP95" i="1"/>
  <c r="CL7" i="1"/>
  <c r="DB16" i="1"/>
  <c r="DA23" i="1"/>
  <c r="DD23" i="1" s="1"/>
  <c r="EW77" i="1"/>
  <c r="EX77" i="1"/>
  <c r="EY77" i="1" s="1"/>
  <c r="CL5" i="1"/>
  <c r="DG106" i="1"/>
  <c r="CJ52" i="1"/>
  <c r="CL52" i="1" s="1"/>
  <c r="EW22" i="1"/>
  <c r="EX22" i="1"/>
  <c r="EY22" i="1" s="1"/>
  <c r="DU87" i="1"/>
  <c r="DX87" i="1" s="1"/>
  <c r="DV76" i="1"/>
  <c r="EP50" i="1"/>
  <c r="ER50" i="1" s="1"/>
  <c r="EX70" i="1"/>
  <c r="EY70" i="1" s="1"/>
  <c r="EW70" i="1"/>
  <c r="EP94" i="1"/>
  <c r="ER94" i="1" s="1"/>
  <c r="EO15" i="1"/>
  <c r="ER15" i="1" s="1"/>
  <c r="EQ22" i="1"/>
  <c r="EQ4" i="1"/>
  <c r="DB5" i="1"/>
  <c r="EX79" i="1"/>
  <c r="EY79" i="1" s="1"/>
  <c r="DI31" i="1"/>
  <c r="DQ5" i="1"/>
  <c r="DO5" i="1"/>
  <c r="DP5" i="1" s="1"/>
  <c r="DM5" i="1"/>
  <c r="DL5" i="1"/>
  <c r="ER40" i="1"/>
  <c r="DU13" i="1"/>
  <c r="DX13" i="1" s="1"/>
  <c r="DX7" i="1"/>
  <c r="DC95" i="1"/>
  <c r="DA77" i="1"/>
  <c r="EQ88" i="1"/>
  <c r="ER61" i="1"/>
  <c r="CI94" i="1"/>
  <c r="EP96" i="1"/>
  <c r="DD106" i="1"/>
  <c r="EP58" i="1"/>
  <c r="CL16" i="1"/>
  <c r="DA42" i="1"/>
  <c r="DD42" i="1" s="1"/>
  <c r="DA104" i="1"/>
  <c r="CL31" i="1"/>
  <c r="CM32" i="1" s="1"/>
  <c r="DV31" i="1"/>
  <c r="DX31" i="1" s="1"/>
  <c r="DI15" i="1"/>
  <c r="DJ15" i="1"/>
  <c r="DK15" i="1" s="1"/>
  <c r="DJ13" i="1"/>
  <c r="DK13" i="1" s="1"/>
  <c r="DL14" i="1" s="1"/>
  <c r="DA52" i="1"/>
  <c r="DA4" i="1"/>
  <c r="DD4" i="1" s="1"/>
  <c r="DB95" i="1"/>
  <c r="EU94" i="1"/>
  <c r="DJ49" i="1"/>
  <c r="DK49" i="1" s="1"/>
  <c r="DI49" i="1"/>
  <c r="DB59" i="1"/>
  <c r="EO105" i="1"/>
  <c r="EP13" i="1"/>
  <c r="EX5" i="1"/>
  <c r="EY5" i="1" s="1"/>
  <c r="EW5" i="1"/>
  <c r="EX32" i="1"/>
  <c r="EY32" i="1" s="1"/>
  <c r="EW32" i="1"/>
  <c r="CI85" i="1"/>
  <c r="EC32" i="1"/>
  <c r="ED32" i="1"/>
  <c r="EE32" i="1" s="1"/>
  <c r="EQ40" i="1"/>
  <c r="DB104" i="1"/>
  <c r="DC5" i="1"/>
  <c r="DB103" i="1"/>
  <c r="EO33" i="1"/>
  <c r="DJ40" i="1"/>
  <c r="DK40" i="1" s="1"/>
  <c r="DI40" i="1"/>
  <c r="DW103" i="1"/>
  <c r="DC79" i="1"/>
  <c r="DA97" i="1"/>
  <c r="DD97" i="1" s="1"/>
  <c r="EQ87" i="1"/>
  <c r="EP105" i="1"/>
  <c r="CJ79" i="1"/>
  <c r="CL79" i="1" s="1"/>
  <c r="DA61" i="1"/>
  <c r="DD61" i="1" s="1"/>
  <c r="DI41" i="1"/>
  <c r="EC42" i="1"/>
  <c r="DI76" i="1"/>
  <c r="DQ7" i="1"/>
  <c r="DM7" i="1"/>
  <c r="DL7" i="1"/>
  <c r="DO7" i="1"/>
  <c r="EO86" i="1"/>
  <c r="EQ52" i="1"/>
  <c r="CI104" i="1"/>
  <c r="DU58" i="1"/>
  <c r="DX58" i="1" s="1"/>
  <c r="EQ96" i="1"/>
  <c r="DB33" i="1"/>
  <c r="DD33" i="1" s="1"/>
  <c r="DB88" i="1"/>
  <c r="DD88" i="1" s="1"/>
  <c r="DC7" i="1"/>
  <c r="DA60" i="1"/>
  <c r="DD60" i="1" s="1"/>
  <c r="EX15" i="1"/>
  <c r="EY15" i="1" s="1"/>
  <c r="ED42" i="1"/>
  <c r="EE42" i="1" s="1"/>
  <c r="DJ76" i="1"/>
  <c r="DK76" i="1" s="1"/>
  <c r="DO95" i="1" l="1"/>
  <c r="DQ95" i="1"/>
  <c r="DM95" i="1"/>
  <c r="CM85" i="1"/>
  <c r="EK105" i="1"/>
  <c r="EI105" i="1"/>
  <c r="EG105" i="1"/>
  <c r="CM105" i="1"/>
  <c r="DO49" i="1"/>
  <c r="DQ49" i="1"/>
  <c r="DM49" i="1"/>
  <c r="DL49" i="1"/>
  <c r="DQ67" i="1"/>
  <c r="DM67" i="1"/>
  <c r="DO67" i="1"/>
  <c r="DL67" i="1"/>
  <c r="DQ25" i="1"/>
  <c r="DM25" i="1"/>
  <c r="DO25" i="1"/>
  <c r="DL25" i="1"/>
  <c r="CM13" i="1"/>
  <c r="CN13" i="1" s="1"/>
  <c r="FA14" i="1"/>
  <c r="EZ14" i="1"/>
  <c r="FE14" i="1"/>
  <c r="FC14" i="1"/>
  <c r="CL88" i="1"/>
  <c r="EI32" i="1"/>
  <c r="EF32" i="1"/>
  <c r="EK32" i="1"/>
  <c r="EG32" i="1"/>
  <c r="FC79" i="1"/>
  <c r="FA79" i="1"/>
  <c r="EZ79" i="1"/>
  <c r="FE79" i="1"/>
  <c r="DM31" i="1"/>
  <c r="DN31" i="1" s="1"/>
  <c r="DQ31" i="1"/>
  <c r="DO31" i="1"/>
  <c r="DL31" i="1"/>
  <c r="EF15" i="1"/>
  <c r="EK15" i="1"/>
  <c r="EI15" i="1"/>
  <c r="EG15" i="1"/>
  <c r="EK24" i="1"/>
  <c r="EI24" i="1"/>
  <c r="EJ24" i="1" s="1"/>
  <c r="EG24" i="1"/>
  <c r="EH24" i="1" s="1"/>
  <c r="EF24" i="1"/>
  <c r="CM69" i="1"/>
  <c r="CN70" i="1" s="1"/>
  <c r="ER96" i="1"/>
  <c r="CL50" i="1"/>
  <c r="ER13" i="1"/>
  <c r="EG14" i="1"/>
  <c r="EK14" i="1"/>
  <c r="EI14" i="1"/>
  <c r="EF14" i="1"/>
  <c r="EX96" i="1"/>
  <c r="EY96" i="1" s="1"/>
  <c r="EW96" i="1"/>
  <c r="EW95" i="1"/>
  <c r="EX97" i="1"/>
  <c r="EY97" i="1" s="1"/>
  <c r="CM61" i="1"/>
  <c r="CN61" i="1" s="1"/>
  <c r="ED94" i="1"/>
  <c r="EE94" i="1" s="1"/>
  <c r="EC94" i="1"/>
  <c r="DJ86" i="1"/>
  <c r="DK86" i="1" s="1"/>
  <c r="DI86" i="1"/>
  <c r="EK23" i="1"/>
  <c r="EG23" i="1"/>
  <c r="EF23" i="1"/>
  <c r="EI23" i="1"/>
  <c r="CM52" i="1"/>
  <c r="DQ106" i="1"/>
  <c r="DO106" i="1"/>
  <c r="DM106" i="1"/>
  <c r="FC16" i="1"/>
  <c r="FD16" i="1" s="1"/>
  <c r="FE16" i="1"/>
  <c r="FA16" i="1"/>
  <c r="EZ16" i="1"/>
  <c r="DL24" i="1"/>
  <c r="DO24" i="1"/>
  <c r="DQ24" i="1"/>
  <c r="DM24" i="1"/>
  <c r="DN24" i="1" s="1"/>
  <c r="EG6" i="1"/>
  <c r="EK6" i="1"/>
  <c r="EI6" i="1"/>
  <c r="EF6" i="1"/>
  <c r="DD52" i="1"/>
  <c r="EZ77" i="1"/>
  <c r="FC77" i="1"/>
  <c r="FD77" i="1" s="1"/>
  <c r="FA77" i="1"/>
  <c r="FE77" i="1"/>
  <c r="CL78" i="1"/>
  <c r="ED96" i="1"/>
  <c r="EE96" i="1" s="1"/>
  <c r="EC96" i="1"/>
  <c r="CL103" i="1"/>
  <c r="ED97" i="1"/>
  <c r="EE97" i="1" s="1"/>
  <c r="EC97" i="1"/>
  <c r="EI33" i="1"/>
  <c r="EF33" i="1"/>
  <c r="EK33" i="1"/>
  <c r="EG33" i="1"/>
  <c r="EH33" i="1" s="1"/>
  <c r="CM4" i="1"/>
  <c r="CN4" i="1" s="1"/>
  <c r="DD50" i="1"/>
  <c r="EC87" i="1"/>
  <c r="ED87" i="1"/>
  <c r="EE87" i="1" s="1"/>
  <c r="CL104" i="1"/>
  <c r="FA4" i="1"/>
  <c r="FE4" i="1"/>
  <c r="EZ4" i="1"/>
  <c r="FC4" i="1"/>
  <c r="FD4" i="1" s="1"/>
  <c r="CL49" i="1"/>
  <c r="CL86" i="1"/>
  <c r="CM24" i="1"/>
  <c r="CN24" i="1" s="1"/>
  <c r="FC59" i="1"/>
  <c r="FE59" i="1"/>
  <c r="EZ59" i="1"/>
  <c r="FA59" i="1"/>
  <c r="EZ78" i="1"/>
  <c r="FC78" i="1"/>
  <c r="FE78" i="1"/>
  <c r="FA78" i="1"/>
  <c r="FB78" i="1" s="1"/>
  <c r="DL52" i="1"/>
  <c r="CL51" i="1"/>
  <c r="EX106" i="1"/>
  <c r="EY106" i="1" s="1"/>
  <c r="EW106" i="1"/>
  <c r="FC49" i="1"/>
  <c r="FA49" i="1"/>
  <c r="EZ49" i="1"/>
  <c r="FE49" i="1"/>
  <c r="DI88" i="1"/>
  <c r="DJ88" i="1"/>
  <c r="DK88" i="1" s="1"/>
  <c r="CL96" i="1"/>
  <c r="CM94" i="1" s="1"/>
  <c r="CM60" i="1"/>
  <c r="CN60" i="1" s="1"/>
  <c r="EG78" i="1"/>
  <c r="EK78" i="1"/>
  <c r="EI78" i="1"/>
  <c r="EF78" i="1"/>
  <c r="CM14" i="1"/>
  <c r="CN14" i="1" s="1"/>
  <c r="EG16" i="1"/>
  <c r="EK16" i="1"/>
  <c r="EI16" i="1"/>
  <c r="EJ16" i="1" s="1"/>
  <c r="EF16" i="1"/>
  <c r="FA32" i="1"/>
  <c r="EZ32" i="1"/>
  <c r="FE32" i="1"/>
  <c r="FC32" i="1"/>
  <c r="FD32" i="1" s="1"/>
  <c r="DQ15" i="1"/>
  <c r="DO15" i="1"/>
  <c r="DL15" i="1"/>
  <c r="DM15" i="1"/>
  <c r="EF79" i="1"/>
  <c r="EI79" i="1"/>
  <c r="EK79" i="1"/>
  <c r="EG79" i="1"/>
  <c r="EF67" i="1"/>
  <c r="EI67" i="1"/>
  <c r="EG67" i="1"/>
  <c r="EK67" i="1"/>
  <c r="EW85" i="1"/>
  <c r="EX85" i="1"/>
  <c r="EY85" i="1" s="1"/>
  <c r="CL76" i="1"/>
  <c r="FC24" i="1"/>
  <c r="FE24" i="1"/>
  <c r="EZ24" i="1"/>
  <c r="FA24" i="1"/>
  <c r="EZ40" i="1"/>
  <c r="FA40" i="1"/>
  <c r="FE40" i="1"/>
  <c r="FC40" i="1"/>
  <c r="EF4" i="1"/>
  <c r="EI4" i="1"/>
  <c r="EJ4" i="1" s="1"/>
  <c r="EK4" i="1"/>
  <c r="EG4" i="1"/>
  <c r="EH4" i="1" s="1"/>
  <c r="DP6" i="1"/>
  <c r="EK40" i="1"/>
  <c r="EG40" i="1"/>
  <c r="EI40" i="1"/>
  <c r="EF40" i="1"/>
  <c r="FC51" i="1"/>
  <c r="EZ51" i="1"/>
  <c r="FE51" i="1"/>
  <c r="FA51" i="1"/>
  <c r="FA7" i="1"/>
  <c r="FE7" i="1"/>
  <c r="FC7" i="1"/>
  <c r="EZ7" i="1"/>
  <c r="EI34" i="1"/>
  <c r="EJ34" i="1" s="1"/>
  <c r="EF34" i="1"/>
  <c r="EG34" i="1"/>
  <c r="EK34" i="1"/>
  <c r="FE76" i="1"/>
  <c r="EZ76" i="1"/>
  <c r="FC76" i="1"/>
  <c r="FA76" i="1"/>
  <c r="ER67" i="1"/>
  <c r="EF69" i="1"/>
  <c r="EG69" i="1"/>
  <c r="EI69" i="1"/>
  <c r="EK69" i="1"/>
  <c r="DQ105" i="1"/>
  <c r="DL105" i="1"/>
  <c r="DO105" i="1"/>
  <c r="DM105" i="1"/>
  <c r="DJ85" i="1"/>
  <c r="DK85" i="1" s="1"/>
  <c r="EI60" i="1"/>
  <c r="EK60" i="1"/>
  <c r="EG60" i="1"/>
  <c r="EF60" i="1"/>
  <c r="CL77" i="1"/>
  <c r="DJ104" i="1"/>
  <c r="DK104" i="1" s="1"/>
  <c r="DL106" i="1" s="1"/>
  <c r="DI104" i="1"/>
  <c r="DI95" i="1"/>
  <c r="DD58" i="1"/>
  <c r="DM70" i="1"/>
  <c r="DN70" i="1" s="1"/>
  <c r="DQ70" i="1"/>
  <c r="DO70" i="1"/>
  <c r="DL70" i="1"/>
  <c r="DO13" i="1"/>
  <c r="DM13" i="1"/>
  <c r="DL13" i="1"/>
  <c r="DQ13" i="1"/>
  <c r="CM22" i="1"/>
  <c r="CN23" i="1" s="1"/>
  <c r="DM58" i="1"/>
  <c r="DN58" i="1" s="1"/>
  <c r="DL58" i="1"/>
  <c r="DO58" i="1"/>
  <c r="DQ58" i="1"/>
  <c r="DL16" i="1"/>
  <c r="DO16" i="1"/>
  <c r="DP16" i="1" s="1"/>
  <c r="DM16" i="1"/>
  <c r="DN16" i="1" s="1"/>
  <c r="DQ16" i="1"/>
  <c r="DM33" i="1"/>
  <c r="DQ33" i="1"/>
  <c r="DL33" i="1"/>
  <c r="DO33" i="1"/>
  <c r="DP33" i="1" s="1"/>
  <c r="EC106" i="1"/>
  <c r="ED106" i="1"/>
  <c r="EE106" i="1" s="1"/>
  <c r="EF105" i="1" s="1"/>
  <c r="EZ5" i="1"/>
  <c r="FC5" i="1"/>
  <c r="FA5" i="1"/>
  <c r="FB5" i="1" s="1"/>
  <c r="FE5" i="1"/>
  <c r="CM7" i="1"/>
  <c r="CN7" i="1" s="1"/>
  <c r="EG43" i="1"/>
  <c r="EK43" i="1"/>
  <c r="EF43" i="1"/>
  <c r="EI43" i="1"/>
  <c r="DO43" i="1"/>
  <c r="DQ43" i="1"/>
  <c r="DM43" i="1"/>
  <c r="DN43" i="1" s="1"/>
  <c r="DL43" i="1"/>
  <c r="DQ77" i="1"/>
  <c r="DM77" i="1"/>
  <c r="DN77" i="1" s="1"/>
  <c r="DO77" i="1"/>
  <c r="DP77" i="1" s="1"/>
  <c r="DL77" i="1"/>
  <c r="EH7" i="1"/>
  <c r="EW88" i="1"/>
  <c r="EX88" i="1"/>
  <c r="EY88" i="1" s="1"/>
  <c r="CL106" i="1"/>
  <c r="EX94" i="1"/>
  <c r="EY94" i="1" s="1"/>
  <c r="EC105" i="1"/>
  <c r="EI13" i="1"/>
  <c r="EG13" i="1"/>
  <c r="EH13" i="1" s="1"/>
  <c r="EF13" i="1"/>
  <c r="EK13" i="1"/>
  <c r="DI103" i="1"/>
  <c r="CM79" i="1"/>
  <c r="CM5" i="1"/>
  <c r="CN5" i="1" s="1"/>
  <c r="FE68" i="1"/>
  <c r="FC68" i="1"/>
  <c r="FA68" i="1"/>
  <c r="EZ68" i="1"/>
  <c r="DD77" i="1"/>
  <c r="EZ42" i="1"/>
  <c r="FC42" i="1"/>
  <c r="FA42" i="1"/>
  <c r="FE42" i="1"/>
  <c r="ER86" i="1"/>
  <c r="DP7" i="1"/>
  <c r="CM31" i="1"/>
  <c r="CN32" i="1" s="1"/>
  <c r="CN31" i="1"/>
  <c r="FE70" i="1"/>
  <c r="FC70" i="1"/>
  <c r="FA70" i="1"/>
  <c r="EZ70" i="1"/>
  <c r="DO40" i="1"/>
  <c r="DQ40" i="1"/>
  <c r="DM40" i="1"/>
  <c r="DL40" i="1"/>
  <c r="DM51" i="1"/>
  <c r="DN51" i="1" s="1"/>
  <c r="DO51" i="1"/>
  <c r="DP51" i="1" s="1"/>
  <c r="DL51" i="1"/>
  <c r="DQ51" i="1"/>
  <c r="DN41" i="1"/>
  <c r="CM25" i="1"/>
  <c r="CN22" i="1" s="1"/>
  <c r="CM67" i="1"/>
  <c r="EI59" i="1"/>
  <c r="EF59" i="1"/>
  <c r="EK59" i="1"/>
  <c r="EG59" i="1"/>
  <c r="FE31" i="1"/>
  <c r="FC31" i="1"/>
  <c r="FA31" i="1"/>
  <c r="EZ31" i="1"/>
  <c r="EW94" i="1"/>
  <c r="DL22" i="1"/>
  <c r="DQ22" i="1"/>
  <c r="DO22" i="1"/>
  <c r="DM22" i="1"/>
  <c r="DQ50" i="1"/>
  <c r="DO50" i="1"/>
  <c r="DL50" i="1"/>
  <c r="DM50" i="1"/>
  <c r="FC67" i="1"/>
  <c r="FD67" i="1" s="1"/>
  <c r="EZ67" i="1"/>
  <c r="FA67" i="1"/>
  <c r="FB67" i="1" s="1"/>
  <c r="FE67" i="1"/>
  <c r="EC86" i="1"/>
  <c r="ED86" i="1"/>
  <c r="EE86" i="1" s="1"/>
  <c r="DQ103" i="1"/>
  <c r="DO103" i="1"/>
  <c r="DM103" i="1"/>
  <c r="EF77" i="1"/>
  <c r="EK77" i="1"/>
  <c r="EI77" i="1"/>
  <c r="EG77" i="1"/>
  <c r="CL97" i="1"/>
  <c r="EC88" i="1"/>
  <c r="ED88" i="1"/>
  <c r="EE88" i="1" s="1"/>
  <c r="CM68" i="1"/>
  <c r="CN67" i="1" s="1"/>
  <c r="EG50" i="1"/>
  <c r="EF50" i="1"/>
  <c r="EK50" i="1"/>
  <c r="EI50" i="1"/>
  <c r="EJ50" i="1" s="1"/>
  <c r="DL32" i="1"/>
  <c r="DQ32" i="1"/>
  <c r="DO32" i="1"/>
  <c r="DM32" i="1"/>
  <c r="CM23" i="1"/>
  <c r="EZ6" i="1"/>
  <c r="FC6" i="1"/>
  <c r="FA6" i="1"/>
  <c r="FE6" i="1"/>
  <c r="EG68" i="1"/>
  <c r="EK68" i="1"/>
  <c r="EI68" i="1"/>
  <c r="EF68" i="1"/>
  <c r="CL87" i="1"/>
  <c r="CM34" i="1"/>
  <c r="CN34" i="1" s="1"/>
  <c r="DI97" i="1"/>
  <c r="DJ97" i="1"/>
  <c r="DK97" i="1" s="1"/>
  <c r="EK51" i="1"/>
  <c r="EI51" i="1"/>
  <c r="EG51" i="1"/>
  <c r="EF51" i="1"/>
  <c r="DQ59" i="1"/>
  <c r="DO59" i="1"/>
  <c r="DP59" i="1" s="1"/>
  <c r="DL59" i="1"/>
  <c r="DM59" i="1"/>
  <c r="DD86" i="1"/>
  <c r="FC69" i="1"/>
  <c r="FA69" i="1"/>
  <c r="EZ69" i="1"/>
  <c r="FE69" i="1"/>
  <c r="ER105" i="1"/>
  <c r="DQ69" i="1"/>
  <c r="DM69" i="1"/>
  <c r="DO69" i="1"/>
  <c r="DL69" i="1"/>
  <c r="FA50" i="1"/>
  <c r="FB50" i="1" s="1"/>
  <c r="FC50" i="1"/>
  <c r="FD50" i="1" s="1"/>
  <c r="EZ50" i="1"/>
  <c r="FE50" i="1"/>
  <c r="DM76" i="1"/>
  <c r="DL76" i="1"/>
  <c r="DQ76" i="1"/>
  <c r="DO76" i="1"/>
  <c r="ER33" i="1"/>
  <c r="DX105" i="1"/>
  <c r="DP4" i="1"/>
  <c r="CM58" i="1"/>
  <c r="CN59" i="1" s="1"/>
  <c r="EI61" i="1"/>
  <c r="EJ61" i="1" s="1"/>
  <c r="EK61" i="1"/>
  <c r="EG61" i="1"/>
  <c r="EH61" i="1" s="1"/>
  <c r="EF61" i="1"/>
  <c r="FE41" i="1"/>
  <c r="FA41" i="1"/>
  <c r="EZ41" i="1"/>
  <c r="FC41" i="1"/>
  <c r="DD5" i="1"/>
  <c r="EF5" i="1"/>
  <c r="EK5" i="1"/>
  <c r="EI5" i="1"/>
  <c r="EG5" i="1"/>
  <c r="DM42" i="1"/>
  <c r="DQ42" i="1"/>
  <c r="DO42" i="1"/>
  <c r="DP42" i="1" s="1"/>
  <c r="DL42" i="1"/>
  <c r="EZ13" i="1"/>
  <c r="FA13" i="1"/>
  <c r="FE13" i="1"/>
  <c r="FC13" i="1"/>
  <c r="FC52" i="1"/>
  <c r="FE52" i="1"/>
  <c r="FA52" i="1"/>
  <c r="EZ52" i="1"/>
  <c r="FA58" i="1"/>
  <c r="FB58" i="1" s="1"/>
  <c r="FC58" i="1"/>
  <c r="EZ58" i="1"/>
  <c r="FE58" i="1"/>
  <c r="EF7" i="1"/>
  <c r="EW105" i="1"/>
  <c r="EX105" i="1"/>
  <c r="EY105" i="1" s="1"/>
  <c r="EK31" i="1"/>
  <c r="EF31" i="1"/>
  <c r="EI31" i="1"/>
  <c r="EG31" i="1"/>
  <c r="CL95" i="1"/>
  <c r="EX95" i="1"/>
  <c r="EY95" i="1" s="1"/>
  <c r="DJ94" i="1"/>
  <c r="DK94" i="1" s="1"/>
  <c r="DL95" i="1" s="1"/>
  <c r="DI94" i="1"/>
  <c r="EC85" i="1"/>
  <c r="EX103" i="1"/>
  <c r="EY103" i="1" s="1"/>
  <c r="EW103" i="1"/>
  <c r="EG49" i="1"/>
  <c r="EH49" i="1" s="1"/>
  <c r="EF49" i="1"/>
  <c r="EK49" i="1"/>
  <c r="EI49" i="1"/>
  <c r="EG22" i="1"/>
  <c r="EF22" i="1"/>
  <c r="EK22" i="1"/>
  <c r="EI22" i="1"/>
  <c r="DI96" i="1"/>
  <c r="DJ96" i="1"/>
  <c r="DK96" i="1" s="1"/>
  <c r="ED95" i="1"/>
  <c r="EE95" i="1" s="1"/>
  <c r="EC95" i="1"/>
  <c r="DN14" i="1"/>
  <c r="EX86" i="1"/>
  <c r="EY86" i="1" s="1"/>
  <c r="EW86" i="1"/>
  <c r="EX87" i="1"/>
  <c r="EY87" i="1" s="1"/>
  <c r="EW87" i="1"/>
  <c r="DQ79" i="1"/>
  <c r="DM79" i="1"/>
  <c r="DO79" i="1"/>
  <c r="DL79" i="1"/>
  <c r="ED104" i="1"/>
  <c r="EE104" i="1" s="1"/>
  <c r="EC104" i="1"/>
  <c r="FC25" i="1"/>
  <c r="FD25" i="1" s="1"/>
  <c r="FA25" i="1"/>
  <c r="FE25" i="1"/>
  <c r="EZ25" i="1"/>
  <c r="EZ43" i="1"/>
  <c r="FE43" i="1"/>
  <c r="FC43" i="1"/>
  <c r="FD43" i="1" s="1"/>
  <c r="FA43" i="1"/>
  <c r="FB43" i="1" s="1"/>
  <c r="DD104" i="1"/>
  <c r="EG41" i="1"/>
  <c r="EK41" i="1"/>
  <c r="EI41" i="1"/>
  <c r="EF41" i="1"/>
  <c r="DN7" i="1"/>
  <c r="EK42" i="1"/>
  <c r="EI42" i="1"/>
  <c r="EJ42" i="1" s="1"/>
  <c r="EG42" i="1"/>
  <c r="EH42" i="1" s="1"/>
  <c r="EF42" i="1"/>
  <c r="CM16" i="1"/>
  <c r="CN16" i="1" s="1"/>
  <c r="DN5" i="1"/>
  <c r="EZ23" i="1"/>
  <c r="FC23" i="1"/>
  <c r="FA23" i="1"/>
  <c r="FE23" i="1"/>
  <c r="ER14" i="1"/>
  <c r="CL41" i="1"/>
  <c r="CM40" i="1" s="1"/>
  <c r="CL43" i="1"/>
  <c r="CM70" i="1"/>
  <c r="DD59" i="1"/>
  <c r="FA61" i="1"/>
  <c r="FE61" i="1"/>
  <c r="FC61" i="1"/>
  <c r="FD61" i="1" s="1"/>
  <c r="EZ61" i="1"/>
  <c r="DO68" i="1"/>
  <c r="DP68" i="1" s="1"/>
  <c r="DQ68" i="1"/>
  <c r="DM68" i="1"/>
  <c r="DL68" i="1"/>
  <c r="FE60" i="1"/>
  <c r="FC60" i="1"/>
  <c r="FA60" i="1"/>
  <c r="EZ60" i="1"/>
  <c r="DD67" i="1"/>
  <c r="DL41" i="1"/>
  <c r="DI105" i="1"/>
  <c r="EK70" i="1"/>
  <c r="EF70" i="1"/>
  <c r="EG70" i="1"/>
  <c r="EH70" i="1" s="1"/>
  <c r="EI70" i="1"/>
  <c r="EJ70" i="1" s="1"/>
  <c r="DJ87" i="1"/>
  <c r="DK87" i="1" s="1"/>
  <c r="DI87" i="1"/>
  <c r="EK58" i="1"/>
  <c r="EF58" i="1"/>
  <c r="EG58" i="1"/>
  <c r="EI58" i="1"/>
  <c r="ED85" i="1"/>
  <c r="EE85" i="1" s="1"/>
  <c r="EX104" i="1"/>
  <c r="EY104" i="1" s="1"/>
  <c r="EW104" i="1"/>
  <c r="EG52" i="1"/>
  <c r="EK52" i="1"/>
  <c r="EF52" i="1"/>
  <c r="EI52" i="1"/>
  <c r="DO23" i="1"/>
  <c r="DP23" i="1" s="1"/>
  <c r="DQ23" i="1"/>
  <c r="DL23" i="1"/>
  <c r="DM23" i="1"/>
  <c r="EC103" i="1"/>
  <c r="FC15" i="1"/>
  <c r="EZ15" i="1"/>
  <c r="FE15" i="1"/>
  <c r="FA15" i="1"/>
  <c r="FB15" i="1" s="1"/>
  <c r="FE22" i="1"/>
  <c r="FC22" i="1"/>
  <c r="FA22" i="1"/>
  <c r="FB22" i="1" s="1"/>
  <c r="EZ22" i="1"/>
  <c r="DD95" i="1"/>
  <c r="DN4" i="1"/>
  <c r="DO34" i="1"/>
  <c r="DL34" i="1"/>
  <c r="DM34" i="1"/>
  <c r="DQ34" i="1"/>
  <c r="DD32" i="1"/>
  <c r="DO78" i="1"/>
  <c r="DM78" i="1"/>
  <c r="DL78" i="1"/>
  <c r="DQ78" i="1"/>
  <c r="FE33" i="1"/>
  <c r="EZ33" i="1"/>
  <c r="FC33" i="1"/>
  <c r="FA33" i="1"/>
  <c r="FB33" i="1" s="1"/>
  <c r="DD6" i="1"/>
  <c r="ER106" i="1"/>
  <c r="DX32" i="1"/>
  <c r="FC34" i="1"/>
  <c r="FE34" i="1"/>
  <c r="FA34" i="1"/>
  <c r="EZ34" i="1"/>
  <c r="CM33" i="1"/>
  <c r="CN33" i="1" s="1"/>
  <c r="EG76" i="1"/>
  <c r="EH76" i="1" s="1"/>
  <c r="EF76" i="1"/>
  <c r="EI76" i="1"/>
  <c r="EJ76" i="1" s="1"/>
  <c r="EK76" i="1"/>
  <c r="EG25" i="1"/>
  <c r="EI25" i="1"/>
  <c r="EF25" i="1"/>
  <c r="EK25" i="1"/>
  <c r="ED103" i="1"/>
  <c r="EE103" i="1" s="1"/>
  <c r="CO32" i="1" l="1"/>
  <c r="CO60" i="1"/>
  <c r="CN85" i="1"/>
  <c r="CO22" i="1"/>
  <c r="CN79" i="1"/>
  <c r="CO23" i="1"/>
  <c r="CO34" i="1"/>
  <c r="CP32" i="1" s="1"/>
  <c r="CQ32" i="1" s="1"/>
  <c r="CP34" i="1"/>
  <c r="CQ34" i="1" s="1"/>
  <c r="CN105" i="1"/>
  <c r="CO33" i="1"/>
  <c r="CP33" i="1" s="1"/>
  <c r="CQ33" i="1" s="1"/>
  <c r="CO4" i="1"/>
  <c r="DN78" i="1"/>
  <c r="EH15" i="1"/>
  <c r="DP78" i="1"/>
  <c r="FB60" i="1"/>
  <c r="FA95" i="1"/>
  <c r="FB95" i="1" s="1"/>
  <c r="FE95" i="1"/>
  <c r="FC95" i="1"/>
  <c r="EZ95" i="1"/>
  <c r="DP43" i="1"/>
  <c r="DN61" i="1"/>
  <c r="DP34" i="1"/>
  <c r="DM87" i="1"/>
  <c r="DO87" i="1"/>
  <c r="DP87" i="1" s="1"/>
  <c r="DL87" i="1"/>
  <c r="DQ87" i="1"/>
  <c r="FD23" i="1"/>
  <c r="EJ49" i="1"/>
  <c r="FB13" i="1"/>
  <c r="DN59" i="1"/>
  <c r="DL103" i="1"/>
  <c r="DN22" i="1"/>
  <c r="CN25" i="1"/>
  <c r="DP70" i="1"/>
  <c r="EH34" i="1"/>
  <c r="CN76" i="1"/>
  <c r="CM76" i="1"/>
  <c r="EH78" i="1"/>
  <c r="DN60" i="1"/>
  <c r="CN15" i="1"/>
  <c r="CO16" i="1" s="1"/>
  <c r="FB77" i="1"/>
  <c r="CM50" i="1"/>
  <c r="CN50" i="1" s="1"/>
  <c r="FB14" i="1"/>
  <c r="DP49" i="1"/>
  <c r="EZ86" i="1"/>
  <c r="FA86" i="1"/>
  <c r="FE86" i="1"/>
  <c r="FC86" i="1"/>
  <c r="EH68" i="1"/>
  <c r="EH50" i="1"/>
  <c r="EI86" i="1"/>
  <c r="EK86" i="1"/>
  <c r="EG86" i="1"/>
  <c r="EF86" i="1"/>
  <c r="FD5" i="1"/>
  <c r="DP58" i="1"/>
  <c r="EJ69" i="1"/>
  <c r="FD7" i="1"/>
  <c r="EH67" i="1"/>
  <c r="FB32" i="1"/>
  <c r="DL88" i="1"/>
  <c r="DQ88" i="1"/>
  <c r="DM88" i="1"/>
  <c r="DO88" i="1"/>
  <c r="FB4" i="1"/>
  <c r="DN52" i="1"/>
  <c r="FB79" i="1"/>
  <c r="DP25" i="1"/>
  <c r="FD22" i="1"/>
  <c r="EH52" i="1"/>
  <c r="FB61" i="1"/>
  <c r="EZ103" i="1"/>
  <c r="FE103" i="1"/>
  <c r="FC103" i="1"/>
  <c r="FA103" i="1"/>
  <c r="DN42" i="1"/>
  <c r="CN58" i="1"/>
  <c r="DP69" i="1"/>
  <c r="EH51" i="1"/>
  <c r="EH69" i="1"/>
  <c r="EJ67" i="1"/>
  <c r="FB59" i="1"/>
  <c r="EJ6" i="1"/>
  <c r="FA97" i="1"/>
  <c r="FE97" i="1"/>
  <c r="FC97" i="1"/>
  <c r="EZ97" i="1"/>
  <c r="FD79" i="1"/>
  <c r="DN25" i="1"/>
  <c r="FE105" i="1"/>
  <c r="FA105" i="1"/>
  <c r="EZ105" i="1"/>
  <c r="FC105" i="1"/>
  <c r="FD105" i="1" s="1"/>
  <c r="CN69" i="1"/>
  <c r="CO13" i="1"/>
  <c r="FD58" i="1"/>
  <c r="CM77" i="1"/>
  <c r="CN77" i="1" s="1"/>
  <c r="EH79" i="1"/>
  <c r="FB49" i="1"/>
  <c r="FB52" i="1"/>
  <c r="CM97" i="1"/>
  <c r="EH59" i="1"/>
  <c r="EH60" i="1"/>
  <c r="FD76" i="1"/>
  <c r="EJ79" i="1"/>
  <c r="EJ32" i="1"/>
  <c r="DN103" i="1"/>
  <c r="DP22" i="1"/>
  <c r="CO31" i="1"/>
  <c r="CP31" i="1" s="1"/>
  <c r="CQ31" i="1" s="1"/>
  <c r="CN6" i="1"/>
  <c r="FB25" i="1"/>
  <c r="FD6" i="1"/>
  <c r="FD42" i="1"/>
  <c r="EH6" i="1"/>
  <c r="FB34" i="1"/>
  <c r="FE96" i="1"/>
  <c r="EZ96" i="1"/>
  <c r="FA96" i="1"/>
  <c r="FC96" i="1"/>
  <c r="FD96" i="1" s="1"/>
  <c r="EJ58" i="1"/>
  <c r="DP61" i="1"/>
  <c r="FD33" i="1"/>
  <c r="EH5" i="1"/>
  <c r="DN69" i="1"/>
  <c r="FB6" i="1"/>
  <c r="FB7" i="1"/>
  <c r="DM96" i="1"/>
  <c r="DN96" i="1" s="1"/>
  <c r="DL96" i="1"/>
  <c r="DQ96" i="1"/>
  <c r="DO96" i="1"/>
  <c r="DL97" i="1"/>
  <c r="DQ97" i="1"/>
  <c r="DO97" i="1"/>
  <c r="DP97" i="1" s="1"/>
  <c r="DM97" i="1"/>
  <c r="DN40" i="1"/>
  <c r="EJ13" i="1"/>
  <c r="DP60" i="1"/>
  <c r="FB76" i="1"/>
  <c r="FB40" i="1"/>
  <c r="FD59" i="1"/>
  <c r="EK97" i="1"/>
  <c r="EF97" i="1"/>
  <c r="EG97" i="1"/>
  <c r="EI97" i="1"/>
  <c r="DP67" i="1"/>
  <c r="CM103" i="1"/>
  <c r="CN106" i="1" s="1"/>
  <c r="CN103" i="1"/>
  <c r="DN67" i="1"/>
  <c r="FD34" i="1"/>
  <c r="FD15" i="1"/>
  <c r="EH58" i="1"/>
  <c r="CM41" i="1"/>
  <c r="CN40" i="1" s="1"/>
  <c r="EK104" i="1"/>
  <c r="EI104" i="1"/>
  <c r="EF104" i="1"/>
  <c r="EG104" i="1"/>
  <c r="EJ22" i="1"/>
  <c r="CM95" i="1"/>
  <c r="CN97" i="1" s="1"/>
  <c r="DP76" i="1"/>
  <c r="EH77" i="1"/>
  <c r="DP40" i="1"/>
  <c r="FC94" i="1"/>
  <c r="EZ94" i="1"/>
  <c r="FE94" i="1"/>
  <c r="FA94" i="1"/>
  <c r="FD51" i="1"/>
  <c r="DP24" i="1"/>
  <c r="EJ14" i="1"/>
  <c r="CM88" i="1"/>
  <c r="DN95" i="1"/>
  <c r="EJ41" i="1"/>
  <c r="EH31" i="1"/>
  <c r="FD41" i="1"/>
  <c r="DN32" i="1"/>
  <c r="CM106" i="1"/>
  <c r="DN13" i="1"/>
  <c r="DN15" i="1"/>
  <c r="FC106" i="1"/>
  <c r="EZ106" i="1"/>
  <c r="FE106" i="1"/>
  <c r="FA106" i="1"/>
  <c r="CM86" i="1"/>
  <c r="CN88" i="1" s="1"/>
  <c r="CN86" i="1"/>
  <c r="DP52" i="1"/>
  <c r="EI96" i="1"/>
  <c r="EJ96" i="1" s="1"/>
  <c r="EF96" i="1"/>
  <c r="EK96" i="1"/>
  <c r="EG96" i="1"/>
  <c r="FD14" i="1"/>
  <c r="EJ52" i="1"/>
  <c r="FE87" i="1"/>
  <c r="FC87" i="1"/>
  <c r="FA87" i="1"/>
  <c r="EZ87" i="1"/>
  <c r="EJ68" i="1"/>
  <c r="CM96" i="1"/>
  <c r="FD78" i="1"/>
  <c r="EJ51" i="1"/>
  <c r="CN68" i="1"/>
  <c r="CO67" i="1" s="1"/>
  <c r="FB31" i="1"/>
  <c r="FB42" i="1"/>
  <c r="EG106" i="1"/>
  <c r="EF106" i="1"/>
  <c r="EK106" i="1"/>
  <c r="EI106" i="1"/>
  <c r="DL104" i="1"/>
  <c r="DQ104" i="1"/>
  <c r="DM104" i="1"/>
  <c r="DN104" i="1" s="1"/>
  <c r="DO104" i="1"/>
  <c r="DP104" i="1" s="1"/>
  <c r="FD40" i="1"/>
  <c r="EJ33" i="1"/>
  <c r="EK95" i="1"/>
  <c r="EG95" i="1"/>
  <c r="EI95" i="1"/>
  <c r="EF95" i="1"/>
  <c r="EJ5" i="1"/>
  <c r="EI88" i="1"/>
  <c r="EJ88" i="1" s="1"/>
  <c r="EK88" i="1"/>
  <c r="EG88" i="1"/>
  <c r="EF88" i="1"/>
  <c r="FD31" i="1"/>
  <c r="EH16" i="1"/>
  <c r="EF87" i="1"/>
  <c r="EI87" i="1"/>
  <c r="EG87" i="1"/>
  <c r="EK87" i="1"/>
  <c r="FD49" i="1"/>
  <c r="EJ15" i="1"/>
  <c r="FD60" i="1"/>
  <c r="DN50" i="1"/>
  <c r="EJ43" i="1"/>
  <c r="FB24" i="1"/>
  <c r="EH23" i="1"/>
  <c r="FD52" i="1"/>
  <c r="FB69" i="1"/>
  <c r="EJ77" i="1"/>
  <c r="FB68" i="1"/>
  <c r="EJ60" i="1"/>
  <c r="EJ25" i="1"/>
  <c r="DN34" i="1"/>
  <c r="DN23" i="1"/>
  <c r="DP79" i="1"/>
  <c r="EJ31" i="1"/>
  <c r="FD13" i="1"/>
  <c r="FD69" i="1"/>
  <c r="CM87" i="1"/>
  <c r="CN87" i="1" s="1"/>
  <c r="DP32" i="1"/>
  <c r="DP50" i="1"/>
  <c r="EJ59" i="1"/>
  <c r="FB70" i="1"/>
  <c r="FD68" i="1"/>
  <c r="FC88" i="1"/>
  <c r="FE88" i="1"/>
  <c r="FA88" i="1"/>
  <c r="EZ88" i="1"/>
  <c r="DN33" i="1"/>
  <c r="DP13" i="1"/>
  <c r="DM85" i="1"/>
  <c r="DN85" i="1" s="1"/>
  <c r="DQ85" i="1"/>
  <c r="DO85" i="1"/>
  <c r="DL85" i="1"/>
  <c r="EJ7" i="1"/>
  <c r="EJ40" i="1"/>
  <c r="EJ78" i="1"/>
  <c r="CM51" i="1"/>
  <c r="CN51" i="1" s="1"/>
  <c r="CM49" i="1"/>
  <c r="CN49" i="1" s="1"/>
  <c r="DP14" i="1"/>
  <c r="CM78" i="1"/>
  <c r="CN78" i="1"/>
  <c r="EH14" i="1"/>
  <c r="DN49" i="1"/>
  <c r="FE85" i="1"/>
  <c r="EZ85" i="1"/>
  <c r="FC85" i="1"/>
  <c r="FD85" i="1" s="1"/>
  <c r="FA85" i="1"/>
  <c r="FB85" i="1" s="1"/>
  <c r="EG94" i="1"/>
  <c r="EH94" i="1" s="1"/>
  <c r="EF94" i="1"/>
  <c r="EI94" i="1"/>
  <c r="EK94" i="1"/>
  <c r="EH32" i="1"/>
  <c r="FC104" i="1"/>
  <c r="FE104" i="1"/>
  <c r="EZ104" i="1"/>
  <c r="FA104" i="1"/>
  <c r="FB104" i="1" s="1"/>
  <c r="FB51" i="1"/>
  <c r="CM104" i="1"/>
  <c r="CN104" i="1" s="1"/>
  <c r="EG85" i="1"/>
  <c r="EH85" i="1" s="1"/>
  <c r="EF85" i="1"/>
  <c r="EK85" i="1"/>
  <c r="EI85" i="1"/>
  <c r="DL94" i="1"/>
  <c r="DM94" i="1"/>
  <c r="DQ94" i="1"/>
  <c r="DO94" i="1"/>
  <c r="EJ23" i="1"/>
  <c r="EK103" i="1"/>
  <c r="EI103" i="1"/>
  <c r="EJ103" i="1" s="1"/>
  <c r="EF103" i="1"/>
  <c r="EG103" i="1"/>
  <c r="EH103" i="1" s="1"/>
  <c r="CM43" i="1"/>
  <c r="CN43" i="1" s="1"/>
  <c r="EH25" i="1"/>
  <c r="DP41" i="1"/>
  <c r="DN68" i="1"/>
  <c r="FB23" i="1"/>
  <c r="EH41" i="1"/>
  <c r="DN79" i="1"/>
  <c r="EH22" i="1"/>
  <c r="FB41" i="1"/>
  <c r="DN76" i="1"/>
  <c r="CM42" i="1"/>
  <c r="CN42" i="1" s="1"/>
  <c r="FD70" i="1"/>
  <c r="EH43" i="1"/>
  <c r="EH40" i="1"/>
  <c r="FD24" i="1"/>
  <c r="DP15" i="1"/>
  <c r="FB16" i="1"/>
  <c r="DL86" i="1"/>
  <c r="DM86" i="1"/>
  <c r="DQ86" i="1"/>
  <c r="DO86" i="1"/>
  <c r="DP31" i="1"/>
  <c r="CO88" i="1" l="1"/>
  <c r="CP88" i="1" s="1"/>
  <c r="CQ88" i="1" s="1"/>
  <c r="CO50" i="1"/>
  <c r="CO51" i="1"/>
  <c r="CO77" i="1"/>
  <c r="CP77" i="1" s="1"/>
  <c r="CQ77" i="1" s="1"/>
  <c r="CR31" i="1"/>
  <c r="CR33" i="1"/>
  <c r="CS32" i="1" s="1"/>
  <c r="CS33" i="1"/>
  <c r="CR32" i="1"/>
  <c r="CO43" i="1"/>
  <c r="CO104" i="1"/>
  <c r="CP104" i="1" s="1"/>
  <c r="CQ104" i="1" s="1"/>
  <c r="CO106" i="1"/>
  <c r="CP23" i="1"/>
  <c r="CQ23" i="1" s="1"/>
  <c r="CP22" i="1"/>
  <c r="CQ22" i="1" s="1"/>
  <c r="CO87" i="1"/>
  <c r="CR34" i="1"/>
  <c r="CS34" i="1" s="1"/>
  <c r="DP103" i="1"/>
  <c r="CO70" i="1"/>
  <c r="CP70" i="1" s="1"/>
  <c r="CQ70" i="1" s="1"/>
  <c r="DP85" i="1"/>
  <c r="EH88" i="1"/>
  <c r="FB106" i="1"/>
  <c r="EH104" i="1"/>
  <c r="EH97" i="1"/>
  <c r="EJ86" i="1"/>
  <c r="CO14" i="1"/>
  <c r="CO105" i="1"/>
  <c r="EJ106" i="1"/>
  <c r="FB105" i="1"/>
  <c r="DP88" i="1"/>
  <c r="DP86" i="1"/>
  <c r="EH106" i="1"/>
  <c r="FB94" i="1"/>
  <c r="FB103" i="1"/>
  <c r="DP105" i="1"/>
  <c r="CO61" i="1"/>
  <c r="CP61" i="1" s="1"/>
  <c r="CQ61" i="1" s="1"/>
  <c r="CO59" i="1"/>
  <c r="CP59" i="1" s="1"/>
  <c r="CQ59" i="1" s="1"/>
  <c r="DN105" i="1"/>
  <c r="DN86" i="1"/>
  <c r="FB88" i="1"/>
  <c r="EH95" i="1"/>
  <c r="CO6" i="1"/>
  <c r="CP6" i="1" s="1"/>
  <c r="CQ6" i="1" s="1"/>
  <c r="CO25" i="1"/>
  <c r="CP25" i="1"/>
  <c r="CQ25" i="1" s="1"/>
  <c r="CO5" i="1"/>
  <c r="CP7" i="1" s="1"/>
  <c r="CQ7" i="1" s="1"/>
  <c r="CN94" i="1"/>
  <c r="CO97" i="1" s="1"/>
  <c r="CO103" i="1"/>
  <c r="CP106" i="1" s="1"/>
  <c r="CQ106" i="1" s="1"/>
  <c r="CO85" i="1"/>
  <c r="CP87" i="1" s="1"/>
  <c r="CQ87" i="1" s="1"/>
  <c r="CN96" i="1"/>
  <c r="CO86" i="1"/>
  <c r="CP86" i="1" s="1"/>
  <c r="CQ86" i="1" s="1"/>
  <c r="FB96" i="1"/>
  <c r="CO69" i="1"/>
  <c r="CP69" i="1" s="1"/>
  <c r="CQ69" i="1" s="1"/>
  <c r="EH86" i="1"/>
  <c r="CO15" i="1"/>
  <c r="CP15" i="1"/>
  <c r="CQ15" i="1" s="1"/>
  <c r="EJ97" i="1"/>
  <c r="DP96" i="1"/>
  <c r="DP95" i="1"/>
  <c r="CO79" i="1"/>
  <c r="DP94" i="1"/>
  <c r="FD104" i="1"/>
  <c r="EJ95" i="1"/>
  <c r="CN41" i="1"/>
  <c r="CO42" i="1" s="1"/>
  <c r="FD103" i="1"/>
  <c r="FB86" i="1"/>
  <c r="CO68" i="1"/>
  <c r="CP67" i="1" s="1"/>
  <c r="CQ67" i="1" s="1"/>
  <c r="EH96" i="1"/>
  <c r="EJ94" i="1"/>
  <c r="FD88" i="1"/>
  <c r="EH87" i="1"/>
  <c r="EJ105" i="1"/>
  <c r="FD95" i="1"/>
  <c r="CO7" i="1"/>
  <c r="CN95" i="1"/>
  <c r="FB87" i="1"/>
  <c r="EJ104" i="1"/>
  <c r="CO58" i="1"/>
  <c r="CP60" i="1" s="1"/>
  <c r="CQ60" i="1" s="1"/>
  <c r="CP58" i="1"/>
  <c r="CQ58" i="1" s="1"/>
  <c r="DN88" i="1"/>
  <c r="CO76" i="1"/>
  <c r="CO78" i="1"/>
  <c r="CP79" i="1" s="1"/>
  <c r="CQ79" i="1" s="1"/>
  <c r="FD87" i="1"/>
  <c r="FD106" i="1"/>
  <c r="EH105" i="1"/>
  <c r="FD86" i="1"/>
  <c r="DN87" i="1"/>
  <c r="CN52" i="1"/>
  <c r="DN94" i="1"/>
  <c r="FD94" i="1"/>
  <c r="FD97" i="1"/>
  <c r="CP5" i="1"/>
  <c r="CQ5" i="1" s="1"/>
  <c r="EJ85" i="1"/>
  <c r="EJ87" i="1"/>
  <c r="DP106" i="1"/>
  <c r="DN97" i="1"/>
  <c r="DN106" i="1"/>
  <c r="FB97" i="1"/>
  <c r="CO24" i="1"/>
  <c r="CP24" i="1" s="1"/>
  <c r="CQ24" i="1" s="1"/>
  <c r="CR24" i="1" l="1"/>
  <c r="CS24" i="1" s="1"/>
  <c r="CR61" i="1"/>
  <c r="CS61" i="1" s="1"/>
  <c r="CP42" i="1"/>
  <c r="CQ42" i="1" s="1"/>
  <c r="CR59" i="1"/>
  <c r="CR88" i="1"/>
  <c r="CS31" i="1"/>
  <c r="CP105" i="1"/>
  <c r="CQ105" i="1" s="1"/>
  <c r="CO96" i="1"/>
  <c r="CP96" i="1" s="1"/>
  <c r="CQ96" i="1" s="1"/>
  <c r="CP13" i="1"/>
  <c r="CQ13" i="1" s="1"/>
  <c r="CR15" i="1" s="1"/>
  <c r="CO40" i="1"/>
  <c r="CP40" i="1" s="1"/>
  <c r="CQ40" i="1" s="1"/>
  <c r="CP78" i="1"/>
  <c r="CQ78" i="1" s="1"/>
  <c r="CP76" i="1"/>
  <c r="CQ76" i="1" s="1"/>
  <c r="CR79" i="1" s="1"/>
  <c r="CP85" i="1"/>
  <c r="CQ85" i="1" s="1"/>
  <c r="CP16" i="1"/>
  <c r="CQ16" i="1" s="1"/>
  <c r="CP14" i="1"/>
  <c r="CQ14" i="1" s="1"/>
  <c r="CP103" i="1"/>
  <c r="CQ103" i="1" s="1"/>
  <c r="CS25" i="1"/>
  <c r="CR25" i="1"/>
  <c r="CR5" i="1"/>
  <c r="CR60" i="1"/>
  <c r="CS60" i="1" s="1"/>
  <c r="CO52" i="1"/>
  <c r="CP52" i="1" s="1"/>
  <c r="CQ52" i="1" s="1"/>
  <c r="CO95" i="1"/>
  <c r="CP97" i="1" s="1"/>
  <c r="CQ97" i="1" s="1"/>
  <c r="CP4" i="1"/>
  <c r="CQ4" i="1" s="1"/>
  <c r="CR7" i="1" s="1"/>
  <c r="CR23" i="1"/>
  <c r="CS23" i="1" s="1"/>
  <c r="CR58" i="1"/>
  <c r="CS59" i="1" s="1"/>
  <c r="CP68" i="1"/>
  <c r="CQ68" i="1" s="1"/>
  <c r="CO94" i="1"/>
  <c r="CP94" i="1" s="1"/>
  <c r="CQ94" i="1" s="1"/>
  <c r="CR22" i="1"/>
  <c r="CS22" i="1" s="1"/>
  <c r="CO41" i="1"/>
  <c r="CP43" i="1" s="1"/>
  <c r="CQ43" i="1" s="1"/>
  <c r="CO49" i="1"/>
  <c r="CP51" i="1" s="1"/>
  <c r="CQ51" i="1" s="1"/>
  <c r="CR51" i="1" l="1"/>
  <c r="CT22" i="1"/>
  <c r="CU24" i="1" s="1"/>
  <c r="CT59" i="1"/>
  <c r="CT23" i="1"/>
  <c r="CU23" i="1"/>
  <c r="CR97" i="1"/>
  <c r="CS88" i="1"/>
  <c r="CR43" i="1"/>
  <c r="CT24" i="1"/>
  <c r="CP49" i="1"/>
  <c r="CQ49" i="1" s="1"/>
  <c r="CR16" i="1"/>
  <c r="CS16" i="1" s="1"/>
  <c r="CR106" i="1"/>
  <c r="CS106" i="1" s="1"/>
  <c r="CR104" i="1"/>
  <c r="CS104" i="1" s="1"/>
  <c r="CR14" i="1"/>
  <c r="CS14" i="1" s="1"/>
  <c r="CP41" i="1"/>
  <c r="CQ41" i="1" s="1"/>
  <c r="CR85" i="1"/>
  <c r="CS85" i="1" s="1"/>
  <c r="CR87" i="1"/>
  <c r="CS87" i="1" s="1"/>
  <c r="CT31" i="1"/>
  <c r="CR78" i="1"/>
  <c r="CS78" i="1" s="1"/>
  <c r="CR69" i="1"/>
  <c r="CR86" i="1"/>
  <c r="CR6" i="1"/>
  <c r="CP95" i="1"/>
  <c r="CQ95" i="1" s="1"/>
  <c r="CR96" i="1" s="1"/>
  <c r="CT32" i="1"/>
  <c r="CS58" i="1"/>
  <c r="CT60" i="1" s="1"/>
  <c r="CT33" i="1"/>
  <c r="CU32" i="1" s="1"/>
  <c r="CP50" i="1"/>
  <c r="CQ50" i="1" s="1"/>
  <c r="CR67" i="1"/>
  <c r="CS69" i="1" s="1"/>
  <c r="CR77" i="1"/>
  <c r="CT25" i="1"/>
  <c r="CR103" i="1"/>
  <c r="CS103" i="1" s="1"/>
  <c r="CR76" i="1"/>
  <c r="CS79" i="1" s="1"/>
  <c r="CT34" i="1"/>
  <c r="CU33" i="1" s="1"/>
  <c r="CR13" i="1"/>
  <c r="CS13" i="1" s="1"/>
  <c r="CR68" i="1"/>
  <c r="CS68" i="1" s="1"/>
  <c r="CR4" i="1"/>
  <c r="CS5" i="1" s="1"/>
  <c r="CS4" i="1"/>
  <c r="CU25" i="1"/>
  <c r="CR105" i="1"/>
  <c r="CS105" i="1" s="1"/>
  <c r="CR70" i="1"/>
  <c r="CT78" i="1" l="1"/>
  <c r="CT104" i="1"/>
  <c r="CT106" i="1"/>
  <c r="CT105" i="1"/>
  <c r="CT79" i="1"/>
  <c r="CT103" i="1"/>
  <c r="CU103" i="1" s="1"/>
  <c r="CV24" i="1"/>
  <c r="CR50" i="1"/>
  <c r="CS50" i="1" s="1"/>
  <c r="CU31" i="1"/>
  <c r="CS67" i="1"/>
  <c r="CU34" i="1"/>
  <c r="CS15" i="1"/>
  <c r="CT13" i="1" s="1"/>
  <c r="CR94" i="1"/>
  <c r="CV25" i="1"/>
  <c r="CT58" i="1"/>
  <c r="CU58" i="1" s="1"/>
  <c r="CR52" i="1"/>
  <c r="CS52" i="1" s="1"/>
  <c r="CS70" i="1"/>
  <c r="CR95" i="1"/>
  <c r="CS97" i="1" s="1"/>
  <c r="CS95" i="1"/>
  <c r="CR49" i="1"/>
  <c r="CU22" i="1"/>
  <c r="CS6" i="1"/>
  <c r="CR40" i="1"/>
  <c r="CR42" i="1"/>
  <c r="CS86" i="1"/>
  <c r="CS43" i="1"/>
  <c r="CT61" i="1"/>
  <c r="CU61" i="1" s="1"/>
  <c r="CS76" i="1"/>
  <c r="CS77" i="1"/>
  <c r="CR41" i="1"/>
  <c r="CS40" i="1" s="1"/>
  <c r="CS41" i="1"/>
  <c r="CS7" i="1"/>
  <c r="CT40" i="1" l="1"/>
  <c r="CT52" i="1"/>
  <c r="CT86" i="1"/>
  <c r="CU86" i="1" s="1"/>
  <c r="CV33" i="1"/>
  <c r="CS42" i="1"/>
  <c r="CT16" i="1"/>
  <c r="CT95" i="1"/>
  <c r="CT67" i="1"/>
  <c r="CU70" i="1" s="1"/>
  <c r="CU67" i="1"/>
  <c r="CT7" i="1"/>
  <c r="CU7" i="1"/>
  <c r="CT6" i="1"/>
  <c r="CU6" i="1" s="1"/>
  <c r="CU59" i="1"/>
  <c r="CV61" i="1" s="1"/>
  <c r="CU105" i="1"/>
  <c r="CT77" i="1"/>
  <c r="CU76" i="1" s="1"/>
  <c r="CU77" i="1"/>
  <c r="CV22" i="1"/>
  <c r="CW23" i="1" s="1"/>
  <c r="CW22" i="1"/>
  <c r="CT5" i="1"/>
  <c r="CT68" i="1"/>
  <c r="CT76" i="1"/>
  <c r="CS51" i="1"/>
  <c r="CT87" i="1"/>
  <c r="CU106" i="1"/>
  <c r="CU60" i="1"/>
  <c r="CS49" i="1"/>
  <c r="CW24" i="1"/>
  <c r="CV31" i="1"/>
  <c r="CW33" i="1" s="1"/>
  <c r="CW31" i="1"/>
  <c r="CT70" i="1"/>
  <c r="CT88" i="1"/>
  <c r="CU88" i="1" s="1"/>
  <c r="CU104" i="1"/>
  <c r="CV32" i="1"/>
  <c r="CW32" i="1" s="1"/>
  <c r="CT4" i="1"/>
  <c r="CU4" i="1" s="1"/>
  <c r="CS94" i="1"/>
  <c r="CT97" i="1" s="1"/>
  <c r="CT15" i="1"/>
  <c r="CU13" i="1" s="1"/>
  <c r="CU15" i="1"/>
  <c r="CT85" i="1"/>
  <c r="CU87" i="1" s="1"/>
  <c r="CT14" i="1"/>
  <c r="CV23" i="1"/>
  <c r="CV34" i="1"/>
  <c r="CW34" i="1" s="1"/>
  <c r="CX34" i="1" s="1"/>
  <c r="FH34" i="1" s="1"/>
  <c r="CT69" i="1"/>
  <c r="CU69" i="1" s="1"/>
  <c r="CS96" i="1"/>
  <c r="CU97" i="1" l="1"/>
  <c r="CX32" i="1"/>
  <c r="FH32" i="1" s="1"/>
  <c r="CX33" i="1"/>
  <c r="FH33" i="1" s="1"/>
  <c r="FI33" i="1" s="1"/>
  <c r="CV6" i="1"/>
  <c r="CV13" i="1"/>
  <c r="CX23" i="1"/>
  <c r="FH23" i="1" s="1"/>
  <c r="FI23" i="1" s="1"/>
  <c r="CV77" i="1"/>
  <c r="CU85" i="1"/>
  <c r="CV87" i="1" s="1"/>
  <c r="CU68" i="1"/>
  <c r="CU16" i="1"/>
  <c r="CW25" i="1"/>
  <c r="CX25" i="1" s="1"/>
  <c r="FH25" i="1" s="1"/>
  <c r="CX31" i="1"/>
  <c r="FH31" i="1" s="1"/>
  <c r="CX22" i="1"/>
  <c r="FH22" i="1" s="1"/>
  <c r="CT94" i="1"/>
  <c r="CU95" i="1" s="1"/>
  <c r="CU94" i="1"/>
  <c r="CV60" i="1"/>
  <c r="CW61" i="1" s="1"/>
  <c r="CW60" i="1"/>
  <c r="CV105" i="1"/>
  <c r="CW105" i="1"/>
  <c r="CT96" i="1"/>
  <c r="CV106" i="1"/>
  <c r="CW106" i="1" s="1"/>
  <c r="CU5" i="1"/>
  <c r="CT42" i="1"/>
  <c r="CV59" i="1"/>
  <c r="CV104" i="1"/>
  <c r="CT51" i="1"/>
  <c r="CU50" i="1" s="1"/>
  <c r="CU51" i="1"/>
  <c r="CX24" i="1"/>
  <c r="FH24" i="1" s="1"/>
  <c r="CT49" i="1"/>
  <c r="CU49" i="1" s="1"/>
  <c r="CT50" i="1"/>
  <c r="CU79" i="1"/>
  <c r="CU78" i="1"/>
  <c r="CV76" i="1" s="1"/>
  <c r="CT41" i="1"/>
  <c r="CU14" i="1"/>
  <c r="CU43" i="1"/>
  <c r="CW58" i="1"/>
  <c r="CV103" i="1"/>
  <c r="CW104" i="1" s="1"/>
  <c r="CT43" i="1"/>
  <c r="CV58" i="1"/>
  <c r="CX61" i="1" l="1"/>
  <c r="FH61" i="1" s="1"/>
  <c r="FI61" i="1" s="1"/>
  <c r="CV14" i="1"/>
  <c r="CW16" i="1" s="1"/>
  <c r="CW14" i="1"/>
  <c r="CU40" i="1"/>
  <c r="CU41" i="1"/>
  <c r="FI32" i="1"/>
  <c r="CW59" i="1"/>
  <c r="CX59" i="1" s="1"/>
  <c r="FH59" i="1" s="1"/>
  <c r="CV70" i="1"/>
  <c r="CW70" i="1" s="1"/>
  <c r="CX58" i="1"/>
  <c r="FH58" i="1" s="1"/>
  <c r="CW103" i="1"/>
  <c r="CX103" i="1" s="1"/>
  <c r="FH103" i="1" s="1"/>
  <c r="CV78" i="1"/>
  <c r="CW77" i="1" s="1"/>
  <c r="CV97" i="1"/>
  <c r="CV86" i="1"/>
  <c r="FI22" i="1"/>
  <c r="CV5" i="1"/>
  <c r="CX60" i="1"/>
  <c r="FH60" i="1" s="1"/>
  <c r="CV94" i="1"/>
  <c r="CV67" i="1"/>
  <c r="CW67" i="1" s="1"/>
  <c r="CU52" i="1"/>
  <c r="CV7" i="1"/>
  <c r="CW7" i="1" s="1"/>
  <c r="CV88" i="1"/>
  <c r="CW88" i="1" s="1"/>
  <c r="FI24" i="1"/>
  <c r="FI31" i="1"/>
  <c r="CV68" i="1"/>
  <c r="CV85" i="1"/>
  <c r="CW87" i="1" s="1"/>
  <c r="CV79" i="1"/>
  <c r="CW78" i="1" s="1"/>
  <c r="CW79" i="1"/>
  <c r="CU42" i="1"/>
  <c r="CU96" i="1"/>
  <c r="FI25" i="1"/>
  <c r="CV4" i="1"/>
  <c r="CV69" i="1"/>
  <c r="CW69" i="1" s="1"/>
  <c r="CV15" i="1"/>
  <c r="CW15" i="1" s="1"/>
  <c r="CV16" i="1"/>
  <c r="FI34" i="1"/>
  <c r="CX78" i="1" l="1"/>
  <c r="FH78" i="1" s="1"/>
  <c r="CX15" i="1"/>
  <c r="FH15" i="1" s="1"/>
  <c r="CX16" i="1"/>
  <c r="FH16" i="1" s="1"/>
  <c r="CV42" i="1"/>
  <c r="CX14" i="1"/>
  <c r="FH14" i="1" s="1"/>
  <c r="FI14" i="1" s="1"/>
  <c r="CW86" i="1"/>
  <c r="FI58" i="1"/>
  <c r="FI60" i="1"/>
  <c r="CW76" i="1"/>
  <c r="CX76" i="1" s="1"/>
  <c r="FH76" i="1" s="1"/>
  <c r="CW6" i="1"/>
  <c r="FI59" i="1"/>
  <c r="CX106" i="1"/>
  <c r="FH106" i="1" s="1"/>
  <c r="CV41" i="1"/>
  <c r="CV52" i="1"/>
  <c r="CW52" i="1" s="1"/>
  <c r="CX79" i="1"/>
  <c r="FH79" i="1" s="1"/>
  <c r="CV40" i="1"/>
  <c r="CW40" i="1" s="1"/>
  <c r="CW13" i="1"/>
  <c r="CX13" i="1" s="1"/>
  <c r="FH13" i="1" s="1"/>
  <c r="CV43" i="1"/>
  <c r="CW43" i="1" s="1"/>
  <c r="CV49" i="1"/>
  <c r="CW49" i="1" s="1"/>
  <c r="CW85" i="1"/>
  <c r="CX85" i="1" s="1"/>
  <c r="FH85" i="1" s="1"/>
  <c r="CV51" i="1"/>
  <c r="CW51" i="1" s="1"/>
  <c r="CW68" i="1"/>
  <c r="CX68" i="1" s="1"/>
  <c r="FH68" i="1" s="1"/>
  <c r="CW4" i="1"/>
  <c r="CW5" i="1"/>
  <c r="CX5" i="1" s="1"/>
  <c r="FH5" i="1" s="1"/>
  <c r="CX105" i="1"/>
  <c r="FH105" i="1" s="1"/>
  <c r="CV96" i="1"/>
  <c r="CW96" i="1" s="1"/>
  <c r="O31" i="1"/>
  <c r="O32" i="1"/>
  <c r="O34" i="1"/>
  <c r="O33" i="1"/>
  <c r="CV50" i="1"/>
  <c r="O25" i="1"/>
  <c r="O22" i="1"/>
  <c r="O23" i="1"/>
  <c r="O24" i="1"/>
  <c r="CV95" i="1"/>
  <c r="CW95" i="1" s="1"/>
  <c r="CX104" i="1"/>
  <c r="FH104" i="1" s="1"/>
  <c r="FI104" i="1" s="1"/>
  <c r="CW50" i="1" l="1"/>
  <c r="CX50" i="1" s="1"/>
  <c r="FH50" i="1" s="1"/>
  <c r="FI16" i="1"/>
  <c r="T24" i="1"/>
  <c r="P24" i="1"/>
  <c r="U24" i="1"/>
  <c r="FU6" i="1" s="1"/>
  <c r="S24" i="1"/>
  <c r="FV6" i="1" s="1"/>
  <c r="V24" i="1"/>
  <c r="FT6" i="1" s="1"/>
  <c r="FN6" i="1"/>
  <c r="R24" i="1"/>
  <c r="Q24" i="1"/>
  <c r="CX69" i="1"/>
  <c r="FH69" i="1" s="1"/>
  <c r="AF115" i="1"/>
  <c r="S22" i="1"/>
  <c r="R22" i="1"/>
  <c r="U22" i="1"/>
  <c r="T22" i="1"/>
  <c r="V22" i="1"/>
  <c r="Q22" i="1"/>
  <c r="P22" i="1"/>
  <c r="FI15" i="1"/>
  <c r="Q25" i="1"/>
  <c r="V25" i="1"/>
  <c r="T25" i="1"/>
  <c r="S25" i="1"/>
  <c r="R25" i="1"/>
  <c r="P25" i="1"/>
  <c r="U25" i="1"/>
  <c r="R33" i="1"/>
  <c r="S33" i="1"/>
  <c r="FV7" i="1" s="1"/>
  <c r="Q33" i="1"/>
  <c r="P33" i="1"/>
  <c r="V33" i="1"/>
  <c r="FT7" i="1" s="1"/>
  <c r="U33" i="1"/>
  <c r="FU7" i="1" s="1"/>
  <c r="FN7" i="1"/>
  <c r="T33" i="1"/>
  <c r="CX88" i="1"/>
  <c r="FH88" i="1" s="1"/>
  <c r="CX4" i="1"/>
  <c r="FH4" i="1" s="1"/>
  <c r="CX67" i="1"/>
  <c r="FH67" i="1" s="1"/>
  <c r="FI105" i="1"/>
  <c r="CW41" i="1"/>
  <c r="CX41" i="1" s="1"/>
  <c r="FH41" i="1" s="1"/>
  <c r="CX6" i="1"/>
  <c r="FH6" i="1" s="1"/>
  <c r="FI6" i="1" s="1"/>
  <c r="R31" i="1"/>
  <c r="P31" i="1"/>
  <c r="V31" i="1"/>
  <c r="U31" i="1"/>
  <c r="S31" i="1"/>
  <c r="Q31" i="1"/>
  <c r="T31" i="1"/>
  <c r="FI103" i="1"/>
  <c r="CX7" i="1"/>
  <c r="FH7" i="1" s="1"/>
  <c r="CW42" i="1"/>
  <c r="CW94" i="1"/>
  <c r="CX95" i="1" s="1"/>
  <c r="FH95" i="1" s="1"/>
  <c r="CW97" i="1"/>
  <c r="CX97" i="1" s="1"/>
  <c r="FH97" i="1" s="1"/>
  <c r="FI68" i="1"/>
  <c r="P23" i="1"/>
  <c r="U23" i="1"/>
  <c r="V23" i="1"/>
  <c r="T23" i="1"/>
  <c r="S23" i="1"/>
  <c r="R23" i="1"/>
  <c r="Q23" i="1"/>
  <c r="FI106" i="1"/>
  <c r="CX70" i="1"/>
  <c r="FH70" i="1" s="1"/>
  <c r="FI70" i="1" s="1"/>
  <c r="CX87" i="1"/>
  <c r="FH87" i="1" s="1"/>
  <c r="V34" i="1"/>
  <c r="P34" i="1"/>
  <c r="T34" i="1"/>
  <c r="S34" i="1"/>
  <c r="U34" i="1"/>
  <c r="R34" i="1"/>
  <c r="Q34" i="1"/>
  <c r="P32" i="1"/>
  <c r="S32" i="1"/>
  <c r="Q32" i="1"/>
  <c r="V32" i="1"/>
  <c r="U32" i="1"/>
  <c r="T32" i="1"/>
  <c r="R32" i="1"/>
  <c r="O58" i="1"/>
  <c r="O59" i="1"/>
  <c r="O61" i="1"/>
  <c r="O60" i="1"/>
  <c r="FI13" i="1"/>
  <c r="CX86" i="1"/>
  <c r="FH86" i="1" s="1"/>
  <c r="FI86" i="1" s="1"/>
  <c r="CX77" i="1"/>
  <c r="FH77" i="1" s="1"/>
  <c r="FI77" i="1" s="1"/>
  <c r="FI79" i="1" l="1"/>
  <c r="O16" i="1"/>
  <c r="O15" i="1"/>
  <c r="O14" i="1"/>
  <c r="O13" i="1"/>
  <c r="S60" i="1"/>
  <c r="FV10" i="1" s="1"/>
  <c r="Q60" i="1"/>
  <c r="FN10" i="1"/>
  <c r="R60" i="1"/>
  <c r="V60" i="1"/>
  <c r="FT10" i="1" s="1"/>
  <c r="U60" i="1"/>
  <c r="FU10" i="1" s="1"/>
  <c r="T60" i="1"/>
  <c r="P60" i="1"/>
  <c r="V59" i="1"/>
  <c r="S59" i="1"/>
  <c r="T59" i="1"/>
  <c r="R59" i="1"/>
  <c r="P59" i="1"/>
  <c r="U59" i="1"/>
  <c r="Q59" i="1"/>
  <c r="FI78" i="1"/>
  <c r="CX42" i="1"/>
  <c r="FH42" i="1" s="1"/>
  <c r="CX49" i="1"/>
  <c r="FH49" i="1" s="1"/>
  <c r="FI49" i="1" s="1"/>
  <c r="FI7" i="1"/>
  <c r="FI67" i="1"/>
  <c r="FI69" i="1"/>
  <c r="CX96" i="1"/>
  <c r="FH96" i="1" s="1"/>
  <c r="FI5" i="1"/>
  <c r="CX51" i="1"/>
  <c r="FH51" i="1" s="1"/>
  <c r="CX43" i="1"/>
  <c r="FH43" i="1" s="1"/>
  <c r="R61" i="1"/>
  <c r="Q61" i="1"/>
  <c r="V61" i="1"/>
  <c r="U61" i="1"/>
  <c r="P61" i="1"/>
  <c r="T61" i="1"/>
  <c r="S61" i="1"/>
  <c r="FI87" i="1"/>
  <c r="FI85" i="1"/>
  <c r="GM492" i="1"/>
  <c r="GJ495" i="1"/>
  <c r="GJ488" i="1"/>
  <c r="GM482" i="1"/>
  <c r="GM475" i="1"/>
  <c r="GM468" i="1"/>
  <c r="GM461" i="1"/>
  <c r="GM440" i="1"/>
  <c r="GM433" i="1"/>
  <c r="GJ485" i="1"/>
  <c r="GJ457" i="1"/>
  <c r="GJ436" i="1"/>
  <c r="GM493" i="1"/>
  <c r="GM479" i="1"/>
  <c r="GM472" i="1"/>
  <c r="GM465" i="1"/>
  <c r="GM451" i="1"/>
  <c r="GM430" i="1"/>
  <c r="GM423" i="1"/>
  <c r="GM416" i="1"/>
  <c r="GM409" i="1"/>
  <c r="GM402" i="1"/>
  <c r="GM395" i="1"/>
  <c r="GM388" i="1"/>
  <c r="GM381" i="1"/>
  <c r="GM374" i="1"/>
  <c r="GJ497" i="1"/>
  <c r="GM473" i="1"/>
  <c r="GM448" i="1"/>
  <c r="GJ445" i="1"/>
  <c r="GM443" i="1"/>
  <c r="GM383" i="1"/>
  <c r="GM380" i="1"/>
  <c r="GM469" i="1"/>
  <c r="GM442" i="1"/>
  <c r="GJ437" i="1"/>
  <c r="GM483" i="1"/>
  <c r="GM470" i="1"/>
  <c r="GJ456" i="1"/>
  <c r="GJ454" i="1"/>
  <c r="GM435" i="1"/>
  <c r="GJ494" i="1"/>
  <c r="GJ455" i="1"/>
  <c r="GM418" i="1"/>
  <c r="GM392" i="1"/>
  <c r="GM373" i="1"/>
  <c r="GM277" i="1"/>
  <c r="GM263" i="1"/>
  <c r="GM256" i="1"/>
  <c r="GM242" i="1"/>
  <c r="GM235" i="1"/>
  <c r="GM228" i="1"/>
  <c r="GM221" i="1"/>
  <c r="GM214" i="1"/>
  <c r="GM207" i="1"/>
  <c r="GJ496" i="1"/>
  <c r="GM480" i="1"/>
  <c r="GM478" i="1"/>
  <c r="GM463" i="1"/>
  <c r="GM426" i="1"/>
  <c r="GM411" i="1"/>
  <c r="GM403" i="1"/>
  <c r="GM376" i="1"/>
  <c r="GM441" i="1"/>
  <c r="GM439" i="1"/>
  <c r="GM419" i="1"/>
  <c r="GM414" i="1"/>
  <c r="GM401" i="1"/>
  <c r="GM393" i="1"/>
  <c r="GM385" i="1"/>
  <c r="GJ487" i="1"/>
  <c r="GJ458" i="1"/>
  <c r="GM412" i="1"/>
  <c r="GM481" i="1"/>
  <c r="GM466" i="1"/>
  <c r="GM464" i="1"/>
  <c r="GJ447" i="1"/>
  <c r="GM425" i="1"/>
  <c r="GM407" i="1"/>
  <c r="GJ484" i="1"/>
  <c r="GM477" i="1"/>
  <c r="GM431" i="1"/>
  <c r="GM396" i="1"/>
  <c r="GM375" i="1"/>
  <c r="GJ271" i="1"/>
  <c r="GM241" i="1"/>
  <c r="GM498" i="1"/>
  <c r="GO400" i="1"/>
  <c r="GM390" i="1"/>
  <c r="GM490" i="1"/>
  <c r="GM438" i="1"/>
  <c r="GM413" i="1"/>
  <c r="GJ384" i="1"/>
  <c r="GM378" i="1"/>
  <c r="GM471" i="1"/>
  <c r="GM417" i="1"/>
  <c r="GM399" i="1"/>
  <c r="GJ489" i="1"/>
  <c r="GM462" i="1"/>
  <c r="GM432" i="1"/>
  <c r="GM422" i="1"/>
  <c r="GM453" i="1"/>
  <c r="GM450" i="1"/>
  <c r="GM428" i="1"/>
  <c r="GM398" i="1"/>
  <c r="GM491" i="1"/>
  <c r="GJ460" i="1"/>
  <c r="GM276" i="1"/>
  <c r="GJ486" i="1"/>
  <c r="GJ449" i="1"/>
  <c r="GM410" i="1"/>
  <c r="GM406" i="1"/>
  <c r="GM389" i="1"/>
  <c r="GJ281" i="1"/>
  <c r="GM274" i="1"/>
  <c r="GM261" i="1"/>
  <c r="GM253" i="1"/>
  <c r="GJ239" i="1"/>
  <c r="GM234" i="1"/>
  <c r="GM231" i="1"/>
  <c r="GM212" i="1"/>
  <c r="GM452" i="1"/>
  <c r="GM405" i="1"/>
  <c r="GM420" i="1"/>
  <c r="GM408" i="1"/>
  <c r="GO394" i="1"/>
  <c r="GM476" i="1"/>
  <c r="GJ444" i="1"/>
  <c r="GJ386" i="1"/>
  <c r="GJ279" i="1"/>
  <c r="GM275" i="1"/>
  <c r="GM257" i="1"/>
  <c r="GM232" i="1"/>
  <c r="GM222" i="1"/>
  <c r="GM467" i="1"/>
  <c r="GM273" i="1"/>
  <c r="GM252" i="1"/>
  <c r="GM240" i="1"/>
  <c r="GM227" i="1"/>
  <c r="GM208" i="1"/>
  <c r="GM288" i="1"/>
  <c r="GM262" i="1"/>
  <c r="GJ247" i="1"/>
  <c r="GM220" i="1"/>
  <c r="GJ161" i="1"/>
  <c r="GM137" i="1"/>
  <c r="GM112" i="1"/>
  <c r="GM101" i="1"/>
  <c r="GM100" i="1"/>
  <c r="GM429" i="1"/>
  <c r="GM278" i="1"/>
  <c r="GM223" i="1"/>
  <c r="GM379" i="1"/>
  <c r="GM251" i="1"/>
  <c r="GM427" i="1"/>
  <c r="GM233" i="1"/>
  <c r="GM215" i="1"/>
  <c r="GM211" i="1"/>
  <c r="GJ164" i="1"/>
  <c r="GM382" i="1"/>
  <c r="GM377" i="1"/>
  <c r="GM285" i="1"/>
  <c r="GJ283" i="1"/>
  <c r="GJ272" i="1"/>
  <c r="GM264" i="1"/>
  <c r="GM219" i="1"/>
  <c r="GM217" i="1"/>
  <c r="GJ434" i="1"/>
  <c r="GJ269" i="1"/>
  <c r="GM254" i="1"/>
  <c r="GM209" i="1"/>
  <c r="GM134" i="1"/>
  <c r="GJ132" i="1"/>
  <c r="GJ127" i="1"/>
  <c r="GJ122" i="1"/>
  <c r="GM117" i="1"/>
  <c r="GM96" i="1"/>
  <c r="GM92" i="1"/>
  <c r="GJ44" i="1"/>
  <c r="GM287" i="1"/>
  <c r="GM225" i="1"/>
  <c r="GM397" i="1"/>
  <c r="GM258" i="1"/>
  <c r="GJ246" i="1"/>
  <c r="GJ163" i="1"/>
  <c r="GJ459" i="1"/>
  <c r="GM265" i="1"/>
  <c r="GM260" i="1"/>
  <c r="GM255" i="1"/>
  <c r="GM250" i="1"/>
  <c r="GM243" i="1"/>
  <c r="GM236" i="1"/>
  <c r="GM229" i="1"/>
  <c r="GM210" i="1"/>
  <c r="GM206" i="1"/>
  <c r="GJ387" i="1"/>
  <c r="GJ282" i="1"/>
  <c r="GM230" i="1"/>
  <c r="GJ155" i="1"/>
  <c r="GM146" i="1"/>
  <c r="GJ131" i="1"/>
  <c r="GJ120" i="1"/>
  <c r="GM116" i="1"/>
  <c r="GM106" i="1"/>
  <c r="GM268" i="1"/>
  <c r="GJ245" i="1"/>
  <c r="GM237" i="1"/>
  <c r="GM226" i="1"/>
  <c r="GJ156" i="1"/>
  <c r="GJ153" i="1"/>
  <c r="GJ149" i="1"/>
  <c r="GM130" i="1"/>
  <c r="GM248" i="1"/>
  <c r="GM218" i="1"/>
  <c r="GJ166" i="1"/>
  <c r="GJ162" i="1"/>
  <c r="GJ159" i="1"/>
  <c r="GM147" i="1"/>
  <c r="GM136" i="1"/>
  <c r="GM133" i="1"/>
  <c r="GM114" i="1"/>
  <c r="GM90" i="1"/>
  <c r="GJ45" i="1"/>
  <c r="GJ43" i="1"/>
  <c r="GJ37" i="1"/>
  <c r="GJ27" i="1"/>
  <c r="GJ284" i="1"/>
  <c r="GM259" i="1"/>
  <c r="GJ244" i="1"/>
  <c r="GM205" i="1"/>
  <c r="GJ123" i="1"/>
  <c r="GM110" i="1"/>
  <c r="GM266" i="1"/>
  <c r="GM145" i="1"/>
  <c r="GM142" i="1"/>
  <c r="GM135" i="1"/>
  <c r="GJ119" i="1"/>
  <c r="GJ280" i="1"/>
  <c r="GM267" i="1"/>
  <c r="GJ160" i="1"/>
  <c r="GM140" i="1"/>
  <c r="GM424" i="1"/>
  <c r="GM415" i="1"/>
  <c r="GM216" i="1"/>
  <c r="GJ165" i="1"/>
  <c r="GJ157" i="1"/>
  <c r="GJ150" i="1"/>
  <c r="GJ446" i="1"/>
  <c r="GJ158" i="1"/>
  <c r="GM107" i="1"/>
  <c r="GM95" i="1"/>
  <c r="GM94" i="1"/>
  <c r="GM86" i="1"/>
  <c r="GJ38" i="1"/>
  <c r="GM14" i="1"/>
  <c r="GM404" i="1"/>
  <c r="GJ154" i="1"/>
  <c r="GM148" i="1"/>
  <c r="GJ126" i="1"/>
  <c r="GJ125" i="1"/>
  <c r="GJ249" i="1"/>
  <c r="GM143" i="1"/>
  <c r="GM141" i="1"/>
  <c r="GM118" i="1"/>
  <c r="GM109" i="1"/>
  <c r="GJ270" i="1"/>
  <c r="GJ151" i="1"/>
  <c r="GM144" i="1"/>
  <c r="GJ124" i="1"/>
  <c r="GM111" i="1"/>
  <c r="GM99" i="1"/>
  <c r="GM104" i="1"/>
  <c r="GM103" i="1"/>
  <c r="GM87" i="1"/>
  <c r="GM108" i="1"/>
  <c r="GM98" i="1"/>
  <c r="GM93" i="1"/>
  <c r="GJ121" i="1"/>
  <c r="GM91" i="1"/>
  <c r="GM88" i="1"/>
  <c r="GM89" i="1"/>
  <c r="GM20" i="1"/>
  <c r="GM16" i="1"/>
  <c r="GM474" i="1"/>
  <c r="GM286" i="1"/>
  <c r="GM238" i="1"/>
  <c r="GM224" i="1"/>
  <c r="GJ168" i="1"/>
  <c r="GM391" i="1"/>
  <c r="GM167" i="1"/>
  <c r="GM102" i="1"/>
  <c r="GM421" i="1"/>
  <c r="GJ42" i="1"/>
  <c r="GM33" i="1"/>
  <c r="GM30" i="1"/>
  <c r="GM113" i="1"/>
  <c r="GM85" i="1"/>
  <c r="GJ48" i="1"/>
  <c r="GJ22" i="1"/>
  <c r="GJ35" i="1"/>
  <c r="GM115" i="1"/>
  <c r="GJ41" i="1"/>
  <c r="GM19" i="1"/>
  <c r="GJ128" i="1"/>
  <c r="GJ47" i="1"/>
  <c r="GM29" i="1"/>
  <c r="GM105" i="1"/>
  <c r="GM97" i="1"/>
  <c r="GJ34" i="1"/>
  <c r="GM213" i="1"/>
  <c r="GM28" i="1"/>
  <c r="GJ39" i="1"/>
  <c r="GM139" i="1"/>
  <c r="GJ36" i="1"/>
  <c r="GM31" i="1"/>
  <c r="GJ24" i="1"/>
  <c r="GJ152" i="1"/>
  <c r="GM138" i="1"/>
  <c r="GJ25" i="1"/>
  <c r="GM13" i="1"/>
  <c r="GJ46" i="1"/>
  <c r="GJ23" i="1"/>
  <c r="GJ26" i="1"/>
  <c r="GJ40" i="1"/>
  <c r="GM21" i="1"/>
  <c r="GM18" i="1"/>
  <c r="GM32" i="1"/>
  <c r="GM17" i="1"/>
  <c r="GM15" i="1"/>
  <c r="GJ129" i="1"/>
  <c r="GM485" i="1"/>
  <c r="GP493" i="1"/>
  <c r="GM496" i="1"/>
  <c r="GM489" i="1"/>
  <c r="GO479" i="1"/>
  <c r="GO472" i="1"/>
  <c r="GO465" i="1"/>
  <c r="GM454" i="1"/>
  <c r="GO451" i="1"/>
  <c r="GM447" i="1"/>
  <c r="GO430" i="1"/>
  <c r="GP462" i="1"/>
  <c r="GO490" i="1"/>
  <c r="GM486" i="1"/>
  <c r="GO483" i="1"/>
  <c r="GO476" i="1"/>
  <c r="GO469" i="1"/>
  <c r="GM458" i="1"/>
  <c r="GO448" i="1"/>
  <c r="GM444" i="1"/>
  <c r="GO441" i="1"/>
  <c r="GM437" i="1"/>
  <c r="GM367" i="1"/>
  <c r="GM360" i="1"/>
  <c r="GM353" i="1"/>
  <c r="GO471" i="1"/>
  <c r="GO429" i="1"/>
  <c r="GO467" i="1"/>
  <c r="GP491" i="1"/>
  <c r="GO466" i="1"/>
  <c r="GO452" i="1"/>
  <c r="GO481" i="1"/>
  <c r="GO468" i="1"/>
  <c r="GM459" i="1"/>
  <c r="GO440" i="1"/>
  <c r="GP498" i="1"/>
  <c r="GM370" i="1"/>
  <c r="GM351" i="1"/>
  <c r="GM333" i="1"/>
  <c r="GM326" i="1"/>
  <c r="GM319" i="1"/>
  <c r="GM284" i="1"/>
  <c r="GO274" i="1"/>
  <c r="GM270" i="1"/>
  <c r="GO267" i="1"/>
  <c r="GO260" i="1"/>
  <c r="GM249" i="1"/>
  <c r="GM200" i="1"/>
  <c r="GM193" i="1"/>
  <c r="GM488" i="1"/>
  <c r="GP450" i="1"/>
  <c r="GM446" i="1"/>
  <c r="GM362" i="1"/>
  <c r="GM354" i="1"/>
  <c r="GM487" i="1"/>
  <c r="GM497" i="1"/>
  <c r="GO474" i="1"/>
  <c r="GO432" i="1"/>
  <c r="GP453" i="1"/>
  <c r="GO480" i="1"/>
  <c r="GM366" i="1"/>
  <c r="GO344" i="1"/>
  <c r="GM339" i="1"/>
  <c r="GM247" i="1"/>
  <c r="GM244" i="1"/>
  <c r="GM198" i="1"/>
  <c r="GM195" i="1"/>
  <c r="GM192" i="1"/>
  <c r="GO473" i="1"/>
  <c r="GM436" i="1"/>
  <c r="GO433" i="1"/>
  <c r="GM355" i="1"/>
  <c r="GM337" i="1"/>
  <c r="GM329" i="1"/>
  <c r="GM369" i="1"/>
  <c r="GO475" i="1"/>
  <c r="GO470" i="1"/>
  <c r="GO443" i="1"/>
  <c r="GM484" i="1"/>
  <c r="GO439" i="1"/>
  <c r="GM358" i="1"/>
  <c r="GM346" i="1"/>
  <c r="GM331" i="1"/>
  <c r="GP288" i="1"/>
  <c r="GM279" i="1"/>
  <c r="GM495" i="1"/>
  <c r="GP463" i="1"/>
  <c r="GM449" i="1"/>
  <c r="GO431" i="1"/>
  <c r="GM372" i="1"/>
  <c r="GM361" i="1"/>
  <c r="GM327" i="1"/>
  <c r="GM325" i="1"/>
  <c r="GM317" i="1"/>
  <c r="GO435" i="1"/>
  <c r="GM345" i="1"/>
  <c r="GM340" i="1"/>
  <c r="GP287" i="1"/>
  <c r="GO256" i="1"/>
  <c r="GM245" i="1"/>
  <c r="GO240" i="1"/>
  <c r="GM204" i="1"/>
  <c r="GM196" i="1"/>
  <c r="GM188" i="1"/>
  <c r="GM177" i="1"/>
  <c r="GP167" i="1"/>
  <c r="GM160" i="1"/>
  <c r="GM156" i="1"/>
  <c r="GM152" i="1"/>
  <c r="GM434" i="1"/>
  <c r="GM371" i="1"/>
  <c r="GM357" i="1"/>
  <c r="GM494" i="1"/>
  <c r="GM328" i="1"/>
  <c r="GM322" i="1"/>
  <c r="GM336" i="1"/>
  <c r="GM330" i="1"/>
  <c r="GM324" i="1"/>
  <c r="GP286" i="1"/>
  <c r="GM271" i="1"/>
  <c r="GO262" i="1"/>
  <c r="GP250" i="1"/>
  <c r="GO482" i="1"/>
  <c r="GP461" i="1"/>
  <c r="GM455" i="1"/>
  <c r="GM365" i="1"/>
  <c r="GM269" i="1"/>
  <c r="GO255" i="1"/>
  <c r="GO235" i="1"/>
  <c r="GM349" i="1"/>
  <c r="GO243" i="1"/>
  <c r="GM203" i="1"/>
  <c r="GM191" i="1"/>
  <c r="GM178" i="1"/>
  <c r="GM163" i="1"/>
  <c r="GM158" i="1"/>
  <c r="GM149" i="1"/>
  <c r="GM119" i="1"/>
  <c r="GO116" i="1"/>
  <c r="GM352" i="1"/>
  <c r="GO338" i="1"/>
  <c r="GM280" i="1"/>
  <c r="GO258" i="1"/>
  <c r="GP253" i="1"/>
  <c r="GO241" i="1"/>
  <c r="GO236" i="1"/>
  <c r="GM348" i="1"/>
  <c r="GM320" i="1"/>
  <c r="GO285" i="1"/>
  <c r="GO268" i="1"/>
  <c r="GM246" i="1"/>
  <c r="GO464" i="1"/>
  <c r="GO442" i="1"/>
  <c r="GP275" i="1"/>
  <c r="GO264" i="1"/>
  <c r="GO254" i="1"/>
  <c r="GM187" i="1"/>
  <c r="GM456" i="1"/>
  <c r="GO259" i="1"/>
  <c r="GO242" i="1"/>
  <c r="GM359" i="1"/>
  <c r="GM343" i="1"/>
  <c r="GM334" i="1"/>
  <c r="GM318" i="1"/>
  <c r="GO266" i="1"/>
  <c r="GO261" i="1"/>
  <c r="GO251" i="1"/>
  <c r="GO237" i="1"/>
  <c r="GM168" i="1"/>
  <c r="GM162" i="1"/>
  <c r="GM153" i="1"/>
  <c r="GM151" i="1"/>
  <c r="GM150" i="1"/>
  <c r="GO142" i="1"/>
  <c r="GM42" i="1"/>
  <c r="GM40" i="1"/>
  <c r="GM36" i="1"/>
  <c r="GO478" i="1"/>
  <c r="GM364" i="1"/>
  <c r="GM342" i="1"/>
  <c r="GM321" i="1"/>
  <c r="GO438" i="1"/>
  <c r="GM368" i="1"/>
  <c r="GM341" i="1"/>
  <c r="GM332" i="1"/>
  <c r="GO265" i="1"/>
  <c r="GM189" i="1"/>
  <c r="GM445" i="1"/>
  <c r="GM356" i="1"/>
  <c r="GO276" i="1"/>
  <c r="GM197" i="1"/>
  <c r="GM190" i="1"/>
  <c r="GM186" i="1"/>
  <c r="GM164" i="1"/>
  <c r="GM159" i="1"/>
  <c r="GO136" i="1"/>
  <c r="GO114" i="1"/>
  <c r="GO277" i="1"/>
  <c r="GO248" i="1"/>
  <c r="GM183" i="1"/>
  <c r="GM157" i="1"/>
  <c r="GO147" i="1"/>
  <c r="GM129" i="1"/>
  <c r="GM128" i="1"/>
  <c r="GM125" i="1"/>
  <c r="GM457" i="1"/>
  <c r="GM363" i="1"/>
  <c r="GM347" i="1"/>
  <c r="GM272" i="1"/>
  <c r="GO252" i="1"/>
  <c r="GM194" i="1"/>
  <c r="GM127" i="1"/>
  <c r="GM123" i="1"/>
  <c r="GM84" i="1"/>
  <c r="GM72" i="1"/>
  <c r="GM64" i="1"/>
  <c r="GM62" i="1"/>
  <c r="GM57" i="1"/>
  <c r="GM23" i="1"/>
  <c r="GM12" i="1"/>
  <c r="GM8" i="1"/>
  <c r="GO144" i="1"/>
  <c r="GO143" i="1"/>
  <c r="GO117" i="1"/>
  <c r="GO115" i="1"/>
  <c r="GM239" i="1"/>
  <c r="GM165" i="1"/>
  <c r="GM126" i="1"/>
  <c r="GM350" i="1"/>
  <c r="GM154" i="1"/>
  <c r="GM202" i="1"/>
  <c r="GM185" i="1"/>
  <c r="GO273" i="1"/>
  <c r="GM182" i="1"/>
  <c r="GO148" i="1"/>
  <c r="GO29" i="1"/>
  <c r="GM11" i="1"/>
  <c r="GO477" i="1"/>
  <c r="GO141" i="1"/>
  <c r="GO118" i="1"/>
  <c r="GO113" i="1"/>
  <c r="GM323" i="1"/>
  <c r="GM283" i="1"/>
  <c r="GM161" i="1"/>
  <c r="GO138" i="1"/>
  <c r="GO137" i="1"/>
  <c r="GO135" i="1"/>
  <c r="GO134" i="1"/>
  <c r="GM124" i="1"/>
  <c r="GM132" i="1"/>
  <c r="GP130" i="1"/>
  <c r="GM282" i="1"/>
  <c r="GO139" i="1"/>
  <c r="GM131" i="1"/>
  <c r="GM122" i="1"/>
  <c r="GM121" i="1"/>
  <c r="GM184" i="1"/>
  <c r="GM166" i="1"/>
  <c r="GM81" i="1"/>
  <c r="GM335" i="1"/>
  <c r="GO238" i="1"/>
  <c r="GM69" i="1"/>
  <c r="GM61" i="1"/>
  <c r="GM38" i="1"/>
  <c r="GM34" i="1"/>
  <c r="GO33" i="1"/>
  <c r="GM25" i="1"/>
  <c r="GM9" i="1"/>
  <c r="GP278" i="1"/>
  <c r="GM179" i="1"/>
  <c r="GM155" i="1"/>
  <c r="GO146" i="1"/>
  <c r="GM76" i="1"/>
  <c r="GM58" i="1"/>
  <c r="GO145" i="1"/>
  <c r="GM460" i="1"/>
  <c r="GM201" i="1"/>
  <c r="GM70" i="1"/>
  <c r="GM68" i="1"/>
  <c r="GO140" i="1"/>
  <c r="GP133" i="1"/>
  <c r="GM83" i="1"/>
  <c r="GM78" i="1"/>
  <c r="GM74" i="1"/>
  <c r="GO263" i="1"/>
  <c r="GM77" i="1"/>
  <c r="GM41" i="1"/>
  <c r="GM181" i="1"/>
  <c r="GM80" i="1"/>
  <c r="GM199" i="1"/>
  <c r="GM180" i="1"/>
  <c r="GM73" i="1"/>
  <c r="GM63" i="1"/>
  <c r="GM66" i="1"/>
  <c r="GM120" i="1"/>
  <c r="GM60" i="1"/>
  <c r="GO31" i="1"/>
  <c r="GM24" i="1"/>
  <c r="GM82" i="1"/>
  <c r="GM45" i="1"/>
  <c r="GM59" i="1"/>
  <c r="GM67" i="1"/>
  <c r="GM65" i="1"/>
  <c r="GM281" i="1"/>
  <c r="GO257" i="1"/>
  <c r="GM48" i="1"/>
  <c r="GM43" i="1"/>
  <c r="GM75" i="1"/>
  <c r="GM47" i="1"/>
  <c r="GO28" i="1"/>
  <c r="GM39" i="1"/>
  <c r="GM37" i="1"/>
  <c r="GM10" i="1"/>
  <c r="GO32" i="1"/>
  <c r="GM26" i="1"/>
  <c r="GM46" i="1"/>
  <c r="GO21" i="1"/>
  <c r="GO233" i="1"/>
  <c r="GM71" i="1"/>
  <c r="GM35" i="1"/>
  <c r="GM22" i="1"/>
  <c r="GO234" i="1"/>
  <c r="GO30" i="1"/>
  <c r="GP492" i="1"/>
  <c r="GM44" i="1"/>
  <c r="GM27" i="1"/>
  <c r="GM7" i="1"/>
  <c r="GM6" i="1"/>
  <c r="GM79" i="1"/>
  <c r="GM5" i="1"/>
  <c r="S58" i="1"/>
  <c r="U58" i="1"/>
  <c r="P58" i="1"/>
  <c r="T58" i="1"/>
  <c r="R58" i="1"/>
  <c r="Q58" i="1"/>
  <c r="V58" i="1"/>
  <c r="CX94" i="1"/>
  <c r="FH94" i="1" s="1"/>
  <c r="FI94" i="1" s="1"/>
  <c r="CX40" i="1"/>
  <c r="FH40" i="1" s="1"/>
  <c r="FI40" i="1" s="1"/>
  <c r="O104" i="1"/>
  <c r="O103" i="1"/>
  <c r="O105" i="1"/>
  <c r="O106" i="1"/>
  <c r="FI4" i="1"/>
  <c r="FI88" i="1"/>
  <c r="FI76" i="1"/>
  <c r="CX52" i="1"/>
  <c r="FH52" i="1" s="1"/>
  <c r="GK495" i="1" l="1"/>
  <c r="GK478" i="1"/>
  <c r="GK457" i="1"/>
  <c r="GK443" i="1"/>
  <c r="GO437" i="1"/>
  <c r="GK496" i="1"/>
  <c r="GK482" i="1"/>
  <c r="GK475" i="1"/>
  <c r="GK461" i="1"/>
  <c r="GK454" i="1"/>
  <c r="GK440" i="1"/>
  <c r="GO434" i="1"/>
  <c r="GK426" i="1"/>
  <c r="GK419" i="1"/>
  <c r="GO399" i="1"/>
  <c r="GK391" i="1"/>
  <c r="GO378" i="1"/>
  <c r="GK370" i="1"/>
  <c r="GK363" i="1"/>
  <c r="GK462" i="1"/>
  <c r="GK438" i="1"/>
  <c r="GO408" i="1"/>
  <c r="GK407" i="1"/>
  <c r="GK477" i="1"/>
  <c r="GK456" i="1"/>
  <c r="GK474" i="1"/>
  <c r="GK423" i="1"/>
  <c r="GK367" i="1"/>
  <c r="GK364" i="1"/>
  <c r="GK336" i="1"/>
  <c r="GO330" i="1"/>
  <c r="GK329" i="1"/>
  <c r="GO316" i="1"/>
  <c r="GK315" i="1"/>
  <c r="GO309" i="1"/>
  <c r="GK308" i="1"/>
  <c r="GO295" i="1"/>
  <c r="GK287" i="1"/>
  <c r="GK280" i="1"/>
  <c r="GK266" i="1"/>
  <c r="GK259" i="1"/>
  <c r="GK252" i="1"/>
  <c r="GK245" i="1"/>
  <c r="GK238" i="1"/>
  <c r="GK231" i="1"/>
  <c r="GK224" i="1"/>
  <c r="GK217" i="1"/>
  <c r="GK210" i="1"/>
  <c r="GK203" i="1"/>
  <c r="GK196" i="1"/>
  <c r="GK459" i="1"/>
  <c r="GK442" i="1"/>
  <c r="GK392" i="1"/>
  <c r="GO343" i="1"/>
  <c r="GK498" i="1"/>
  <c r="GK421" i="1"/>
  <c r="GK406" i="1"/>
  <c r="GO404" i="1"/>
  <c r="GK390" i="1"/>
  <c r="GO377" i="1"/>
  <c r="GK479" i="1"/>
  <c r="GK427" i="1"/>
  <c r="GK460" i="1"/>
  <c r="GK422" i="1"/>
  <c r="GO436" i="1"/>
  <c r="GO402" i="1"/>
  <c r="GK334" i="1"/>
  <c r="GO321" i="1"/>
  <c r="GO318" i="1"/>
  <c r="GK314" i="1"/>
  <c r="GK311" i="1"/>
  <c r="GK268" i="1"/>
  <c r="GK265" i="1"/>
  <c r="GK262" i="1"/>
  <c r="GK216" i="1"/>
  <c r="GK207" i="1"/>
  <c r="GK439" i="1"/>
  <c r="GK428" i="1"/>
  <c r="GO312" i="1"/>
  <c r="GK497" i="1"/>
  <c r="GK476" i="1"/>
  <c r="GK420" i="1"/>
  <c r="GK455" i="1"/>
  <c r="GO387" i="1"/>
  <c r="GK347" i="1"/>
  <c r="GK333" i="1"/>
  <c r="GK368" i="1"/>
  <c r="GK480" i="1"/>
  <c r="GK385" i="1"/>
  <c r="GO348" i="1"/>
  <c r="GK344" i="1"/>
  <c r="GO310" i="1"/>
  <c r="GO386" i="1"/>
  <c r="GK481" i="1"/>
  <c r="GK393" i="1"/>
  <c r="GO375" i="1"/>
  <c r="GK458" i="1"/>
  <c r="GK350" i="1"/>
  <c r="GO345" i="1"/>
  <c r="GO331" i="1"/>
  <c r="GK389" i="1"/>
  <c r="GK372" i="1"/>
  <c r="GO352" i="1"/>
  <c r="GK228" i="1"/>
  <c r="GK225" i="1"/>
  <c r="GK209" i="1"/>
  <c r="GK175" i="1"/>
  <c r="GK161" i="1"/>
  <c r="GO374" i="1"/>
  <c r="GK366" i="1"/>
  <c r="GK365" i="1"/>
  <c r="GK403" i="1"/>
  <c r="GO346" i="1"/>
  <c r="GO313" i="1"/>
  <c r="GK237" i="1"/>
  <c r="GO349" i="1"/>
  <c r="GO301" i="1"/>
  <c r="GK264" i="1"/>
  <c r="GK247" i="1"/>
  <c r="GO213" i="1"/>
  <c r="GK425" i="1"/>
  <c r="GK369" i="1"/>
  <c r="GK299" i="1"/>
  <c r="GO292" i="1"/>
  <c r="GK232" i="1"/>
  <c r="GK215" i="1"/>
  <c r="GK198" i="1"/>
  <c r="GK186" i="1"/>
  <c r="GK179" i="1"/>
  <c r="GK160" i="1"/>
  <c r="GK115" i="1"/>
  <c r="GK88" i="1"/>
  <c r="GK84" i="1"/>
  <c r="GK424" i="1"/>
  <c r="GK335" i="1"/>
  <c r="GK267" i="1"/>
  <c r="GO405" i="1"/>
  <c r="GK376" i="1"/>
  <c r="GK337" i="1"/>
  <c r="GK435" i="1"/>
  <c r="GO307" i="1"/>
  <c r="GO294" i="1"/>
  <c r="GO291" i="1"/>
  <c r="GK283" i="1"/>
  <c r="GK202" i="1"/>
  <c r="GK182" i="1"/>
  <c r="GO172" i="1"/>
  <c r="GO170" i="1"/>
  <c r="GK144" i="1"/>
  <c r="GK371" i="1"/>
  <c r="GO322" i="1"/>
  <c r="GK235" i="1"/>
  <c r="GK226" i="1"/>
  <c r="GK200" i="1"/>
  <c r="GO169" i="1"/>
  <c r="GK463" i="1"/>
  <c r="GK400" i="1"/>
  <c r="GO297" i="1"/>
  <c r="GK288" i="1"/>
  <c r="GK211" i="1"/>
  <c r="GO205" i="1"/>
  <c r="GK187" i="1"/>
  <c r="GO185" i="1"/>
  <c r="GO177" i="1"/>
  <c r="GK111" i="1"/>
  <c r="GK81" i="1"/>
  <c r="GK79" i="1"/>
  <c r="GO68" i="1"/>
  <c r="GO66" i="1"/>
  <c r="GK282" i="1"/>
  <c r="GK261" i="1"/>
  <c r="GK251" i="1"/>
  <c r="GK244" i="1"/>
  <c r="GK183" i="1"/>
  <c r="GK180" i="1"/>
  <c r="GO328" i="1"/>
  <c r="GK253" i="1"/>
  <c r="GK248" i="1"/>
  <c r="GK227" i="1"/>
  <c r="GK214" i="1"/>
  <c r="GK199" i="1"/>
  <c r="GK188" i="1"/>
  <c r="GO384" i="1"/>
  <c r="GK332" i="1"/>
  <c r="GK320" i="1"/>
  <c r="GK279" i="1"/>
  <c r="GK234" i="1"/>
  <c r="GK208" i="1"/>
  <c r="GK189" i="1"/>
  <c r="GK181" i="1"/>
  <c r="GK174" i="1"/>
  <c r="GO289" i="1"/>
  <c r="GK285" i="1"/>
  <c r="GK260" i="1"/>
  <c r="GK230" i="1"/>
  <c r="GK166" i="1"/>
  <c r="GK162" i="1"/>
  <c r="GK159" i="1"/>
  <c r="GK141" i="1"/>
  <c r="GK118" i="1"/>
  <c r="GK109" i="1"/>
  <c r="GK164" i="1"/>
  <c r="GK146" i="1"/>
  <c r="GK125" i="1"/>
  <c r="GK116" i="1"/>
  <c r="GK106" i="1"/>
  <c r="GK32" i="1"/>
  <c r="GK30" i="1"/>
  <c r="GK18" i="1"/>
  <c r="GO14" i="1"/>
  <c r="GO298" i="1"/>
  <c r="GK293" i="1"/>
  <c r="GK229" i="1"/>
  <c r="GK351" i="1"/>
  <c r="GO319" i="1"/>
  <c r="GK250" i="1"/>
  <c r="GK163" i="1"/>
  <c r="GK143" i="1"/>
  <c r="GK117" i="1"/>
  <c r="GK167" i="1"/>
  <c r="GK165" i="1"/>
  <c r="GK110" i="1"/>
  <c r="GK388" i="1"/>
  <c r="GK195" i="1"/>
  <c r="GK140" i="1"/>
  <c r="GK127" i="1"/>
  <c r="GK114" i="1"/>
  <c r="GK105" i="1"/>
  <c r="GK90" i="1"/>
  <c r="GK284" i="1"/>
  <c r="GK126" i="1"/>
  <c r="GO97" i="1"/>
  <c r="GK75" i="1"/>
  <c r="GK62" i="1"/>
  <c r="GO49" i="1"/>
  <c r="GK40" i="1"/>
  <c r="GK19" i="1"/>
  <c r="GK8" i="1"/>
  <c r="GK128" i="1"/>
  <c r="GK197" i="1"/>
  <c r="GO401" i="1"/>
  <c r="GK133" i="1"/>
  <c r="GK441" i="1"/>
  <c r="GK204" i="1"/>
  <c r="GK132" i="1"/>
  <c r="GK130" i="1"/>
  <c r="GK139" i="1"/>
  <c r="GK108" i="1"/>
  <c r="GK77" i="1"/>
  <c r="GK246" i="1"/>
  <c r="GK168" i="1"/>
  <c r="GK91" i="1"/>
  <c r="GK63" i="1"/>
  <c r="GK60" i="1"/>
  <c r="GK47" i="1"/>
  <c r="GK173" i="1"/>
  <c r="GK131" i="1"/>
  <c r="GK89" i="1"/>
  <c r="GO85" i="1"/>
  <c r="GK61" i="1"/>
  <c r="GO56" i="1"/>
  <c r="GK223" i="1"/>
  <c r="GK148" i="1"/>
  <c r="GK95" i="1"/>
  <c r="GO94" i="1"/>
  <c r="GO300" i="1"/>
  <c r="GK145" i="1"/>
  <c r="GK112" i="1"/>
  <c r="GK87" i="1"/>
  <c r="GK82" i="1"/>
  <c r="GK286" i="1"/>
  <c r="GK142" i="1"/>
  <c r="GK103" i="1"/>
  <c r="GO96" i="1"/>
  <c r="GO69" i="1"/>
  <c r="GK236" i="1"/>
  <c r="GK201" i="1"/>
  <c r="GK147" i="1"/>
  <c r="GK83" i="1"/>
  <c r="GK78" i="1"/>
  <c r="GK48" i="1"/>
  <c r="GK5" i="1"/>
  <c r="GK263" i="1"/>
  <c r="GK129" i="1"/>
  <c r="GO65" i="1"/>
  <c r="GO57" i="1"/>
  <c r="GK17" i="1"/>
  <c r="GK16" i="1"/>
  <c r="GK483" i="1"/>
  <c r="GK281" i="1"/>
  <c r="GK44" i="1"/>
  <c r="GK80" i="1"/>
  <c r="GO53" i="1"/>
  <c r="GO50" i="1"/>
  <c r="GK33" i="1"/>
  <c r="GK13" i="1"/>
  <c r="GO4" i="1"/>
  <c r="GK494" i="1"/>
  <c r="GK76" i="1"/>
  <c r="GK249" i="1"/>
  <c r="GK59" i="1"/>
  <c r="GO55" i="1"/>
  <c r="GK45" i="1"/>
  <c r="GK104" i="1"/>
  <c r="GO93" i="1"/>
  <c r="GK41" i="1"/>
  <c r="GK107" i="1"/>
  <c r="GK39" i="1"/>
  <c r="GK124" i="1"/>
  <c r="GK23" i="1"/>
  <c r="GK10" i="1"/>
  <c r="GO52" i="1"/>
  <c r="GK46" i="1"/>
  <c r="GK176" i="1"/>
  <c r="GK42" i="1"/>
  <c r="GK21" i="1"/>
  <c r="GK43" i="1"/>
  <c r="GK9" i="1"/>
  <c r="GK11" i="1"/>
  <c r="GK26" i="1"/>
  <c r="GO6" i="1"/>
  <c r="GK67" i="1"/>
  <c r="GK12" i="1"/>
  <c r="GK31" i="1"/>
  <c r="GK25" i="1"/>
  <c r="GK20" i="1"/>
  <c r="GK54" i="1"/>
  <c r="GK29" i="1"/>
  <c r="GK24" i="1"/>
  <c r="GK27" i="1"/>
  <c r="FI50" i="1"/>
  <c r="O52" i="1" s="1"/>
  <c r="FI43" i="1"/>
  <c r="Q14" i="1"/>
  <c r="V14" i="1"/>
  <c r="T14" i="1"/>
  <c r="R14" i="1"/>
  <c r="P14" i="1"/>
  <c r="U14" i="1"/>
  <c r="S14" i="1"/>
  <c r="O70" i="1"/>
  <c r="O68" i="1"/>
  <c r="O67" i="1"/>
  <c r="O69" i="1"/>
  <c r="O40" i="1"/>
  <c r="O50" i="1"/>
  <c r="O51" i="1"/>
  <c r="O49" i="1"/>
  <c r="FI52" i="1"/>
  <c r="T13" i="1"/>
  <c r="R13" i="1"/>
  <c r="Q13" i="1"/>
  <c r="V13" i="1"/>
  <c r="U13" i="1"/>
  <c r="S13" i="1"/>
  <c r="P13" i="1"/>
  <c r="O78" i="1"/>
  <c r="O79" i="1"/>
  <c r="O76" i="1"/>
  <c r="O77" i="1"/>
  <c r="FI97" i="1"/>
  <c r="V15" i="1"/>
  <c r="FT5" i="1" s="1"/>
  <c r="U15" i="1"/>
  <c r="FU5" i="1" s="1"/>
  <c r="T15" i="1"/>
  <c r="FN5" i="1"/>
  <c r="S15" i="1"/>
  <c r="FV5" i="1" s="1"/>
  <c r="Q15" i="1"/>
  <c r="P15" i="1"/>
  <c r="R15" i="1"/>
  <c r="O94" i="1"/>
  <c r="O7" i="1"/>
  <c r="O6" i="1"/>
  <c r="O5" i="1"/>
  <c r="O4" i="1"/>
  <c r="FI51" i="1"/>
  <c r="P16" i="1"/>
  <c r="S16" i="1"/>
  <c r="R16" i="1"/>
  <c r="T16" i="1"/>
  <c r="V16" i="1"/>
  <c r="U16" i="1"/>
  <c r="Q16" i="1"/>
  <c r="Q106" i="1"/>
  <c r="V106" i="1"/>
  <c r="U106" i="1"/>
  <c r="T106" i="1"/>
  <c r="R106" i="1"/>
  <c r="S106" i="1"/>
  <c r="P106" i="1"/>
  <c r="R105" i="1"/>
  <c r="Q105" i="1"/>
  <c r="P105" i="1"/>
  <c r="U105" i="1"/>
  <c r="FU15" i="1" s="1"/>
  <c r="T105" i="1"/>
  <c r="S105" i="1"/>
  <c r="FV15" i="1" s="1"/>
  <c r="FN15" i="1"/>
  <c r="V105" i="1"/>
  <c r="FT15" i="1" s="1"/>
  <c r="O85" i="1"/>
  <c r="O88" i="1"/>
  <c r="O86" i="1"/>
  <c r="O87" i="1"/>
  <c r="Q104" i="1"/>
  <c r="V104" i="1"/>
  <c r="R104" i="1"/>
  <c r="P104" i="1"/>
  <c r="U104" i="1"/>
  <c r="T104" i="1"/>
  <c r="S104" i="1"/>
  <c r="FI42" i="1"/>
  <c r="FI96" i="1"/>
  <c r="O96" i="1" s="1"/>
  <c r="FI41" i="1"/>
  <c r="O43" i="1" s="1"/>
  <c r="T103" i="1"/>
  <c r="R103" i="1"/>
  <c r="Q103" i="1"/>
  <c r="S103" i="1"/>
  <c r="P103" i="1"/>
  <c r="V103" i="1"/>
  <c r="U103" i="1"/>
  <c r="FI95" i="1"/>
  <c r="O95" i="1" s="1"/>
  <c r="V52" i="1" l="1"/>
  <c r="S52" i="1"/>
  <c r="Q52" i="1"/>
  <c r="U52" i="1"/>
  <c r="T52" i="1"/>
  <c r="P52" i="1"/>
  <c r="R52" i="1"/>
  <c r="T43" i="1"/>
  <c r="V43" i="1"/>
  <c r="U43" i="1"/>
  <c r="S43" i="1"/>
  <c r="Q43" i="1"/>
  <c r="P43" i="1"/>
  <c r="R43" i="1"/>
  <c r="T95" i="1"/>
  <c r="S95" i="1"/>
  <c r="V95" i="1"/>
  <c r="Q95" i="1"/>
  <c r="R95" i="1"/>
  <c r="P95" i="1"/>
  <c r="U95" i="1"/>
  <c r="U96" i="1"/>
  <c r="FU14" i="1" s="1"/>
  <c r="Q96" i="1"/>
  <c r="R96" i="1"/>
  <c r="P96" i="1"/>
  <c r="T96" i="1"/>
  <c r="FN14" i="1"/>
  <c r="V96" i="1"/>
  <c r="FT14" i="1" s="1"/>
  <c r="S96" i="1"/>
  <c r="FV14" i="1" s="1"/>
  <c r="V79" i="1"/>
  <c r="P79" i="1"/>
  <c r="R79" i="1"/>
  <c r="T79" i="1"/>
  <c r="S79" i="1"/>
  <c r="Q79" i="1"/>
  <c r="U79" i="1"/>
  <c r="GP465" i="1"/>
  <c r="GP490" i="1"/>
  <c r="GP469" i="1"/>
  <c r="GP455" i="1"/>
  <c r="GP448" i="1"/>
  <c r="GP441" i="1"/>
  <c r="GP434" i="1"/>
  <c r="GP484" i="1"/>
  <c r="GP446" i="1"/>
  <c r="GP396" i="1"/>
  <c r="GP353" i="1"/>
  <c r="GP343" i="1"/>
  <c r="GP494" i="1"/>
  <c r="GP480" i="1"/>
  <c r="GP485" i="1"/>
  <c r="GP468" i="1"/>
  <c r="GP445" i="1"/>
  <c r="GP464" i="1"/>
  <c r="GP457" i="1"/>
  <c r="GP438" i="1"/>
  <c r="GP413" i="1"/>
  <c r="GP416" i="1"/>
  <c r="GP382" i="1"/>
  <c r="GP340" i="1"/>
  <c r="GP190" i="1"/>
  <c r="GP187" i="1"/>
  <c r="GP431" i="1"/>
  <c r="GP406" i="1"/>
  <c r="GP357" i="1"/>
  <c r="GP460" i="1"/>
  <c r="GP422" i="1"/>
  <c r="GP466" i="1"/>
  <c r="GP449" i="1"/>
  <c r="GP420" i="1"/>
  <c r="GP411" i="1"/>
  <c r="GP404" i="1"/>
  <c r="GP400" i="1"/>
  <c r="GP388" i="1"/>
  <c r="GP364" i="1"/>
  <c r="GP312" i="1"/>
  <c r="GP266" i="1"/>
  <c r="GP263" i="1"/>
  <c r="GP257" i="1"/>
  <c r="GP214" i="1"/>
  <c r="GP208" i="1"/>
  <c r="GP487" i="1"/>
  <c r="GP386" i="1"/>
  <c r="GP360" i="1"/>
  <c r="GP335" i="1"/>
  <c r="GP309" i="1"/>
  <c r="GP435" i="1"/>
  <c r="GP381" i="1"/>
  <c r="GP350" i="1"/>
  <c r="GP320" i="1"/>
  <c r="GP454" i="1"/>
  <c r="GP432" i="1"/>
  <c r="GP375" i="1"/>
  <c r="GP358" i="1"/>
  <c r="GP475" i="1"/>
  <c r="GP439" i="1"/>
  <c r="GP425" i="1"/>
  <c r="GP409" i="1"/>
  <c r="GP403" i="1"/>
  <c r="GP395" i="1"/>
  <c r="GP308" i="1"/>
  <c r="GP291" i="1"/>
  <c r="GP430" i="1"/>
  <c r="GP414" i="1"/>
  <c r="GP391" i="1"/>
  <c r="GP436" i="1"/>
  <c r="GP410" i="1"/>
  <c r="GP380" i="1"/>
  <c r="GP355" i="1"/>
  <c r="GP345" i="1"/>
  <c r="GP303" i="1"/>
  <c r="GP294" i="1"/>
  <c r="GP279" i="1"/>
  <c r="GP274" i="1"/>
  <c r="GP399" i="1"/>
  <c r="GP347" i="1"/>
  <c r="GP329" i="1"/>
  <c r="GP474" i="1"/>
  <c r="GP444" i="1"/>
  <c r="GP366" i="1"/>
  <c r="GP333" i="1"/>
  <c r="GP292" i="1"/>
  <c r="GP251" i="1"/>
  <c r="GP202" i="1"/>
  <c r="GP184" i="1"/>
  <c r="GP136" i="1"/>
  <c r="GP134" i="1"/>
  <c r="GP429" i="1"/>
  <c r="GP379" i="1"/>
  <c r="GP354" i="1"/>
  <c r="GP477" i="1"/>
  <c r="GP341" i="1"/>
  <c r="GP332" i="1"/>
  <c r="GP330" i="1"/>
  <c r="GP394" i="1"/>
  <c r="GP339" i="1"/>
  <c r="GP255" i="1"/>
  <c r="GP245" i="1"/>
  <c r="GP235" i="1"/>
  <c r="GP220" i="1"/>
  <c r="GP369" i="1"/>
  <c r="GP290" i="1"/>
  <c r="GP230" i="1"/>
  <c r="GP389" i="1"/>
  <c r="GP385" i="1"/>
  <c r="GP377" i="1"/>
  <c r="GP373" i="1"/>
  <c r="GP321" i="1"/>
  <c r="GP282" i="1"/>
  <c r="GP280" i="1"/>
  <c r="GP260" i="1"/>
  <c r="GP248" i="1"/>
  <c r="GP225" i="1"/>
  <c r="GP218" i="1"/>
  <c r="GP172" i="1"/>
  <c r="GP129" i="1"/>
  <c r="GP397" i="1"/>
  <c r="GP384" i="1"/>
  <c r="GP323" i="1"/>
  <c r="GP307" i="1"/>
  <c r="GP296" i="1"/>
  <c r="GP276" i="1"/>
  <c r="GP363" i="1"/>
  <c r="GP328" i="1"/>
  <c r="GP317" i="1"/>
  <c r="GP314" i="1"/>
  <c r="GP302" i="1"/>
  <c r="GP289" i="1"/>
  <c r="GP261" i="1"/>
  <c r="GP249" i="1"/>
  <c r="GP244" i="1"/>
  <c r="GP239" i="1"/>
  <c r="GP234" i="1"/>
  <c r="GP348" i="1"/>
  <c r="GP326" i="1"/>
  <c r="GP285" i="1"/>
  <c r="GP259" i="1"/>
  <c r="GP242" i="1"/>
  <c r="GP228" i="1"/>
  <c r="GP207" i="1"/>
  <c r="GP180" i="1"/>
  <c r="GP179" i="1"/>
  <c r="GP173" i="1"/>
  <c r="GP169" i="1"/>
  <c r="GP165" i="1"/>
  <c r="GP151" i="1"/>
  <c r="GP146" i="1"/>
  <c r="GP318" i="1"/>
  <c r="GP297" i="1"/>
  <c r="GP269" i="1"/>
  <c r="GP237" i="1"/>
  <c r="GP223" i="1"/>
  <c r="GP205" i="1"/>
  <c r="GP196" i="1"/>
  <c r="GP185" i="1"/>
  <c r="GP178" i="1"/>
  <c r="GP177" i="1"/>
  <c r="GP160" i="1"/>
  <c r="GP471" i="1"/>
  <c r="GP419" i="1"/>
  <c r="GP338" i="1"/>
  <c r="GP300" i="1"/>
  <c r="GP131" i="1"/>
  <c r="GP107" i="1"/>
  <c r="GP99" i="1"/>
  <c r="GP82" i="1"/>
  <c r="GP62" i="1"/>
  <c r="GP51" i="1"/>
  <c r="GP49" i="1"/>
  <c r="GP37" i="1"/>
  <c r="GP212" i="1"/>
  <c r="GP181" i="1"/>
  <c r="GP374" i="1"/>
  <c r="GP324" i="1"/>
  <c r="GP305" i="1"/>
  <c r="GP270" i="1"/>
  <c r="GP224" i="1"/>
  <c r="GP195" i="1"/>
  <c r="GP273" i="1"/>
  <c r="GP193" i="1"/>
  <c r="GP175" i="1"/>
  <c r="GP264" i="1"/>
  <c r="GP256" i="1"/>
  <c r="GP209" i="1"/>
  <c r="GP304" i="1"/>
  <c r="GP299" i="1"/>
  <c r="GP215" i="1"/>
  <c r="GP200" i="1"/>
  <c r="GP197" i="1"/>
  <c r="GP121" i="1"/>
  <c r="GP105" i="1"/>
  <c r="GP401" i="1"/>
  <c r="GP233" i="1"/>
  <c r="GP110" i="1"/>
  <c r="GP100" i="1"/>
  <c r="GP54" i="1"/>
  <c r="GP52" i="1"/>
  <c r="GP39" i="1"/>
  <c r="GP16" i="1"/>
  <c r="GP6" i="1"/>
  <c r="GP4" i="1"/>
  <c r="GP271" i="1"/>
  <c r="GP236" i="1"/>
  <c r="GP199" i="1"/>
  <c r="GP182" i="1"/>
  <c r="GP135" i="1"/>
  <c r="GP140" i="1"/>
  <c r="GP139" i="1"/>
  <c r="GP122" i="1"/>
  <c r="GP325" i="1"/>
  <c r="GP240" i="1"/>
  <c r="GP153" i="1"/>
  <c r="GP114" i="1"/>
  <c r="GP191" i="1"/>
  <c r="GP149" i="1"/>
  <c r="GP128" i="1"/>
  <c r="GP101" i="1"/>
  <c r="GP141" i="1"/>
  <c r="GP125" i="1"/>
  <c r="GP113" i="1"/>
  <c r="GP96" i="1"/>
  <c r="GP76" i="1"/>
  <c r="GP61" i="1"/>
  <c r="GP28" i="1"/>
  <c r="GP206" i="1"/>
  <c r="GP143" i="1"/>
  <c r="GP124" i="1"/>
  <c r="GP254" i="1"/>
  <c r="GP174" i="1"/>
  <c r="GP170" i="1"/>
  <c r="GP156" i="1"/>
  <c r="GP116" i="1"/>
  <c r="GP108" i="1"/>
  <c r="GP451" i="1"/>
  <c r="GP344" i="1"/>
  <c r="GP293" i="1"/>
  <c r="GP213" i="1"/>
  <c r="GP115" i="1"/>
  <c r="GP246" i="1"/>
  <c r="GP192" i="1"/>
  <c r="GP171" i="1"/>
  <c r="GP162" i="1"/>
  <c r="GP144" i="1"/>
  <c r="GP89" i="1"/>
  <c r="GP188" i="1"/>
  <c r="GP137" i="1"/>
  <c r="GP159" i="1"/>
  <c r="GP85" i="1"/>
  <c r="GP75" i="1"/>
  <c r="GP71" i="1"/>
  <c r="GP14" i="1"/>
  <c r="GP8" i="1"/>
  <c r="GP126" i="1"/>
  <c r="GP95" i="1"/>
  <c r="GP72" i="1"/>
  <c r="GP186" i="1"/>
  <c r="GP376" i="1"/>
  <c r="GP103" i="1"/>
  <c r="GP73" i="1"/>
  <c r="GP119" i="1"/>
  <c r="GP80" i="1"/>
  <c r="GP77" i="1"/>
  <c r="GP68" i="1"/>
  <c r="GP319" i="1"/>
  <c r="GP219" i="1"/>
  <c r="GP210" i="1"/>
  <c r="GP227" i="1"/>
  <c r="GP150" i="1"/>
  <c r="GP65" i="1"/>
  <c r="GP57" i="1"/>
  <c r="GP13" i="1"/>
  <c r="GP9" i="1"/>
  <c r="GP154" i="1"/>
  <c r="GP67" i="1"/>
  <c r="GP46" i="1"/>
  <c r="GP23" i="1"/>
  <c r="GP19" i="1"/>
  <c r="GP216" i="1"/>
  <c r="GP79" i="1"/>
  <c r="GP53" i="1"/>
  <c r="GP60" i="1"/>
  <c r="GP50" i="1"/>
  <c r="GP298" i="1"/>
  <c r="GP241" i="1"/>
  <c r="GP120" i="1"/>
  <c r="GP98" i="1"/>
  <c r="GP92" i="1"/>
  <c r="GP25" i="1"/>
  <c r="GP22" i="1"/>
  <c r="GP5" i="1"/>
  <c r="GP87" i="1"/>
  <c r="GP59" i="1"/>
  <c r="GP55" i="1"/>
  <c r="GP90" i="1"/>
  <c r="GP86" i="1"/>
  <c r="GP44" i="1"/>
  <c r="GP35" i="1"/>
  <c r="GP93" i="1"/>
  <c r="GP41" i="1"/>
  <c r="GP26" i="1"/>
  <c r="GP32" i="1"/>
  <c r="GP64" i="1"/>
  <c r="GP21" i="1"/>
  <c r="GP70" i="1"/>
  <c r="GP24" i="1"/>
  <c r="GP117" i="1"/>
  <c r="GP104" i="1"/>
  <c r="GP94" i="1"/>
  <c r="GP10" i="1"/>
  <c r="GP221" i="1"/>
  <c r="GP11" i="1"/>
  <c r="GP17" i="1"/>
  <c r="GP58" i="1"/>
  <c r="GP30" i="1"/>
  <c r="GP36" i="1"/>
  <c r="GP7" i="1"/>
  <c r="GP40" i="1"/>
  <c r="GP34" i="1"/>
  <c r="GP311" i="1"/>
  <c r="GP29" i="1"/>
  <c r="GP15" i="1"/>
  <c r="GP43" i="1"/>
  <c r="GP31" i="1"/>
  <c r="GP88" i="1"/>
  <c r="GP18" i="1"/>
  <c r="GP66" i="1"/>
  <c r="O97" i="1"/>
  <c r="V78" i="1"/>
  <c r="FT12" i="1" s="1"/>
  <c r="U78" i="1"/>
  <c r="FU12" i="1" s="1"/>
  <c r="T78" i="1"/>
  <c r="R78" i="1"/>
  <c r="S78" i="1"/>
  <c r="FV12" i="1" s="1"/>
  <c r="Q78" i="1"/>
  <c r="P78" i="1"/>
  <c r="FN12" i="1"/>
  <c r="O42" i="1"/>
  <c r="U94" i="1"/>
  <c r="T94" i="1"/>
  <c r="V94" i="1"/>
  <c r="S94" i="1"/>
  <c r="Q94" i="1"/>
  <c r="P94" i="1"/>
  <c r="R94" i="1"/>
  <c r="R40" i="1"/>
  <c r="V40" i="1"/>
  <c r="S40" i="1"/>
  <c r="Q40" i="1"/>
  <c r="U40" i="1"/>
  <c r="T40" i="1"/>
  <c r="P40" i="1"/>
  <c r="O41" i="1"/>
  <c r="V67" i="1"/>
  <c r="T67" i="1"/>
  <c r="S67" i="1"/>
  <c r="R67" i="1"/>
  <c r="Q67" i="1"/>
  <c r="P67" i="1"/>
  <c r="U67" i="1"/>
  <c r="GL492" i="1"/>
  <c r="GL485" i="1"/>
  <c r="GL478" i="1"/>
  <c r="GL471" i="1"/>
  <c r="GL464" i="1"/>
  <c r="GL496" i="1"/>
  <c r="GL489" i="1"/>
  <c r="GL482" i="1"/>
  <c r="GL475" i="1"/>
  <c r="GL468" i="1"/>
  <c r="GL461" i="1"/>
  <c r="GL454" i="1"/>
  <c r="GL447" i="1"/>
  <c r="GL440" i="1"/>
  <c r="GL433" i="1"/>
  <c r="GL477" i="1"/>
  <c r="GL455" i="1"/>
  <c r="GL450" i="1"/>
  <c r="GL431" i="1"/>
  <c r="GL398" i="1"/>
  <c r="GL392" i="1"/>
  <c r="GL389" i="1"/>
  <c r="GL349" i="1"/>
  <c r="GL342" i="1"/>
  <c r="GL473" i="1"/>
  <c r="GL474" i="1"/>
  <c r="GL449" i="1"/>
  <c r="GL442" i="1"/>
  <c r="GL491" i="1"/>
  <c r="GL459" i="1"/>
  <c r="GL457" i="1"/>
  <c r="GL444" i="1"/>
  <c r="GL413" i="1"/>
  <c r="GL408" i="1"/>
  <c r="GL359" i="1"/>
  <c r="GL348" i="1"/>
  <c r="GL345" i="1"/>
  <c r="GL418" i="1"/>
  <c r="GL400" i="1"/>
  <c r="GL384" i="1"/>
  <c r="GL373" i="1"/>
  <c r="GL370" i="1"/>
  <c r="GL351" i="1"/>
  <c r="GL333" i="1"/>
  <c r="GL326" i="1"/>
  <c r="GL490" i="1"/>
  <c r="GL467" i="1"/>
  <c r="GL437" i="1"/>
  <c r="GL435" i="1"/>
  <c r="GL429" i="1"/>
  <c r="GL424" i="1"/>
  <c r="GL409" i="1"/>
  <c r="GL374" i="1"/>
  <c r="GL484" i="1"/>
  <c r="GL462" i="1"/>
  <c r="GL460" i="1"/>
  <c r="GL456" i="1"/>
  <c r="GL445" i="1"/>
  <c r="GL443" i="1"/>
  <c r="GL422" i="1"/>
  <c r="GL417" i="1"/>
  <c r="GL404" i="1"/>
  <c r="GL497" i="1"/>
  <c r="GL412" i="1"/>
  <c r="GL439" i="1"/>
  <c r="GL428" i="1"/>
  <c r="GL421" i="1"/>
  <c r="GL346" i="1"/>
  <c r="GL308" i="1"/>
  <c r="GL302" i="1"/>
  <c r="GL299" i="1"/>
  <c r="GL480" i="1"/>
  <c r="GL469" i="1"/>
  <c r="GL411" i="1"/>
  <c r="GL396" i="1"/>
  <c r="GL375" i="1"/>
  <c r="GL366" i="1"/>
  <c r="GL339" i="1"/>
  <c r="GL486" i="1"/>
  <c r="GL472" i="1"/>
  <c r="GL458" i="1"/>
  <c r="GL452" i="1"/>
  <c r="GL446" i="1"/>
  <c r="GL432" i="1"/>
  <c r="GL410" i="1"/>
  <c r="GL403" i="1"/>
  <c r="GL395" i="1"/>
  <c r="GL365" i="1"/>
  <c r="GL356" i="1"/>
  <c r="GL354" i="1"/>
  <c r="GL325" i="1"/>
  <c r="GL322" i="1"/>
  <c r="GL316" i="1"/>
  <c r="GL313" i="1"/>
  <c r="GL498" i="1"/>
  <c r="GL436" i="1"/>
  <c r="GL416" i="1"/>
  <c r="GL401" i="1"/>
  <c r="GL393" i="1"/>
  <c r="GL380" i="1"/>
  <c r="GL493" i="1"/>
  <c r="GL470" i="1"/>
  <c r="GL465" i="1"/>
  <c r="GL419" i="1"/>
  <c r="GL425" i="1"/>
  <c r="GL363" i="1"/>
  <c r="GL337" i="1"/>
  <c r="GL335" i="1"/>
  <c r="GL327" i="1"/>
  <c r="GL312" i="1"/>
  <c r="GL298" i="1"/>
  <c r="GL441" i="1"/>
  <c r="GL405" i="1"/>
  <c r="GL402" i="1"/>
  <c r="GL397" i="1"/>
  <c r="GL394" i="1"/>
  <c r="GL364" i="1"/>
  <c r="GL350" i="1"/>
  <c r="GL323" i="1"/>
  <c r="GL321" i="1"/>
  <c r="GL309" i="1"/>
  <c r="GL307" i="1"/>
  <c r="GL453" i="1"/>
  <c r="GL372" i="1"/>
  <c r="GL361" i="1"/>
  <c r="GL358" i="1"/>
  <c r="GL338" i="1"/>
  <c r="GL319" i="1"/>
  <c r="GL315" i="1"/>
  <c r="GL463" i="1"/>
  <c r="GL414" i="1"/>
  <c r="GL406" i="1"/>
  <c r="GL369" i="1"/>
  <c r="GL355" i="1"/>
  <c r="GL329" i="1"/>
  <c r="GL317" i="1"/>
  <c r="GL296" i="1"/>
  <c r="GL289" i="1"/>
  <c r="GL163" i="1"/>
  <c r="GL140" i="1"/>
  <c r="GL377" i="1"/>
  <c r="GL347" i="1"/>
  <c r="GL451" i="1"/>
  <c r="GL438" i="1"/>
  <c r="GL391" i="1"/>
  <c r="GL362" i="1"/>
  <c r="GL344" i="1"/>
  <c r="GL320" i="1"/>
  <c r="GL318" i="1"/>
  <c r="GL314" i="1"/>
  <c r="GL297" i="1"/>
  <c r="GL390" i="1"/>
  <c r="GL378" i="1"/>
  <c r="GL476" i="1"/>
  <c r="GL420" i="1"/>
  <c r="GL399" i="1"/>
  <c r="GL336" i="1"/>
  <c r="GL330" i="1"/>
  <c r="GL324" i="1"/>
  <c r="GL448" i="1"/>
  <c r="GL357" i="1"/>
  <c r="GL353" i="1"/>
  <c r="GL159" i="1"/>
  <c r="GL142" i="1"/>
  <c r="GL108" i="1"/>
  <c r="GL80" i="1"/>
  <c r="GL487" i="1"/>
  <c r="GL481" i="1"/>
  <c r="GL407" i="1"/>
  <c r="GL388" i="1"/>
  <c r="GL368" i="1"/>
  <c r="GL360" i="1"/>
  <c r="GL332" i="1"/>
  <c r="GL305" i="1"/>
  <c r="GL294" i="1"/>
  <c r="GL479" i="1"/>
  <c r="GL434" i="1"/>
  <c r="GL423" i="1"/>
  <c r="GL371" i="1"/>
  <c r="GL341" i="1"/>
  <c r="GL311" i="1"/>
  <c r="GL304" i="1"/>
  <c r="GL143" i="1"/>
  <c r="GL427" i="1"/>
  <c r="GL387" i="1"/>
  <c r="GL488" i="1"/>
  <c r="GL382" i="1"/>
  <c r="GL291" i="1"/>
  <c r="GL152" i="1"/>
  <c r="GL125" i="1"/>
  <c r="GL114" i="1"/>
  <c r="GL102" i="1"/>
  <c r="GL91" i="1"/>
  <c r="GL89" i="1"/>
  <c r="GL61" i="1"/>
  <c r="GL59" i="1"/>
  <c r="GL57" i="1"/>
  <c r="GL386" i="1"/>
  <c r="GL300" i="1"/>
  <c r="GL466" i="1"/>
  <c r="GL430" i="1"/>
  <c r="GL379" i="1"/>
  <c r="GL328" i="1"/>
  <c r="GL295" i="1"/>
  <c r="GL166" i="1"/>
  <c r="GL162" i="1"/>
  <c r="GL153" i="1"/>
  <c r="GL149" i="1"/>
  <c r="GL141" i="1"/>
  <c r="GL118" i="1"/>
  <c r="GL109" i="1"/>
  <c r="GL340" i="1"/>
  <c r="GL334" i="1"/>
  <c r="GL164" i="1"/>
  <c r="GL146" i="1"/>
  <c r="GL116" i="1"/>
  <c r="GL106" i="1"/>
  <c r="GL157" i="1"/>
  <c r="GL130" i="1"/>
  <c r="GL129" i="1"/>
  <c r="GL128" i="1"/>
  <c r="GL85" i="1"/>
  <c r="GL70" i="1"/>
  <c r="GL352" i="1"/>
  <c r="GL167" i="1"/>
  <c r="GL160" i="1"/>
  <c r="GL148" i="1"/>
  <c r="GL121" i="1"/>
  <c r="GL292" i="1"/>
  <c r="GL150" i="1"/>
  <c r="GL144" i="1"/>
  <c r="GL132" i="1"/>
  <c r="GL115" i="1"/>
  <c r="GL310" i="1"/>
  <c r="GL303" i="1"/>
  <c r="GL158" i="1"/>
  <c r="GL127" i="1"/>
  <c r="GL105" i="1"/>
  <c r="GL154" i="1"/>
  <c r="GL126" i="1"/>
  <c r="GL119" i="1"/>
  <c r="GL93" i="1"/>
  <c r="GL415" i="1"/>
  <c r="GL88" i="1"/>
  <c r="GL84" i="1"/>
  <c r="GL68" i="1"/>
  <c r="GM50" i="1"/>
  <c r="GL290" i="1"/>
  <c r="GL107" i="1"/>
  <c r="GL385" i="1"/>
  <c r="GL376" i="1"/>
  <c r="GL301" i="1"/>
  <c r="GL168" i="1"/>
  <c r="GL155" i="1"/>
  <c r="GL136" i="1"/>
  <c r="GL113" i="1"/>
  <c r="GL383" i="1"/>
  <c r="GL483" i="1"/>
  <c r="GL111" i="1"/>
  <c r="GL99" i="1"/>
  <c r="GL92" i="1"/>
  <c r="GL117" i="1"/>
  <c r="GL77" i="1"/>
  <c r="GL74" i="1"/>
  <c r="GL306" i="1"/>
  <c r="GL98" i="1"/>
  <c r="GL81" i="1"/>
  <c r="GL381" i="1"/>
  <c r="GL131" i="1"/>
  <c r="GL62" i="1"/>
  <c r="GL495" i="1"/>
  <c r="GL426" i="1"/>
  <c r="GL137" i="1"/>
  <c r="GL69" i="1"/>
  <c r="GL55" i="1"/>
  <c r="GL494" i="1"/>
  <c r="GL343" i="1"/>
  <c r="GL293" i="1"/>
  <c r="GL161" i="1"/>
  <c r="GL151" i="1"/>
  <c r="GL133" i="1"/>
  <c r="GL123" i="1"/>
  <c r="GL97" i="1"/>
  <c r="GL331" i="1"/>
  <c r="GL134" i="1"/>
  <c r="GL124" i="1"/>
  <c r="GL90" i="1"/>
  <c r="GL72" i="1"/>
  <c r="GL64" i="1"/>
  <c r="GL147" i="1"/>
  <c r="GL96" i="1"/>
  <c r="GL87" i="1"/>
  <c r="GL86" i="1"/>
  <c r="GL83" i="1"/>
  <c r="GL78" i="1"/>
  <c r="GL122" i="1"/>
  <c r="GL71" i="1"/>
  <c r="GL367" i="1"/>
  <c r="GL51" i="1"/>
  <c r="GL101" i="1"/>
  <c r="GL165" i="1"/>
  <c r="GL145" i="1"/>
  <c r="GL82" i="1"/>
  <c r="GL79" i="1"/>
  <c r="GL75" i="1"/>
  <c r="GL95" i="1"/>
  <c r="GL66" i="1"/>
  <c r="GL120" i="1"/>
  <c r="GL103" i="1"/>
  <c r="GL76" i="1"/>
  <c r="GL60" i="1"/>
  <c r="GL53" i="1"/>
  <c r="GL139" i="1"/>
  <c r="GL135" i="1"/>
  <c r="GL58" i="1"/>
  <c r="GL49" i="1"/>
  <c r="GL73" i="1"/>
  <c r="GL52" i="1"/>
  <c r="GL156" i="1"/>
  <c r="GL110" i="1"/>
  <c r="GL100" i="1"/>
  <c r="GL54" i="1"/>
  <c r="GL94" i="1"/>
  <c r="GL63" i="1"/>
  <c r="GL104" i="1"/>
  <c r="GL138" i="1"/>
  <c r="GL56" i="1"/>
  <c r="GL112" i="1"/>
  <c r="GL65" i="1"/>
  <c r="GL67" i="1"/>
  <c r="S70" i="1"/>
  <c r="T70" i="1"/>
  <c r="V70" i="1"/>
  <c r="P70" i="1"/>
  <c r="R70" i="1"/>
  <c r="Q70" i="1"/>
  <c r="U70" i="1"/>
  <c r="U68" i="1"/>
  <c r="R68" i="1"/>
  <c r="Q68" i="1"/>
  <c r="P68" i="1"/>
  <c r="V68" i="1"/>
  <c r="T68" i="1"/>
  <c r="S68" i="1"/>
  <c r="P49" i="1"/>
  <c r="T49" i="1"/>
  <c r="S49" i="1"/>
  <c r="Q49" i="1"/>
  <c r="V49" i="1"/>
  <c r="U49" i="1"/>
  <c r="R49" i="1"/>
  <c r="R88" i="1"/>
  <c r="P88" i="1"/>
  <c r="V88" i="1"/>
  <c r="S88" i="1"/>
  <c r="Q88" i="1"/>
  <c r="U88" i="1"/>
  <c r="T88" i="1"/>
  <c r="U7" i="1"/>
  <c r="T7" i="1"/>
  <c r="S7" i="1"/>
  <c r="Q7" i="1"/>
  <c r="P7" i="1"/>
  <c r="V7" i="1"/>
  <c r="R7" i="1"/>
  <c r="R85" i="1"/>
  <c r="V85" i="1"/>
  <c r="Q85" i="1"/>
  <c r="U85" i="1"/>
  <c r="T85" i="1"/>
  <c r="S85" i="1"/>
  <c r="P85" i="1"/>
  <c r="Q76" i="1"/>
  <c r="T76" i="1"/>
  <c r="S76" i="1"/>
  <c r="R76" i="1"/>
  <c r="P76" i="1"/>
  <c r="V76" i="1"/>
  <c r="U76" i="1"/>
  <c r="V69" i="1"/>
  <c r="FT11" i="1" s="1"/>
  <c r="P69" i="1"/>
  <c r="U69" i="1"/>
  <c r="FU11" i="1" s="1"/>
  <c r="T69" i="1"/>
  <c r="S69" i="1"/>
  <c r="FV11" i="1" s="1"/>
  <c r="R69" i="1"/>
  <c r="Q69" i="1"/>
  <c r="FN11" i="1"/>
  <c r="P4" i="1"/>
  <c r="R4" i="1"/>
  <c r="T4" i="1"/>
  <c r="V4" i="1"/>
  <c r="U4" i="1"/>
  <c r="S4" i="1"/>
  <c r="Q4" i="1"/>
  <c r="S86" i="1"/>
  <c r="U86" i="1"/>
  <c r="T86" i="1"/>
  <c r="Q86" i="1"/>
  <c r="P86" i="1"/>
  <c r="V86" i="1"/>
  <c r="R86" i="1"/>
  <c r="P6" i="1"/>
  <c r="V6" i="1"/>
  <c r="FT4" i="1" s="1"/>
  <c r="U6" i="1"/>
  <c r="FU4" i="1" s="1"/>
  <c r="Q6" i="1"/>
  <c r="FN4" i="1"/>
  <c r="T6" i="1"/>
  <c r="S6" i="1"/>
  <c r="FV4" i="1" s="1"/>
  <c r="R6" i="1"/>
  <c r="V77" i="1"/>
  <c r="Q77" i="1"/>
  <c r="U77" i="1"/>
  <c r="S77" i="1"/>
  <c r="T77" i="1"/>
  <c r="R77" i="1"/>
  <c r="P77" i="1"/>
  <c r="P51" i="1"/>
  <c r="S51" i="1"/>
  <c r="FV9" i="1" s="1"/>
  <c r="V51" i="1"/>
  <c r="FT9" i="1" s="1"/>
  <c r="Q51" i="1"/>
  <c r="T51" i="1"/>
  <c r="R51" i="1"/>
  <c r="FN9" i="1"/>
  <c r="U51" i="1"/>
  <c r="FU9" i="1" s="1"/>
  <c r="Q50" i="1"/>
  <c r="R50" i="1"/>
  <c r="P50" i="1"/>
  <c r="S50" i="1"/>
  <c r="T50" i="1"/>
  <c r="V50" i="1"/>
  <c r="U50" i="1"/>
  <c r="R87" i="1"/>
  <c r="V87" i="1"/>
  <c r="FT13" i="1" s="1"/>
  <c r="S87" i="1"/>
  <c r="FV13" i="1" s="1"/>
  <c r="U87" i="1"/>
  <c r="FU13" i="1" s="1"/>
  <c r="T87" i="1"/>
  <c r="Q87" i="1"/>
  <c r="P87" i="1"/>
  <c r="FN13" i="1"/>
  <c r="T5" i="1"/>
  <c r="R5" i="1"/>
  <c r="P5" i="1"/>
  <c r="S5" i="1"/>
  <c r="V5" i="1"/>
  <c r="U5" i="1"/>
  <c r="Q5" i="1"/>
  <c r="T41" i="1" l="1"/>
  <c r="U41" i="1"/>
  <c r="Q41" i="1"/>
  <c r="R41" i="1"/>
  <c r="P41" i="1"/>
  <c r="V41" i="1"/>
  <c r="S41" i="1"/>
  <c r="FS14" i="1"/>
  <c r="GQ493" i="1"/>
  <c r="GP479" i="1"/>
  <c r="GP472" i="1"/>
  <c r="GQ497" i="1"/>
  <c r="GQ483" i="1"/>
  <c r="GQ441" i="1"/>
  <c r="GJ429" i="1"/>
  <c r="GQ487" i="1"/>
  <c r="GQ473" i="1"/>
  <c r="GQ466" i="1"/>
  <c r="GQ382" i="1"/>
  <c r="GP467" i="1"/>
  <c r="GP402" i="1"/>
  <c r="GP356" i="1"/>
  <c r="GQ350" i="1"/>
  <c r="GP336" i="1"/>
  <c r="GP488" i="1"/>
  <c r="GQ457" i="1"/>
  <c r="GQ489" i="1"/>
  <c r="GQ477" i="1"/>
  <c r="GP433" i="1"/>
  <c r="GQ406" i="1"/>
  <c r="GP337" i="1"/>
  <c r="GQ278" i="1"/>
  <c r="GQ271" i="1"/>
  <c r="GQ257" i="1"/>
  <c r="GP424" i="1"/>
  <c r="GQ401" i="1"/>
  <c r="GP398" i="1"/>
  <c r="GP368" i="1"/>
  <c r="GQ360" i="1"/>
  <c r="GQ352" i="1"/>
  <c r="GP346" i="1"/>
  <c r="GJ329" i="1"/>
  <c r="GP327" i="1"/>
  <c r="GP458" i="1"/>
  <c r="GP443" i="1"/>
  <c r="GK431" i="1"/>
  <c r="GP417" i="1"/>
  <c r="GP412" i="1"/>
  <c r="GQ391" i="1"/>
  <c r="GJ379" i="1"/>
  <c r="GQ453" i="1"/>
  <c r="GP447" i="1"/>
  <c r="GQ428" i="1"/>
  <c r="GQ471" i="1"/>
  <c r="GQ451" i="1"/>
  <c r="GK445" i="1"/>
  <c r="GQ436" i="1"/>
  <c r="GP459" i="1"/>
  <c r="GP423" i="1"/>
  <c r="GQ418" i="1"/>
  <c r="GN394" i="1"/>
  <c r="GQ386" i="1"/>
  <c r="GQ335" i="1"/>
  <c r="GJ323" i="1"/>
  <c r="GJ320" i="1"/>
  <c r="GP315" i="1"/>
  <c r="GQ309" i="1"/>
  <c r="GP306" i="1"/>
  <c r="GQ300" i="1"/>
  <c r="GQ251" i="1"/>
  <c r="GP217" i="1"/>
  <c r="GQ202" i="1"/>
  <c r="GP392" i="1"/>
  <c r="GQ362" i="1"/>
  <c r="GP351" i="1"/>
  <c r="GN344" i="1"/>
  <c r="GJ317" i="1"/>
  <c r="GQ432" i="1"/>
  <c r="GQ422" i="1"/>
  <c r="GQ397" i="1"/>
  <c r="GQ372" i="1"/>
  <c r="GJ435" i="1"/>
  <c r="GP383" i="1"/>
  <c r="GJ376" i="1"/>
  <c r="GP361" i="1"/>
  <c r="GQ341" i="1"/>
  <c r="GP331" i="1"/>
  <c r="GQ314" i="1"/>
  <c r="GJ373" i="1"/>
  <c r="GQ446" i="1"/>
  <c r="GK465" i="1"/>
  <c r="GP387" i="1"/>
  <c r="GQ377" i="1"/>
  <c r="GQ355" i="1"/>
  <c r="GQ321" i="1"/>
  <c r="GJ318" i="1"/>
  <c r="GN293" i="1"/>
  <c r="GQ463" i="1"/>
  <c r="GN338" i="1"/>
  <c r="GJ291" i="1"/>
  <c r="GN289" i="1"/>
  <c r="GK396" i="1"/>
  <c r="GQ366" i="1"/>
  <c r="GK325" i="1"/>
  <c r="GK410" i="1"/>
  <c r="GP301" i="1"/>
  <c r="GQ282" i="1"/>
  <c r="GP277" i="1"/>
  <c r="GP272" i="1"/>
  <c r="GP243" i="1"/>
  <c r="GL220" i="1"/>
  <c r="GQ210" i="1"/>
  <c r="GP194" i="1"/>
  <c r="GL169" i="1"/>
  <c r="GQ158" i="1"/>
  <c r="GP142" i="1"/>
  <c r="GP138" i="1"/>
  <c r="GP132" i="1"/>
  <c r="GP478" i="1"/>
  <c r="GP442" i="1"/>
  <c r="GQ416" i="1"/>
  <c r="GJ385" i="1"/>
  <c r="GP295" i="1"/>
  <c r="GN308" i="1"/>
  <c r="GN299" i="1"/>
  <c r="GQ230" i="1"/>
  <c r="GP342" i="1"/>
  <c r="GQ288" i="1"/>
  <c r="GQ284" i="1"/>
  <c r="GP267" i="1"/>
  <c r="GQ225" i="1"/>
  <c r="GL215" i="1"/>
  <c r="GP437" i="1"/>
  <c r="GQ326" i="1"/>
  <c r="GP310" i="1"/>
  <c r="GQ305" i="1"/>
  <c r="GQ294" i="1"/>
  <c r="GP238" i="1"/>
  <c r="GN95" i="1"/>
  <c r="GN93" i="1"/>
  <c r="GL260" i="1"/>
  <c r="GQ246" i="1"/>
  <c r="GP367" i="1"/>
  <c r="GL236" i="1"/>
  <c r="GK354" i="1"/>
  <c r="GP322" i="1"/>
  <c r="GQ237" i="1"/>
  <c r="GL213" i="1"/>
  <c r="GP183" i="1"/>
  <c r="GP147" i="1"/>
  <c r="GN400" i="1"/>
  <c r="GK304" i="1"/>
  <c r="GQ266" i="1"/>
  <c r="GQ261" i="1"/>
  <c r="GL233" i="1"/>
  <c r="GL187" i="1"/>
  <c r="GP176" i="1"/>
  <c r="GP393" i="1"/>
  <c r="GQ330" i="1"/>
  <c r="GP97" i="1"/>
  <c r="GN86" i="1"/>
  <c r="GP38" i="1"/>
  <c r="GK381" i="1"/>
  <c r="GN290" i="1"/>
  <c r="GQ232" i="1"/>
  <c r="GL205" i="1"/>
  <c r="GP189" i="1"/>
  <c r="GP452" i="1"/>
  <c r="GQ316" i="1"/>
  <c r="GN302" i="1"/>
  <c r="GQ276" i="1"/>
  <c r="GL241" i="1"/>
  <c r="GL212" i="1"/>
  <c r="GQ193" i="1"/>
  <c r="GL181" i="1"/>
  <c r="GQ175" i="1"/>
  <c r="GL174" i="1"/>
  <c r="GQ164" i="1"/>
  <c r="GQ408" i="1"/>
  <c r="GJ374" i="1"/>
  <c r="GQ345" i="1"/>
  <c r="GQ204" i="1"/>
  <c r="GQ182" i="1"/>
  <c r="GL245" i="1"/>
  <c r="GJ234" i="1"/>
  <c r="GP226" i="1"/>
  <c r="GP222" i="1"/>
  <c r="GL206" i="1"/>
  <c r="GQ197" i="1"/>
  <c r="GL185" i="1"/>
  <c r="GN125" i="1"/>
  <c r="GP123" i="1"/>
  <c r="GQ112" i="1"/>
  <c r="GQ105" i="1"/>
  <c r="GL256" i="1"/>
  <c r="GP252" i="1"/>
  <c r="GL209" i="1"/>
  <c r="GJ179" i="1"/>
  <c r="GQ110" i="1"/>
  <c r="GP378" i="1"/>
  <c r="GK340" i="1"/>
  <c r="GQ221" i="1"/>
  <c r="GQ148" i="1"/>
  <c r="GN98" i="1"/>
  <c r="GN65" i="1"/>
  <c r="GN51" i="1"/>
  <c r="GP47" i="1"/>
  <c r="GP407" i="1"/>
  <c r="GP211" i="1"/>
  <c r="GP163" i="1"/>
  <c r="GQ126" i="1"/>
  <c r="GN119" i="1"/>
  <c r="GL270" i="1"/>
  <c r="GL254" i="1"/>
  <c r="GL224" i="1"/>
  <c r="GL184" i="1"/>
  <c r="GL171" i="1"/>
  <c r="GQ168" i="1"/>
  <c r="GQ151" i="1"/>
  <c r="GQ131" i="1"/>
  <c r="GN113" i="1"/>
  <c r="GP111" i="1"/>
  <c r="GN297" i="1"/>
  <c r="GJ207" i="1"/>
  <c r="GP157" i="1"/>
  <c r="GQ101" i="1"/>
  <c r="GQ141" i="1"/>
  <c r="GK100" i="1"/>
  <c r="GQ96" i="1"/>
  <c r="GN296" i="1"/>
  <c r="GP198" i="1"/>
  <c r="GP118" i="1"/>
  <c r="GJ114" i="1"/>
  <c r="GN57" i="1"/>
  <c r="GN54" i="1"/>
  <c r="GL4" i="1"/>
  <c r="GQ188" i="1"/>
  <c r="GQ137" i="1"/>
  <c r="GQ117" i="1"/>
  <c r="GL190" i="1"/>
  <c r="GL172" i="1"/>
  <c r="GQ133" i="1"/>
  <c r="GQ411" i="1"/>
  <c r="GQ242" i="1"/>
  <c r="GL196" i="1"/>
  <c r="GN104" i="1"/>
  <c r="GP258" i="1"/>
  <c r="GP247" i="1"/>
  <c r="GP152" i="1"/>
  <c r="GN116" i="1"/>
  <c r="GN85" i="1"/>
  <c r="GL239" i="1"/>
  <c r="GK136" i="1"/>
  <c r="GK121" i="1"/>
  <c r="GQ84" i="1"/>
  <c r="GP262" i="1"/>
  <c r="GL218" i="1"/>
  <c r="GN89" i="1"/>
  <c r="GQ253" i="1"/>
  <c r="GL192" i="1"/>
  <c r="GL177" i="1"/>
  <c r="GQ146" i="1"/>
  <c r="GQ122" i="1"/>
  <c r="GP106" i="1"/>
  <c r="GN76" i="1"/>
  <c r="GN58" i="1"/>
  <c r="GP56" i="1"/>
  <c r="GL50" i="1"/>
  <c r="GQ48" i="1"/>
  <c r="GQ32" i="1"/>
  <c r="GL22" i="1"/>
  <c r="GP231" i="1"/>
  <c r="GQ82" i="1"/>
  <c r="GN67" i="1"/>
  <c r="GQ268" i="1"/>
  <c r="GQ216" i="1"/>
  <c r="GL170" i="1"/>
  <c r="GP283" i="1"/>
  <c r="GP78" i="1"/>
  <c r="GL178" i="1"/>
  <c r="GP102" i="1"/>
  <c r="GQ162" i="1"/>
  <c r="GN140" i="1"/>
  <c r="GP127" i="1"/>
  <c r="GK72" i="1"/>
  <c r="GJ87" i="1"/>
  <c r="GQ46" i="1"/>
  <c r="GN40" i="1"/>
  <c r="GQ19" i="1"/>
  <c r="GL16" i="1"/>
  <c r="GN150" i="1"/>
  <c r="GP91" i="1"/>
  <c r="GQ62" i="1"/>
  <c r="GQ55" i="1"/>
  <c r="GN134" i="1"/>
  <c r="GQ156" i="1"/>
  <c r="GL36" i="1"/>
  <c r="GP12" i="1"/>
  <c r="GN92" i="1"/>
  <c r="GP63" i="1"/>
  <c r="GQ26" i="1"/>
  <c r="GP74" i="1"/>
  <c r="GP203" i="1"/>
  <c r="GQ90" i="1"/>
  <c r="GN70" i="1"/>
  <c r="GN52" i="1"/>
  <c r="GP69" i="1"/>
  <c r="GN34" i="1"/>
  <c r="GL7" i="1"/>
  <c r="GL6" i="1"/>
  <c r="GQ68" i="1"/>
  <c r="GL18" i="1"/>
  <c r="GQ77" i="1"/>
  <c r="GJ59" i="1"/>
  <c r="GP33" i="1"/>
  <c r="GL28" i="1"/>
  <c r="GL23" i="1"/>
  <c r="GL10" i="1"/>
  <c r="GQ73" i="1"/>
  <c r="GN64" i="1"/>
  <c r="GN49" i="1"/>
  <c r="GP42" i="1"/>
  <c r="GL31" i="1"/>
  <c r="GP27" i="1"/>
  <c r="GL25" i="1"/>
  <c r="GQ11" i="1"/>
  <c r="GQ37" i="1"/>
  <c r="GL13" i="1"/>
  <c r="GL5" i="1"/>
  <c r="GN61" i="1"/>
  <c r="GL29" i="1"/>
  <c r="GP83" i="1"/>
  <c r="GP20" i="1"/>
  <c r="GL14" i="1"/>
  <c r="GL8" i="1"/>
  <c r="GQ41" i="1"/>
  <c r="GL21" i="1"/>
  <c r="GL15" i="1"/>
  <c r="GO496" i="1"/>
  <c r="GO489" i="1"/>
  <c r="GO493" i="1"/>
  <c r="GO486" i="1"/>
  <c r="GO458" i="1"/>
  <c r="GO444" i="1"/>
  <c r="GO497" i="1"/>
  <c r="GO462" i="1"/>
  <c r="GO455" i="1"/>
  <c r="GO427" i="1"/>
  <c r="GO420" i="1"/>
  <c r="GO413" i="1"/>
  <c r="GO392" i="1"/>
  <c r="GO385" i="1"/>
  <c r="GO371" i="1"/>
  <c r="GO364" i="1"/>
  <c r="GO357" i="1"/>
  <c r="GO453" i="1"/>
  <c r="GO414" i="1"/>
  <c r="GO411" i="1"/>
  <c r="GM386" i="1"/>
  <c r="GO365" i="1"/>
  <c r="GO362" i="1"/>
  <c r="GO359" i="1"/>
  <c r="GO484" i="1"/>
  <c r="GO487" i="1"/>
  <c r="GO447" i="1"/>
  <c r="GO491" i="1"/>
  <c r="GO485" i="1"/>
  <c r="GO445" i="1"/>
  <c r="GO419" i="1"/>
  <c r="GO416" i="1"/>
  <c r="GO461" i="1"/>
  <c r="GO426" i="1"/>
  <c r="GM384" i="1"/>
  <c r="GO379" i="1"/>
  <c r="GO323" i="1"/>
  <c r="GM312" i="1"/>
  <c r="GM305" i="1"/>
  <c r="GO302" i="1"/>
  <c r="GM291" i="1"/>
  <c r="GO288" i="1"/>
  <c r="GO281" i="1"/>
  <c r="GO253" i="1"/>
  <c r="GO246" i="1"/>
  <c r="GO239" i="1"/>
  <c r="GO232" i="1"/>
  <c r="GO225" i="1"/>
  <c r="GO218" i="1"/>
  <c r="GO211" i="1"/>
  <c r="GO204" i="1"/>
  <c r="GO197" i="1"/>
  <c r="GO498" i="1"/>
  <c r="GO421" i="1"/>
  <c r="GO390" i="1"/>
  <c r="GM387" i="1"/>
  <c r="GO382" i="1"/>
  <c r="GO337" i="1"/>
  <c r="GO456" i="1"/>
  <c r="GO454" i="1"/>
  <c r="GK452" i="1"/>
  <c r="GO388" i="1"/>
  <c r="GO380" i="1"/>
  <c r="GO425" i="1"/>
  <c r="GO410" i="1"/>
  <c r="GO494" i="1"/>
  <c r="GO449" i="1"/>
  <c r="GO415" i="1"/>
  <c r="GO353" i="1"/>
  <c r="GO332" i="1"/>
  <c r="GJ331" i="1"/>
  <c r="GO324" i="1"/>
  <c r="GO275" i="1"/>
  <c r="GO272" i="1"/>
  <c r="GO269" i="1"/>
  <c r="GO226" i="1"/>
  <c r="GO223" i="1"/>
  <c r="GO220" i="1"/>
  <c r="GO459" i="1"/>
  <c r="GO423" i="1"/>
  <c r="GO327" i="1"/>
  <c r="GO367" i="1"/>
  <c r="GO356" i="1"/>
  <c r="GO363" i="1"/>
  <c r="GO336" i="1"/>
  <c r="GJ330" i="1"/>
  <c r="GM310" i="1"/>
  <c r="GM307" i="1"/>
  <c r="GM304" i="1"/>
  <c r="GO450" i="1"/>
  <c r="GO422" i="1"/>
  <c r="GO457" i="1"/>
  <c r="GO428" i="1"/>
  <c r="GO446" i="1"/>
  <c r="GO409" i="1"/>
  <c r="GO360" i="1"/>
  <c r="GO329" i="1"/>
  <c r="GM314" i="1"/>
  <c r="GM303" i="1"/>
  <c r="GL276" i="1"/>
  <c r="GO492" i="1"/>
  <c r="GO418" i="1"/>
  <c r="GO389" i="1"/>
  <c r="GO369" i="1"/>
  <c r="GO358" i="1"/>
  <c r="GM315" i="1"/>
  <c r="GM313" i="1"/>
  <c r="GM311" i="1"/>
  <c r="GO463" i="1"/>
  <c r="GO383" i="1"/>
  <c r="GO355" i="1"/>
  <c r="GO335" i="1"/>
  <c r="GO207" i="1"/>
  <c r="GO191" i="1"/>
  <c r="GO159" i="1"/>
  <c r="GO155" i="1"/>
  <c r="GO151" i="1"/>
  <c r="GO125" i="1"/>
  <c r="GO495" i="1"/>
  <c r="GO368" i="1"/>
  <c r="GO488" i="1"/>
  <c r="GO424" i="1"/>
  <c r="GM316" i="1"/>
  <c r="GK490" i="1"/>
  <c r="GO361" i="1"/>
  <c r="GO286" i="1"/>
  <c r="GO250" i="1"/>
  <c r="GO245" i="1"/>
  <c r="GO381" i="1"/>
  <c r="GO290" i="1"/>
  <c r="GO284" i="1"/>
  <c r="GL273" i="1"/>
  <c r="GL252" i="1"/>
  <c r="GL240" i="1"/>
  <c r="GO230" i="1"/>
  <c r="GO206" i="1"/>
  <c r="GO201" i="1"/>
  <c r="GO196" i="1"/>
  <c r="GO132" i="1"/>
  <c r="GO123" i="1"/>
  <c r="GO89" i="1"/>
  <c r="GO78" i="1"/>
  <c r="GO76" i="1"/>
  <c r="GO393" i="1"/>
  <c r="GO372" i="1"/>
  <c r="GO270" i="1"/>
  <c r="GL248" i="1"/>
  <c r="GL243" i="1"/>
  <c r="GO228" i="1"/>
  <c r="GO334" i="1"/>
  <c r="GO287" i="1"/>
  <c r="GO283" i="1"/>
  <c r="GK241" i="1"/>
  <c r="GO231" i="1"/>
  <c r="GO366" i="1"/>
  <c r="GO280" i="1"/>
  <c r="GO249" i="1"/>
  <c r="GO247" i="1"/>
  <c r="GO209" i="1"/>
  <c r="GO198" i="1"/>
  <c r="GO162" i="1"/>
  <c r="GO153" i="1"/>
  <c r="GO152" i="1"/>
  <c r="GO150" i="1"/>
  <c r="GO412" i="1"/>
  <c r="GO326" i="1"/>
  <c r="GM294" i="1"/>
  <c r="GO194" i="1"/>
  <c r="GO183" i="1"/>
  <c r="GO180" i="1"/>
  <c r="GO179" i="1"/>
  <c r="GO168" i="1"/>
  <c r="GO167" i="1"/>
  <c r="GO166" i="1"/>
  <c r="GO165" i="1"/>
  <c r="GK448" i="1"/>
  <c r="GL285" i="1"/>
  <c r="GO244" i="1"/>
  <c r="GO178" i="1"/>
  <c r="GM176" i="1"/>
  <c r="GM173" i="1"/>
  <c r="GM172" i="1"/>
  <c r="GM171" i="1"/>
  <c r="GO161" i="1"/>
  <c r="GO160" i="1"/>
  <c r="GO109" i="1"/>
  <c r="GO70" i="1"/>
  <c r="GM53" i="1"/>
  <c r="GO45" i="1"/>
  <c r="GO417" i="1"/>
  <c r="GO333" i="1"/>
  <c r="GO325" i="1"/>
  <c r="GM306" i="1"/>
  <c r="GO293" i="1"/>
  <c r="GL277" i="1"/>
  <c r="GL274" i="1"/>
  <c r="GO271" i="1"/>
  <c r="GO199" i="1"/>
  <c r="GO229" i="1"/>
  <c r="GO222" i="1"/>
  <c r="GO157" i="1"/>
  <c r="GO156" i="1"/>
  <c r="GO224" i="1"/>
  <c r="GO195" i="1"/>
  <c r="GO164" i="1"/>
  <c r="GO203" i="1"/>
  <c r="GM169" i="1"/>
  <c r="GO133" i="1"/>
  <c r="GO130" i="1"/>
  <c r="GO127" i="1"/>
  <c r="GM309" i="1"/>
  <c r="GO112" i="1"/>
  <c r="GO98" i="1"/>
  <c r="GO354" i="1"/>
  <c r="GJ328" i="1"/>
  <c r="GO200" i="1"/>
  <c r="GO121" i="1"/>
  <c r="GO105" i="1"/>
  <c r="GO58" i="1"/>
  <c r="GO46" i="1"/>
  <c r="GO35" i="1"/>
  <c r="GL251" i="1"/>
  <c r="GO208" i="1"/>
  <c r="GM175" i="1"/>
  <c r="GO154" i="1"/>
  <c r="GO107" i="1"/>
  <c r="GO202" i="1"/>
  <c r="GO126" i="1"/>
  <c r="GO119" i="1"/>
  <c r="GO370" i="1"/>
  <c r="GO182" i="1"/>
  <c r="GO279" i="1"/>
  <c r="GO149" i="1"/>
  <c r="GO128" i="1"/>
  <c r="GO101" i="1"/>
  <c r="GO43" i="1"/>
  <c r="GO27" i="1"/>
  <c r="GO308" i="1"/>
  <c r="GO278" i="1"/>
  <c r="GO219" i="1"/>
  <c r="GO210" i="1"/>
  <c r="GO129" i="1"/>
  <c r="GO282" i="1"/>
  <c r="GM174" i="1"/>
  <c r="GO103" i="1"/>
  <c r="GO102" i="1"/>
  <c r="GO391" i="1"/>
  <c r="GL242" i="1"/>
  <c r="GO108" i="1"/>
  <c r="GO192" i="1"/>
  <c r="GO131" i="1"/>
  <c r="GM295" i="1"/>
  <c r="GO84" i="1"/>
  <c r="GM55" i="1"/>
  <c r="GO15" i="1"/>
  <c r="GO122" i="1"/>
  <c r="GO106" i="1"/>
  <c r="GO75" i="1"/>
  <c r="GO71" i="1"/>
  <c r="GO190" i="1"/>
  <c r="GO100" i="1"/>
  <c r="GO158" i="1"/>
  <c r="GO83" i="1"/>
  <c r="GO86" i="1"/>
  <c r="GO74" i="1"/>
  <c r="GO460" i="1"/>
  <c r="GO80" i="1"/>
  <c r="GO77" i="1"/>
  <c r="GO193" i="1"/>
  <c r="GO181" i="1"/>
  <c r="GO59" i="1"/>
  <c r="GM51" i="1"/>
  <c r="GO11" i="1"/>
  <c r="GO227" i="1"/>
  <c r="GO13" i="1"/>
  <c r="GO9" i="1"/>
  <c r="GO120" i="1"/>
  <c r="GO82" i="1"/>
  <c r="GO111" i="1"/>
  <c r="GO90" i="1"/>
  <c r="GO60" i="1"/>
  <c r="GM52" i="1"/>
  <c r="GO221" i="1"/>
  <c r="GO99" i="1"/>
  <c r="GO47" i="1"/>
  <c r="GO41" i="1"/>
  <c r="GO40" i="1"/>
  <c r="GO36" i="1"/>
  <c r="GO39" i="1"/>
  <c r="GO25" i="1"/>
  <c r="GO22" i="1"/>
  <c r="GO12" i="1"/>
  <c r="GO5" i="1"/>
  <c r="GO87" i="1"/>
  <c r="GO63" i="1"/>
  <c r="GK451" i="1"/>
  <c r="GM292" i="1"/>
  <c r="GO81" i="1"/>
  <c r="GO73" i="1"/>
  <c r="GO79" i="1"/>
  <c r="GO37" i="1"/>
  <c r="GO10" i="1"/>
  <c r="GO110" i="1"/>
  <c r="GO124" i="1"/>
  <c r="GO91" i="1"/>
  <c r="GM54" i="1"/>
  <c r="GM49" i="1"/>
  <c r="GO44" i="1"/>
  <c r="GO72" i="1"/>
  <c r="GO48" i="1"/>
  <c r="GO88" i="1"/>
  <c r="GO104" i="1"/>
  <c r="GO163" i="1"/>
  <c r="GO23" i="1"/>
  <c r="GO26" i="1"/>
  <c r="GO19" i="1"/>
  <c r="GO62" i="1"/>
  <c r="GM56" i="1"/>
  <c r="GO7" i="1"/>
  <c r="GM4" i="1"/>
  <c r="GO42" i="1"/>
  <c r="GO34" i="1"/>
  <c r="GO24" i="1"/>
  <c r="GO8" i="1"/>
  <c r="GO38" i="1"/>
  <c r="GO16" i="1"/>
  <c r="GO20" i="1"/>
  <c r="GO17" i="1"/>
  <c r="GO61" i="1"/>
  <c r="GO18" i="1"/>
  <c r="FS11" i="1"/>
  <c r="FS12" i="1"/>
  <c r="GK492" i="1"/>
  <c r="GK485" i="1"/>
  <c r="GK464" i="1"/>
  <c r="GQ462" i="1"/>
  <c r="GQ455" i="1"/>
  <c r="GK450" i="1"/>
  <c r="GK436" i="1"/>
  <c r="GK429" i="1"/>
  <c r="GP476" i="1"/>
  <c r="GK489" i="1"/>
  <c r="GQ459" i="1"/>
  <c r="GK447" i="1"/>
  <c r="GK433" i="1"/>
  <c r="GQ424" i="1"/>
  <c r="GK412" i="1"/>
  <c r="GK405" i="1"/>
  <c r="GK398" i="1"/>
  <c r="GQ389" i="1"/>
  <c r="GK384" i="1"/>
  <c r="GK377" i="1"/>
  <c r="GQ368" i="1"/>
  <c r="GK356" i="1"/>
  <c r="GQ439" i="1"/>
  <c r="GK404" i="1"/>
  <c r="GK401" i="1"/>
  <c r="GK395" i="1"/>
  <c r="GQ393" i="1"/>
  <c r="GK358" i="1"/>
  <c r="GK355" i="1"/>
  <c r="GK352" i="1"/>
  <c r="GQ482" i="1"/>
  <c r="GP440" i="1"/>
  <c r="GK449" i="1"/>
  <c r="GP421" i="1"/>
  <c r="GK397" i="1"/>
  <c r="GP390" i="1"/>
  <c r="GK342" i="1"/>
  <c r="GK339" i="1"/>
  <c r="GK322" i="1"/>
  <c r="GK301" i="1"/>
  <c r="GK294" i="1"/>
  <c r="GL186" i="1"/>
  <c r="GQ475" i="1"/>
  <c r="GK473" i="1"/>
  <c r="GK444" i="1"/>
  <c r="GK408" i="1"/>
  <c r="GP365" i="1"/>
  <c r="GK359" i="1"/>
  <c r="GK348" i="1"/>
  <c r="GK345" i="1"/>
  <c r="GP334" i="1"/>
  <c r="GK382" i="1"/>
  <c r="GK469" i="1"/>
  <c r="GQ420" i="1"/>
  <c r="GK414" i="1"/>
  <c r="GK409" i="1"/>
  <c r="GQ371" i="1"/>
  <c r="GK341" i="1"/>
  <c r="GK317" i="1"/>
  <c r="GK305" i="1"/>
  <c r="GL259" i="1"/>
  <c r="GL253" i="1"/>
  <c r="GL250" i="1"/>
  <c r="GK219" i="1"/>
  <c r="GK213" i="1"/>
  <c r="GL210" i="1"/>
  <c r="GL204" i="1"/>
  <c r="GL201" i="1"/>
  <c r="GP456" i="1"/>
  <c r="GK346" i="1"/>
  <c r="GQ479" i="1"/>
  <c r="GK430" i="1"/>
  <c r="GK386" i="1"/>
  <c r="GK380" i="1"/>
  <c r="GK349" i="1"/>
  <c r="GQ496" i="1"/>
  <c r="GK415" i="1"/>
  <c r="GK374" i="1"/>
  <c r="GK319" i="1"/>
  <c r="GK470" i="1"/>
  <c r="GK432" i="1"/>
  <c r="GK353" i="1"/>
  <c r="GK316" i="1"/>
  <c r="GK434" i="1"/>
  <c r="GK411" i="1"/>
  <c r="GK486" i="1"/>
  <c r="GK378" i="1"/>
  <c r="GK343" i="1"/>
  <c r="GK300" i="1"/>
  <c r="GK298" i="1"/>
  <c r="GL281" i="1"/>
  <c r="GK271" i="1"/>
  <c r="GK375" i="1"/>
  <c r="GQ333" i="1"/>
  <c r="GK327" i="1"/>
  <c r="GK323" i="1"/>
  <c r="GK321" i="1"/>
  <c r="GK313" i="1"/>
  <c r="GK453" i="1"/>
  <c r="GK418" i="1"/>
  <c r="GK338" i="1"/>
  <c r="GL284" i="1"/>
  <c r="GK258" i="1"/>
  <c r="GK190" i="1"/>
  <c r="GL189" i="1"/>
  <c r="GK178" i="1"/>
  <c r="GK149" i="1"/>
  <c r="GN139" i="1"/>
  <c r="GQ443" i="1"/>
  <c r="GQ337" i="1"/>
  <c r="GK379" i="1"/>
  <c r="GK326" i="1"/>
  <c r="GK324" i="1"/>
  <c r="GK310" i="1"/>
  <c r="GK306" i="1"/>
  <c r="GK290" i="1"/>
  <c r="GK295" i="1"/>
  <c r="GL264" i="1"/>
  <c r="GK254" i="1"/>
  <c r="GL247" i="1"/>
  <c r="GK242" i="1"/>
  <c r="GL217" i="1"/>
  <c r="GK394" i="1"/>
  <c r="GK297" i="1"/>
  <c r="GL232" i="1"/>
  <c r="GK467" i="1"/>
  <c r="GK399" i="1"/>
  <c r="GK330" i="1"/>
  <c r="GK275" i="1"/>
  <c r="GK269" i="1"/>
  <c r="GK257" i="1"/>
  <c r="GL235" i="1"/>
  <c r="GK222" i="1"/>
  <c r="GL208" i="1"/>
  <c r="GK135" i="1"/>
  <c r="GN130" i="1"/>
  <c r="GN126" i="1"/>
  <c r="GK122" i="1"/>
  <c r="GK86" i="1"/>
  <c r="GK466" i="1"/>
  <c r="GQ364" i="1"/>
  <c r="GK318" i="1"/>
  <c r="GK292" i="1"/>
  <c r="GK255" i="1"/>
  <c r="GL238" i="1"/>
  <c r="GL225" i="1"/>
  <c r="GK446" i="1"/>
  <c r="GK307" i="1"/>
  <c r="GK274" i="1"/>
  <c r="GK272" i="1"/>
  <c r="GK233" i="1"/>
  <c r="GK278" i="1"/>
  <c r="GK240" i="1"/>
  <c r="GL226" i="1"/>
  <c r="GL200" i="1"/>
  <c r="GL211" i="1"/>
  <c r="GK191" i="1"/>
  <c r="GK387" i="1"/>
  <c r="GL280" i="1"/>
  <c r="GL249" i="1"/>
  <c r="GL228" i="1"/>
  <c r="GL223" i="1"/>
  <c r="GK221" i="1"/>
  <c r="GL207" i="1"/>
  <c r="GL198" i="1"/>
  <c r="GN167" i="1"/>
  <c r="GN148" i="1"/>
  <c r="GK137" i="1"/>
  <c r="GN103" i="1"/>
  <c r="GK85" i="1"/>
  <c r="GK65" i="1"/>
  <c r="GK64" i="1"/>
  <c r="GK303" i="1"/>
  <c r="GK194" i="1"/>
  <c r="GK185" i="1"/>
  <c r="GK184" i="1"/>
  <c r="GL268" i="1"/>
  <c r="GK239" i="1"/>
  <c r="GL234" i="1"/>
  <c r="GK218" i="1"/>
  <c r="GL216" i="1"/>
  <c r="GK312" i="1"/>
  <c r="GK212" i="1"/>
  <c r="GK402" i="1"/>
  <c r="GL188" i="1"/>
  <c r="GL179" i="1"/>
  <c r="GQ427" i="1"/>
  <c r="GK328" i="1"/>
  <c r="GK206" i="1"/>
  <c r="GK169" i="1"/>
  <c r="GN133" i="1"/>
  <c r="GN127" i="1"/>
  <c r="GN114" i="1"/>
  <c r="GK99" i="1"/>
  <c r="GK94" i="1"/>
  <c r="GK309" i="1"/>
  <c r="GL237" i="1"/>
  <c r="GL197" i="1"/>
  <c r="GL183" i="1"/>
  <c r="GN112" i="1"/>
  <c r="GK93" i="1"/>
  <c r="GN81" i="1"/>
  <c r="GN77" i="1"/>
  <c r="GK69" i="1"/>
  <c r="GK50" i="1"/>
  <c r="GK38" i="1"/>
  <c r="GK34" i="1"/>
  <c r="GL180" i="1"/>
  <c r="GK170" i="1"/>
  <c r="GK383" i="1"/>
  <c r="GK331" i="1"/>
  <c r="GL287" i="1"/>
  <c r="GL262" i="1"/>
  <c r="GL182" i="1"/>
  <c r="GN124" i="1"/>
  <c r="GN108" i="1"/>
  <c r="GK437" i="1"/>
  <c r="GL195" i="1"/>
  <c r="GK120" i="1"/>
  <c r="GK291" i="1"/>
  <c r="GK158" i="1"/>
  <c r="GK154" i="1"/>
  <c r="GK119" i="1"/>
  <c r="GK58" i="1"/>
  <c r="GL20" i="1"/>
  <c r="GN5" i="1"/>
  <c r="GK302" i="1"/>
  <c r="GK296" i="1"/>
  <c r="GL261" i="1"/>
  <c r="GL175" i="1"/>
  <c r="GN164" i="1"/>
  <c r="GN142" i="1"/>
  <c r="GK289" i="1"/>
  <c r="GL229" i="1"/>
  <c r="GK177" i="1"/>
  <c r="GN117" i="1"/>
  <c r="GK193" i="1"/>
  <c r="GK138" i="1"/>
  <c r="GK134" i="1"/>
  <c r="GK123" i="1"/>
  <c r="GK205" i="1"/>
  <c r="GK101" i="1"/>
  <c r="GN91" i="1"/>
  <c r="GN88" i="1"/>
  <c r="GL246" i="1"/>
  <c r="GK171" i="1"/>
  <c r="GN144" i="1"/>
  <c r="GK74" i="1"/>
  <c r="GL173" i="1"/>
  <c r="GK98" i="1"/>
  <c r="GK66" i="1"/>
  <c r="GN41" i="1"/>
  <c r="GN13" i="1"/>
  <c r="GN118" i="1"/>
  <c r="GN84" i="1"/>
  <c r="GL244" i="1"/>
  <c r="GQ129" i="1"/>
  <c r="GK172" i="1"/>
  <c r="GN87" i="1"/>
  <c r="GK102" i="1"/>
  <c r="GK96" i="1"/>
  <c r="GN80" i="1"/>
  <c r="GK68" i="1"/>
  <c r="GK22" i="1"/>
  <c r="GL17" i="1"/>
  <c r="GN8" i="1"/>
  <c r="GK7" i="1"/>
  <c r="GK71" i="1"/>
  <c r="GN59" i="1"/>
  <c r="GL33" i="1"/>
  <c r="GL30" i="1"/>
  <c r="GN161" i="1"/>
  <c r="GK152" i="1"/>
  <c r="GN106" i="1"/>
  <c r="GK56" i="1"/>
  <c r="GN145" i="1"/>
  <c r="GN115" i="1"/>
  <c r="GN60" i="1"/>
  <c r="GK362" i="1"/>
  <c r="GN29" i="1"/>
  <c r="GK28" i="1"/>
  <c r="GN160" i="1"/>
  <c r="GK155" i="1"/>
  <c r="GN105" i="1"/>
  <c r="GN39" i="1"/>
  <c r="GL24" i="1"/>
  <c r="GL19" i="1"/>
  <c r="GL9" i="1"/>
  <c r="GK373" i="1"/>
  <c r="GK113" i="1"/>
  <c r="GK92" i="1"/>
  <c r="GN78" i="1"/>
  <c r="GN63" i="1"/>
  <c r="GL214" i="1"/>
  <c r="GN62" i="1"/>
  <c r="GN109" i="1"/>
  <c r="GK70" i="1"/>
  <c r="GK49" i="1"/>
  <c r="GN42" i="1"/>
  <c r="GL32" i="1"/>
  <c r="GL265" i="1"/>
  <c r="GK151" i="1"/>
  <c r="GK55" i="1"/>
  <c r="GK97" i="1"/>
  <c r="GN23" i="1"/>
  <c r="GK37" i="1"/>
  <c r="GL26" i="1"/>
  <c r="GK73" i="1"/>
  <c r="GL44" i="1"/>
  <c r="GL45" i="1"/>
  <c r="GK57" i="1"/>
  <c r="GK51" i="1"/>
  <c r="GL11" i="1"/>
  <c r="GN75" i="1"/>
  <c r="GL12" i="1"/>
  <c r="GN21" i="1"/>
  <c r="GK4" i="1"/>
  <c r="GK53" i="1"/>
  <c r="GK52" i="1"/>
  <c r="GK15" i="1"/>
  <c r="GL176" i="1"/>
  <c r="GK35" i="1"/>
  <c r="GN16" i="1"/>
  <c r="GK14" i="1"/>
  <c r="GN90" i="1"/>
  <c r="GK243" i="1"/>
  <c r="GN141" i="1"/>
  <c r="GL27" i="1"/>
  <c r="GK6" i="1"/>
  <c r="GL48" i="1"/>
  <c r="P42" i="1"/>
  <c r="FN8" i="1"/>
  <c r="V42" i="1"/>
  <c r="FT8" i="1" s="1"/>
  <c r="U42" i="1"/>
  <c r="FU8" i="1" s="1"/>
  <c r="FR13" i="1" s="1" a="1"/>
  <c r="FR13" i="1" s="1"/>
  <c r="T42" i="1"/>
  <c r="S42" i="1"/>
  <c r="FV8" i="1" s="1"/>
  <c r="FQ15" i="1" s="1" a="1"/>
  <c r="FQ15" i="1" s="1"/>
  <c r="R42" i="1"/>
  <c r="Q42" i="1"/>
  <c r="GN496" i="1"/>
  <c r="GN489" i="1"/>
  <c r="GN482" i="1"/>
  <c r="GN475" i="1"/>
  <c r="GN468" i="1"/>
  <c r="GN493" i="1"/>
  <c r="GN486" i="1"/>
  <c r="GN479" i="1"/>
  <c r="GN472" i="1"/>
  <c r="GN465" i="1"/>
  <c r="GN458" i="1"/>
  <c r="GN451" i="1"/>
  <c r="GN444" i="1"/>
  <c r="GN437" i="1"/>
  <c r="GN430" i="1"/>
  <c r="GN469" i="1"/>
  <c r="GN460" i="1"/>
  <c r="GN441" i="1"/>
  <c r="GN436" i="1"/>
  <c r="GN426" i="1"/>
  <c r="GN423" i="1"/>
  <c r="GN420" i="1"/>
  <c r="GN417" i="1"/>
  <c r="GN377" i="1"/>
  <c r="GN374" i="1"/>
  <c r="GN371" i="1"/>
  <c r="GN368" i="1"/>
  <c r="GN346" i="1"/>
  <c r="GN339" i="1"/>
  <c r="GN471" i="1"/>
  <c r="GN483" i="1"/>
  <c r="GN470" i="1"/>
  <c r="GN459" i="1"/>
  <c r="GN454" i="1"/>
  <c r="GN435" i="1"/>
  <c r="GN487" i="1"/>
  <c r="GN466" i="1"/>
  <c r="GN452" i="1"/>
  <c r="GN447" i="1"/>
  <c r="GN428" i="1"/>
  <c r="GN425" i="1"/>
  <c r="GN422" i="1"/>
  <c r="GN488" i="1"/>
  <c r="GN480" i="1"/>
  <c r="GN478" i="1"/>
  <c r="GN473" i="1"/>
  <c r="GN463" i="1"/>
  <c r="GN446" i="1"/>
  <c r="GN442" i="1"/>
  <c r="GN411" i="1"/>
  <c r="GN403" i="1"/>
  <c r="GM400" i="1"/>
  <c r="GN387" i="1"/>
  <c r="GN376" i="1"/>
  <c r="GN362" i="1"/>
  <c r="GN354" i="1"/>
  <c r="GM298" i="1"/>
  <c r="GN461" i="1"/>
  <c r="GN448" i="1"/>
  <c r="GN416" i="1"/>
  <c r="GN395" i="1"/>
  <c r="GN379" i="1"/>
  <c r="GN330" i="1"/>
  <c r="GN495" i="1"/>
  <c r="GN477" i="1"/>
  <c r="GN427" i="1"/>
  <c r="GN396" i="1"/>
  <c r="GN492" i="1"/>
  <c r="GN481" i="1"/>
  <c r="GN464" i="1"/>
  <c r="GN407" i="1"/>
  <c r="GN476" i="1"/>
  <c r="GN474" i="1"/>
  <c r="GN434" i="1"/>
  <c r="GN432" i="1"/>
  <c r="GN410" i="1"/>
  <c r="GN498" i="1"/>
  <c r="GN390" i="1"/>
  <c r="GN355" i="1"/>
  <c r="GN337" i="1"/>
  <c r="GN329" i="1"/>
  <c r="GM296" i="1"/>
  <c r="GM293" i="1"/>
  <c r="GM290" i="1"/>
  <c r="GN287" i="1"/>
  <c r="GN284" i="1"/>
  <c r="GN281" i="1"/>
  <c r="GN278" i="1"/>
  <c r="GN238" i="1"/>
  <c r="GN235" i="1"/>
  <c r="GN232" i="1"/>
  <c r="GN229" i="1"/>
  <c r="GN494" i="1"/>
  <c r="GN491" i="1"/>
  <c r="GN462" i="1"/>
  <c r="GN453" i="1"/>
  <c r="GN404" i="1"/>
  <c r="GN402" i="1"/>
  <c r="GN398" i="1"/>
  <c r="GM394" i="1"/>
  <c r="GN388" i="1"/>
  <c r="GN373" i="1"/>
  <c r="GN364" i="1"/>
  <c r="GN353" i="1"/>
  <c r="GN332" i="1"/>
  <c r="GN324" i="1"/>
  <c r="GN321" i="1"/>
  <c r="GN318" i="1"/>
  <c r="GN415" i="1"/>
  <c r="GN408" i="1"/>
  <c r="GN358" i="1"/>
  <c r="GN467" i="1"/>
  <c r="GN449" i="1"/>
  <c r="GN443" i="1"/>
  <c r="GN440" i="1"/>
  <c r="GN429" i="1"/>
  <c r="GN424" i="1"/>
  <c r="GN405" i="1"/>
  <c r="GN401" i="1"/>
  <c r="GN397" i="1"/>
  <c r="GN393" i="1"/>
  <c r="GN391" i="1"/>
  <c r="GN389" i="1"/>
  <c r="GN372" i="1"/>
  <c r="GN352" i="1"/>
  <c r="GN345" i="1"/>
  <c r="GN343" i="1"/>
  <c r="GM338" i="1"/>
  <c r="GN328" i="1"/>
  <c r="GN295" i="1"/>
  <c r="GN292" i="1"/>
  <c r="GN419" i="1"/>
  <c r="GN413" i="1"/>
  <c r="GN385" i="1"/>
  <c r="GN363" i="1"/>
  <c r="GN484" i="1"/>
  <c r="GN450" i="1"/>
  <c r="GN497" i="1"/>
  <c r="GN457" i="1"/>
  <c r="GN406" i="1"/>
  <c r="GN382" i="1"/>
  <c r="GN375" i="1"/>
  <c r="GN370" i="1"/>
  <c r="GN365" i="1"/>
  <c r="GN333" i="1"/>
  <c r="GN325" i="1"/>
  <c r="GN323" i="1"/>
  <c r="GN285" i="1"/>
  <c r="GN282" i="1"/>
  <c r="GN271" i="1"/>
  <c r="GN381" i="1"/>
  <c r="GN319" i="1"/>
  <c r="GN317" i="1"/>
  <c r="GN305" i="1"/>
  <c r="GN431" i="1"/>
  <c r="GN418" i="1"/>
  <c r="GN414" i="1"/>
  <c r="GN380" i="1"/>
  <c r="GN369" i="1"/>
  <c r="GN340" i="1"/>
  <c r="GN399" i="1"/>
  <c r="GN386" i="1"/>
  <c r="GN383" i="1"/>
  <c r="GN331" i="1"/>
  <c r="GN303" i="1"/>
  <c r="GN294" i="1"/>
  <c r="GN279" i="1"/>
  <c r="GN264" i="1"/>
  <c r="GN248" i="1"/>
  <c r="GN237" i="1"/>
  <c r="GN223" i="1"/>
  <c r="GN215" i="1"/>
  <c r="GN199" i="1"/>
  <c r="GN185" i="1"/>
  <c r="GN182" i="1"/>
  <c r="GN421" i="1"/>
  <c r="GN349" i="1"/>
  <c r="GN342" i="1"/>
  <c r="GN412" i="1"/>
  <c r="GN304" i="1"/>
  <c r="GN288" i="1"/>
  <c r="GN455" i="1"/>
  <c r="GN327" i="1"/>
  <c r="GN316" i="1"/>
  <c r="GM297" i="1"/>
  <c r="GN273" i="1"/>
  <c r="GN269" i="1"/>
  <c r="GN252" i="1"/>
  <c r="GN240" i="1"/>
  <c r="GN227" i="1"/>
  <c r="GN357" i="1"/>
  <c r="GN313" i="1"/>
  <c r="GM308" i="1"/>
  <c r="GM299" i="1"/>
  <c r="GN262" i="1"/>
  <c r="GN220" i="1"/>
  <c r="GN361" i="1"/>
  <c r="GM301" i="1"/>
  <c r="GN286" i="1"/>
  <c r="GN267" i="1"/>
  <c r="GN255" i="1"/>
  <c r="GN250" i="1"/>
  <c r="GN245" i="1"/>
  <c r="GN213" i="1"/>
  <c r="GN181" i="1"/>
  <c r="GN177" i="1"/>
  <c r="GN176" i="1"/>
  <c r="GN356" i="1"/>
  <c r="GN326" i="1"/>
  <c r="GN315" i="1"/>
  <c r="GN312" i="1"/>
  <c r="GN272" i="1"/>
  <c r="GN265" i="1"/>
  <c r="GN233" i="1"/>
  <c r="GN359" i="1"/>
  <c r="GM344" i="1"/>
  <c r="GN309" i="1"/>
  <c r="GN256" i="1"/>
  <c r="GN226" i="1"/>
  <c r="GN456" i="1"/>
  <c r="GN221" i="1"/>
  <c r="GN219" i="1"/>
  <c r="GN217" i="1"/>
  <c r="GN366" i="1"/>
  <c r="GN348" i="1"/>
  <c r="GN334" i="1"/>
  <c r="GN307" i="1"/>
  <c r="GN291" i="1"/>
  <c r="GN280" i="1"/>
  <c r="GN275" i="1"/>
  <c r="GN254" i="1"/>
  <c r="GN249" i="1"/>
  <c r="GN247" i="1"/>
  <c r="GN228" i="1"/>
  <c r="GN209" i="1"/>
  <c r="GN207" i="1"/>
  <c r="GN198" i="1"/>
  <c r="GN173" i="1"/>
  <c r="GN172" i="1"/>
  <c r="GN171" i="1"/>
  <c r="GN322" i="1"/>
  <c r="GN314" i="1"/>
  <c r="GN310" i="1"/>
  <c r="GN259" i="1"/>
  <c r="GN242" i="1"/>
  <c r="GN230" i="1"/>
  <c r="GN196" i="1"/>
  <c r="GN194" i="1"/>
  <c r="GN184" i="1"/>
  <c r="GN183" i="1"/>
  <c r="GN180" i="1"/>
  <c r="GN179" i="1"/>
  <c r="GM170" i="1"/>
  <c r="GN169" i="1"/>
  <c r="GN263" i="1"/>
  <c r="GN246" i="1"/>
  <c r="GN239" i="1"/>
  <c r="GN218" i="1"/>
  <c r="GN203" i="1"/>
  <c r="GN201" i="1"/>
  <c r="GN192" i="1"/>
  <c r="GN445" i="1"/>
  <c r="GN320" i="1"/>
  <c r="GN260" i="1"/>
  <c r="GN243" i="1"/>
  <c r="GN236" i="1"/>
  <c r="GN210" i="1"/>
  <c r="GN208" i="1"/>
  <c r="GN206" i="1"/>
  <c r="GN197" i="1"/>
  <c r="GN190" i="1"/>
  <c r="GN186" i="1"/>
  <c r="GN438" i="1"/>
  <c r="GN350" i="1"/>
  <c r="GN336" i="1"/>
  <c r="GM302" i="1"/>
  <c r="GN270" i="1"/>
  <c r="GN222" i="1"/>
  <c r="GN439" i="1"/>
  <c r="GN268" i="1"/>
  <c r="GN241" i="1"/>
  <c r="GN347" i="1"/>
  <c r="GN409" i="1"/>
  <c r="GM289" i="1"/>
  <c r="GN277" i="1"/>
  <c r="GN212" i="1"/>
  <c r="GN384" i="1"/>
  <c r="GN276" i="1"/>
  <c r="GN202" i="1"/>
  <c r="GN191" i="1"/>
  <c r="GN433" i="1"/>
  <c r="GN283" i="1"/>
  <c r="GN258" i="1"/>
  <c r="GN178" i="1"/>
  <c r="GN341" i="1"/>
  <c r="GN216" i="1"/>
  <c r="GN378" i="1"/>
  <c r="GN360" i="1"/>
  <c r="GN225" i="1"/>
  <c r="GN211" i="1"/>
  <c r="GN261" i="1"/>
  <c r="GN175" i="1"/>
  <c r="GN266" i="1"/>
  <c r="GN244" i="1"/>
  <c r="GN224" i="1"/>
  <c r="GN367" i="1"/>
  <c r="GN234" i="1"/>
  <c r="GN214" i="1"/>
  <c r="GN205" i="1"/>
  <c r="GN188" i="1"/>
  <c r="GM300" i="1"/>
  <c r="GN253" i="1"/>
  <c r="GN204" i="1"/>
  <c r="GN187" i="1"/>
  <c r="GN306" i="1"/>
  <c r="GN200" i="1"/>
  <c r="GN174" i="1"/>
  <c r="GN335" i="1"/>
  <c r="GN392" i="1"/>
  <c r="GN311" i="1"/>
  <c r="GN485" i="1"/>
  <c r="GN274" i="1"/>
  <c r="GN193" i="1"/>
  <c r="GN351" i="1"/>
  <c r="GN231" i="1"/>
  <c r="GN251" i="1"/>
  <c r="GN189" i="1"/>
  <c r="GN195" i="1"/>
  <c r="GN257" i="1"/>
  <c r="GN490" i="1"/>
  <c r="FS13" i="1"/>
  <c r="FR14" i="1" a="1"/>
  <c r="FR14" i="1" s="1"/>
  <c r="FQ8" i="1" a="1"/>
  <c r="FQ8" i="1" s="1"/>
  <c r="FR6" i="1" a="1"/>
  <c r="FR6" i="1" s="1"/>
  <c r="FQ14" i="1" a="1"/>
  <c r="FQ14" i="1" s="1"/>
  <c r="FR4" i="1" a="1"/>
  <c r="FR4" i="1" s="1"/>
  <c r="FR8" i="1" a="1"/>
  <c r="FR8" i="1" s="1"/>
  <c r="FQ7" i="1" a="1"/>
  <c r="FQ7" i="1" s="1"/>
  <c r="FR15" i="1" a="1"/>
  <c r="FR15" i="1" s="1"/>
  <c r="FS4" i="1"/>
  <c r="FS6" i="1"/>
  <c r="FS7" i="1"/>
  <c r="FS10" i="1"/>
  <c r="U97" i="1"/>
  <c r="S97" i="1"/>
  <c r="R97" i="1"/>
  <c r="P97" i="1"/>
  <c r="V97" i="1"/>
  <c r="T97" i="1"/>
  <c r="Q97" i="1"/>
  <c r="GQ486" i="1"/>
  <c r="GQ476" i="1"/>
  <c r="GQ448" i="1"/>
  <c r="GQ434" i="1"/>
  <c r="GQ452" i="1"/>
  <c r="GQ445" i="1"/>
  <c r="GQ438" i="1"/>
  <c r="GQ431" i="1"/>
  <c r="GQ417" i="1"/>
  <c r="GQ410" i="1"/>
  <c r="GQ403" i="1"/>
  <c r="GQ396" i="1"/>
  <c r="GQ375" i="1"/>
  <c r="GQ361" i="1"/>
  <c r="GQ354" i="1"/>
  <c r="GQ488" i="1"/>
  <c r="GQ399" i="1"/>
  <c r="GQ390" i="1"/>
  <c r="GQ387" i="1"/>
  <c r="GQ495" i="1"/>
  <c r="GQ464" i="1"/>
  <c r="GQ433" i="1"/>
  <c r="GQ450" i="1"/>
  <c r="GQ470" i="1"/>
  <c r="GQ398" i="1"/>
  <c r="GQ365" i="1"/>
  <c r="GQ357" i="1"/>
  <c r="GQ349" i="1"/>
  <c r="GQ346" i="1"/>
  <c r="GQ343" i="1"/>
  <c r="GQ334" i="1"/>
  <c r="GQ327" i="1"/>
  <c r="GQ320" i="1"/>
  <c r="GQ313" i="1"/>
  <c r="GQ306" i="1"/>
  <c r="GQ299" i="1"/>
  <c r="GQ292" i="1"/>
  <c r="GQ250" i="1"/>
  <c r="GQ243" i="1"/>
  <c r="GQ236" i="1"/>
  <c r="GQ229" i="1"/>
  <c r="GQ222" i="1"/>
  <c r="GQ215" i="1"/>
  <c r="GQ208" i="1"/>
  <c r="GQ201" i="1"/>
  <c r="GQ194" i="1"/>
  <c r="GQ465" i="1"/>
  <c r="GQ429" i="1"/>
  <c r="GQ409" i="1"/>
  <c r="GQ484" i="1"/>
  <c r="GQ472" i="1"/>
  <c r="GQ407" i="1"/>
  <c r="GQ383" i="1"/>
  <c r="GQ430" i="1"/>
  <c r="GQ405" i="1"/>
  <c r="GQ491" i="1"/>
  <c r="GQ456" i="1"/>
  <c r="GQ392" i="1"/>
  <c r="GQ351" i="1"/>
  <c r="GQ303" i="1"/>
  <c r="GQ297" i="1"/>
  <c r="GQ260" i="1"/>
  <c r="GQ254" i="1"/>
  <c r="GQ248" i="1"/>
  <c r="GQ211" i="1"/>
  <c r="GQ205" i="1"/>
  <c r="GQ199" i="1"/>
  <c r="GQ384" i="1"/>
  <c r="GQ380" i="1"/>
  <c r="GQ342" i="1"/>
  <c r="GQ461" i="1"/>
  <c r="GQ374" i="1"/>
  <c r="GQ478" i="1"/>
  <c r="GQ419" i="1"/>
  <c r="GQ412" i="1"/>
  <c r="GQ385" i="1"/>
  <c r="GQ370" i="1"/>
  <c r="GQ323" i="1"/>
  <c r="GQ317" i="1"/>
  <c r="GQ311" i="1"/>
  <c r="GQ395" i="1"/>
  <c r="GQ435" i="1"/>
  <c r="GQ339" i="1"/>
  <c r="GQ301" i="1"/>
  <c r="GQ296" i="1"/>
  <c r="GQ277" i="1"/>
  <c r="GQ467" i="1"/>
  <c r="GQ458" i="1"/>
  <c r="GQ347" i="1"/>
  <c r="GQ340" i="1"/>
  <c r="GQ331" i="1"/>
  <c r="GQ329" i="1"/>
  <c r="GQ474" i="1"/>
  <c r="GQ468" i="1"/>
  <c r="GQ444" i="1"/>
  <c r="GQ440" i="1"/>
  <c r="GQ426" i="1"/>
  <c r="GQ402" i="1"/>
  <c r="GQ363" i="1"/>
  <c r="GQ267" i="1"/>
  <c r="GQ259" i="1"/>
  <c r="GQ226" i="1"/>
  <c r="GQ218" i="1"/>
  <c r="GQ150" i="1"/>
  <c r="GQ130" i="1"/>
  <c r="GQ413" i="1"/>
  <c r="GQ388" i="1"/>
  <c r="GQ344" i="1"/>
  <c r="GQ376" i="1"/>
  <c r="GQ302" i="1"/>
  <c r="GQ293" i="1"/>
  <c r="GQ290" i="1"/>
  <c r="GQ437" i="1"/>
  <c r="GQ381" i="1"/>
  <c r="GQ373" i="1"/>
  <c r="GQ353" i="1"/>
  <c r="GQ310" i="1"/>
  <c r="GQ238" i="1"/>
  <c r="GQ318" i="1"/>
  <c r="GQ265" i="1"/>
  <c r="GQ233" i="1"/>
  <c r="GQ171" i="1"/>
  <c r="GQ153" i="1"/>
  <c r="GQ120" i="1"/>
  <c r="GQ113" i="1"/>
  <c r="GQ106" i="1"/>
  <c r="GQ104" i="1"/>
  <c r="GQ102" i="1"/>
  <c r="GQ81" i="1"/>
  <c r="GQ298" i="1"/>
  <c r="GQ263" i="1"/>
  <c r="GQ325" i="1"/>
  <c r="GQ304" i="1"/>
  <c r="GQ291" i="1"/>
  <c r="GQ224" i="1"/>
  <c r="GQ400" i="1"/>
  <c r="GQ394" i="1"/>
  <c r="GQ269" i="1"/>
  <c r="GQ235" i="1"/>
  <c r="GQ223" i="1"/>
  <c r="GQ196" i="1"/>
  <c r="GQ185" i="1"/>
  <c r="GQ184" i="1"/>
  <c r="GQ178" i="1"/>
  <c r="GQ177" i="1"/>
  <c r="GQ176" i="1"/>
  <c r="GQ161" i="1"/>
  <c r="GQ159" i="1"/>
  <c r="GQ481" i="1"/>
  <c r="GQ359" i="1"/>
  <c r="GQ338" i="1"/>
  <c r="GQ244" i="1"/>
  <c r="GQ256" i="1"/>
  <c r="GQ203" i="1"/>
  <c r="GQ192" i="1"/>
  <c r="GQ123" i="1"/>
  <c r="GQ115" i="1"/>
  <c r="GQ87" i="1"/>
  <c r="GQ83" i="1"/>
  <c r="GQ454" i="1"/>
  <c r="GQ258" i="1"/>
  <c r="GQ241" i="1"/>
  <c r="GQ234" i="1"/>
  <c r="GQ227" i="1"/>
  <c r="GQ186" i="1"/>
  <c r="GQ423" i="1"/>
  <c r="GQ379" i="1"/>
  <c r="GQ356" i="1"/>
  <c r="GQ336" i="1"/>
  <c r="GQ273" i="1"/>
  <c r="GQ255" i="1"/>
  <c r="GQ415" i="1"/>
  <c r="GQ308" i="1"/>
  <c r="GQ289" i="1"/>
  <c r="GQ286" i="1"/>
  <c r="GQ283" i="1"/>
  <c r="GQ281" i="1"/>
  <c r="GQ262" i="1"/>
  <c r="GQ231" i="1"/>
  <c r="GQ328" i="1"/>
  <c r="GQ322" i="1"/>
  <c r="GQ252" i="1"/>
  <c r="GQ212" i="1"/>
  <c r="GQ183" i="1"/>
  <c r="GQ147" i="1"/>
  <c r="GQ121" i="1"/>
  <c r="GQ378" i="1"/>
  <c r="GQ272" i="1"/>
  <c r="GQ100" i="1"/>
  <c r="GQ447" i="1"/>
  <c r="GQ315" i="1"/>
  <c r="GQ189" i="1"/>
  <c r="GQ187" i="1"/>
  <c r="GQ173" i="1"/>
  <c r="GQ170" i="1"/>
  <c r="GQ119" i="1"/>
  <c r="GQ89" i="1"/>
  <c r="GQ59" i="1"/>
  <c r="GQ24" i="1"/>
  <c r="GQ247" i="1"/>
  <c r="GQ214" i="1"/>
  <c r="GQ132" i="1"/>
  <c r="GQ124" i="1"/>
  <c r="GQ367" i="1"/>
  <c r="GQ279" i="1"/>
  <c r="GQ275" i="1"/>
  <c r="GQ190" i="1"/>
  <c r="GQ174" i="1"/>
  <c r="GQ155" i="1"/>
  <c r="GQ134" i="1"/>
  <c r="GQ220" i="1"/>
  <c r="GQ191" i="1"/>
  <c r="GQ149" i="1"/>
  <c r="GQ128" i="1"/>
  <c r="GQ107" i="1"/>
  <c r="GQ245" i="1"/>
  <c r="GQ198" i="1"/>
  <c r="GQ125" i="1"/>
  <c r="GQ118" i="1"/>
  <c r="GQ97" i="1"/>
  <c r="GQ332" i="1"/>
  <c r="GQ324" i="1"/>
  <c r="GQ206" i="1"/>
  <c r="GQ143" i="1"/>
  <c r="GQ142" i="1"/>
  <c r="GQ98" i="1"/>
  <c r="GQ91" i="1"/>
  <c r="GQ71" i="1"/>
  <c r="GQ67" i="1"/>
  <c r="GQ65" i="1"/>
  <c r="GQ39" i="1"/>
  <c r="GQ34" i="1"/>
  <c r="GQ23" i="1"/>
  <c r="GQ22" i="1"/>
  <c r="GQ21" i="1"/>
  <c r="GQ15" i="1"/>
  <c r="GQ6" i="1"/>
  <c r="GQ239" i="1"/>
  <c r="GQ219" i="1"/>
  <c r="GQ179" i="1"/>
  <c r="GQ109" i="1"/>
  <c r="GQ295" i="1"/>
  <c r="GQ181" i="1"/>
  <c r="GQ163" i="1"/>
  <c r="GQ111" i="1"/>
  <c r="GQ213" i="1"/>
  <c r="GQ209" i="1"/>
  <c r="GQ152" i="1"/>
  <c r="GQ139" i="1"/>
  <c r="GQ217" i="1"/>
  <c r="GQ180" i="1"/>
  <c r="GQ145" i="1"/>
  <c r="GQ442" i="1"/>
  <c r="GQ270" i="1"/>
  <c r="GQ85" i="1"/>
  <c r="GQ76" i="1"/>
  <c r="GQ75" i="1"/>
  <c r="GQ95" i="1"/>
  <c r="GQ72" i="1"/>
  <c r="GQ42" i="1"/>
  <c r="GQ27" i="1"/>
  <c r="GQ7" i="1"/>
  <c r="GQ94" i="1"/>
  <c r="GQ92" i="1"/>
  <c r="GQ64" i="1"/>
  <c r="GQ157" i="1"/>
  <c r="GQ140" i="1"/>
  <c r="GQ138" i="1"/>
  <c r="GQ421" i="1"/>
  <c r="GQ319" i="1"/>
  <c r="GQ136" i="1"/>
  <c r="GQ127" i="1"/>
  <c r="GQ116" i="1"/>
  <c r="GQ307" i="1"/>
  <c r="GQ166" i="1"/>
  <c r="GQ36" i="1"/>
  <c r="GQ31" i="1"/>
  <c r="GQ169" i="1"/>
  <c r="GQ93" i="1"/>
  <c r="GQ135" i="1"/>
  <c r="GQ88" i="1"/>
  <c r="GQ70" i="1"/>
  <c r="GQ56" i="1"/>
  <c r="GQ50" i="1"/>
  <c r="GQ53" i="1"/>
  <c r="GQ45" i="1"/>
  <c r="GQ103" i="1"/>
  <c r="GQ63" i="1"/>
  <c r="GQ4" i="1"/>
  <c r="GQ240" i="1"/>
  <c r="GQ207" i="1"/>
  <c r="GQ74" i="1"/>
  <c r="GQ16" i="1"/>
  <c r="GQ195" i="1"/>
  <c r="GQ172" i="1"/>
  <c r="GQ78" i="1"/>
  <c r="GQ69" i="1"/>
  <c r="GQ49" i="1"/>
  <c r="GQ86" i="1"/>
  <c r="GQ79" i="1"/>
  <c r="GQ54" i="1"/>
  <c r="GQ33" i="1"/>
  <c r="GQ52" i="1"/>
  <c r="GQ29" i="1"/>
  <c r="GQ9" i="1"/>
  <c r="GQ99" i="1"/>
  <c r="GQ61" i="1"/>
  <c r="GQ40" i="1"/>
  <c r="GQ66" i="1"/>
  <c r="GQ57" i="1"/>
  <c r="GQ51" i="1"/>
  <c r="GQ58" i="1"/>
  <c r="GQ30" i="1"/>
  <c r="GQ12" i="1"/>
  <c r="GQ114" i="1"/>
  <c r="GQ18" i="1"/>
  <c r="GQ20" i="1"/>
  <c r="GQ17" i="1"/>
  <c r="GQ25" i="1"/>
  <c r="GQ47" i="1"/>
  <c r="GQ28" i="1"/>
  <c r="GQ13" i="1"/>
  <c r="GQ10" i="1"/>
  <c r="GQ5" i="1"/>
  <c r="GQ60" i="1"/>
  <c r="GQ38" i="1"/>
  <c r="GQ14" i="1"/>
  <c r="GQ8" i="1"/>
  <c r="GQ43" i="1"/>
  <c r="GQ35" i="1"/>
  <c r="FS9" i="1"/>
  <c r="GJ481" i="1"/>
  <c r="GJ492" i="1"/>
  <c r="GJ471" i="1"/>
  <c r="GJ450" i="1"/>
  <c r="GJ443" i="1"/>
  <c r="GO406" i="1"/>
  <c r="GO350" i="1"/>
  <c r="GJ491" i="1"/>
  <c r="GJ413" i="1"/>
  <c r="GJ361" i="1"/>
  <c r="GJ498" i="1"/>
  <c r="GJ463" i="1"/>
  <c r="GJ461" i="1"/>
  <c r="GJ472" i="1"/>
  <c r="GJ430" i="1"/>
  <c r="GJ418" i="1"/>
  <c r="GJ415" i="1"/>
  <c r="GJ483" i="1"/>
  <c r="GJ453" i="1"/>
  <c r="GJ438" i="1"/>
  <c r="GJ428" i="1"/>
  <c r="GJ405" i="1"/>
  <c r="GO395" i="1"/>
  <c r="GJ389" i="1"/>
  <c r="GJ381" i="1"/>
  <c r="GJ378" i="1"/>
  <c r="GO340" i="1"/>
  <c r="GJ336" i="1"/>
  <c r="GJ470" i="1"/>
  <c r="GJ441" i="1"/>
  <c r="GJ439" i="1"/>
  <c r="GJ414" i="1"/>
  <c r="GJ469" i="1"/>
  <c r="GJ462" i="1"/>
  <c r="GJ427" i="1"/>
  <c r="GJ451" i="1"/>
  <c r="GJ448" i="1"/>
  <c r="GJ442" i="1"/>
  <c r="GO398" i="1"/>
  <c r="GJ377" i="1"/>
  <c r="GO373" i="1"/>
  <c r="GJ348" i="1"/>
  <c r="GJ326" i="1"/>
  <c r="GJ274" i="1"/>
  <c r="GJ222" i="1"/>
  <c r="GJ431" i="1"/>
  <c r="GJ416" i="1"/>
  <c r="GJ357" i="1"/>
  <c r="GJ334" i="1"/>
  <c r="GO315" i="1"/>
  <c r="GJ468" i="1"/>
  <c r="GJ425" i="1"/>
  <c r="GJ382" i="1"/>
  <c r="GO376" i="1"/>
  <c r="GJ371" i="1"/>
  <c r="GJ362" i="1"/>
  <c r="GJ493" i="1"/>
  <c r="GJ369" i="1"/>
  <c r="GJ358" i="1"/>
  <c r="GN301" i="1"/>
  <c r="GN298" i="1"/>
  <c r="GJ383" i="1"/>
  <c r="GJ480" i="1"/>
  <c r="GO403" i="1"/>
  <c r="GJ393" i="1"/>
  <c r="GJ390" i="1"/>
  <c r="GJ295" i="1"/>
  <c r="GJ290" i="1"/>
  <c r="GJ273" i="1"/>
  <c r="GJ482" i="1"/>
  <c r="GJ452" i="1"/>
  <c r="GJ408" i="1"/>
  <c r="GO396" i="1"/>
  <c r="GO296" i="1"/>
  <c r="GJ440" i="1"/>
  <c r="GJ380" i="1"/>
  <c r="GJ375" i="1"/>
  <c r="GO347" i="1"/>
  <c r="GJ327" i="1"/>
  <c r="GJ325" i="1"/>
  <c r="GJ321" i="1"/>
  <c r="GJ319" i="1"/>
  <c r="GJ313" i="1"/>
  <c r="GJ286" i="1"/>
  <c r="GJ276" i="1"/>
  <c r="GJ266" i="1"/>
  <c r="GJ250" i="1"/>
  <c r="GJ242" i="1"/>
  <c r="GJ201" i="1"/>
  <c r="GJ193" i="1"/>
  <c r="GJ181" i="1"/>
  <c r="GO176" i="1"/>
  <c r="GN168" i="1"/>
  <c r="GJ490" i="1"/>
  <c r="GJ473" i="1"/>
  <c r="GJ417" i="1"/>
  <c r="GJ360" i="1"/>
  <c r="GJ352" i="1"/>
  <c r="GQ460" i="1"/>
  <c r="GJ388" i="1"/>
  <c r="GO351" i="1"/>
  <c r="GO339" i="1"/>
  <c r="GJ312" i="1"/>
  <c r="GQ449" i="1"/>
  <c r="GJ432" i="1"/>
  <c r="GJ426" i="1"/>
  <c r="GJ333" i="1"/>
  <c r="GJ229" i="1"/>
  <c r="GJ316" i="1"/>
  <c r="GJ277" i="1"/>
  <c r="GJ237" i="1"/>
  <c r="GJ210" i="1"/>
  <c r="GO342" i="1"/>
  <c r="GJ324" i="1"/>
  <c r="GO303" i="1"/>
  <c r="GJ264" i="1"/>
  <c r="GJ205" i="1"/>
  <c r="GJ180" i="1"/>
  <c r="GO173" i="1"/>
  <c r="GN97" i="1"/>
  <c r="GJ91" i="1"/>
  <c r="GO341" i="1"/>
  <c r="GJ288" i="1"/>
  <c r="GJ392" i="1"/>
  <c r="GN300" i="1"/>
  <c r="GJ278" i="1"/>
  <c r="GJ265" i="1"/>
  <c r="GJ253" i="1"/>
  <c r="GJ228" i="1"/>
  <c r="GJ257" i="1"/>
  <c r="GJ252" i="1"/>
  <c r="GO171" i="1"/>
  <c r="GJ145" i="1"/>
  <c r="GO314" i="1"/>
  <c r="GJ240" i="1"/>
  <c r="GJ202" i="1"/>
  <c r="GO184" i="1"/>
  <c r="GJ182" i="1"/>
  <c r="GN170" i="1"/>
  <c r="GJ294" i="1"/>
  <c r="GJ275" i="1"/>
  <c r="GJ235" i="1"/>
  <c r="GJ233" i="1"/>
  <c r="GJ200" i="1"/>
  <c r="GJ191" i="1"/>
  <c r="GN166" i="1"/>
  <c r="GN165" i="1"/>
  <c r="GN158" i="1"/>
  <c r="GN147" i="1"/>
  <c r="GN146" i="1"/>
  <c r="GN120" i="1"/>
  <c r="GJ108" i="1"/>
  <c r="GN74" i="1"/>
  <c r="GN73" i="1"/>
  <c r="GJ433" i="1"/>
  <c r="GJ370" i="1"/>
  <c r="GJ337" i="1"/>
  <c r="GO317" i="1"/>
  <c r="GJ256" i="1"/>
  <c r="GJ230" i="1"/>
  <c r="GO216" i="1"/>
  <c r="GO214" i="1"/>
  <c r="GO188" i="1"/>
  <c r="GJ391" i="1"/>
  <c r="GO299" i="1"/>
  <c r="GJ293" i="1"/>
  <c r="GJ220" i="1"/>
  <c r="GJ192" i="1"/>
  <c r="GO305" i="1"/>
  <c r="GJ268" i="1"/>
  <c r="GJ258" i="1"/>
  <c r="GJ248" i="1"/>
  <c r="GJ241" i="1"/>
  <c r="GJ227" i="1"/>
  <c r="GJ199" i="1"/>
  <c r="GJ372" i="1"/>
  <c r="GJ219" i="1"/>
  <c r="GN157" i="1"/>
  <c r="GN129" i="1"/>
  <c r="GN128" i="1"/>
  <c r="GJ322" i="1"/>
  <c r="GO212" i="1"/>
  <c r="GN136" i="1"/>
  <c r="GN123" i="1"/>
  <c r="GO304" i="1"/>
  <c r="GJ285" i="1"/>
  <c r="GO215" i="1"/>
  <c r="GJ209" i="1"/>
  <c r="GJ206" i="1"/>
  <c r="GJ203" i="1"/>
  <c r="GJ169" i="1"/>
  <c r="GJ118" i="1"/>
  <c r="GJ109" i="1"/>
  <c r="GN20" i="1"/>
  <c r="GN19" i="1"/>
  <c r="GJ332" i="1"/>
  <c r="GJ267" i="1"/>
  <c r="GJ263" i="1"/>
  <c r="GJ255" i="1"/>
  <c r="GJ221" i="1"/>
  <c r="GJ177" i="1"/>
  <c r="GJ133" i="1"/>
  <c r="GJ112" i="1"/>
  <c r="GJ243" i="1"/>
  <c r="GO186" i="1"/>
  <c r="GN138" i="1"/>
  <c r="GO397" i="1"/>
  <c r="GJ231" i="1"/>
  <c r="GO175" i="1"/>
  <c r="GJ167" i="1"/>
  <c r="GN153" i="1"/>
  <c r="GN107" i="1"/>
  <c r="GO95" i="1"/>
  <c r="GN94" i="1"/>
  <c r="GJ349" i="1"/>
  <c r="GJ211" i="1"/>
  <c r="GJ90" i="1"/>
  <c r="GJ81" i="1"/>
  <c r="GJ80" i="1"/>
  <c r="GN79" i="1"/>
  <c r="GN72" i="1"/>
  <c r="GO64" i="1"/>
  <c r="GN47" i="1"/>
  <c r="GN33" i="1"/>
  <c r="GN17" i="1"/>
  <c r="GJ359" i="1"/>
  <c r="GQ249" i="1"/>
  <c r="GN155" i="1"/>
  <c r="GJ148" i="1"/>
  <c r="GO306" i="1"/>
  <c r="GJ238" i="1"/>
  <c r="GN131" i="1"/>
  <c r="GN122" i="1"/>
  <c r="GN121" i="1"/>
  <c r="GO320" i="1"/>
  <c r="GN156" i="1"/>
  <c r="GJ144" i="1"/>
  <c r="GN102" i="1"/>
  <c r="GJ116" i="1"/>
  <c r="GJ115" i="1"/>
  <c r="GJ287" i="1"/>
  <c r="GJ232" i="1"/>
  <c r="GJ117" i="1"/>
  <c r="GJ204" i="1"/>
  <c r="GN137" i="1"/>
  <c r="GJ88" i="1"/>
  <c r="GO67" i="1"/>
  <c r="GJ404" i="1"/>
  <c r="GJ335" i="1"/>
  <c r="GO217" i="1"/>
  <c r="GO187" i="1"/>
  <c r="GN132" i="1"/>
  <c r="GJ63" i="1"/>
  <c r="GJ62" i="1"/>
  <c r="GJ60" i="1"/>
  <c r="GJ183" i="1"/>
  <c r="GN111" i="1"/>
  <c r="GN96" i="1"/>
  <c r="GJ292" i="1"/>
  <c r="GJ236" i="1"/>
  <c r="GN143" i="1"/>
  <c r="GN110" i="1"/>
  <c r="GJ194" i="1"/>
  <c r="GN99" i="1"/>
  <c r="GN71" i="1"/>
  <c r="GJ178" i="1"/>
  <c r="GO174" i="1"/>
  <c r="GO407" i="1"/>
  <c r="GJ86" i="1"/>
  <c r="GJ61" i="1"/>
  <c r="GJ21" i="1"/>
  <c r="GN11" i="1"/>
  <c r="GJ208" i="1"/>
  <c r="GJ113" i="1"/>
  <c r="GJ251" i="1"/>
  <c r="GN100" i="1"/>
  <c r="GO311" i="1"/>
  <c r="GN83" i="1"/>
  <c r="GN66" i="1"/>
  <c r="GO189" i="1"/>
  <c r="GJ89" i="1"/>
  <c r="GO92" i="1"/>
  <c r="GN82" i="1"/>
  <c r="GN53" i="1"/>
  <c r="GN50" i="1"/>
  <c r="GN45" i="1"/>
  <c r="GN9" i="1"/>
  <c r="GN31" i="1"/>
  <c r="GJ13" i="1"/>
  <c r="GJ85" i="1"/>
  <c r="GJ130" i="1"/>
  <c r="GJ57" i="1"/>
  <c r="GN48" i="1"/>
  <c r="GN43" i="1"/>
  <c r="GJ58" i="1"/>
  <c r="GN46" i="1"/>
  <c r="GN101" i="1"/>
  <c r="GN55" i="1"/>
  <c r="GN30" i="1"/>
  <c r="GN18" i="1"/>
  <c r="GN69" i="1"/>
  <c r="GN37" i="1"/>
  <c r="GJ289" i="1"/>
  <c r="GN68" i="1"/>
  <c r="GN26" i="1"/>
  <c r="GO54" i="1"/>
  <c r="GN135" i="1"/>
  <c r="GN32" i="1"/>
  <c r="GN38" i="1"/>
  <c r="GN35" i="1"/>
  <c r="GN25" i="1"/>
  <c r="GN154" i="1"/>
  <c r="GN28" i="1"/>
  <c r="GO51" i="1"/>
  <c r="GN10" i="1"/>
  <c r="GN56" i="1"/>
  <c r="GN12" i="1"/>
  <c r="GN4" i="1"/>
  <c r="GN44" i="1"/>
  <c r="GN36" i="1"/>
  <c r="GN27" i="1"/>
  <c r="GN7" i="1"/>
  <c r="GN6" i="1"/>
  <c r="GJ49" i="1"/>
  <c r="GN24" i="1"/>
  <c r="GN22" i="1"/>
  <c r="GN14" i="1"/>
  <c r="GJ5" i="1"/>
  <c r="GJ84" i="1"/>
  <c r="GN15" i="1"/>
  <c r="FQ6" i="1" l="1" a="1"/>
  <c r="FQ6" i="1" s="1"/>
  <c r="FS8" i="1"/>
  <c r="FP8" i="1" s="1"/>
  <c r="FS15" i="1"/>
  <c r="FP15" i="1" s="1"/>
  <c r="FS5" i="1"/>
  <c r="FQ4" i="1" a="1"/>
  <c r="FQ4" i="1" s="1"/>
  <c r="FP4" i="1" s="1"/>
  <c r="GK488" i="1"/>
  <c r="GP486" i="1"/>
  <c r="GJ474" i="1"/>
  <c r="GJ467" i="1"/>
  <c r="GQ490" i="1"/>
  <c r="GK471" i="1"/>
  <c r="GQ469" i="1"/>
  <c r="GP497" i="1"/>
  <c r="GP483" i="1"/>
  <c r="GJ478" i="1"/>
  <c r="GJ464" i="1"/>
  <c r="GQ494" i="1"/>
  <c r="GQ480" i="1"/>
  <c r="GK468" i="1"/>
  <c r="GJ475" i="1"/>
  <c r="GJ410" i="1"/>
  <c r="GP405" i="1"/>
  <c r="GJ364" i="1"/>
  <c r="GJ345" i="1"/>
  <c r="GJ338" i="1"/>
  <c r="GQ498" i="1"/>
  <c r="GQ492" i="1"/>
  <c r="GP481" i="1"/>
  <c r="GJ476" i="1"/>
  <c r="GK472" i="1"/>
  <c r="GP495" i="1"/>
  <c r="GJ421" i="1"/>
  <c r="GJ412" i="1"/>
  <c r="GP496" i="1"/>
  <c r="GJ356" i="1"/>
  <c r="GQ285" i="1"/>
  <c r="GK273" i="1"/>
  <c r="GQ264" i="1"/>
  <c r="GK491" i="1"/>
  <c r="GQ485" i="1"/>
  <c r="GP470" i="1"/>
  <c r="GJ423" i="1"/>
  <c r="GK413" i="1"/>
  <c r="GJ397" i="1"/>
  <c r="GJ367" i="1"/>
  <c r="GP349" i="1"/>
  <c r="GJ342" i="1"/>
  <c r="GJ339" i="1"/>
  <c r="GJ398" i="1"/>
  <c r="GP415" i="1"/>
  <c r="GP489" i="1"/>
  <c r="GK484" i="1"/>
  <c r="GJ479" i="1"/>
  <c r="GP428" i="1"/>
  <c r="GK417" i="1"/>
  <c r="GP473" i="1"/>
  <c r="GJ466" i="1"/>
  <c r="GK416" i="1"/>
  <c r="GJ368" i="1"/>
  <c r="GK357" i="1"/>
  <c r="GK256" i="1"/>
  <c r="GJ225" i="1"/>
  <c r="GJ477" i="1"/>
  <c r="GQ425" i="1"/>
  <c r="GP418" i="1"/>
  <c r="GJ409" i="1"/>
  <c r="GP371" i="1"/>
  <c r="GQ369" i="1"/>
  <c r="GJ341" i="1"/>
  <c r="GJ314" i="1"/>
  <c r="GJ311" i="1"/>
  <c r="GJ308" i="1"/>
  <c r="GP482" i="1"/>
  <c r="GP427" i="1"/>
  <c r="GJ406" i="1"/>
  <c r="GK360" i="1"/>
  <c r="GJ351" i="1"/>
  <c r="GJ422" i="1"/>
  <c r="GJ340" i="1"/>
  <c r="GJ407" i="1"/>
  <c r="GP370" i="1"/>
  <c r="GJ366" i="1"/>
  <c r="GK361" i="1"/>
  <c r="GJ401" i="1"/>
  <c r="GK493" i="1"/>
  <c r="GJ419" i="1"/>
  <c r="GP372" i="1"/>
  <c r="GJ300" i="1"/>
  <c r="GQ274" i="1"/>
  <c r="GJ424" i="1"/>
  <c r="GQ414" i="1"/>
  <c r="GL286" i="1"/>
  <c r="GP284" i="1"/>
  <c r="GP352" i="1"/>
  <c r="GJ343" i="1"/>
  <c r="GP426" i="1"/>
  <c r="GJ396" i="1"/>
  <c r="GJ350" i="1"/>
  <c r="GJ315" i="1"/>
  <c r="GJ309" i="1"/>
  <c r="GJ307" i="1"/>
  <c r="GJ305" i="1"/>
  <c r="GL269" i="1"/>
  <c r="GJ217" i="1"/>
  <c r="GJ170" i="1"/>
  <c r="GP164" i="1"/>
  <c r="GK157" i="1"/>
  <c r="GQ154" i="1"/>
  <c r="GK153" i="1"/>
  <c r="GJ146" i="1"/>
  <c r="GJ141" i="1"/>
  <c r="GJ399" i="1"/>
  <c r="GJ363" i="1"/>
  <c r="GQ404" i="1"/>
  <c r="GP359" i="1"/>
  <c r="GJ354" i="1"/>
  <c r="GJ299" i="1"/>
  <c r="GP408" i="1"/>
  <c r="GJ306" i="1"/>
  <c r="GK277" i="1"/>
  <c r="GJ259" i="1"/>
  <c r="GJ224" i="1"/>
  <c r="GJ403" i="1"/>
  <c r="GJ346" i="1"/>
  <c r="GQ280" i="1"/>
  <c r="GL275" i="1"/>
  <c r="GL271" i="1"/>
  <c r="GL257" i="1"/>
  <c r="GJ254" i="1"/>
  <c r="GL222" i="1"/>
  <c r="GJ420" i="1"/>
  <c r="GJ394" i="1"/>
  <c r="GJ365" i="1"/>
  <c r="GJ297" i="1"/>
  <c r="GL227" i="1"/>
  <c r="GJ111" i="1"/>
  <c r="GP109" i="1"/>
  <c r="GJ105" i="1"/>
  <c r="GJ103" i="1"/>
  <c r="GJ92" i="1"/>
  <c r="GQ348" i="1"/>
  <c r="GJ310" i="1"/>
  <c r="GJ303" i="1"/>
  <c r="GL282" i="1"/>
  <c r="GL230" i="1"/>
  <c r="GJ411" i="1"/>
  <c r="GJ298" i="1"/>
  <c r="GJ296" i="1"/>
  <c r="GK276" i="1"/>
  <c r="GK270" i="1"/>
  <c r="GL263" i="1"/>
  <c r="GL258" i="1"/>
  <c r="GJ301" i="1"/>
  <c r="GL272" i="1"/>
  <c r="GL191" i="1"/>
  <c r="GJ175" i="1"/>
  <c r="GP168" i="1"/>
  <c r="GQ167" i="1"/>
  <c r="GP166" i="1"/>
  <c r="GQ160" i="1"/>
  <c r="GP158" i="1"/>
  <c r="GP148" i="1"/>
  <c r="GL288" i="1"/>
  <c r="GL221" i="1"/>
  <c r="GJ215" i="1"/>
  <c r="GJ213" i="1"/>
  <c r="GN162" i="1"/>
  <c r="GP161" i="1"/>
  <c r="GJ353" i="1"/>
  <c r="GJ304" i="1"/>
  <c r="GJ226" i="1"/>
  <c r="GL219" i="1"/>
  <c r="GN159" i="1"/>
  <c r="GJ143" i="1"/>
  <c r="GP112" i="1"/>
  <c r="GJ72" i="1"/>
  <c r="GQ358" i="1"/>
  <c r="GJ347" i="1"/>
  <c r="GP313" i="1"/>
  <c r="GP268" i="1"/>
  <c r="GL266" i="1"/>
  <c r="GJ402" i="1"/>
  <c r="GQ312" i="1"/>
  <c r="GL279" i="1"/>
  <c r="GP362" i="1"/>
  <c r="GP316" i="1"/>
  <c r="GJ218" i="1"/>
  <c r="GJ216" i="1"/>
  <c r="GJ214" i="1"/>
  <c r="GJ188" i="1"/>
  <c r="GJ395" i="1"/>
  <c r="GJ355" i="1"/>
  <c r="GQ200" i="1"/>
  <c r="GJ195" i="1"/>
  <c r="GK192" i="1"/>
  <c r="GJ176" i="1"/>
  <c r="GJ172" i="1"/>
  <c r="GK156" i="1"/>
  <c r="GJ137" i="1"/>
  <c r="GL203" i="1"/>
  <c r="GJ185" i="1"/>
  <c r="GP281" i="1"/>
  <c r="GJ260" i="1"/>
  <c r="GJ99" i="1"/>
  <c r="GJ94" i="1"/>
  <c r="GQ80" i="1"/>
  <c r="GQ44" i="1"/>
  <c r="GJ28" i="1"/>
  <c r="GJ189" i="1"/>
  <c r="GJ187" i="1"/>
  <c r="GJ173" i="1"/>
  <c r="GJ147" i="1"/>
  <c r="GP145" i="1"/>
  <c r="GJ136" i="1"/>
  <c r="GQ108" i="1"/>
  <c r="GJ344" i="1"/>
  <c r="GJ302" i="1"/>
  <c r="GK220" i="1"/>
  <c r="GP204" i="1"/>
  <c r="GL193" i="1"/>
  <c r="GJ110" i="1"/>
  <c r="GJ262" i="1"/>
  <c r="GL231" i="1"/>
  <c r="GJ171" i="1"/>
  <c r="GK150" i="1"/>
  <c r="GL267" i="1"/>
  <c r="GL202" i="1"/>
  <c r="GP155" i="1"/>
  <c r="GJ140" i="1"/>
  <c r="GJ100" i="1"/>
  <c r="GJ93" i="1"/>
  <c r="GJ69" i="1"/>
  <c r="GJ51" i="1"/>
  <c r="GL46" i="1"/>
  <c r="GJ32" i="1"/>
  <c r="GJ10" i="1"/>
  <c r="GK487" i="1"/>
  <c r="GL255" i="1"/>
  <c r="GJ198" i="1"/>
  <c r="GL194" i="1"/>
  <c r="GN149" i="1"/>
  <c r="GP265" i="1"/>
  <c r="GP201" i="1"/>
  <c r="GN151" i="1"/>
  <c r="GQ144" i="1"/>
  <c r="GJ142" i="1"/>
  <c r="GJ107" i="1"/>
  <c r="GJ184" i="1"/>
  <c r="GJ135" i="1"/>
  <c r="GQ287" i="1"/>
  <c r="GP232" i="1"/>
  <c r="GJ196" i="1"/>
  <c r="GJ174" i="1"/>
  <c r="GJ138" i="1"/>
  <c r="GJ134" i="1"/>
  <c r="GJ465" i="1"/>
  <c r="GJ104" i="1"/>
  <c r="GJ79" i="1"/>
  <c r="GJ212" i="1"/>
  <c r="GJ139" i="1"/>
  <c r="GJ101" i="1"/>
  <c r="GP84" i="1"/>
  <c r="GJ197" i="1"/>
  <c r="GJ77" i="1"/>
  <c r="GJ74" i="1"/>
  <c r="GJ52" i="1"/>
  <c r="GJ19" i="1"/>
  <c r="GJ17" i="1"/>
  <c r="GJ261" i="1"/>
  <c r="GJ98" i="1"/>
  <c r="GJ66" i="1"/>
  <c r="GQ165" i="1"/>
  <c r="GJ106" i="1"/>
  <c r="GJ400" i="1"/>
  <c r="GJ96" i="1"/>
  <c r="GJ71" i="1"/>
  <c r="GQ228" i="1"/>
  <c r="GJ97" i="1"/>
  <c r="GJ76" i="1"/>
  <c r="GJ102" i="1"/>
  <c r="GJ18" i="1"/>
  <c r="GJ14" i="1"/>
  <c r="GJ83" i="1"/>
  <c r="GJ78" i="1"/>
  <c r="GJ68" i="1"/>
  <c r="GL41" i="1"/>
  <c r="GL40" i="1"/>
  <c r="GJ223" i="1"/>
  <c r="GJ55" i="1"/>
  <c r="GJ75" i="1"/>
  <c r="GJ64" i="1"/>
  <c r="GJ54" i="1"/>
  <c r="GJ56" i="1"/>
  <c r="GL47" i="1"/>
  <c r="GJ95" i="1"/>
  <c r="GJ50" i="1"/>
  <c r="GK36" i="1"/>
  <c r="GJ33" i="1"/>
  <c r="GP229" i="1"/>
  <c r="GJ82" i="1"/>
  <c r="GL283" i="1"/>
  <c r="GJ53" i="1"/>
  <c r="GJ186" i="1"/>
  <c r="GJ67" i="1"/>
  <c r="GL37" i="1"/>
  <c r="GL34" i="1"/>
  <c r="GL278" i="1"/>
  <c r="GJ20" i="1"/>
  <c r="GJ16" i="1"/>
  <c r="GJ12" i="1"/>
  <c r="GJ11" i="1"/>
  <c r="GL39" i="1"/>
  <c r="GJ6" i="1"/>
  <c r="GL199" i="1"/>
  <c r="GP81" i="1"/>
  <c r="GJ70" i="1"/>
  <c r="GN152" i="1"/>
  <c r="GP48" i="1"/>
  <c r="GP45" i="1"/>
  <c r="GL43" i="1"/>
  <c r="GJ29" i="1"/>
  <c r="GL38" i="1"/>
  <c r="GJ31" i="1"/>
  <c r="GJ9" i="1"/>
  <c r="GN163" i="1"/>
  <c r="GJ30" i="1"/>
  <c r="GJ73" i="1"/>
  <c r="GL42" i="1"/>
  <c r="GJ4" i="1"/>
  <c r="GL35" i="1"/>
  <c r="GJ65" i="1"/>
  <c r="GJ15" i="1"/>
  <c r="GJ8" i="1"/>
  <c r="GJ190" i="1"/>
  <c r="GJ7" i="1"/>
  <c r="FR9" i="1" a="1"/>
  <c r="FR9" i="1" s="1"/>
  <c r="FQ5" i="1" a="1"/>
  <c r="FQ5" i="1" s="1"/>
  <c r="FR10" i="1" a="1"/>
  <c r="FR10" i="1" s="1"/>
  <c r="FP10" i="1" s="1"/>
  <c r="FR7" i="1" a="1"/>
  <c r="FR7" i="1" s="1"/>
  <c r="FQ12" i="1" a="1"/>
  <c r="FQ12" i="1" s="1"/>
  <c r="FP12" i="1" s="1"/>
  <c r="FP7" i="1"/>
  <c r="FQ13" i="1" a="1"/>
  <c r="FQ13" i="1" s="1"/>
  <c r="FP13" i="1" s="1"/>
  <c r="FQ10" i="1" a="1"/>
  <c r="FQ10" i="1" s="1"/>
  <c r="FQ9" i="1" a="1"/>
  <c r="FQ9" i="1" s="1"/>
  <c r="FP9" i="1"/>
  <c r="FP14" i="1"/>
  <c r="FP6" i="1"/>
  <c r="FR12" i="1" a="1"/>
  <c r="FR12" i="1" s="1"/>
  <c r="FQ11" i="1" a="1"/>
  <c r="FQ11" i="1" s="1"/>
  <c r="FR11" i="1" a="1"/>
  <c r="FR11" i="1" s="1"/>
  <c r="FP11" i="1" s="1"/>
  <c r="FR5" i="1" a="1"/>
  <c r="FR5" i="1" s="1"/>
  <c r="FP5" i="1" l="1"/>
  <c r="FO5" i="1" s="1"/>
  <c r="FX5" i="1" s="1"/>
  <c r="FO8" i="1"/>
  <c r="FX8" i="1" s="1"/>
  <c r="FO15" i="1"/>
  <c r="FX15" i="1" s="1"/>
  <c r="FO9" i="1"/>
  <c r="FX9" i="1" s="1"/>
  <c r="FO6" i="1"/>
  <c r="FX6" i="1" s="1"/>
  <c r="FO14" i="1" l="1"/>
  <c r="FX14" i="1" s="1"/>
  <c r="FO12" i="1"/>
  <c r="FX12" i="1" s="1"/>
  <c r="FO10" i="1"/>
  <c r="FX10" i="1" s="1"/>
  <c r="FO7" i="1"/>
  <c r="FX7" i="1" s="1"/>
  <c r="FO13" i="1"/>
  <c r="FX13" i="1" s="1"/>
  <c r="FO4" i="1"/>
  <c r="FX4" i="1" s="1"/>
  <c r="FO11" i="1"/>
  <c r="FX11" i="1" s="1"/>
  <c r="GR497" i="1" l="1"/>
  <c r="GR490" i="1"/>
  <c r="GR483" i="1"/>
  <c r="GR476" i="1"/>
  <c r="GR469" i="1"/>
  <c r="GR494" i="1"/>
  <c r="GR487" i="1"/>
  <c r="GR480" i="1"/>
  <c r="GR473" i="1"/>
  <c r="GR466" i="1"/>
  <c r="GR459" i="1"/>
  <c r="GR452" i="1"/>
  <c r="GR445" i="1"/>
  <c r="GR438" i="1"/>
  <c r="GR431" i="1"/>
  <c r="GR498" i="1"/>
  <c r="GR492" i="1"/>
  <c r="GR482" i="1"/>
  <c r="GR463" i="1"/>
  <c r="GR458" i="1"/>
  <c r="GR434" i="1"/>
  <c r="GR432" i="1"/>
  <c r="GR384" i="1"/>
  <c r="GR381" i="1"/>
  <c r="GR347" i="1"/>
  <c r="GR340" i="1"/>
  <c r="GR486" i="1"/>
  <c r="GR478" i="1"/>
  <c r="GR489" i="1"/>
  <c r="GR477" i="1"/>
  <c r="GR450" i="1"/>
  <c r="GR493" i="1"/>
  <c r="GR479" i="1"/>
  <c r="GR443" i="1"/>
  <c r="GR485" i="1"/>
  <c r="GR475" i="1"/>
  <c r="GR465" i="1"/>
  <c r="GR448" i="1"/>
  <c r="GR429" i="1"/>
  <c r="GR424" i="1"/>
  <c r="GR409" i="1"/>
  <c r="GR401" i="1"/>
  <c r="GR368" i="1"/>
  <c r="GR360" i="1"/>
  <c r="GR352" i="1"/>
  <c r="GR189" i="1"/>
  <c r="GR467" i="1"/>
  <c r="GR439" i="1"/>
  <c r="GR435" i="1"/>
  <c r="GR433" i="1"/>
  <c r="GR419" i="1"/>
  <c r="GR414" i="1"/>
  <c r="GR393" i="1"/>
  <c r="GR385" i="1"/>
  <c r="GR374" i="1"/>
  <c r="GR371" i="1"/>
  <c r="GR331" i="1"/>
  <c r="GR324" i="1"/>
  <c r="GR474" i="1"/>
  <c r="GR462" i="1"/>
  <c r="GR425" i="1"/>
  <c r="GR399" i="1"/>
  <c r="GR394" i="1"/>
  <c r="GR372" i="1"/>
  <c r="GR471" i="1"/>
  <c r="GR451" i="1"/>
  <c r="GR436" i="1"/>
  <c r="GR430" i="1"/>
  <c r="GR405" i="1"/>
  <c r="GR423" i="1"/>
  <c r="GR418" i="1"/>
  <c r="GR408" i="1"/>
  <c r="GR453" i="1"/>
  <c r="GR380" i="1"/>
  <c r="GR369" i="1"/>
  <c r="GR362" i="1"/>
  <c r="GR342" i="1"/>
  <c r="GR327" i="1"/>
  <c r="GR294" i="1"/>
  <c r="GR291" i="1"/>
  <c r="GR245" i="1"/>
  <c r="GR242" i="1"/>
  <c r="GR196" i="1"/>
  <c r="GR193" i="1"/>
  <c r="GR444" i="1"/>
  <c r="GR406" i="1"/>
  <c r="GR382" i="1"/>
  <c r="GR378" i="1"/>
  <c r="GR358" i="1"/>
  <c r="GR349" i="1"/>
  <c r="GR455" i="1"/>
  <c r="GR446" i="1"/>
  <c r="GR410" i="1"/>
  <c r="GR403" i="1"/>
  <c r="GR395" i="1"/>
  <c r="GR391" i="1"/>
  <c r="GR389" i="1"/>
  <c r="GR365" i="1"/>
  <c r="GR363" i="1"/>
  <c r="GR354" i="1"/>
  <c r="GR460" i="1"/>
  <c r="GR457" i="1"/>
  <c r="GR437" i="1"/>
  <c r="GR379" i="1"/>
  <c r="GR359" i="1"/>
  <c r="GR348" i="1"/>
  <c r="GR326" i="1"/>
  <c r="GR308" i="1"/>
  <c r="GR305" i="1"/>
  <c r="GR484" i="1"/>
  <c r="GR428" i="1"/>
  <c r="GR390" i="1"/>
  <c r="GR398" i="1"/>
  <c r="GR488" i="1"/>
  <c r="GR461" i="1"/>
  <c r="GR442" i="1"/>
  <c r="GR415" i="1"/>
  <c r="GR412" i="1"/>
  <c r="GR367" i="1"/>
  <c r="GR350" i="1"/>
  <c r="GR341" i="1"/>
  <c r="GR319" i="1"/>
  <c r="GR306" i="1"/>
  <c r="GR283" i="1"/>
  <c r="GR280" i="1"/>
  <c r="GR420" i="1"/>
  <c r="GR417" i="1"/>
  <c r="GR468" i="1"/>
  <c r="GR440" i="1"/>
  <c r="GR426" i="1"/>
  <c r="GR383" i="1"/>
  <c r="GR366" i="1"/>
  <c r="GR333" i="1"/>
  <c r="GR287" i="1"/>
  <c r="GR272" i="1"/>
  <c r="GR491" i="1"/>
  <c r="GR422" i="1"/>
  <c r="GR402" i="1"/>
  <c r="GR386" i="1"/>
  <c r="GR335" i="1"/>
  <c r="GR496" i="1"/>
  <c r="GR392" i="1"/>
  <c r="GR377" i="1"/>
  <c r="GR299" i="1"/>
  <c r="GR290" i="1"/>
  <c r="GR270" i="1"/>
  <c r="GR262" i="1"/>
  <c r="GR229" i="1"/>
  <c r="GR221" i="1"/>
  <c r="GR213" i="1"/>
  <c r="GR186" i="1"/>
  <c r="GR183" i="1"/>
  <c r="GR173" i="1"/>
  <c r="GR166" i="1"/>
  <c r="GR456" i="1"/>
  <c r="GR397" i="1"/>
  <c r="GR373" i="1"/>
  <c r="GR356" i="1"/>
  <c r="GR346" i="1"/>
  <c r="GR334" i="1"/>
  <c r="GR300" i="1"/>
  <c r="GR286" i="1"/>
  <c r="GR361" i="1"/>
  <c r="GR357" i="1"/>
  <c r="GR353" i="1"/>
  <c r="GR310" i="1"/>
  <c r="GR301" i="1"/>
  <c r="GR288" i="1"/>
  <c r="GR284" i="1"/>
  <c r="GR267" i="1"/>
  <c r="GR238" i="1"/>
  <c r="GR225" i="1"/>
  <c r="GR321" i="1"/>
  <c r="GR318" i="1"/>
  <c r="GR303" i="1"/>
  <c r="GR292" i="1"/>
  <c r="GR282" i="1"/>
  <c r="GR265" i="1"/>
  <c r="GR260" i="1"/>
  <c r="GR248" i="1"/>
  <c r="GR243" i="1"/>
  <c r="GR233" i="1"/>
  <c r="GR218" i="1"/>
  <c r="GR413" i="1"/>
  <c r="GR407" i="1"/>
  <c r="GR338" i="1"/>
  <c r="GR332" i="1"/>
  <c r="GR278" i="1"/>
  <c r="GR258" i="1"/>
  <c r="GR241" i="1"/>
  <c r="GR228" i="1"/>
  <c r="GR223" i="1"/>
  <c r="GR216" i="1"/>
  <c r="GR211" i="1"/>
  <c r="GR199" i="1"/>
  <c r="GR194" i="1"/>
  <c r="GR187" i="1"/>
  <c r="GR170" i="1"/>
  <c r="GR164" i="1"/>
  <c r="GR152" i="1"/>
  <c r="GR145" i="1"/>
  <c r="GR134" i="1"/>
  <c r="GR128" i="1"/>
  <c r="GR98" i="1"/>
  <c r="GR87" i="1"/>
  <c r="GR85" i="1"/>
  <c r="GR447" i="1"/>
  <c r="GR376" i="1"/>
  <c r="GR320" i="1"/>
  <c r="GR274" i="1"/>
  <c r="GR268" i="1"/>
  <c r="GR256" i="1"/>
  <c r="GR251" i="1"/>
  <c r="GR231" i="1"/>
  <c r="GR427" i="1"/>
  <c r="GR387" i="1"/>
  <c r="GR355" i="1"/>
  <c r="GR351" i="1"/>
  <c r="GR322" i="1"/>
  <c r="GR311" i="1"/>
  <c r="GR293" i="1"/>
  <c r="GR266" i="1"/>
  <c r="GR254" i="1"/>
  <c r="GR237" i="1"/>
  <c r="GR481" i="1"/>
  <c r="GR472" i="1"/>
  <c r="GR449" i="1"/>
  <c r="GR314" i="1"/>
  <c r="GR297" i="1"/>
  <c r="GR261" i="1"/>
  <c r="GR244" i="1"/>
  <c r="GR205" i="1"/>
  <c r="GR142" i="1"/>
  <c r="GR343" i="1"/>
  <c r="GR330" i="1"/>
  <c r="GR230" i="1"/>
  <c r="GR203" i="1"/>
  <c r="GR192" i="1"/>
  <c r="GR441" i="1"/>
  <c r="GR404" i="1"/>
  <c r="GR277" i="1"/>
  <c r="GR188" i="1"/>
  <c r="GR174" i="1"/>
  <c r="GR163" i="1"/>
  <c r="GR136" i="1"/>
  <c r="GR118" i="1"/>
  <c r="GR104" i="1"/>
  <c r="GR93" i="1"/>
  <c r="GR80" i="1"/>
  <c r="GR75" i="1"/>
  <c r="GR54" i="1"/>
  <c r="GR309" i="1"/>
  <c r="GR296" i="1"/>
  <c r="GR279" i="1"/>
  <c r="GR253" i="1"/>
  <c r="GR220" i="1"/>
  <c r="GR210" i="1"/>
  <c r="GR206" i="1"/>
  <c r="GR197" i="1"/>
  <c r="GR190" i="1"/>
  <c r="GR345" i="1"/>
  <c r="GR289" i="1"/>
  <c r="GR281" i="1"/>
  <c r="GR250" i="1"/>
  <c r="GR204" i="1"/>
  <c r="GR182" i="1"/>
  <c r="GR295" i="1"/>
  <c r="GR202" i="1"/>
  <c r="GR200" i="1"/>
  <c r="GR364" i="1"/>
  <c r="GR304" i="1"/>
  <c r="GR285" i="1"/>
  <c r="GR215" i="1"/>
  <c r="GR110" i="1"/>
  <c r="GR315" i="1"/>
  <c r="GR148" i="1"/>
  <c r="GR119" i="1"/>
  <c r="GR263" i="1"/>
  <c r="GR240" i="1"/>
  <c r="GR191" i="1"/>
  <c r="GR180" i="1"/>
  <c r="GR177" i="1"/>
  <c r="GR175" i="1"/>
  <c r="GR144" i="1"/>
  <c r="GR143" i="1"/>
  <c r="GR117" i="1"/>
  <c r="GR101" i="1"/>
  <c r="GR73" i="1"/>
  <c r="GR40" i="1"/>
  <c r="GR33" i="1"/>
  <c r="GR31" i="1"/>
  <c r="GR21" i="1"/>
  <c r="GR9" i="1"/>
  <c r="GR400" i="1"/>
  <c r="GR313" i="1"/>
  <c r="GR232" i="1"/>
  <c r="GR224" i="1"/>
  <c r="GR217" i="1"/>
  <c r="GR150" i="1"/>
  <c r="GR138" i="1"/>
  <c r="GR113" i="1"/>
  <c r="GR246" i="1"/>
  <c r="GR207" i="1"/>
  <c r="GR161" i="1"/>
  <c r="GR141" i="1"/>
  <c r="GR137" i="1"/>
  <c r="GR120" i="1"/>
  <c r="GR388" i="1"/>
  <c r="GR370" i="1"/>
  <c r="GR198" i="1"/>
  <c r="GR185" i="1"/>
  <c r="GR125" i="1"/>
  <c r="GR317" i="1"/>
  <c r="GR273" i="1"/>
  <c r="GR235" i="1"/>
  <c r="GR155" i="1"/>
  <c r="GR91" i="1"/>
  <c r="GR396" i="1"/>
  <c r="GR302" i="1"/>
  <c r="GR255" i="1"/>
  <c r="GR249" i="1"/>
  <c r="GR239" i="1"/>
  <c r="GR219" i="1"/>
  <c r="GR179" i="1"/>
  <c r="GR124" i="1"/>
  <c r="GR109" i="1"/>
  <c r="GR82" i="1"/>
  <c r="GR77" i="1"/>
  <c r="GR42" i="1"/>
  <c r="GR25" i="1"/>
  <c r="GR24" i="1"/>
  <c r="GR7" i="1"/>
  <c r="GR495" i="1"/>
  <c r="GR339" i="1"/>
  <c r="GR316" i="1"/>
  <c r="GR234" i="1"/>
  <c r="GR172" i="1"/>
  <c r="GR135" i="1"/>
  <c r="GR129" i="1"/>
  <c r="GR454" i="1"/>
  <c r="GR421" i="1"/>
  <c r="GR307" i="1"/>
  <c r="GR271" i="1"/>
  <c r="GR159" i="1"/>
  <c r="GR146" i="1"/>
  <c r="GR122" i="1"/>
  <c r="GR112" i="1"/>
  <c r="GR344" i="1"/>
  <c r="GR336" i="1"/>
  <c r="GR312" i="1"/>
  <c r="GR264" i="1"/>
  <c r="GR247" i="1"/>
  <c r="GR115" i="1"/>
  <c r="GR328" i="1"/>
  <c r="GR276" i="1"/>
  <c r="GR227" i="1"/>
  <c r="GR222" i="1"/>
  <c r="GR106" i="1"/>
  <c r="GR90" i="1"/>
  <c r="GR226" i="1"/>
  <c r="GR212" i="1"/>
  <c r="GR131" i="1"/>
  <c r="GR76" i="1"/>
  <c r="GR168" i="1"/>
  <c r="GR95" i="1"/>
  <c r="GR72" i="1"/>
  <c r="GR71" i="1"/>
  <c r="GR464" i="1"/>
  <c r="GR416" i="1"/>
  <c r="GR325" i="1"/>
  <c r="GR132" i="1"/>
  <c r="GR126" i="1"/>
  <c r="GR94" i="1"/>
  <c r="GR92" i="1"/>
  <c r="GR64" i="1"/>
  <c r="GR45" i="1"/>
  <c r="GR12" i="1"/>
  <c r="GR269" i="1"/>
  <c r="GR133" i="1"/>
  <c r="GR111" i="1"/>
  <c r="GR97" i="1"/>
  <c r="GR96" i="1"/>
  <c r="GR323" i="1"/>
  <c r="GR195" i="1"/>
  <c r="GR153" i="1"/>
  <c r="GR127" i="1"/>
  <c r="GR105" i="1"/>
  <c r="GR470" i="1"/>
  <c r="GR411" i="1"/>
  <c r="GR275" i="1"/>
  <c r="GR208" i="1"/>
  <c r="GR181" i="1"/>
  <c r="GR176" i="1"/>
  <c r="GR154" i="1"/>
  <c r="GR149" i="1"/>
  <c r="GR86" i="1"/>
  <c r="GR79" i="1"/>
  <c r="GR236" i="1"/>
  <c r="GR162" i="1"/>
  <c r="GR147" i="1"/>
  <c r="GR116" i="1"/>
  <c r="GR201" i="1"/>
  <c r="GR108" i="1"/>
  <c r="GR157" i="1"/>
  <c r="GR67" i="1"/>
  <c r="GR62" i="1"/>
  <c r="GR55" i="1"/>
  <c r="GR36" i="1"/>
  <c r="GR23" i="1"/>
  <c r="GR329" i="1"/>
  <c r="GR209" i="1"/>
  <c r="GR107" i="1"/>
  <c r="GR63" i="1"/>
  <c r="GR39" i="1"/>
  <c r="GR35" i="1"/>
  <c r="GR27" i="1"/>
  <c r="GR26" i="1"/>
  <c r="GR252" i="1"/>
  <c r="GR139" i="1"/>
  <c r="GR337" i="1"/>
  <c r="GR259" i="1"/>
  <c r="GR214" i="1"/>
  <c r="GR114" i="1"/>
  <c r="GR84" i="1"/>
  <c r="GR66" i="1"/>
  <c r="GR298" i="1"/>
  <c r="GR184" i="1"/>
  <c r="GR178" i="1"/>
  <c r="GR89" i="1"/>
  <c r="GR375" i="1"/>
  <c r="GR103" i="1"/>
  <c r="GR169" i="1"/>
  <c r="GR160" i="1"/>
  <c r="GR74" i="1"/>
  <c r="GR59" i="1"/>
  <c r="GR16" i="1"/>
  <c r="GR165" i="1"/>
  <c r="GR140" i="1"/>
  <c r="GR78" i="1"/>
  <c r="GR20" i="1"/>
  <c r="GR69" i="1"/>
  <c r="GR65" i="1"/>
  <c r="GR102" i="1"/>
  <c r="GR58" i="1"/>
  <c r="GR57" i="1"/>
  <c r="GR52" i="1"/>
  <c r="GR48" i="1"/>
  <c r="GR121" i="1"/>
  <c r="GR46" i="1"/>
  <c r="GR44" i="1"/>
  <c r="GR171" i="1"/>
  <c r="GR167" i="1"/>
  <c r="GR100" i="1"/>
  <c r="GR61" i="1"/>
  <c r="GR51" i="1"/>
  <c r="GR38" i="1"/>
  <c r="GR151" i="1"/>
  <c r="GR68" i="1"/>
  <c r="GR156" i="1"/>
  <c r="GR158" i="1"/>
  <c r="GR130" i="1"/>
  <c r="GR81" i="1"/>
  <c r="GR70" i="1"/>
  <c r="GR49" i="1"/>
  <c r="GR29" i="1"/>
  <c r="GR99" i="1"/>
  <c r="GR15" i="1"/>
  <c r="GR14" i="1"/>
  <c r="GR43" i="1"/>
  <c r="GR257" i="1"/>
  <c r="GR88" i="1"/>
  <c r="GR60" i="1"/>
  <c r="GR56" i="1"/>
  <c r="GR50" i="1"/>
  <c r="GR37" i="1"/>
  <c r="GR30" i="1"/>
  <c r="GR19" i="1"/>
  <c r="GR4" i="1"/>
  <c r="GR34" i="1"/>
  <c r="GR6" i="1"/>
  <c r="GR18" i="1"/>
  <c r="GR41" i="1"/>
  <c r="GR5" i="1"/>
  <c r="GR47" i="1"/>
  <c r="GR32" i="1"/>
  <c r="GR28" i="1"/>
  <c r="GR13" i="1"/>
  <c r="GR10" i="1"/>
  <c r="GR123" i="1"/>
  <c r="GR11" i="1"/>
  <c r="GR8" i="1"/>
  <c r="GR22" i="1"/>
  <c r="GR17" i="1"/>
  <c r="GR83" i="1"/>
  <c r="GR53" i="1"/>
  <c r="GA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<sst xmlns="http://schemas.openxmlformats.org/spreadsheetml/2006/main" count="6422" uniqueCount="195">
  <si>
    <t>©Peter Viklund and Johanna Viklund, for contact please email</t>
  </si>
  <si>
    <t>info@fotbollsvmem.se</t>
  </si>
  <si>
    <t>Grupp A</t>
  </si>
  <si>
    <t>Bonusfrågor</t>
  </si>
  <si>
    <t>Rank 0</t>
  </si>
  <si>
    <t>Rank 1</t>
  </si>
  <si>
    <t>Rank 3</t>
  </si>
  <si>
    <t>Rank 4</t>
  </si>
  <si>
    <t>Rank 2</t>
  </si>
  <si>
    <t>Tredjeplats</t>
  </si>
  <si>
    <t>Se flik "Third-place combinations" från regelverk</t>
  </si>
  <si>
    <t>ETTOR</t>
  </si>
  <si>
    <t>Match</t>
  </si>
  <si>
    <t>Datum</t>
  </si>
  <si>
    <t>Resultat</t>
  </si>
  <si>
    <t>1X2</t>
  </si>
  <si>
    <t>Poäng</t>
  </si>
  <si>
    <t>Support kolumn</t>
  </si>
  <si>
    <t>Lag</t>
  </si>
  <si>
    <t>V</t>
  </si>
  <si>
    <t>O</t>
  </si>
  <si>
    <t>F</t>
  </si>
  <si>
    <t>GM</t>
  </si>
  <si>
    <t>IM</t>
  </si>
  <si>
    <t>+/-</t>
  </si>
  <si>
    <t>P</t>
  </si>
  <si>
    <t>Kategori</t>
  </si>
  <si>
    <t>Land eller spelare</t>
  </si>
  <si>
    <t>Tecken</t>
  </si>
  <si>
    <t>V1</t>
  </si>
  <si>
    <t>V2</t>
  </si>
  <si>
    <t>O1</t>
  </si>
  <si>
    <t>O2</t>
  </si>
  <si>
    <t>F1</t>
  </si>
  <si>
    <t>F2</t>
  </si>
  <si>
    <t>Grupp</t>
  </si>
  <si>
    <t>Rank P</t>
  </si>
  <si>
    <t>Rank +/-</t>
  </si>
  <si>
    <t>+/- rank</t>
  </si>
  <si>
    <t>GM rank</t>
  </si>
  <si>
    <t>Rank internal</t>
  </si>
  <si>
    <t>+/- all</t>
  </si>
  <si>
    <t>+/- rank all</t>
  </si>
  <si>
    <t>GM all</t>
  </si>
  <si>
    <t>GM rank all</t>
  </si>
  <si>
    <t>V all</t>
  </si>
  <si>
    <t>V rank all</t>
  </si>
  <si>
    <t>Rank all</t>
  </si>
  <si>
    <t>Rank</t>
  </si>
  <si>
    <t>Rank Ties</t>
  </si>
  <si>
    <t>Rank ties</t>
  </si>
  <si>
    <t>Rank total</t>
  </si>
  <si>
    <t>Rank mål</t>
  </si>
  <si>
    <t>Rank poäng</t>
  </si>
  <si>
    <t>Team through</t>
  </si>
  <si>
    <t>Check row:</t>
  </si>
  <si>
    <t>A</t>
  </si>
  <si>
    <t>B</t>
  </si>
  <si>
    <t>D</t>
  </si>
  <si>
    <t>E</t>
  </si>
  <si>
    <t>G</t>
  </si>
  <si>
    <t>I</t>
  </si>
  <si>
    <t>K</t>
  </si>
  <si>
    <t>L</t>
  </si>
  <si>
    <t>Valid</t>
  </si>
  <si>
    <t>Mexiko</t>
  </si>
  <si>
    <t>-</t>
  </si>
  <si>
    <t>Sydafrika</t>
  </si>
  <si>
    <t>Skyttekung</t>
  </si>
  <si>
    <t>J</t>
  </si>
  <si>
    <t>H</t>
  </si>
  <si>
    <t>Sydkorea</t>
  </si>
  <si>
    <t>Czechia</t>
  </si>
  <si>
    <t>Världsmästare</t>
  </si>
  <si>
    <t>Vinnare bronsmatch</t>
  </si>
  <si>
    <t>C</t>
  </si>
  <si>
    <t>Lag som gör flest mål i gruppspelet</t>
  </si>
  <si>
    <t>Lag som släpper in flest mål i gruppspelet</t>
  </si>
  <si>
    <t>Grupp B</t>
  </si>
  <si>
    <t>Kanada</t>
  </si>
  <si>
    <t>Bosnien-Herzigovina</t>
  </si>
  <si>
    <t>Qatar</t>
  </si>
  <si>
    <t>Schweiz</t>
  </si>
  <si>
    <t>Fyll i resultat</t>
  </si>
  <si>
    <t>Grupp C</t>
  </si>
  <si>
    <t>Dina poäng</t>
  </si>
  <si>
    <t>Bonus</t>
  </si>
  <si>
    <t>Totalt</t>
  </si>
  <si>
    <t>Brasilien</t>
  </si>
  <si>
    <t>Marocko</t>
  </si>
  <si>
    <t>Gruppspel</t>
  </si>
  <si>
    <t>Haiti</t>
  </si>
  <si>
    <t>Skottland</t>
  </si>
  <si>
    <t>Sextondelsfinaler</t>
  </si>
  <si>
    <t>Åttondelsfinaler</t>
  </si>
  <si>
    <t>Kvartsfinaler</t>
  </si>
  <si>
    <t>Semifinaler</t>
  </si>
  <si>
    <t>Bronsmatch</t>
  </si>
  <si>
    <t>Final</t>
  </si>
  <si>
    <t>Grupp D</t>
  </si>
  <si>
    <t>USA</t>
  </si>
  <si>
    <t>Paraguay</t>
  </si>
  <si>
    <t>Australien</t>
  </si>
  <si>
    <t>Turkiet</t>
  </si>
  <si>
    <t>Grupp E</t>
  </si>
  <si>
    <t>Tyskland</t>
  </si>
  <si>
    <t>Curaçao</t>
  </si>
  <si>
    <t>Elfenbenskusten</t>
  </si>
  <si>
    <t>Ecuador</t>
  </si>
  <si>
    <t>Grupp F</t>
  </si>
  <si>
    <t>Nederländerna</t>
  </si>
  <si>
    <t>Japan</t>
  </si>
  <si>
    <t>Sverige</t>
  </si>
  <si>
    <t>Tunisien</t>
  </si>
  <si>
    <t>Grupp G</t>
  </si>
  <si>
    <t>Belgien</t>
  </si>
  <si>
    <t>Egypten</t>
  </si>
  <si>
    <t>Iran</t>
  </si>
  <si>
    <t>Nya Zeeland</t>
  </si>
  <si>
    <t>Grupp H</t>
  </si>
  <si>
    <t>Spanien</t>
  </si>
  <si>
    <t>Kap Verde</t>
  </si>
  <si>
    <t>Saudiarabien</t>
  </si>
  <si>
    <t>Uruguay</t>
  </si>
  <si>
    <t>Grupp I</t>
  </si>
  <si>
    <t>Frankrike</t>
  </si>
  <si>
    <t>Senegal</t>
  </si>
  <si>
    <t>Irak</t>
  </si>
  <si>
    <t>Norge</t>
  </si>
  <si>
    <t>Grupp J</t>
  </si>
  <si>
    <t>Argentina</t>
  </si>
  <si>
    <t>Algeriet</t>
  </si>
  <si>
    <t>Österrike</t>
  </si>
  <si>
    <t>Jordanien</t>
  </si>
  <si>
    <t>Grupp K</t>
  </si>
  <si>
    <t>Portugal</t>
  </si>
  <si>
    <t>Kongo</t>
  </si>
  <si>
    <t>Uzbekistan</t>
  </si>
  <si>
    <t>Colombia</t>
  </si>
  <si>
    <t>Grupp L</t>
  </si>
  <si>
    <t>England</t>
  </si>
  <si>
    <t>Kroatien</t>
  </si>
  <si>
    <t>Ghana</t>
  </si>
  <si>
    <t>Panama</t>
  </si>
  <si>
    <t>Sextondelsfinal</t>
  </si>
  <si>
    <t>Vinnare sextondelsfinal</t>
  </si>
  <si>
    <t>Bonus sextondelsfinal</t>
  </si>
  <si>
    <t>Mitt tips</t>
  </si>
  <si>
    <t>Resultat &amp; tabell</t>
  </si>
  <si>
    <t>Utfall</t>
  </si>
  <si>
    <t>Utfall likare</t>
  </si>
  <si>
    <t>Åttondelsfinal</t>
  </si>
  <si>
    <t>Vinnare åttondelsfinal</t>
  </si>
  <si>
    <t>Bonus åttondelsfinal</t>
  </si>
  <si>
    <t>Kvartsfinal</t>
  </si>
  <si>
    <t>Vinnare kvartsfinal</t>
  </si>
  <si>
    <t>Bonus kvartsfinal</t>
  </si>
  <si>
    <t>Summa</t>
  </si>
  <si>
    <t>Semifinal</t>
  </si>
  <si>
    <t>Vinnare semifinal</t>
  </si>
  <si>
    <t>Bonus semifinal</t>
  </si>
  <si>
    <t>Förlorare semifinal</t>
  </si>
  <si>
    <t>Förlorare</t>
  </si>
  <si>
    <t>Bonus bronsmatch</t>
  </si>
  <si>
    <t>Vinnare final</t>
  </si>
  <si>
    <t>Bonus final</t>
  </si>
  <si>
    <t>Hur långt går Sverige?</t>
  </si>
  <si>
    <t>Vem gör Sveriges första mål i VM?</t>
  </si>
  <si>
    <t>Poängräkning</t>
  </si>
  <si>
    <t>Samtliga matcher</t>
  </si>
  <si>
    <t>Rätt antal mål per lag</t>
  </si>
  <si>
    <t>2 poäng</t>
  </si>
  <si>
    <t>Rätt tecken (1X2)</t>
  </si>
  <si>
    <t>6 poäng kan delas ut i samtliga matcher</t>
  </si>
  <si>
    <t>Prediktion</t>
  </si>
  <si>
    <t>Rätt lag i sextondelsfinal</t>
  </si>
  <si>
    <t>1 poäng per lag</t>
  </si>
  <si>
    <t>Rätt lag i åttondelsfinal</t>
  </si>
  <si>
    <t>2 poäng per lag</t>
  </si>
  <si>
    <t>Rätt lag i kvartsfinal</t>
  </si>
  <si>
    <t>4 poäng per lag</t>
  </si>
  <si>
    <t>Rätt lag i semifinal</t>
  </si>
  <si>
    <t>6 poäng per lag</t>
  </si>
  <si>
    <t>Rätt lag i bronsmatch</t>
  </si>
  <si>
    <t>8 poäng per lag</t>
  </si>
  <si>
    <t>Rätt lag i final</t>
  </si>
  <si>
    <t>20 poäng</t>
  </si>
  <si>
    <t>10 poäng</t>
  </si>
  <si>
    <t>Poängfördelning</t>
  </si>
  <si>
    <t>Matcher</t>
  </si>
  <si>
    <t>Bra att veta!</t>
  </si>
  <si>
    <t xml:space="preserve">I sextondelsfinalerna och framåt är det möjligt att tippa ett annat lag vidare än vad resultatet visar. </t>
  </si>
  <si>
    <t xml:space="preserve">Tex om Sverige möter Brasilien och du tippar resultatet 1-2 kan du ändå ange Sverige som vinnare. </t>
  </si>
  <si>
    <t xml:space="preserve">Gör man så visas "EJ OK" vid den matchen som indikerar att resultat och vinnare inte stämmer. </t>
  </si>
  <si>
    <r>
      <t xml:space="preserve">Resultatet i slutspelet gäller efter 90 minuter och alltså </t>
    </r>
    <r>
      <rPr>
        <b/>
        <sz val="11"/>
        <color theme="1"/>
        <rFont val="Calibri"/>
        <family val="2"/>
        <scheme val="minor"/>
      </rPr>
      <t>ej</t>
    </r>
    <r>
      <rPr>
        <sz val="11"/>
        <color theme="1"/>
        <rFont val="Calibri"/>
        <family val="2"/>
        <scheme val="minor"/>
      </rPr>
      <t xml:space="preserve"> efter ev förlängning /straffar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</si>
</sst>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D]dd/mmm;@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A0A0A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252525"/>
      <name val="Arial"/>
      <family val="2"/>
    </font>
    <font>
      <b/>
      <sz val="10"/>
      <color theme="9" tint="-0.249977111117893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3.75"/>
      <color rgb="FF000000"/>
      <name val="Calibri"/>
      <family val="2"/>
      <scheme val="minor"/>
    </font>
    <font>
      <b/>
      <sz val="13.75"/>
      <color theme="0"/>
      <name val="Calibri"/>
      <family val="2"/>
      <scheme val="minor"/>
    </font>
    <font>
      <b/>
      <sz val="9.6"/>
      <color rgb="FF252525"/>
      <name val="Arial"/>
      <family val="2"/>
    </font>
    <font>
      <sz val="10.3"/>
      <color rgb="FF0B0080"/>
      <name val="Arial"/>
      <family val="2"/>
    </font>
    <font>
      <b/>
      <sz val="11"/>
      <color rgb="FF252525"/>
      <name val="Arial"/>
      <family val="2"/>
    </font>
    <font>
      <sz val="10.3"/>
      <color rgb="FF252525"/>
      <name val="Arial"/>
      <family val="2"/>
    </font>
    <font>
      <sz val="9.6"/>
      <color rgb="FF252525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0" tint="-4.9989318521683403E-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AFDD9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theme="3" tint="0.59999389629810485"/>
      </left>
      <right/>
      <top style="thin">
        <color theme="3" tint="0.59999389629810485"/>
      </top>
      <bottom/>
      <diagonal/>
    </border>
    <border>
      <left/>
      <right/>
      <top style="thin">
        <color theme="3" tint="0.59999389629810485"/>
      </top>
      <bottom/>
      <diagonal/>
    </border>
    <border>
      <left style="thin">
        <color theme="3" tint="0.79998168889431442"/>
      </left>
      <right/>
      <top style="thin">
        <color theme="3" tint="0.59999389629810485"/>
      </top>
      <bottom style="thin">
        <color theme="3" tint="0.59999389629810485"/>
      </bottom>
      <diagonal/>
    </border>
    <border>
      <left/>
      <right/>
      <top style="thin">
        <color theme="3" tint="0.59999389629810485"/>
      </top>
      <bottom style="thin">
        <color theme="3" tint="0.59999389629810485"/>
      </bottom>
      <diagonal/>
    </border>
    <border>
      <left/>
      <right style="thin">
        <color theme="3" tint="0.79998168889431442"/>
      </right>
      <top style="thin">
        <color theme="3" tint="0.59999389629810485"/>
      </top>
      <bottom style="thin">
        <color theme="3" tint="0.59999389629810485"/>
      </bottom>
      <diagonal/>
    </border>
    <border>
      <left style="thin">
        <color theme="3" tint="0.79998168889431442"/>
      </left>
      <right style="thin">
        <color theme="3" tint="0.59999389629810485"/>
      </right>
      <top style="thin">
        <color theme="3" tint="0.59999389629810485"/>
      </top>
      <bottom style="thin">
        <color theme="3" tint="0.59999389629810485"/>
      </bottom>
      <diagonal/>
    </border>
    <border>
      <left style="thin">
        <color theme="3" tint="0.79998168889431442"/>
      </left>
      <right style="thin">
        <color theme="3" tint="0.59999389629810485"/>
      </right>
      <top style="thin">
        <color theme="3" tint="0.59999389629810485"/>
      </top>
      <bottom/>
      <diagonal/>
    </border>
    <border>
      <left style="thin">
        <color theme="3" tint="0.59999389629810485"/>
      </left>
      <right/>
      <top style="thin">
        <color theme="3" tint="0.59999389629810485"/>
      </top>
      <bottom style="thin">
        <color theme="3" tint="0.59999389629810485"/>
      </bottom>
      <diagonal/>
    </border>
    <border>
      <left/>
      <right style="thin">
        <color theme="3" tint="0.59999389629810485"/>
      </right>
      <top style="thin">
        <color theme="3" tint="0.59999389629810485"/>
      </top>
      <bottom style="thin">
        <color theme="3" tint="0.59999389629810485"/>
      </bottom>
      <diagonal/>
    </border>
    <border>
      <left/>
      <right style="thin">
        <color theme="3" tint="0.59999389629810485"/>
      </right>
      <top style="thin">
        <color theme="3" tint="0.59999389629810485"/>
      </top>
      <bottom/>
      <diagonal/>
    </border>
    <border>
      <left style="thin">
        <color theme="3" tint="0.59999389629810485"/>
      </left>
      <right style="thin">
        <color theme="3" tint="0.59999389629810485"/>
      </right>
      <top style="thin">
        <color theme="3" tint="0.59999389629810485"/>
      </top>
      <bottom style="thin">
        <color theme="3" tint="0.59999389629810485"/>
      </bottom>
      <diagonal/>
    </border>
    <border>
      <left style="thin">
        <color theme="3" tint="0.59999389629810485"/>
      </left>
      <right style="thin">
        <color theme="3" tint="0.59999389629810485"/>
      </right>
      <top/>
      <bottom style="thin">
        <color theme="3" tint="0.59999389629810485"/>
      </bottom>
      <diagonal/>
    </border>
    <border>
      <left style="thin">
        <color theme="3" tint="0.59999389629810485"/>
      </left>
      <right/>
      <top/>
      <bottom style="thin">
        <color theme="3" tint="0.59999389629810485"/>
      </bottom>
      <diagonal/>
    </border>
    <border>
      <left/>
      <right/>
      <top/>
      <bottom style="thin">
        <color theme="3" tint="0.59999389629810485"/>
      </bottom>
      <diagonal/>
    </border>
    <border>
      <left/>
      <right style="thin">
        <color theme="3" tint="0.59999389629810485"/>
      </right>
      <top/>
      <bottom style="thin">
        <color theme="3" tint="0.59999389629810485"/>
      </bottom>
      <diagonal/>
    </border>
    <border>
      <left style="thin">
        <color theme="3" tint="0.59999389629810485"/>
      </left>
      <right/>
      <top/>
      <bottom/>
      <diagonal/>
    </border>
    <border>
      <left/>
      <right style="thin">
        <color theme="3" tint="0.59999389629810485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3" tint="0.59999389629810485"/>
      </left>
      <right style="thin">
        <color theme="3" tint="0.79998168889431442"/>
      </right>
      <top style="thin">
        <color theme="3" tint="0.59999389629810485"/>
      </top>
      <bottom style="thin">
        <color theme="3" tint="0.599993896298104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3" tint="0.59999389629810485"/>
      </left>
      <right style="thin">
        <color theme="3" tint="0.59999389629810485"/>
      </right>
      <top style="thin">
        <color theme="3" tint="0.59999389629810485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0">
    <xf numFmtId="0" fontId="0" fillId="0" borderId="0" xfId="0"/>
    <xf numFmtId="0" fontId="4" fillId="2" borderId="0" xfId="0" applyFont="1" applyFill="1" applyAlignment="1" applyProtection="1">
      <alignment horizontal="left" vertical="center"/>
      <protection hidden="1"/>
    </xf>
    <xf numFmtId="0" fontId="5" fillId="2" borderId="0" xfId="0" applyFont="1" applyFill="1"/>
    <xf numFmtId="0" fontId="4" fillId="2" borderId="0" xfId="0" applyFont="1" applyFill="1" applyAlignment="1" applyProtection="1">
      <alignment horizontal="center" vertical="center"/>
      <protection hidden="1"/>
    </xf>
    <xf numFmtId="0" fontId="0" fillId="0" borderId="0" xfId="0" applyAlignment="1">
      <alignment horizontal="left" indent="2"/>
    </xf>
    <xf numFmtId="0" fontId="3" fillId="2" borderId="0" xfId="1" applyFill="1"/>
    <xf numFmtId="0" fontId="4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6" fillId="2" borderId="0" xfId="0" applyFont="1" applyFill="1" applyAlignment="1" applyProtection="1">
      <alignment horizontal="center" vertical="center"/>
      <protection hidden="1"/>
    </xf>
    <xf numFmtId="0" fontId="4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0" fontId="0" fillId="3" borderId="0" xfId="0" applyFill="1" applyProtection="1"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0" fontId="9" fillId="2" borderId="0" xfId="0" applyFont="1" applyFill="1" applyAlignment="1" applyProtection="1">
      <alignment vertical="center"/>
      <protection hidden="1"/>
    </xf>
    <xf numFmtId="0" fontId="10" fillId="2" borderId="0" xfId="0" applyFont="1" applyFill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11" fillId="2" borderId="0" xfId="0" applyFont="1" applyFill="1" applyAlignment="1" applyProtection="1">
      <alignment horizontal="left" vertical="center"/>
      <protection hidden="1"/>
    </xf>
    <xf numFmtId="0" fontId="8" fillId="0" borderId="0" xfId="0" applyFont="1" applyAlignment="1">
      <alignment horizontal="left" indent="2"/>
    </xf>
    <xf numFmtId="0" fontId="7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left" vertical="center" indent="2"/>
      <protection hidden="1"/>
    </xf>
    <xf numFmtId="0" fontId="10" fillId="2" borderId="0" xfId="0" applyFont="1" applyFill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13" fillId="2" borderId="0" xfId="0" applyFont="1" applyFill="1" applyAlignment="1" applyProtection="1">
      <alignment horizontal="center" vertical="center"/>
      <protection hidden="1"/>
    </xf>
    <xf numFmtId="0" fontId="11" fillId="2" borderId="0" xfId="0" applyFont="1" applyFill="1" applyAlignment="1" applyProtection="1">
      <alignment horizontal="left" vertical="center" wrapText="1"/>
      <protection hidden="1"/>
    </xf>
    <xf numFmtId="0" fontId="14" fillId="2" borderId="0" xfId="0" applyFont="1" applyFill="1" applyAlignment="1" applyProtection="1">
      <alignment horizontal="left" vertical="center"/>
      <protection hidden="1"/>
    </xf>
    <xf numFmtId="0" fontId="10" fillId="2" borderId="0" xfId="0" applyFont="1" applyFill="1" applyAlignment="1" applyProtection="1">
      <alignment horizontal="center" vertical="center"/>
      <protection hidden="1"/>
    </xf>
    <xf numFmtId="0" fontId="0" fillId="4" borderId="0" xfId="0" applyFill="1" applyAlignment="1" applyProtection="1">
      <alignment horizontal="center"/>
      <protection hidden="1"/>
    </xf>
    <xf numFmtId="0" fontId="0" fillId="5" borderId="0" xfId="0" applyFill="1" applyAlignment="1" applyProtection="1">
      <alignment horizontal="center"/>
      <protection hidden="1"/>
    </xf>
    <xf numFmtId="0" fontId="0" fillId="6" borderId="0" xfId="0" applyFill="1" applyAlignment="1" applyProtection="1">
      <alignment horizontal="center"/>
      <protection hidden="1"/>
    </xf>
    <xf numFmtId="0" fontId="0" fillId="3" borderId="0" xfId="0" applyFill="1" applyAlignment="1" applyProtection="1">
      <alignment horizontal="center"/>
      <protection hidden="1"/>
    </xf>
    <xf numFmtId="0" fontId="0" fillId="7" borderId="0" xfId="0" applyFill="1" applyAlignment="1" applyProtection="1">
      <alignment horizontal="center"/>
      <protection hidden="1"/>
    </xf>
    <xf numFmtId="0" fontId="0" fillId="4" borderId="0" xfId="0" applyFill="1" applyProtection="1">
      <protection hidden="1"/>
    </xf>
    <xf numFmtId="0" fontId="0" fillId="5" borderId="0" xfId="0" applyFill="1" applyProtection="1">
      <protection hidden="1"/>
    </xf>
    <xf numFmtId="0" fontId="0" fillId="6" borderId="0" xfId="0" applyFill="1" applyProtection="1">
      <protection hidden="1"/>
    </xf>
    <xf numFmtId="0" fontId="10" fillId="8" borderId="0" xfId="0" applyFont="1" applyFill="1" applyAlignment="1" applyProtection="1">
      <alignment vertical="center"/>
      <protection hidden="1"/>
    </xf>
    <xf numFmtId="0" fontId="10" fillId="0" borderId="0" xfId="0" applyFont="1" applyAlignment="1" applyProtection="1">
      <alignment vertical="center"/>
      <protection hidden="1"/>
    </xf>
    <xf numFmtId="164" fontId="9" fillId="2" borderId="0" xfId="0" applyNumberFormat="1" applyFont="1" applyFill="1" applyAlignment="1" applyProtection="1">
      <alignment horizontal="left" vertical="center"/>
      <protection hidden="1"/>
    </xf>
    <xf numFmtId="0" fontId="10" fillId="8" borderId="1" xfId="0" applyFont="1" applyFill="1" applyBorder="1" applyAlignment="1" applyProtection="1">
      <alignment horizontal="left" vertical="center"/>
      <protection hidden="1"/>
    </xf>
    <xf numFmtId="0" fontId="10" fillId="8" borderId="2" xfId="0" applyFont="1" applyFill="1" applyBorder="1" applyAlignment="1" applyProtection="1">
      <alignment horizontal="left" vertical="center"/>
      <protection hidden="1"/>
    </xf>
    <xf numFmtId="0" fontId="7" fillId="8" borderId="6" xfId="0" applyFont="1" applyFill="1" applyBorder="1" applyAlignment="1" applyProtection="1">
      <alignment horizontal="center" vertical="center"/>
      <protection hidden="1"/>
    </xf>
    <xf numFmtId="0" fontId="7" fillId="8" borderId="7" xfId="0" applyFont="1" applyFill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13" fillId="2" borderId="0" xfId="0" applyFont="1" applyFill="1" applyAlignment="1" applyProtection="1">
      <alignment horizontal="left" vertical="center"/>
      <protection hidden="1"/>
    </xf>
    <xf numFmtId="0" fontId="7" fillId="8" borderId="8" xfId="0" applyFont="1" applyFill="1" applyBorder="1" applyAlignment="1" applyProtection="1">
      <alignment horizontal="left" vertical="center"/>
      <protection hidden="1"/>
    </xf>
    <xf numFmtId="0" fontId="7" fillId="8" borderId="4" xfId="0" applyFont="1" applyFill="1" applyBorder="1" applyAlignment="1" applyProtection="1">
      <alignment horizontal="center" vertical="center"/>
      <protection hidden="1"/>
    </xf>
    <xf numFmtId="0" fontId="7" fillId="8" borderId="9" xfId="0" applyFont="1" applyFill="1" applyBorder="1" applyAlignment="1" applyProtection="1">
      <alignment horizontal="center" vertical="center"/>
      <protection hidden="1"/>
    </xf>
    <xf numFmtId="0" fontId="10" fillId="8" borderId="10" xfId="0" applyFont="1" applyFill="1" applyBorder="1" applyAlignment="1" applyProtection="1">
      <alignment horizontal="center" vertical="center"/>
      <protection hidden="1"/>
    </xf>
    <xf numFmtId="0" fontId="10" fillId="8" borderId="2" xfId="0" applyFont="1" applyFill="1" applyBorder="1" applyAlignment="1" applyProtection="1">
      <alignment horizontal="center" vertical="center"/>
      <protection hidden="1"/>
    </xf>
    <xf numFmtId="0" fontId="0" fillId="5" borderId="0" xfId="0" quotePrefix="1" applyFill="1" applyAlignment="1" applyProtection="1">
      <alignment horizontal="center"/>
      <protection hidden="1"/>
    </xf>
    <xf numFmtId="0" fontId="10" fillId="8" borderId="0" xfId="0" applyFont="1" applyFill="1" applyAlignment="1" applyProtection="1">
      <alignment horizontal="center" vertical="center"/>
      <protection hidden="1"/>
    </xf>
    <xf numFmtId="0" fontId="4" fillId="2" borderId="11" xfId="0" applyFont="1" applyFill="1" applyBorder="1" applyAlignment="1" applyProtection="1">
      <alignment horizontal="center" vertical="center"/>
      <protection hidden="1"/>
    </xf>
    <xf numFmtId="164" fontId="4" fillId="2" borderId="11" xfId="0" applyNumberFormat="1" applyFont="1" applyFill="1" applyBorder="1" applyAlignment="1" applyProtection="1">
      <alignment horizontal="left" vertical="center"/>
      <protection hidden="1"/>
    </xf>
    <xf numFmtId="0" fontId="4" fillId="2" borderId="4" xfId="0" applyFont="1" applyFill="1" applyBorder="1" applyAlignment="1" applyProtection="1">
      <alignment horizontal="left" vertical="center" indent="2"/>
      <protection hidden="1"/>
    </xf>
    <xf numFmtId="0" fontId="4" fillId="2" borderId="4" xfId="0" applyFont="1" applyFill="1" applyBorder="1" applyAlignment="1" applyProtection="1">
      <alignment horizontal="center" vertical="center"/>
      <protection hidden="1"/>
    </xf>
    <xf numFmtId="0" fontId="4" fillId="2" borderId="9" xfId="0" applyFont="1" applyFill="1" applyBorder="1" applyAlignment="1" applyProtection="1">
      <alignment horizontal="left" vertical="center" indent="2"/>
      <protection hidden="1"/>
    </xf>
    <xf numFmtId="1" fontId="4" fillId="9" borderId="4" xfId="0" applyNumberFormat="1" applyFont="1" applyFill="1" applyBorder="1" applyAlignment="1" applyProtection="1">
      <alignment horizontal="center" vertical="center"/>
      <protection locked="0"/>
    </xf>
    <xf numFmtId="0" fontId="4" fillId="2" borderId="11" xfId="0" applyFont="1" applyFill="1" applyBorder="1" applyAlignment="1" applyProtection="1">
      <alignment horizontal="center" vertical="center"/>
      <protection locked="0"/>
    </xf>
    <xf numFmtId="0" fontId="9" fillId="2" borderId="11" xfId="0" applyFont="1" applyFill="1" applyBorder="1" applyAlignment="1" applyProtection="1">
      <alignment horizontal="center" vertical="center"/>
      <protection hidden="1"/>
    </xf>
    <xf numFmtId="0" fontId="7" fillId="10" borderId="11" xfId="0" applyFont="1" applyFill="1" applyBorder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center" vertical="center"/>
      <protection hidden="1"/>
    </xf>
    <xf numFmtId="16" fontId="7" fillId="2" borderId="1" xfId="0" applyNumberFormat="1" applyFont="1" applyFill="1" applyBorder="1" applyAlignment="1" applyProtection="1">
      <alignment horizontal="left" vertical="center"/>
      <protection hidden="1"/>
    </xf>
    <xf numFmtId="1" fontId="9" fillId="2" borderId="2" xfId="0" applyNumberFormat="1" applyFont="1" applyFill="1" applyBorder="1" applyAlignment="1" applyProtection="1">
      <alignment horizontal="center" vertical="center"/>
      <protection hidden="1"/>
    </xf>
    <xf numFmtId="1" fontId="9" fillId="2" borderId="10" xfId="0" applyNumberFormat="1" applyFont="1" applyFill="1" applyBorder="1" applyAlignment="1" applyProtection="1">
      <alignment horizontal="center" vertical="center"/>
      <protection hidden="1"/>
    </xf>
    <xf numFmtId="0" fontId="4" fillId="2" borderId="11" xfId="0" applyFont="1" applyFill="1" applyBorder="1" applyAlignment="1" applyProtection="1">
      <alignment horizontal="left" vertical="center"/>
      <protection hidden="1"/>
    </xf>
    <xf numFmtId="16" fontId="4" fillId="2" borderId="12" xfId="0" applyNumberFormat="1" applyFont="1" applyFill="1" applyBorder="1" applyAlignment="1" applyProtection="1">
      <alignment horizontal="left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3" fontId="15" fillId="0" borderId="0" xfId="0" applyNumberFormat="1" applyFont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9" fillId="0" borderId="0" xfId="0" applyFont="1" applyAlignment="1" applyProtection="1">
      <alignment horizontal="left" vertical="center"/>
      <protection hidden="1"/>
    </xf>
    <xf numFmtId="1" fontId="0" fillId="0" borderId="0" xfId="0" applyNumberFormat="1" applyAlignment="1" applyProtection="1">
      <alignment horizontal="center"/>
      <protection hidden="1"/>
    </xf>
    <xf numFmtId="1" fontId="4" fillId="2" borderId="0" xfId="0" applyNumberFormat="1" applyFont="1" applyFill="1" applyAlignment="1" applyProtection="1">
      <alignment vertical="center"/>
      <protection hidden="1"/>
    </xf>
    <xf numFmtId="0" fontId="9" fillId="2" borderId="0" xfId="0" applyFont="1" applyFill="1" applyAlignment="1" applyProtection="1">
      <alignment horizontal="center" vertical="center"/>
      <protection hidden="1"/>
    </xf>
    <xf numFmtId="16" fontId="7" fillId="2" borderId="13" xfId="0" applyNumberFormat="1" applyFont="1" applyFill="1" applyBorder="1" applyAlignment="1" applyProtection="1">
      <alignment horizontal="left" vertical="center"/>
      <protection hidden="1"/>
    </xf>
    <xf numFmtId="0" fontId="4" fillId="2" borderId="14" xfId="0" applyFont="1" applyFill="1" applyBorder="1" applyAlignment="1" applyProtection="1">
      <alignment horizontal="center" vertical="center"/>
      <protection hidden="1"/>
    </xf>
    <xf numFmtId="1" fontId="9" fillId="2" borderId="15" xfId="0" applyNumberFormat="1" applyFont="1" applyFill="1" applyBorder="1" applyAlignment="1" applyProtection="1">
      <alignment horizontal="center" vertical="center"/>
      <protection hidden="1"/>
    </xf>
    <xf numFmtId="16" fontId="16" fillId="2" borderId="16" xfId="0" applyNumberFormat="1" applyFont="1" applyFill="1" applyBorder="1" applyAlignment="1" applyProtection="1">
      <alignment horizontal="left" vertical="center"/>
      <protection hidden="1"/>
    </xf>
    <xf numFmtId="1" fontId="9" fillId="2" borderId="0" xfId="0" applyNumberFormat="1" applyFont="1" applyFill="1" applyAlignment="1" applyProtection="1">
      <alignment horizontal="center" vertical="center"/>
      <protection hidden="1"/>
    </xf>
    <xf numFmtId="1" fontId="9" fillId="2" borderId="17" xfId="0" applyNumberFormat="1" applyFont="1" applyFill="1" applyBorder="1" applyAlignment="1" applyProtection="1">
      <alignment horizontal="center" vertical="center"/>
      <protection hidden="1"/>
    </xf>
    <xf numFmtId="16" fontId="9" fillId="2" borderId="13" xfId="0" applyNumberFormat="1" applyFont="1" applyFill="1" applyBorder="1" applyAlignment="1" applyProtection="1">
      <alignment horizontal="left" vertical="center"/>
      <protection hidden="1"/>
    </xf>
    <xf numFmtId="1" fontId="9" fillId="2" borderId="14" xfId="0" applyNumberFormat="1" applyFont="1" applyFill="1" applyBorder="1" applyAlignment="1" applyProtection="1">
      <alignment horizontal="center" vertical="center"/>
      <protection hidden="1"/>
    </xf>
    <xf numFmtId="0" fontId="0" fillId="0" borderId="18" xfId="0" applyBorder="1" applyProtection="1">
      <protection hidden="1"/>
    </xf>
    <xf numFmtId="0" fontId="0" fillId="0" borderId="18" xfId="0" applyBorder="1" applyAlignment="1" applyProtection="1">
      <alignment horizontal="center"/>
      <protection hidden="1"/>
    </xf>
    <xf numFmtId="0" fontId="4" fillId="2" borderId="12" xfId="0" applyFont="1" applyFill="1" applyBorder="1" applyAlignment="1" applyProtection="1">
      <alignment horizontal="center" vertical="center"/>
      <protection hidden="1"/>
    </xf>
    <xf numFmtId="1" fontId="13" fillId="2" borderId="0" xfId="0" applyNumberFormat="1" applyFont="1" applyFill="1" applyAlignment="1" applyProtection="1">
      <alignment vertical="center"/>
      <protection hidden="1"/>
    </xf>
    <xf numFmtId="1" fontId="9" fillId="2" borderId="0" xfId="0" applyNumberFormat="1" applyFont="1" applyFill="1" applyAlignment="1" applyProtection="1">
      <alignment vertical="center"/>
      <protection hidden="1"/>
    </xf>
    <xf numFmtId="0" fontId="17" fillId="2" borderId="11" xfId="0" applyFont="1" applyFill="1" applyBorder="1" applyAlignment="1" applyProtection="1">
      <alignment horizontal="left" vertical="center"/>
      <protection locked="0"/>
    </xf>
    <xf numFmtId="164" fontId="4" fillId="2" borderId="0" xfId="0" applyNumberFormat="1" applyFont="1" applyFill="1" applyAlignment="1" applyProtection="1">
      <alignment horizontal="left" vertical="center"/>
      <protection hidden="1"/>
    </xf>
    <xf numFmtId="0" fontId="4" fillId="2" borderId="0" xfId="0" applyFont="1" applyFill="1" applyAlignment="1" applyProtection="1">
      <alignment horizontal="left" vertical="center" indent="2"/>
      <protection hidden="1"/>
    </xf>
    <xf numFmtId="0" fontId="18" fillId="0" borderId="0" xfId="0" applyFont="1" applyAlignment="1" applyProtection="1">
      <alignment horizontal="left" indent="2"/>
      <protection hidden="1"/>
    </xf>
    <xf numFmtId="164" fontId="10" fillId="2" borderId="0" xfId="0" applyNumberFormat="1" applyFont="1" applyFill="1" applyAlignment="1" applyProtection="1">
      <alignment horizontal="left" vertical="center"/>
      <protection hidden="1"/>
    </xf>
    <xf numFmtId="0" fontId="0" fillId="0" borderId="0" xfId="0" applyAlignment="1" applyProtection="1">
      <alignment horizontal="left" indent="2"/>
      <protection hidden="1"/>
    </xf>
    <xf numFmtId="0" fontId="18" fillId="2" borderId="0" xfId="0" applyFont="1" applyFill="1" applyAlignment="1" applyProtection="1">
      <alignment horizontal="left" indent="2"/>
      <protection hidden="1"/>
    </xf>
    <xf numFmtId="0" fontId="4" fillId="0" borderId="0" xfId="0" applyFont="1" applyAlignment="1" applyProtection="1">
      <alignment horizontal="center" vertical="center"/>
      <protection locked="0"/>
    </xf>
    <xf numFmtId="0" fontId="18" fillId="0" borderId="0" xfId="0" applyFont="1" applyProtection="1">
      <protection hidden="1"/>
    </xf>
    <xf numFmtId="0" fontId="19" fillId="0" borderId="0" xfId="0" applyFont="1" applyProtection="1">
      <protection hidden="1"/>
    </xf>
    <xf numFmtId="0" fontId="12" fillId="2" borderId="0" xfId="0" applyFont="1" applyFill="1" applyAlignment="1" applyProtection="1">
      <alignment horizontal="center" vertical="center"/>
      <protection hidden="1"/>
    </xf>
    <xf numFmtId="0" fontId="10" fillId="2" borderId="0" xfId="0" applyFont="1" applyFill="1" applyAlignment="1" applyProtection="1">
      <alignment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10" fillId="8" borderId="19" xfId="0" applyFont="1" applyFill="1" applyBorder="1" applyAlignment="1" applyProtection="1">
      <alignment horizontal="left" vertical="center"/>
      <protection hidden="1"/>
    </xf>
    <xf numFmtId="0" fontId="10" fillId="8" borderId="4" xfId="0" applyFont="1" applyFill="1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0" fillId="2" borderId="0" xfId="0" applyFill="1" applyProtection="1">
      <protection locked="0"/>
    </xf>
    <xf numFmtId="49" fontId="9" fillId="2" borderId="0" xfId="0" applyNumberFormat="1" applyFont="1" applyFill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vertical="center" wrapText="1"/>
      <protection hidden="1"/>
    </xf>
    <xf numFmtId="0" fontId="21" fillId="0" borderId="0" xfId="0" applyFont="1" applyAlignment="1" applyProtection="1">
      <alignment vertical="center" wrapText="1"/>
      <protection hidden="1"/>
    </xf>
    <xf numFmtId="0" fontId="22" fillId="0" borderId="0" xfId="0" applyFont="1" applyAlignment="1" applyProtection="1">
      <alignment vertical="center" wrapText="1"/>
      <protection hidden="1"/>
    </xf>
    <xf numFmtId="0" fontId="0" fillId="2" borderId="0" xfId="0" applyFill="1" applyProtection="1">
      <protection hidden="1"/>
    </xf>
    <xf numFmtId="0" fontId="4" fillId="2" borderId="20" xfId="0" applyFont="1" applyFill="1" applyBorder="1" applyAlignment="1" applyProtection="1">
      <alignment vertical="center"/>
      <protection hidden="1"/>
    </xf>
    <xf numFmtId="0" fontId="2" fillId="0" borderId="0" xfId="0" applyFont="1" applyProtection="1">
      <protection hidden="1"/>
    </xf>
    <xf numFmtId="0" fontId="10" fillId="8" borderId="8" xfId="0" applyFont="1" applyFill="1" applyBorder="1" applyAlignment="1" applyProtection="1">
      <alignment horizontal="left" vertical="center"/>
      <protection hidden="1"/>
    </xf>
    <xf numFmtId="0" fontId="10" fillId="8" borderId="1" xfId="0" applyFont="1" applyFill="1" applyBorder="1" applyAlignment="1" applyProtection="1">
      <alignment vertical="center"/>
      <protection hidden="1"/>
    </xf>
    <xf numFmtId="0" fontId="4" fillId="2" borderId="1" xfId="0" applyFont="1" applyFill="1" applyBorder="1" applyAlignment="1" applyProtection="1">
      <alignment vertical="center"/>
      <protection hidden="1"/>
    </xf>
    <xf numFmtId="0" fontId="9" fillId="2" borderId="2" xfId="0" applyFont="1" applyFill="1" applyBorder="1" applyAlignment="1" applyProtection="1">
      <alignment horizontal="center" vertical="center"/>
      <protection hidden="1"/>
    </xf>
    <xf numFmtId="0" fontId="9" fillId="2" borderId="10" xfId="0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 applyProtection="1">
      <alignment vertical="center"/>
      <protection hidden="1"/>
    </xf>
    <xf numFmtId="0" fontId="9" fillId="2" borderId="17" xfId="0" applyFont="1" applyFill="1" applyBorder="1" applyAlignment="1" applyProtection="1">
      <alignment horizontal="center" vertical="center"/>
      <protection hidden="1"/>
    </xf>
    <xf numFmtId="0" fontId="4" fillId="0" borderId="0" xfId="0" applyFont="1" applyAlignment="1">
      <alignment horizontal="center" vertical="center"/>
    </xf>
    <xf numFmtId="0" fontId="24" fillId="0" borderId="0" xfId="0" applyFont="1" applyAlignment="1" applyProtection="1">
      <alignment vertical="top" wrapText="1"/>
      <protection hidden="1"/>
    </xf>
    <xf numFmtId="0" fontId="10" fillId="2" borderId="0" xfId="0" applyFont="1" applyFill="1" applyAlignment="1" applyProtection="1">
      <alignment horizontal="left" vertical="center" indent="2"/>
      <protection hidden="1"/>
    </xf>
    <xf numFmtId="0" fontId="25" fillId="2" borderId="0" xfId="0" applyFont="1" applyFill="1" applyAlignment="1" applyProtection="1">
      <alignment vertical="center"/>
      <protection hidden="1"/>
    </xf>
    <xf numFmtId="0" fontId="26" fillId="0" borderId="0" xfId="0" applyFont="1"/>
    <xf numFmtId="0" fontId="25" fillId="2" borderId="0" xfId="0" applyFont="1" applyFill="1" applyAlignment="1" applyProtection="1">
      <alignment horizontal="center" vertical="center"/>
      <protection hidden="1"/>
    </xf>
    <xf numFmtId="0" fontId="24" fillId="0" borderId="0" xfId="0" applyFont="1" applyAlignment="1" applyProtection="1">
      <alignment horizontal="right" vertical="top" wrapText="1"/>
      <protection hidden="1"/>
    </xf>
    <xf numFmtId="0" fontId="23" fillId="0" borderId="0" xfId="0" applyFont="1" applyAlignment="1" applyProtection="1">
      <alignment vertical="top" wrapText="1"/>
      <protection hidden="1"/>
    </xf>
    <xf numFmtId="0" fontId="10" fillId="2" borderId="0" xfId="0" applyFont="1" applyFill="1" applyAlignment="1" applyProtection="1">
      <alignment horizontal="right" vertical="center"/>
      <protection hidden="1"/>
    </xf>
    <xf numFmtId="0" fontId="10" fillId="0" borderId="0" xfId="0" applyFont="1" applyAlignment="1" applyProtection="1">
      <alignment horizontal="right" vertical="center"/>
      <protection hidden="1"/>
    </xf>
    <xf numFmtId="1" fontId="27" fillId="2" borderId="0" xfId="0" applyNumberFormat="1" applyFont="1" applyFill="1" applyAlignment="1" applyProtection="1">
      <alignment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0" fillId="0" borderId="0" xfId="0" applyAlignment="1">
      <alignment horizontal="left"/>
    </xf>
    <xf numFmtId="0" fontId="9" fillId="0" borderId="0" xfId="0" applyFont="1" applyAlignment="1" applyProtection="1">
      <alignment horizontal="left" vertical="center" indent="3"/>
      <protection locked="0" hidden="1"/>
    </xf>
    <xf numFmtId="0" fontId="4" fillId="0" borderId="0" xfId="0" applyFont="1" applyAlignment="1" applyProtection="1">
      <alignment vertical="center"/>
      <protection locked="0" hidden="1"/>
    </xf>
    <xf numFmtId="1" fontId="4" fillId="0" borderId="0" xfId="0" applyNumberFormat="1" applyFont="1" applyAlignment="1" applyProtection="1">
      <alignment horizontal="center" vertical="center"/>
      <protection locked="0"/>
    </xf>
    <xf numFmtId="1" fontId="4" fillId="0" borderId="0" xfId="0" applyNumberFormat="1" applyFont="1" applyAlignment="1" applyProtection="1">
      <alignment horizontal="center" vertical="center"/>
      <protection hidden="1"/>
    </xf>
    <xf numFmtId="16" fontId="4" fillId="0" borderId="0" xfId="0" applyNumberFormat="1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left" vertical="center" indent="4"/>
      <protection hidden="1"/>
    </xf>
    <xf numFmtId="0" fontId="13" fillId="2" borderId="0" xfId="0" applyFont="1" applyFill="1" applyAlignment="1" applyProtection="1">
      <alignment vertical="center"/>
      <protection hidden="1"/>
    </xf>
    <xf numFmtId="0" fontId="7" fillId="8" borderId="21" xfId="0" applyFont="1" applyFill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left" vertical="center"/>
      <protection hidden="1"/>
    </xf>
    <xf numFmtId="0" fontId="9" fillId="2" borderId="8" xfId="0" applyFont="1" applyFill="1" applyBorder="1" applyAlignment="1" applyProtection="1">
      <alignment horizontal="left" vertical="center" indent="2"/>
      <protection hidden="1"/>
    </xf>
    <xf numFmtId="0" fontId="9" fillId="2" borderId="9" xfId="0" applyFont="1" applyFill="1" applyBorder="1" applyAlignment="1" applyProtection="1">
      <alignment horizontal="left" vertical="center" indent="2"/>
      <protection hidden="1"/>
    </xf>
    <xf numFmtId="0" fontId="9" fillId="9" borderId="11" xfId="0" applyFont="1" applyFill="1" applyBorder="1" applyAlignment="1" applyProtection="1">
      <alignment horizontal="left" vertical="center"/>
      <protection locked="0"/>
    </xf>
    <xf numFmtId="0" fontId="9" fillId="0" borderId="11" xfId="0" applyFont="1" applyBorder="1" applyAlignment="1" applyProtection="1">
      <alignment horizontal="left" vertical="center"/>
      <protection hidden="1"/>
    </xf>
    <xf numFmtId="0" fontId="9" fillId="0" borderId="0" xfId="0" applyFont="1" applyAlignment="1" applyProtection="1">
      <alignment vertical="center" wrapText="1"/>
      <protection locked="0"/>
    </xf>
    <xf numFmtId="0" fontId="9" fillId="2" borderId="8" xfId="0" applyFont="1" applyFill="1" applyBorder="1" applyAlignment="1" applyProtection="1">
      <alignment horizontal="left" vertical="center" indent="2"/>
      <protection locked="0" hidden="1"/>
    </xf>
    <xf numFmtId="0" fontId="9" fillId="2" borderId="9" xfId="0" applyFont="1" applyFill="1" applyBorder="1" applyAlignment="1" applyProtection="1">
      <alignment horizontal="left" vertical="center" indent="2"/>
      <protection locked="0" hidden="1"/>
    </xf>
    <xf numFmtId="0" fontId="0" fillId="0" borderId="0" xfId="0" applyAlignment="1" applyProtection="1">
      <alignment horizontal="left"/>
      <protection hidden="1"/>
    </xf>
    <xf numFmtId="0" fontId="9" fillId="2" borderId="0" xfId="0" applyFont="1" applyFill="1" applyAlignment="1" applyProtection="1">
      <alignment horizontal="left" vertical="center"/>
      <protection hidden="1"/>
    </xf>
    <xf numFmtId="2" fontId="9" fillId="2" borderId="0" xfId="0" applyNumberFormat="1" applyFont="1" applyFill="1" applyAlignment="1" applyProtection="1">
      <alignment horizontal="center" vertical="center"/>
      <protection hidden="1"/>
    </xf>
    <xf numFmtId="2" fontId="0" fillId="0" borderId="0" xfId="0" applyNumberFormat="1" applyAlignment="1" applyProtection="1">
      <alignment horizontal="center"/>
      <protection hidden="1"/>
    </xf>
    <xf numFmtId="0" fontId="9" fillId="2" borderId="0" xfId="0" applyFont="1" applyFill="1" applyAlignment="1" applyProtection="1">
      <alignment vertical="center" wrapText="1"/>
      <protection hidden="1"/>
    </xf>
    <xf numFmtId="0" fontId="9" fillId="0" borderId="0" xfId="0" applyFont="1" applyAlignment="1" applyProtection="1">
      <alignment vertical="center" wrapText="1"/>
      <protection hidden="1"/>
    </xf>
    <xf numFmtId="0" fontId="10" fillId="0" borderId="0" xfId="0" applyFont="1" applyAlignment="1" applyProtection="1">
      <alignment horizontal="left" vertical="center"/>
      <protection hidden="1"/>
    </xf>
    <xf numFmtId="0" fontId="1" fillId="2" borderId="0" xfId="0" applyFont="1" applyFill="1" applyProtection="1">
      <protection hidden="1"/>
    </xf>
    <xf numFmtId="0" fontId="28" fillId="2" borderId="0" xfId="0" applyFont="1" applyFill="1" applyAlignment="1" applyProtection="1">
      <alignment vertical="top" wrapText="1"/>
      <protection hidden="1"/>
    </xf>
    <xf numFmtId="0" fontId="28" fillId="0" borderId="0" xfId="0" applyFont="1" applyAlignment="1" applyProtection="1">
      <alignment vertical="top" wrapText="1"/>
      <protection hidden="1"/>
    </xf>
    <xf numFmtId="0" fontId="9" fillId="2" borderId="0" xfId="0" applyFont="1" applyFill="1" applyAlignment="1" applyProtection="1">
      <alignment horizontal="right" vertical="center"/>
      <protection hidden="1"/>
    </xf>
    <xf numFmtId="0" fontId="4" fillId="2" borderId="8" xfId="0" applyFont="1" applyFill="1" applyBorder="1" applyAlignment="1" applyProtection="1">
      <alignment horizontal="left" vertical="center" indent="2"/>
      <protection hidden="1"/>
    </xf>
    <xf numFmtId="0" fontId="9" fillId="2" borderId="4" xfId="0" applyFont="1" applyFill="1" applyBorder="1" applyAlignment="1" applyProtection="1">
      <alignment horizontal="left" vertical="center"/>
      <protection locked="0" hidden="1"/>
    </xf>
    <xf numFmtId="0" fontId="9" fillId="0" borderId="0" xfId="0" applyFont="1" applyAlignment="1" applyProtection="1">
      <alignment horizontal="left" vertical="center"/>
      <protection locked="0"/>
    </xf>
    <xf numFmtId="0" fontId="4" fillId="2" borderId="16" xfId="0" applyFont="1" applyFill="1" applyBorder="1" applyAlignment="1" applyProtection="1">
      <alignment horizontal="center" vertical="center"/>
      <protection hidden="1"/>
    </xf>
    <xf numFmtId="164" fontId="4" fillId="2" borderId="0" xfId="0" applyNumberFormat="1" applyFont="1" applyFill="1" applyAlignment="1" applyProtection="1">
      <alignment vertical="center"/>
      <protection hidden="1"/>
    </xf>
    <xf numFmtId="0" fontId="7" fillId="8" borderId="11" xfId="0" applyFont="1" applyFill="1" applyBorder="1" applyAlignment="1" applyProtection="1">
      <alignment horizontal="center" vertical="center"/>
      <protection hidden="1"/>
    </xf>
    <xf numFmtId="0" fontId="4" fillId="2" borderId="4" xfId="0" applyFont="1" applyFill="1" applyBorder="1" applyAlignment="1" applyProtection="1">
      <alignment horizontal="left" vertical="center"/>
      <protection hidden="1"/>
    </xf>
    <xf numFmtId="0" fontId="13" fillId="2" borderId="0" xfId="0" applyFont="1" applyFill="1" applyAlignment="1" applyProtection="1">
      <alignment horizontal="right" vertical="center"/>
      <protection hidden="1"/>
    </xf>
    <xf numFmtId="0" fontId="12" fillId="0" borderId="0" xfId="0" applyFont="1" applyAlignment="1" applyProtection="1">
      <alignment horizontal="left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3" fillId="0" borderId="0" xfId="0" applyFont="1" applyAlignment="1" applyProtection="1">
      <alignment horizontal="left" vertical="center"/>
      <protection locked="0"/>
    </xf>
    <xf numFmtId="0" fontId="4" fillId="2" borderId="19" xfId="0" applyFont="1" applyFill="1" applyBorder="1" applyAlignment="1" applyProtection="1">
      <alignment horizontal="center" vertical="center"/>
      <protection hidden="1"/>
    </xf>
    <xf numFmtId="0" fontId="7" fillId="10" borderId="8" xfId="0" applyFont="1" applyFill="1" applyBorder="1" applyAlignment="1" applyProtection="1">
      <alignment horizontal="center" vertical="center"/>
      <protection hidden="1"/>
    </xf>
    <xf numFmtId="0" fontId="7" fillId="10" borderId="4" xfId="0" applyFont="1" applyFill="1" applyBorder="1" applyAlignment="1" applyProtection="1">
      <alignment horizontal="center" vertical="center"/>
      <protection hidden="1"/>
    </xf>
    <xf numFmtId="0" fontId="7" fillId="10" borderId="9" xfId="0" applyFont="1" applyFill="1" applyBorder="1" applyAlignment="1" applyProtection="1">
      <alignment horizontal="center" vertical="center"/>
      <protection hidden="1"/>
    </xf>
    <xf numFmtId="0" fontId="10" fillId="8" borderId="3" xfId="0" applyFont="1" applyFill="1" applyBorder="1" applyAlignment="1" applyProtection="1">
      <alignment horizontal="center" vertical="center"/>
      <protection hidden="1"/>
    </xf>
    <xf numFmtId="0" fontId="10" fillId="8" borderId="4" xfId="0" applyFont="1" applyFill="1" applyBorder="1" applyAlignment="1" applyProtection="1">
      <alignment horizontal="center" vertical="center"/>
      <protection hidden="1"/>
    </xf>
    <xf numFmtId="0" fontId="10" fillId="8" borderId="5" xfId="0" applyFont="1" applyFill="1" applyBorder="1" applyAlignment="1" applyProtection="1">
      <alignment horizontal="center" vertical="center"/>
      <protection hidden="1"/>
    </xf>
    <xf numFmtId="0" fontId="10" fillId="8" borderId="4" xfId="0" applyFont="1" applyFill="1" applyBorder="1" applyAlignment="1" applyProtection="1">
      <alignment horizontal="center" vertical="center"/>
      <protection locked="0"/>
    </xf>
    <xf numFmtId="0" fontId="7" fillId="8" borderId="8" xfId="0" applyFont="1" applyFill="1" applyBorder="1" applyAlignment="1" applyProtection="1">
      <alignment horizontal="center" vertical="center"/>
      <protection hidden="1"/>
    </xf>
    <xf numFmtId="0" fontId="7" fillId="8" borderId="4" xfId="0" applyFont="1" applyFill="1" applyBorder="1" applyAlignment="1" applyProtection="1">
      <alignment horizontal="center" vertical="center"/>
      <protection hidden="1"/>
    </xf>
    <xf numFmtId="0" fontId="7" fillId="8" borderId="9" xfId="0" applyFont="1" applyFill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10" fillId="8" borderId="8" xfId="0" applyFont="1" applyFill="1" applyBorder="1" applyAlignment="1" applyProtection="1">
      <alignment horizontal="center" vertical="center"/>
      <protection locked="0"/>
    </xf>
    <xf numFmtId="0" fontId="10" fillId="8" borderId="9" xfId="0" applyFont="1" applyFill="1" applyBorder="1" applyAlignment="1" applyProtection="1">
      <alignment horizontal="center" vertical="center"/>
      <protection locked="0"/>
    </xf>
    <xf numFmtId="0" fontId="7" fillId="8" borderId="16" xfId="0" applyFont="1" applyFill="1" applyBorder="1" applyAlignment="1" applyProtection="1">
      <alignment horizontal="center" vertical="center"/>
      <protection hidden="1"/>
    </xf>
    <xf numFmtId="0" fontId="7" fillId="8" borderId="0" xfId="0" applyFont="1" applyFill="1" applyAlignment="1" applyProtection="1">
      <alignment horizontal="center" vertical="center"/>
      <protection hidden="1"/>
    </xf>
    <xf numFmtId="0" fontId="7" fillId="8" borderId="4" xfId="0" applyFont="1" applyFill="1" applyBorder="1" applyAlignment="1" applyProtection="1">
      <alignment vertical="center"/>
      <protection hidden="1"/>
    </xf>
    <xf numFmtId="0" fontId="23" fillId="0" borderId="0" xfId="0" applyFont="1" applyAlignment="1" applyProtection="1">
      <alignment horizontal="right" vertical="top" wrapText="1"/>
      <protection hidden="1"/>
    </xf>
    <xf numFmtId="49" fontId="9" fillId="9" borderId="8" xfId="0" applyNumberFormat="1" applyFont="1" applyFill="1" applyBorder="1" applyAlignment="1" applyProtection="1">
      <alignment horizontal="center" vertical="center"/>
      <protection locked="0"/>
    </xf>
    <xf numFmtId="49" fontId="9" fillId="9" borderId="4" xfId="0" applyNumberFormat="1" applyFont="1" applyFill="1" applyBorder="1" applyAlignment="1" applyProtection="1">
      <alignment horizontal="center" vertical="center"/>
      <protection locked="0"/>
    </xf>
    <xf numFmtId="49" fontId="9" fillId="9" borderId="9" xfId="0" applyNumberFormat="1" applyFont="1" applyFill="1" applyBorder="1" applyAlignment="1" applyProtection="1">
      <alignment horizontal="center" vertical="center"/>
      <protection locked="0"/>
    </xf>
    <xf numFmtId="0" fontId="10" fillId="8" borderId="2" xfId="0" applyFont="1" applyFill="1" applyBorder="1" applyAlignment="1" applyProtection="1">
      <alignment horizontal="center" vertical="center"/>
      <protection locked="0"/>
    </xf>
    <xf numFmtId="0" fontId="10" fillId="8" borderId="9" xfId="0" applyFont="1" applyFill="1" applyBorder="1" applyAlignment="1" applyProtection="1">
      <alignment horizontal="center" vertical="center"/>
      <protection hidden="1"/>
    </xf>
    <xf numFmtId="0" fontId="10" fillId="8" borderId="2" xfId="0" applyFont="1" applyFill="1" applyBorder="1" applyAlignment="1" applyProtection="1">
      <alignment horizontal="center" vertical="center"/>
      <protection hidden="1"/>
    </xf>
    <xf numFmtId="0" fontId="29" fillId="0" borderId="0" xfId="0" applyFont="1"/>
    <xf numFmtId="0" fontId="1" fillId="2" borderId="0" xfId="0" applyFont="1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1" fillId="2" borderId="0" xfId="0" applyFont="1" applyFill="1"/>
    <xf numFmtId="0" fontId="0" fillId="2" borderId="0" xfId="0" applyFill="1" applyAlignment="1">
      <alignment horizontal="left"/>
    </xf>
    <xf numFmtId="0" fontId="0" fillId="2" borderId="18" xfId="0" applyFill="1" applyBorder="1"/>
    <xf numFmtId="0" fontId="0" fillId="2" borderId="18" xfId="0" applyFill="1" applyBorder="1" applyAlignment="1">
      <alignment horizontal="left"/>
    </xf>
    <xf numFmtId="0" fontId="1" fillId="2" borderId="0" xfId="0" applyFont="1" applyFill="1" applyAlignment="1">
      <alignment horizontal="left"/>
    </xf>
  </cellXfs>
  <cellStyles count="2">
    <cellStyle name="Hyperlänk" xfId="1" builtinId="8"/>
    <cellStyle name="Normal" xfId="0" builtinId="0"/>
  </cellStyles>
  <dxfs count="26">
    <dxf>
      <font>
        <color rgb="FFFF0000"/>
      </font>
    </dxf>
    <dxf>
      <font>
        <b/>
        <i val="0"/>
        <color rgb="FF538DD5"/>
      </font>
    </dxf>
    <dxf>
      <font>
        <b val="0"/>
        <i/>
        <color rgb="FF76933C"/>
      </font>
    </dxf>
    <dxf>
      <font>
        <color rgb="FFFF0000"/>
      </font>
    </dxf>
    <dxf>
      <font>
        <b/>
        <i val="0"/>
        <color rgb="FF538DD5"/>
      </font>
    </dxf>
    <dxf>
      <font>
        <b val="0"/>
        <i/>
        <color rgb="FF76933C"/>
      </font>
    </dxf>
    <dxf>
      <font>
        <color rgb="FFFF0000"/>
      </font>
    </dxf>
    <dxf>
      <font>
        <b/>
        <i val="0"/>
        <color rgb="FF538DD5"/>
      </font>
    </dxf>
    <dxf>
      <font>
        <b val="0"/>
        <i/>
        <color rgb="FF76933C"/>
      </font>
    </dxf>
    <dxf>
      <font>
        <color rgb="FFFF0000"/>
      </font>
    </dxf>
    <dxf>
      <font>
        <b/>
        <i val="0"/>
        <color rgb="FF538DD5"/>
      </font>
    </dxf>
    <dxf>
      <font>
        <b val="0"/>
        <i/>
        <color rgb="FF76933C"/>
      </font>
    </dxf>
    <dxf>
      <font>
        <color rgb="FFFF0000"/>
      </font>
    </dxf>
    <dxf>
      <font>
        <b/>
        <i val="0"/>
        <color rgb="FF538DD5"/>
      </font>
    </dxf>
    <dxf>
      <font>
        <b val="0"/>
        <i/>
        <color rgb="FF76933C"/>
      </font>
    </dxf>
    <dxf>
      <font>
        <color rgb="FFFF0000"/>
      </font>
    </dxf>
    <dxf>
      <font>
        <b/>
        <i val="0"/>
        <color rgb="FF538DD5"/>
      </font>
    </dxf>
    <dxf>
      <font>
        <b val="0"/>
        <i/>
        <color rgb="FF76933C"/>
      </font>
    </dxf>
    <dxf>
      <font>
        <color rgb="FFFF0000"/>
      </font>
    </dxf>
    <dxf>
      <font>
        <b/>
        <i val="0"/>
        <color rgb="FF538DD5"/>
      </font>
    </dxf>
    <dxf>
      <font>
        <b val="0"/>
        <i/>
        <color rgb="FF76933C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530258</xdr:colOff>
      <xdr:row>141</xdr:row>
      <xdr:rowOff>29459</xdr:rowOff>
    </xdr:from>
    <xdr:ext cx="184731" cy="264560"/>
    <xdr:sp macro="" textlink="">
      <xdr:nvSpPr>
        <xdr:cNvPr id="2" name="TextBox 5">
          <a:extLst>
            <a:ext uri="{FF2B5EF4-FFF2-40B4-BE49-F238E27FC236}">
              <a16:creationId xmlns:a16="http://schemas.microsoft.com/office/drawing/2014/main" id="{C014D21E-CE20-4B86-BFA2-611E0908332B}"/>
            </a:ext>
          </a:extLst>
        </xdr:cNvPr>
        <xdr:cNvSpPr txBox="1"/>
      </xdr:nvSpPr>
      <xdr:spPr>
        <a:xfrm>
          <a:off x="14741558" y="2553740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sv-SE" sz="1100"/>
        </a:p>
      </xdr:txBody>
    </xdr:sp>
    <xdr:clientData/>
  </xdr:oneCellAnchor>
  <xdr:twoCellAnchor editAs="oneCell">
    <xdr:from>
      <xdr:col>3</xdr:col>
      <xdr:colOff>21477</xdr:colOff>
      <xdr:row>3</xdr:row>
      <xdr:rowOff>40594</xdr:rowOff>
    </xdr:from>
    <xdr:to>
      <xdr:col>3</xdr:col>
      <xdr:colOff>183477</xdr:colOff>
      <xdr:row>3</xdr:row>
      <xdr:rowOff>140855</xdr:rowOff>
    </xdr:to>
    <xdr:pic>
      <xdr:nvPicPr>
        <xdr:cNvPr id="3" name="Picture 10">
          <a:extLst>
            <a:ext uri="{FF2B5EF4-FFF2-40B4-BE49-F238E27FC236}">
              <a16:creationId xmlns:a16="http://schemas.microsoft.com/office/drawing/2014/main" id="{5CDC1F05-4273-450D-A2CB-7D901A844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8277" y="593044"/>
          <a:ext cx="162000" cy="1002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21477</xdr:colOff>
      <xdr:row>8</xdr:row>
      <xdr:rowOff>36860</xdr:rowOff>
    </xdr:from>
    <xdr:to>
      <xdr:col>3</xdr:col>
      <xdr:colOff>183477</xdr:colOff>
      <xdr:row>8</xdr:row>
      <xdr:rowOff>144893</xdr:rowOff>
    </xdr:to>
    <xdr:pic>
      <xdr:nvPicPr>
        <xdr:cNvPr id="4" name="Picture 11">
          <a:extLst>
            <a:ext uri="{FF2B5EF4-FFF2-40B4-BE49-F238E27FC236}">
              <a16:creationId xmlns:a16="http://schemas.microsoft.com/office/drawing/2014/main" id="{201E2794-BCDF-42BB-9655-BB256A5DD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8277" y="1494185"/>
          <a:ext cx="162000" cy="108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21477</xdr:colOff>
      <xdr:row>4</xdr:row>
      <xdr:rowOff>37727</xdr:rowOff>
    </xdr:from>
    <xdr:to>
      <xdr:col>3</xdr:col>
      <xdr:colOff>183477</xdr:colOff>
      <xdr:row>4</xdr:row>
      <xdr:rowOff>145161</xdr:rowOff>
    </xdr:to>
    <xdr:pic>
      <xdr:nvPicPr>
        <xdr:cNvPr id="5" name="Picture 12">
          <a:extLst>
            <a:ext uri="{FF2B5EF4-FFF2-40B4-BE49-F238E27FC236}">
              <a16:creationId xmlns:a16="http://schemas.microsoft.com/office/drawing/2014/main" id="{FE544E1A-8455-4F43-8C35-92B2894DA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8277" y="771152"/>
          <a:ext cx="162000" cy="1074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21477</xdr:colOff>
      <xdr:row>5</xdr:row>
      <xdr:rowOff>35305</xdr:rowOff>
    </xdr:from>
    <xdr:to>
      <xdr:col>3</xdr:col>
      <xdr:colOff>183477</xdr:colOff>
      <xdr:row>5</xdr:row>
      <xdr:rowOff>143338</xdr:rowOff>
    </xdr:to>
    <xdr:pic>
      <xdr:nvPicPr>
        <xdr:cNvPr id="6" name="Picture 13">
          <a:extLst>
            <a:ext uri="{FF2B5EF4-FFF2-40B4-BE49-F238E27FC236}">
              <a16:creationId xmlns:a16="http://schemas.microsoft.com/office/drawing/2014/main" id="{4B0B3498-694D-43E0-A50B-AB453B28C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8277" y="949705"/>
          <a:ext cx="162000" cy="108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14044</xdr:colOff>
      <xdr:row>16</xdr:row>
      <xdr:rowOff>38630</xdr:rowOff>
    </xdr:from>
    <xdr:to>
      <xdr:col>5</xdr:col>
      <xdr:colOff>182479</xdr:colOff>
      <xdr:row>16</xdr:row>
      <xdr:rowOff>140154</xdr:rowOff>
    </xdr:to>
    <xdr:pic>
      <xdr:nvPicPr>
        <xdr:cNvPr id="7" name="Picture 14">
          <a:extLst>
            <a:ext uri="{FF2B5EF4-FFF2-40B4-BE49-F238E27FC236}">
              <a16:creationId xmlns:a16="http://schemas.microsoft.com/office/drawing/2014/main" id="{A0D8633E-A381-4DAB-BA3D-7FE02D4F8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33469" y="2943755"/>
          <a:ext cx="168435" cy="101524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7</xdr:row>
      <xdr:rowOff>36775</xdr:rowOff>
    </xdr:from>
    <xdr:to>
      <xdr:col>3</xdr:col>
      <xdr:colOff>183477</xdr:colOff>
      <xdr:row>7</xdr:row>
      <xdr:rowOff>144808</xdr:rowOff>
    </xdr:to>
    <xdr:pic>
      <xdr:nvPicPr>
        <xdr:cNvPr id="8" name="Picture 15">
          <a:extLst>
            <a:ext uri="{FF2B5EF4-FFF2-40B4-BE49-F238E27FC236}">
              <a16:creationId xmlns:a16="http://schemas.microsoft.com/office/drawing/2014/main" id="{21615C57-801A-47FD-A36A-57D62DC99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8277" y="1313125"/>
          <a:ext cx="162000" cy="108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21477</xdr:colOff>
      <xdr:row>6</xdr:row>
      <xdr:rowOff>40191</xdr:rowOff>
    </xdr:from>
    <xdr:to>
      <xdr:col>3</xdr:col>
      <xdr:colOff>183477</xdr:colOff>
      <xdr:row>6</xdr:row>
      <xdr:rowOff>140452</xdr:rowOff>
    </xdr:to>
    <xdr:pic>
      <xdr:nvPicPr>
        <xdr:cNvPr id="9" name="Picture 16">
          <a:extLst>
            <a:ext uri="{FF2B5EF4-FFF2-40B4-BE49-F238E27FC236}">
              <a16:creationId xmlns:a16="http://schemas.microsoft.com/office/drawing/2014/main" id="{C2354929-3216-46F4-8383-ED91732AD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8277" y="1135566"/>
          <a:ext cx="162000" cy="1002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14129</xdr:colOff>
      <xdr:row>3</xdr:row>
      <xdr:rowOff>39883</xdr:rowOff>
    </xdr:from>
    <xdr:to>
      <xdr:col>5</xdr:col>
      <xdr:colOff>182479</xdr:colOff>
      <xdr:row>3</xdr:row>
      <xdr:rowOff>141566</xdr:rowOff>
    </xdr:to>
    <xdr:pic>
      <xdr:nvPicPr>
        <xdr:cNvPr id="10" name="Picture 17">
          <a:extLst>
            <a:ext uri="{FF2B5EF4-FFF2-40B4-BE49-F238E27FC236}">
              <a16:creationId xmlns:a16="http://schemas.microsoft.com/office/drawing/2014/main" id="{B917F286-F236-4AE8-984B-5122BFE3A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3554" y="592333"/>
          <a:ext cx="168350" cy="1016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14129</xdr:colOff>
      <xdr:row>5</xdr:row>
      <xdr:rowOff>35305</xdr:rowOff>
    </xdr:from>
    <xdr:to>
      <xdr:col>5</xdr:col>
      <xdr:colOff>182479</xdr:colOff>
      <xdr:row>5</xdr:row>
      <xdr:rowOff>143338</xdr:rowOff>
    </xdr:to>
    <xdr:pic>
      <xdr:nvPicPr>
        <xdr:cNvPr id="11" name="Picture 18">
          <a:extLst>
            <a:ext uri="{FF2B5EF4-FFF2-40B4-BE49-F238E27FC236}">
              <a16:creationId xmlns:a16="http://schemas.microsoft.com/office/drawing/2014/main" id="{53C36E2A-D827-4880-B60E-ED6E2D82A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3554" y="949705"/>
          <a:ext cx="168350" cy="108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14129</xdr:colOff>
      <xdr:row>4</xdr:row>
      <xdr:rowOff>37428</xdr:rowOff>
    </xdr:from>
    <xdr:to>
      <xdr:col>5</xdr:col>
      <xdr:colOff>182479</xdr:colOff>
      <xdr:row>4</xdr:row>
      <xdr:rowOff>145461</xdr:rowOff>
    </xdr:to>
    <xdr:pic>
      <xdr:nvPicPr>
        <xdr:cNvPr id="12" name="Picture 19">
          <a:extLst>
            <a:ext uri="{FF2B5EF4-FFF2-40B4-BE49-F238E27FC236}">
              <a16:creationId xmlns:a16="http://schemas.microsoft.com/office/drawing/2014/main" id="{F17194FE-40CC-44D5-83BE-A00B746E6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3554" y="770853"/>
          <a:ext cx="168350" cy="108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14129</xdr:colOff>
      <xdr:row>6</xdr:row>
      <xdr:rowOff>39779</xdr:rowOff>
    </xdr:from>
    <xdr:to>
      <xdr:col>5</xdr:col>
      <xdr:colOff>182479</xdr:colOff>
      <xdr:row>6</xdr:row>
      <xdr:rowOff>140863</xdr:rowOff>
    </xdr:to>
    <xdr:pic>
      <xdr:nvPicPr>
        <xdr:cNvPr id="13" name="Picture 20">
          <a:extLst>
            <a:ext uri="{FF2B5EF4-FFF2-40B4-BE49-F238E27FC236}">
              <a16:creationId xmlns:a16="http://schemas.microsoft.com/office/drawing/2014/main" id="{1ED6C647-A460-46A0-A255-92D062E60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3554" y="1135154"/>
          <a:ext cx="168350" cy="10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14129</xdr:colOff>
      <xdr:row>8</xdr:row>
      <xdr:rowOff>37159</xdr:rowOff>
    </xdr:from>
    <xdr:to>
      <xdr:col>5</xdr:col>
      <xdr:colOff>182479</xdr:colOff>
      <xdr:row>8</xdr:row>
      <xdr:rowOff>144593</xdr:rowOff>
    </xdr:to>
    <xdr:pic>
      <xdr:nvPicPr>
        <xdr:cNvPr id="14" name="Picture 21">
          <a:extLst>
            <a:ext uri="{FF2B5EF4-FFF2-40B4-BE49-F238E27FC236}">
              <a16:creationId xmlns:a16="http://schemas.microsoft.com/office/drawing/2014/main" id="{DDE0DBB1-2C7D-4103-9E7A-EF2D05538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3554" y="1494484"/>
          <a:ext cx="168350" cy="1074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14129</xdr:colOff>
      <xdr:row>7</xdr:row>
      <xdr:rowOff>37486</xdr:rowOff>
    </xdr:from>
    <xdr:to>
      <xdr:col>5</xdr:col>
      <xdr:colOff>182479</xdr:colOff>
      <xdr:row>7</xdr:row>
      <xdr:rowOff>144097</xdr:rowOff>
    </xdr:to>
    <xdr:pic>
      <xdr:nvPicPr>
        <xdr:cNvPr id="15" name="Picture 22">
          <a:extLst>
            <a:ext uri="{FF2B5EF4-FFF2-40B4-BE49-F238E27FC236}">
              <a16:creationId xmlns:a16="http://schemas.microsoft.com/office/drawing/2014/main" id="{D2F59A5B-E76A-453A-9087-DE4EE6E5C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3554" y="1313836"/>
          <a:ext cx="168350" cy="1066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14129</xdr:colOff>
      <xdr:row>12</xdr:row>
      <xdr:rowOff>36099</xdr:rowOff>
    </xdr:from>
    <xdr:to>
      <xdr:col>5</xdr:col>
      <xdr:colOff>182479</xdr:colOff>
      <xdr:row>12</xdr:row>
      <xdr:rowOff>144099</xdr:rowOff>
    </xdr:to>
    <xdr:pic>
      <xdr:nvPicPr>
        <xdr:cNvPr id="16" name="Picture 23">
          <a:extLst>
            <a:ext uri="{FF2B5EF4-FFF2-40B4-BE49-F238E27FC236}">
              <a16:creationId xmlns:a16="http://schemas.microsoft.com/office/drawing/2014/main" id="{56E31A89-6B2D-4F7B-A94B-BC5B7921E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33554" y="2217324"/>
          <a:ext cx="168350" cy="108000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13</xdr:row>
      <xdr:rowOff>37756</xdr:rowOff>
    </xdr:from>
    <xdr:to>
      <xdr:col>3</xdr:col>
      <xdr:colOff>183477</xdr:colOff>
      <xdr:row>13</xdr:row>
      <xdr:rowOff>144275</xdr:rowOff>
    </xdr:to>
    <xdr:pic>
      <xdr:nvPicPr>
        <xdr:cNvPr id="17" name="Picture 24">
          <a:extLst>
            <a:ext uri="{FF2B5EF4-FFF2-40B4-BE49-F238E27FC236}">
              <a16:creationId xmlns:a16="http://schemas.microsoft.com/office/drawing/2014/main" id="{DDA0D6FA-8C4A-4C89-B3DF-B31B78921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88277" y="2399956"/>
          <a:ext cx="162000" cy="106519"/>
        </a:xfrm>
        <a:prstGeom prst="rect">
          <a:avLst/>
        </a:prstGeom>
      </xdr:spPr>
    </xdr:pic>
    <xdr:clientData/>
  </xdr:twoCellAnchor>
  <xdr:twoCellAnchor editAs="oneCell">
    <xdr:from>
      <xdr:col>5</xdr:col>
      <xdr:colOff>14129</xdr:colOff>
      <xdr:row>13</xdr:row>
      <xdr:rowOff>37756</xdr:rowOff>
    </xdr:from>
    <xdr:to>
      <xdr:col>5</xdr:col>
      <xdr:colOff>182479</xdr:colOff>
      <xdr:row>13</xdr:row>
      <xdr:rowOff>144275</xdr:rowOff>
    </xdr:to>
    <xdr:pic>
      <xdr:nvPicPr>
        <xdr:cNvPr id="18" name="Picture 25">
          <a:extLst>
            <a:ext uri="{FF2B5EF4-FFF2-40B4-BE49-F238E27FC236}">
              <a16:creationId xmlns:a16="http://schemas.microsoft.com/office/drawing/2014/main" id="{202D21CC-BCE2-4209-9F02-CE65989A1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033554" y="2399956"/>
          <a:ext cx="168350" cy="106519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12</xdr:row>
      <xdr:rowOff>36162</xdr:rowOff>
    </xdr:from>
    <xdr:to>
      <xdr:col>3</xdr:col>
      <xdr:colOff>183477</xdr:colOff>
      <xdr:row>12</xdr:row>
      <xdr:rowOff>144036</xdr:rowOff>
    </xdr:to>
    <xdr:pic>
      <xdr:nvPicPr>
        <xdr:cNvPr id="19" name="Picture 26">
          <a:extLst>
            <a:ext uri="{FF2B5EF4-FFF2-40B4-BE49-F238E27FC236}">
              <a16:creationId xmlns:a16="http://schemas.microsoft.com/office/drawing/2014/main" id="{221621EB-40C1-4BE3-B61C-C113CBF9C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8277" y="2217387"/>
          <a:ext cx="162000" cy="107874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15</xdr:row>
      <xdr:rowOff>34128</xdr:rowOff>
    </xdr:from>
    <xdr:to>
      <xdr:col>3</xdr:col>
      <xdr:colOff>183477</xdr:colOff>
      <xdr:row>15</xdr:row>
      <xdr:rowOff>142560</xdr:rowOff>
    </xdr:to>
    <xdr:pic>
      <xdr:nvPicPr>
        <xdr:cNvPr id="20" name="Picture 27">
          <a:extLst>
            <a:ext uri="{FF2B5EF4-FFF2-40B4-BE49-F238E27FC236}">
              <a16:creationId xmlns:a16="http://schemas.microsoft.com/office/drawing/2014/main" id="{035894FA-CFD3-4885-830E-E854A33F7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8277" y="2758278"/>
          <a:ext cx="162000" cy="108432"/>
        </a:xfrm>
        <a:prstGeom prst="rect">
          <a:avLst/>
        </a:prstGeom>
      </xdr:spPr>
    </xdr:pic>
    <xdr:clientData/>
  </xdr:twoCellAnchor>
  <xdr:twoCellAnchor editAs="oneCell">
    <xdr:from>
      <xdr:col>5</xdr:col>
      <xdr:colOff>14129</xdr:colOff>
      <xdr:row>14</xdr:row>
      <xdr:rowOff>36261</xdr:rowOff>
    </xdr:from>
    <xdr:to>
      <xdr:col>5</xdr:col>
      <xdr:colOff>182479</xdr:colOff>
      <xdr:row>14</xdr:row>
      <xdr:rowOff>144261</xdr:rowOff>
    </xdr:to>
    <xdr:pic>
      <xdr:nvPicPr>
        <xdr:cNvPr id="21" name="Picture 28">
          <a:extLst>
            <a:ext uri="{FF2B5EF4-FFF2-40B4-BE49-F238E27FC236}">
              <a16:creationId xmlns:a16="http://schemas.microsoft.com/office/drawing/2014/main" id="{E3BC0B88-EE92-48DD-B530-C05FFB5E2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33554" y="2579436"/>
          <a:ext cx="168350" cy="108000"/>
        </a:xfrm>
        <a:prstGeom prst="rect">
          <a:avLst/>
        </a:prstGeom>
      </xdr:spPr>
    </xdr:pic>
    <xdr:clientData/>
  </xdr:twoCellAnchor>
  <xdr:twoCellAnchor editAs="oneCell">
    <xdr:from>
      <xdr:col>5</xdr:col>
      <xdr:colOff>14129</xdr:colOff>
      <xdr:row>15</xdr:row>
      <xdr:rowOff>35085</xdr:rowOff>
    </xdr:from>
    <xdr:to>
      <xdr:col>5</xdr:col>
      <xdr:colOff>182479</xdr:colOff>
      <xdr:row>15</xdr:row>
      <xdr:rowOff>141604</xdr:rowOff>
    </xdr:to>
    <xdr:pic>
      <xdr:nvPicPr>
        <xdr:cNvPr id="22" name="Picture 29">
          <a:extLst>
            <a:ext uri="{FF2B5EF4-FFF2-40B4-BE49-F238E27FC236}">
              <a16:creationId xmlns:a16="http://schemas.microsoft.com/office/drawing/2014/main" id="{03BC2208-B87D-4758-B380-4A8209AFB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33554" y="2759235"/>
          <a:ext cx="168350" cy="106519"/>
        </a:xfrm>
        <a:prstGeom prst="rect">
          <a:avLst/>
        </a:prstGeom>
      </xdr:spPr>
    </xdr:pic>
    <xdr:clientData/>
  </xdr:twoCellAnchor>
  <xdr:twoCellAnchor editAs="oneCell">
    <xdr:from>
      <xdr:col>5</xdr:col>
      <xdr:colOff>14129</xdr:colOff>
      <xdr:row>17</xdr:row>
      <xdr:rowOff>36574</xdr:rowOff>
    </xdr:from>
    <xdr:to>
      <xdr:col>5</xdr:col>
      <xdr:colOff>182479</xdr:colOff>
      <xdr:row>17</xdr:row>
      <xdr:rowOff>143093</xdr:rowOff>
    </xdr:to>
    <xdr:pic>
      <xdr:nvPicPr>
        <xdr:cNvPr id="23" name="Picture 30">
          <a:extLst>
            <a:ext uri="{FF2B5EF4-FFF2-40B4-BE49-F238E27FC236}">
              <a16:creationId xmlns:a16="http://schemas.microsoft.com/office/drawing/2014/main" id="{0256B5DA-8852-47DA-B16A-AA02CBA05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33554" y="3122674"/>
          <a:ext cx="168350" cy="106519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17</xdr:row>
      <xdr:rowOff>35833</xdr:rowOff>
    </xdr:from>
    <xdr:to>
      <xdr:col>3</xdr:col>
      <xdr:colOff>183477</xdr:colOff>
      <xdr:row>17</xdr:row>
      <xdr:rowOff>143833</xdr:rowOff>
    </xdr:to>
    <xdr:pic>
      <xdr:nvPicPr>
        <xdr:cNvPr id="24" name="Picture 31">
          <a:extLst>
            <a:ext uri="{FF2B5EF4-FFF2-40B4-BE49-F238E27FC236}">
              <a16:creationId xmlns:a16="http://schemas.microsoft.com/office/drawing/2014/main" id="{7803ED70-1E16-4F77-B2F2-76599B2CA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88277" y="3121933"/>
          <a:ext cx="162000" cy="108000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14</xdr:row>
      <xdr:rowOff>37002</xdr:rowOff>
    </xdr:from>
    <xdr:to>
      <xdr:col>3</xdr:col>
      <xdr:colOff>183477</xdr:colOff>
      <xdr:row>14</xdr:row>
      <xdr:rowOff>143521</xdr:rowOff>
    </xdr:to>
    <xdr:pic>
      <xdr:nvPicPr>
        <xdr:cNvPr id="25" name="Picture 32">
          <a:extLst>
            <a:ext uri="{FF2B5EF4-FFF2-40B4-BE49-F238E27FC236}">
              <a16:creationId xmlns:a16="http://schemas.microsoft.com/office/drawing/2014/main" id="{BA970F22-C13F-4B13-BA9E-7E1CEA27F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88277" y="2580177"/>
          <a:ext cx="162000" cy="106519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16</xdr:row>
      <xdr:rowOff>39308</xdr:rowOff>
    </xdr:from>
    <xdr:to>
      <xdr:col>3</xdr:col>
      <xdr:colOff>183477</xdr:colOff>
      <xdr:row>16</xdr:row>
      <xdr:rowOff>145827</xdr:rowOff>
    </xdr:to>
    <xdr:pic>
      <xdr:nvPicPr>
        <xdr:cNvPr id="26" name="Picture 33">
          <a:extLst>
            <a:ext uri="{FF2B5EF4-FFF2-40B4-BE49-F238E27FC236}">
              <a16:creationId xmlns:a16="http://schemas.microsoft.com/office/drawing/2014/main" id="{0319737E-E45E-40DF-BDC9-0DE50FDBF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88277" y="2944433"/>
          <a:ext cx="162000" cy="106519"/>
        </a:xfrm>
        <a:prstGeom prst="rect">
          <a:avLst/>
        </a:prstGeom>
      </xdr:spPr>
    </xdr:pic>
    <xdr:clientData/>
  </xdr:twoCellAnchor>
  <xdr:twoCellAnchor editAs="oneCell">
    <xdr:from>
      <xdr:col>3</xdr:col>
      <xdr:colOff>17710</xdr:colOff>
      <xdr:row>21</xdr:row>
      <xdr:rowOff>41545</xdr:rowOff>
    </xdr:from>
    <xdr:to>
      <xdr:col>3</xdr:col>
      <xdr:colOff>183477</xdr:colOff>
      <xdr:row>21</xdr:row>
      <xdr:rowOff>150403</xdr:rowOff>
    </xdr:to>
    <xdr:pic>
      <xdr:nvPicPr>
        <xdr:cNvPr id="27" name="Picture 34">
          <a:extLst>
            <a:ext uri="{FF2B5EF4-FFF2-40B4-BE49-F238E27FC236}">
              <a16:creationId xmlns:a16="http://schemas.microsoft.com/office/drawing/2014/main" id="{CA8407B0-85CE-4F9D-AF57-3809F7F0C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84510" y="3832495"/>
          <a:ext cx="165767" cy="108858"/>
        </a:xfrm>
        <a:prstGeom prst="rect">
          <a:avLst/>
        </a:prstGeom>
      </xdr:spPr>
    </xdr:pic>
    <xdr:clientData/>
  </xdr:twoCellAnchor>
  <xdr:twoCellAnchor editAs="oneCell">
    <xdr:from>
      <xdr:col>3</xdr:col>
      <xdr:colOff>17710</xdr:colOff>
      <xdr:row>26</xdr:row>
      <xdr:rowOff>36747</xdr:rowOff>
    </xdr:from>
    <xdr:to>
      <xdr:col>3</xdr:col>
      <xdr:colOff>183477</xdr:colOff>
      <xdr:row>26</xdr:row>
      <xdr:rowOff>145191</xdr:rowOff>
    </xdr:to>
    <xdr:pic>
      <xdr:nvPicPr>
        <xdr:cNvPr id="28" name="Picture 35">
          <a:extLst>
            <a:ext uri="{FF2B5EF4-FFF2-40B4-BE49-F238E27FC236}">
              <a16:creationId xmlns:a16="http://schemas.microsoft.com/office/drawing/2014/main" id="{053BBBBE-A6C8-4B4D-9C20-60A6898CC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84510" y="4732572"/>
          <a:ext cx="165767" cy="108444"/>
        </a:xfrm>
        <a:prstGeom prst="rect">
          <a:avLst/>
        </a:prstGeom>
      </xdr:spPr>
    </xdr:pic>
    <xdr:clientData/>
  </xdr:twoCellAnchor>
  <xdr:twoCellAnchor editAs="oneCell">
    <xdr:from>
      <xdr:col>3</xdr:col>
      <xdr:colOff>17783</xdr:colOff>
      <xdr:row>22</xdr:row>
      <xdr:rowOff>34030</xdr:rowOff>
    </xdr:from>
    <xdr:to>
      <xdr:col>3</xdr:col>
      <xdr:colOff>183477</xdr:colOff>
      <xdr:row>22</xdr:row>
      <xdr:rowOff>142030</xdr:rowOff>
    </xdr:to>
    <xdr:pic>
      <xdr:nvPicPr>
        <xdr:cNvPr id="29" name="Picture 36">
          <a:extLst>
            <a:ext uri="{FF2B5EF4-FFF2-40B4-BE49-F238E27FC236}">
              <a16:creationId xmlns:a16="http://schemas.microsoft.com/office/drawing/2014/main" id="{E7A9C157-F9FC-4877-8048-75EA8F288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84583" y="4005955"/>
          <a:ext cx="165694" cy="108000"/>
        </a:xfrm>
        <a:prstGeom prst="rect">
          <a:avLst/>
        </a:prstGeom>
      </xdr:spPr>
    </xdr:pic>
    <xdr:clientData/>
  </xdr:twoCellAnchor>
  <xdr:twoCellAnchor editAs="oneCell">
    <xdr:from>
      <xdr:col>5</xdr:col>
      <xdr:colOff>12687</xdr:colOff>
      <xdr:row>22</xdr:row>
      <xdr:rowOff>33869</xdr:rowOff>
    </xdr:from>
    <xdr:to>
      <xdr:col>5</xdr:col>
      <xdr:colOff>182479</xdr:colOff>
      <xdr:row>22</xdr:row>
      <xdr:rowOff>142192</xdr:rowOff>
    </xdr:to>
    <xdr:pic>
      <xdr:nvPicPr>
        <xdr:cNvPr id="30" name="Picture 37">
          <a:extLst>
            <a:ext uri="{FF2B5EF4-FFF2-40B4-BE49-F238E27FC236}">
              <a16:creationId xmlns:a16="http://schemas.microsoft.com/office/drawing/2014/main" id="{0141E98B-0730-4306-8F3C-D232BE2B3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032112" y="4005794"/>
          <a:ext cx="169792" cy="108323"/>
        </a:xfrm>
        <a:prstGeom prst="rect">
          <a:avLst/>
        </a:prstGeom>
      </xdr:spPr>
    </xdr:pic>
    <xdr:clientData/>
  </xdr:twoCellAnchor>
  <xdr:twoCellAnchor editAs="oneCell">
    <xdr:from>
      <xdr:col>3</xdr:col>
      <xdr:colOff>20429</xdr:colOff>
      <xdr:row>23</xdr:row>
      <xdr:rowOff>34623</xdr:rowOff>
    </xdr:from>
    <xdr:to>
      <xdr:col>3</xdr:col>
      <xdr:colOff>183477</xdr:colOff>
      <xdr:row>23</xdr:row>
      <xdr:rowOff>142946</xdr:rowOff>
    </xdr:to>
    <xdr:pic>
      <xdr:nvPicPr>
        <xdr:cNvPr id="31" name="Picture 38">
          <a:extLst>
            <a:ext uri="{FF2B5EF4-FFF2-40B4-BE49-F238E27FC236}">
              <a16:creationId xmlns:a16="http://schemas.microsoft.com/office/drawing/2014/main" id="{53026F47-9ACF-4DD6-AB7A-CC46D1D51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87229" y="4187523"/>
          <a:ext cx="163048" cy="108323"/>
        </a:xfrm>
        <a:prstGeom prst="rect">
          <a:avLst/>
        </a:prstGeom>
      </xdr:spPr>
    </xdr:pic>
    <xdr:clientData/>
  </xdr:twoCellAnchor>
  <xdr:twoCellAnchor editAs="oneCell">
    <xdr:from>
      <xdr:col>3</xdr:col>
      <xdr:colOff>20429</xdr:colOff>
      <xdr:row>25</xdr:row>
      <xdr:rowOff>36091</xdr:rowOff>
    </xdr:from>
    <xdr:to>
      <xdr:col>3</xdr:col>
      <xdr:colOff>183477</xdr:colOff>
      <xdr:row>25</xdr:row>
      <xdr:rowOff>144414</xdr:rowOff>
    </xdr:to>
    <xdr:pic>
      <xdr:nvPicPr>
        <xdr:cNvPr id="32" name="Picture 39">
          <a:extLst>
            <a:ext uri="{FF2B5EF4-FFF2-40B4-BE49-F238E27FC236}">
              <a16:creationId xmlns:a16="http://schemas.microsoft.com/office/drawing/2014/main" id="{C4F079A4-7E83-43B2-AC9B-681EA9270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87229" y="4550941"/>
          <a:ext cx="163048" cy="108323"/>
        </a:xfrm>
        <a:prstGeom prst="rect">
          <a:avLst/>
        </a:prstGeom>
      </xdr:spPr>
    </xdr:pic>
    <xdr:clientData/>
  </xdr:twoCellAnchor>
  <xdr:twoCellAnchor editAs="oneCell">
    <xdr:from>
      <xdr:col>5</xdr:col>
      <xdr:colOff>9968</xdr:colOff>
      <xdr:row>24</xdr:row>
      <xdr:rowOff>37785</xdr:rowOff>
    </xdr:from>
    <xdr:to>
      <xdr:col>5</xdr:col>
      <xdr:colOff>182479</xdr:colOff>
      <xdr:row>24</xdr:row>
      <xdr:rowOff>145785</xdr:rowOff>
    </xdr:to>
    <xdr:pic>
      <xdr:nvPicPr>
        <xdr:cNvPr id="33" name="Picture 40">
          <a:extLst>
            <a:ext uri="{FF2B5EF4-FFF2-40B4-BE49-F238E27FC236}">
              <a16:creationId xmlns:a16="http://schemas.microsoft.com/office/drawing/2014/main" id="{6722C642-673B-40F0-B0E6-52599DAC0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029393" y="4371660"/>
          <a:ext cx="172511" cy="108000"/>
        </a:xfrm>
        <a:prstGeom prst="rect">
          <a:avLst/>
        </a:prstGeom>
      </xdr:spPr>
    </xdr:pic>
    <xdr:clientData/>
  </xdr:twoCellAnchor>
  <xdr:twoCellAnchor editAs="oneCell">
    <xdr:from>
      <xdr:col>5</xdr:col>
      <xdr:colOff>9968</xdr:colOff>
      <xdr:row>26</xdr:row>
      <xdr:rowOff>36969</xdr:rowOff>
    </xdr:from>
    <xdr:to>
      <xdr:col>5</xdr:col>
      <xdr:colOff>182479</xdr:colOff>
      <xdr:row>26</xdr:row>
      <xdr:rowOff>144969</xdr:rowOff>
    </xdr:to>
    <xdr:pic>
      <xdr:nvPicPr>
        <xdr:cNvPr id="34" name="Picture 41">
          <a:extLst>
            <a:ext uri="{FF2B5EF4-FFF2-40B4-BE49-F238E27FC236}">
              <a16:creationId xmlns:a16="http://schemas.microsoft.com/office/drawing/2014/main" id="{C729C63A-B524-415E-B9ED-6C8DE1492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029393" y="4732794"/>
          <a:ext cx="172511" cy="108000"/>
        </a:xfrm>
        <a:prstGeom prst="rect">
          <a:avLst/>
        </a:prstGeom>
      </xdr:spPr>
    </xdr:pic>
    <xdr:clientData/>
  </xdr:twoCellAnchor>
  <xdr:twoCellAnchor editAs="oneCell">
    <xdr:from>
      <xdr:col>5</xdr:col>
      <xdr:colOff>9968</xdr:colOff>
      <xdr:row>21</xdr:row>
      <xdr:rowOff>41752</xdr:rowOff>
    </xdr:from>
    <xdr:to>
      <xdr:col>5</xdr:col>
      <xdr:colOff>182479</xdr:colOff>
      <xdr:row>21</xdr:row>
      <xdr:rowOff>150196</xdr:rowOff>
    </xdr:to>
    <xdr:pic>
      <xdr:nvPicPr>
        <xdr:cNvPr id="35" name="Picture 42">
          <a:extLst>
            <a:ext uri="{FF2B5EF4-FFF2-40B4-BE49-F238E27FC236}">
              <a16:creationId xmlns:a16="http://schemas.microsoft.com/office/drawing/2014/main" id="{93E7E075-1027-47F0-BB31-0A784002F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29393" y="3832702"/>
          <a:ext cx="172511" cy="108444"/>
        </a:xfrm>
        <a:prstGeom prst="rect">
          <a:avLst/>
        </a:prstGeom>
      </xdr:spPr>
    </xdr:pic>
    <xdr:clientData/>
  </xdr:twoCellAnchor>
  <xdr:twoCellAnchor editAs="oneCell">
    <xdr:from>
      <xdr:col>5</xdr:col>
      <xdr:colOff>9968</xdr:colOff>
      <xdr:row>23</xdr:row>
      <xdr:rowOff>34562</xdr:rowOff>
    </xdr:from>
    <xdr:to>
      <xdr:col>5</xdr:col>
      <xdr:colOff>182479</xdr:colOff>
      <xdr:row>23</xdr:row>
      <xdr:rowOff>143006</xdr:rowOff>
    </xdr:to>
    <xdr:pic>
      <xdr:nvPicPr>
        <xdr:cNvPr id="36" name="Picture 43">
          <a:extLst>
            <a:ext uri="{FF2B5EF4-FFF2-40B4-BE49-F238E27FC236}">
              <a16:creationId xmlns:a16="http://schemas.microsoft.com/office/drawing/2014/main" id="{1117DA0C-825E-4772-BA78-4CC15C030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29393" y="4187462"/>
          <a:ext cx="172511" cy="108444"/>
        </a:xfrm>
        <a:prstGeom prst="rect">
          <a:avLst/>
        </a:prstGeom>
      </xdr:spPr>
    </xdr:pic>
    <xdr:clientData/>
  </xdr:twoCellAnchor>
  <xdr:twoCellAnchor editAs="oneCell">
    <xdr:from>
      <xdr:col>3</xdr:col>
      <xdr:colOff>17710</xdr:colOff>
      <xdr:row>24</xdr:row>
      <xdr:rowOff>37356</xdr:rowOff>
    </xdr:from>
    <xdr:to>
      <xdr:col>3</xdr:col>
      <xdr:colOff>183477</xdr:colOff>
      <xdr:row>24</xdr:row>
      <xdr:rowOff>139864</xdr:rowOff>
    </xdr:to>
    <xdr:pic>
      <xdr:nvPicPr>
        <xdr:cNvPr id="37" name="Picture 44">
          <a:extLst>
            <a:ext uri="{FF2B5EF4-FFF2-40B4-BE49-F238E27FC236}">
              <a16:creationId xmlns:a16="http://schemas.microsoft.com/office/drawing/2014/main" id="{18E0FBC1-37FF-4ABF-878A-55B625FB5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84510" y="4371231"/>
          <a:ext cx="165767" cy="102508"/>
        </a:xfrm>
        <a:prstGeom prst="rect">
          <a:avLst/>
        </a:prstGeom>
      </xdr:spPr>
    </xdr:pic>
    <xdr:clientData/>
  </xdr:twoCellAnchor>
  <xdr:twoCellAnchor editAs="oneCell">
    <xdr:from>
      <xdr:col>5</xdr:col>
      <xdr:colOff>9968</xdr:colOff>
      <xdr:row>25</xdr:row>
      <xdr:rowOff>35823</xdr:rowOff>
    </xdr:from>
    <xdr:to>
      <xdr:col>5</xdr:col>
      <xdr:colOff>182479</xdr:colOff>
      <xdr:row>25</xdr:row>
      <xdr:rowOff>144681</xdr:rowOff>
    </xdr:to>
    <xdr:pic>
      <xdr:nvPicPr>
        <xdr:cNvPr id="38" name="Picture 45">
          <a:extLst>
            <a:ext uri="{FF2B5EF4-FFF2-40B4-BE49-F238E27FC236}">
              <a16:creationId xmlns:a16="http://schemas.microsoft.com/office/drawing/2014/main" id="{4971774A-EB07-4CD1-869F-F6787E86D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029393" y="4550673"/>
          <a:ext cx="172511" cy="108858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30</xdr:row>
      <xdr:rowOff>46751</xdr:rowOff>
    </xdr:from>
    <xdr:to>
      <xdr:col>3</xdr:col>
      <xdr:colOff>183477</xdr:colOff>
      <xdr:row>30</xdr:row>
      <xdr:rowOff>152657</xdr:rowOff>
    </xdr:to>
    <xdr:pic>
      <xdr:nvPicPr>
        <xdr:cNvPr id="39" name="Picture 46">
          <a:extLst>
            <a:ext uri="{FF2B5EF4-FFF2-40B4-BE49-F238E27FC236}">
              <a16:creationId xmlns:a16="http://schemas.microsoft.com/office/drawing/2014/main" id="{DA75BFEB-99DC-477A-8E7D-181FCEF18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88277" y="5466476"/>
          <a:ext cx="162000" cy="105906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35</xdr:row>
      <xdr:rowOff>39830</xdr:rowOff>
    </xdr:from>
    <xdr:to>
      <xdr:col>3</xdr:col>
      <xdr:colOff>183477</xdr:colOff>
      <xdr:row>35</xdr:row>
      <xdr:rowOff>141009</xdr:rowOff>
    </xdr:to>
    <xdr:pic>
      <xdr:nvPicPr>
        <xdr:cNvPr id="40" name="Picture 47">
          <a:extLst>
            <a:ext uri="{FF2B5EF4-FFF2-40B4-BE49-F238E27FC236}">
              <a16:creationId xmlns:a16="http://schemas.microsoft.com/office/drawing/2014/main" id="{05B1375E-2494-43AC-A7BF-44AEFE4A9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88277" y="6364430"/>
          <a:ext cx="162000" cy="101179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31</xdr:row>
      <xdr:rowOff>45509</xdr:rowOff>
    </xdr:from>
    <xdr:to>
      <xdr:col>3</xdr:col>
      <xdr:colOff>183477</xdr:colOff>
      <xdr:row>31</xdr:row>
      <xdr:rowOff>151414</xdr:rowOff>
    </xdr:to>
    <xdr:pic>
      <xdr:nvPicPr>
        <xdr:cNvPr id="41" name="Picture 48">
          <a:extLst>
            <a:ext uri="{FF2B5EF4-FFF2-40B4-BE49-F238E27FC236}">
              <a16:creationId xmlns:a16="http://schemas.microsoft.com/office/drawing/2014/main" id="{C67D3107-DEA9-4171-AD46-B58597C5B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88277" y="5646209"/>
          <a:ext cx="162000" cy="105905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33</xdr:row>
      <xdr:rowOff>39386</xdr:rowOff>
    </xdr:from>
    <xdr:to>
      <xdr:col>3</xdr:col>
      <xdr:colOff>183477</xdr:colOff>
      <xdr:row>33</xdr:row>
      <xdr:rowOff>141036</xdr:rowOff>
    </xdr:to>
    <xdr:pic>
      <xdr:nvPicPr>
        <xdr:cNvPr id="42" name="Picture 49">
          <a:extLst>
            <a:ext uri="{FF2B5EF4-FFF2-40B4-BE49-F238E27FC236}">
              <a16:creationId xmlns:a16="http://schemas.microsoft.com/office/drawing/2014/main" id="{8936B014-F259-40A3-876E-92C13E18D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88277" y="6002036"/>
          <a:ext cx="162000" cy="101650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32</xdr:row>
      <xdr:rowOff>42313</xdr:rowOff>
    </xdr:from>
    <xdr:to>
      <xdr:col>3</xdr:col>
      <xdr:colOff>183477</xdr:colOff>
      <xdr:row>32</xdr:row>
      <xdr:rowOff>141869</xdr:rowOff>
    </xdr:to>
    <xdr:pic>
      <xdr:nvPicPr>
        <xdr:cNvPr id="43" name="Picture 50">
          <a:extLst>
            <a:ext uri="{FF2B5EF4-FFF2-40B4-BE49-F238E27FC236}">
              <a16:creationId xmlns:a16="http://schemas.microsoft.com/office/drawing/2014/main" id="{F6E47A99-55F8-4250-BE3F-E9C734309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88277" y="5823988"/>
          <a:ext cx="162000" cy="99556"/>
        </a:xfrm>
        <a:prstGeom prst="rect">
          <a:avLst/>
        </a:prstGeom>
      </xdr:spPr>
    </xdr:pic>
    <xdr:clientData/>
  </xdr:twoCellAnchor>
  <xdr:twoCellAnchor editAs="oneCell">
    <xdr:from>
      <xdr:col>5</xdr:col>
      <xdr:colOff>13735</xdr:colOff>
      <xdr:row>34</xdr:row>
      <xdr:rowOff>38687</xdr:rowOff>
    </xdr:from>
    <xdr:to>
      <xdr:col>5</xdr:col>
      <xdr:colOff>182479</xdr:colOff>
      <xdr:row>34</xdr:row>
      <xdr:rowOff>144593</xdr:rowOff>
    </xdr:to>
    <xdr:pic>
      <xdr:nvPicPr>
        <xdr:cNvPr id="44" name="Picture 51">
          <a:extLst>
            <a:ext uri="{FF2B5EF4-FFF2-40B4-BE49-F238E27FC236}">
              <a16:creationId xmlns:a16="http://schemas.microsoft.com/office/drawing/2014/main" id="{85DC90AA-A120-4920-89B7-2824A06FB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033160" y="6182312"/>
          <a:ext cx="168744" cy="105906"/>
        </a:xfrm>
        <a:prstGeom prst="rect">
          <a:avLst/>
        </a:prstGeom>
      </xdr:spPr>
    </xdr:pic>
    <xdr:clientData/>
  </xdr:twoCellAnchor>
  <xdr:twoCellAnchor editAs="oneCell">
    <xdr:from>
      <xdr:col>5</xdr:col>
      <xdr:colOff>13735</xdr:colOff>
      <xdr:row>30</xdr:row>
      <xdr:rowOff>45940</xdr:rowOff>
    </xdr:from>
    <xdr:to>
      <xdr:col>5</xdr:col>
      <xdr:colOff>182479</xdr:colOff>
      <xdr:row>30</xdr:row>
      <xdr:rowOff>153469</xdr:rowOff>
    </xdr:to>
    <xdr:pic>
      <xdr:nvPicPr>
        <xdr:cNvPr id="45" name="Picture 52">
          <a:extLst>
            <a:ext uri="{FF2B5EF4-FFF2-40B4-BE49-F238E27FC236}">
              <a16:creationId xmlns:a16="http://schemas.microsoft.com/office/drawing/2014/main" id="{7495DC76-4348-4CF0-AB8D-6000F83A5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033160" y="5465665"/>
          <a:ext cx="168744" cy="107529"/>
        </a:xfrm>
        <a:prstGeom prst="rect">
          <a:avLst/>
        </a:prstGeom>
      </xdr:spPr>
    </xdr:pic>
    <xdr:clientData/>
  </xdr:twoCellAnchor>
  <xdr:twoCellAnchor editAs="oneCell">
    <xdr:from>
      <xdr:col>5</xdr:col>
      <xdr:colOff>13735</xdr:colOff>
      <xdr:row>33</xdr:row>
      <xdr:rowOff>39622</xdr:rowOff>
    </xdr:from>
    <xdr:to>
      <xdr:col>5</xdr:col>
      <xdr:colOff>182479</xdr:colOff>
      <xdr:row>33</xdr:row>
      <xdr:rowOff>140801</xdr:rowOff>
    </xdr:to>
    <xdr:pic>
      <xdr:nvPicPr>
        <xdr:cNvPr id="46" name="Picture 53">
          <a:extLst>
            <a:ext uri="{FF2B5EF4-FFF2-40B4-BE49-F238E27FC236}">
              <a16:creationId xmlns:a16="http://schemas.microsoft.com/office/drawing/2014/main" id="{3BB5DC10-B1E3-4104-8B7D-3D4F0D25F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033160" y="6002272"/>
          <a:ext cx="168744" cy="101179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34</xdr:row>
      <xdr:rowOff>37640</xdr:rowOff>
    </xdr:from>
    <xdr:to>
      <xdr:col>3</xdr:col>
      <xdr:colOff>183477</xdr:colOff>
      <xdr:row>34</xdr:row>
      <xdr:rowOff>145640</xdr:rowOff>
    </xdr:to>
    <xdr:pic>
      <xdr:nvPicPr>
        <xdr:cNvPr id="47" name="Picture 54">
          <a:extLst>
            <a:ext uri="{FF2B5EF4-FFF2-40B4-BE49-F238E27FC236}">
              <a16:creationId xmlns:a16="http://schemas.microsoft.com/office/drawing/2014/main" id="{4DA85A2C-DCFC-48DA-832E-541CC634C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88277" y="6181265"/>
          <a:ext cx="162000" cy="108000"/>
        </a:xfrm>
        <a:prstGeom prst="rect">
          <a:avLst/>
        </a:prstGeom>
      </xdr:spPr>
    </xdr:pic>
    <xdr:clientData/>
  </xdr:twoCellAnchor>
  <xdr:twoCellAnchor editAs="oneCell">
    <xdr:from>
      <xdr:col>5</xdr:col>
      <xdr:colOff>13735</xdr:colOff>
      <xdr:row>31</xdr:row>
      <xdr:rowOff>44461</xdr:rowOff>
    </xdr:from>
    <xdr:to>
      <xdr:col>5</xdr:col>
      <xdr:colOff>182479</xdr:colOff>
      <xdr:row>31</xdr:row>
      <xdr:rowOff>152461</xdr:rowOff>
    </xdr:to>
    <xdr:pic>
      <xdr:nvPicPr>
        <xdr:cNvPr id="48" name="Picture 55">
          <a:extLst>
            <a:ext uri="{FF2B5EF4-FFF2-40B4-BE49-F238E27FC236}">
              <a16:creationId xmlns:a16="http://schemas.microsoft.com/office/drawing/2014/main" id="{B2D752AF-4C1E-42CB-8AA2-1473A0B34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033160" y="5645161"/>
          <a:ext cx="168744" cy="108000"/>
        </a:xfrm>
        <a:prstGeom prst="rect">
          <a:avLst/>
        </a:prstGeom>
      </xdr:spPr>
    </xdr:pic>
    <xdr:clientData/>
  </xdr:twoCellAnchor>
  <xdr:twoCellAnchor editAs="oneCell">
    <xdr:from>
      <xdr:col>5</xdr:col>
      <xdr:colOff>13735</xdr:colOff>
      <xdr:row>32</xdr:row>
      <xdr:rowOff>42314</xdr:rowOff>
    </xdr:from>
    <xdr:to>
      <xdr:col>5</xdr:col>
      <xdr:colOff>182479</xdr:colOff>
      <xdr:row>32</xdr:row>
      <xdr:rowOff>141869</xdr:rowOff>
    </xdr:to>
    <xdr:pic>
      <xdr:nvPicPr>
        <xdr:cNvPr id="49" name="Picture 56">
          <a:extLst>
            <a:ext uri="{FF2B5EF4-FFF2-40B4-BE49-F238E27FC236}">
              <a16:creationId xmlns:a16="http://schemas.microsoft.com/office/drawing/2014/main" id="{D24E9DBD-3DB5-4AA3-B9A5-31C41FD86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033160" y="5823989"/>
          <a:ext cx="168744" cy="99555"/>
        </a:xfrm>
        <a:prstGeom prst="rect">
          <a:avLst/>
        </a:prstGeom>
      </xdr:spPr>
    </xdr:pic>
    <xdr:clientData/>
  </xdr:twoCellAnchor>
  <xdr:twoCellAnchor editAs="oneCell">
    <xdr:from>
      <xdr:col>5</xdr:col>
      <xdr:colOff>13735</xdr:colOff>
      <xdr:row>35</xdr:row>
      <xdr:rowOff>40642</xdr:rowOff>
    </xdr:from>
    <xdr:to>
      <xdr:col>5</xdr:col>
      <xdr:colOff>182479</xdr:colOff>
      <xdr:row>35</xdr:row>
      <xdr:rowOff>140197</xdr:rowOff>
    </xdr:to>
    <xdr:pic>
      <xdr:nvPicPr>
        <xdr:cNvPr id="50" name="Picture 57">
          <a:extLst>
            <a:ext uri="{FF2B5EF4-FFF2-40B4-BE49-F238E27FC236}">
              <a16:creationId xmlns:a16="http://schemas.microsoft.com/office/drawing/2014/main" id="{FD29409E-6AB8-41A8-B7F9-EF661EAAD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033160" y="6365242"/>
          <a:ext cx="168744" cy="99555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39</xdr:row>
      <xdr:rowOff>39631</xdr:rowOff>
    </xdr:from>
    <xdr:to>
      <xdr:col>3</xdr:col>
      <xdr:colOff>183477</xdr:colOff>
      <xdr:row>39</xdr:row>
      <xdr:rowOff>141281</xdr:rowOff>
    </xdr:to>
    <xdr:pic>
      <xdr:nvPicPr>
        <xdr:cNvPr id="51" name="Picture 58">
          <a:extLst>
            <a:ext uri="{FF2B5EF4-FFF2-40B4-BE49-F238E27FC236}">
              <a16:creationId xmlns:a16="http://schemas.microsoft.com/office/drawing/2014/main" id="{F7196592-A86B-4A47-9358-E282B9888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88277" y="7088131"/>
          <a:ext cx="162000" cy="101650"/>
        </a:xfrm>
        <a:prstGeom prst="rect">
          <a:avLst/>
        </a:prstGeom>
      </xdr:spPr>
    </xdr:pic>
    <xdr:clientData/>
  </xdr:twoCellAnchor>
  <xdr:twoCellAnchor editAs="oneCell">
    <xdr:from>
      <xdr:col>5</xdr:col>
      <xdr:colOff>14129</xdr:colOff>
      <xdr:row>39</xdr:row>
      <xdr:rowOff>40046</xdr:rowOff>
    </xdr:from>
    <xdr:to>
      <xdr:col>5</xdr:col>
      <xdr:colOff>182479</xdr:colOff>
      <xdr:row>39</xdr:row>
      <xdr:rowOff>140866</xdr:rowOff>
    </xdr:to>
    <xdr:pic>
      <xdr:nvPicPr>
        <xdr:cNvPr id="52" name="Picture 59">
          <a:extLst>
            <a:ext uri="{FF2B5EF4-FFF2-40B4-BE49-F238E27FC236}">
              <a16:creationId xmlns:a16="http://schemas.microsoft.com/office/drawing/2014/main" id="{269D137E-096A-466E-B4C2-CAE77A258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033554" y="7088546"/>
          <a:ext cx="168350" cy="100820"/>
        </a:xfrm>
        <a:prstGeom prst="rect">
          <a:avLst/>
        </a:prstGeom>
      </xdr:spPr>
    </xdr:pic>
    <xdr:clientData/>
  </xdr:twoCellAnchor>
  <xdr:twoCellAnchor editAs="oneCell">
    <xdr:from>
      <xdr:col>5</xdr:col>
      <xdr:colOff>14129</xdr:colOff>
      <xdr:row>41</xdr:row>
      <xdr:rowOff>45156</xdr:rowOff>
    </xdr:from>
    <xdr:to>
      <xdr:col>5</xdr:col>
      <xdr:colOff>182479</xdr:colOff>
      <xdr:row>41</xdr:row>
      <xdr:rowOff>153156</xdr:rowOff>
    </xdr:to>
    <xdr:pic>
      <xdr:nvPicPr>
        <xdr:cNvPr id="53" name="Picture 60">
          <a:extLst>
            <a:ext uri="{FF2B5EF4-FFF2-40B4-BE49-F238E27FC236}">
              <a16:creationId xmlns:a16="http://schemas.microsoft.com/office/drawing/2014/main" id="{5B244402-B972-4403-B62B-44BCC4078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033554" y="7455606"/>
          <a:ext cx="168350" cy="108000"/>
        </a:xfrm>
        <a:prstGeom prst="rect">
          <a:avLst/>
        </a:prstGeom>
      </xdr:spPr>
    </xdr:pic>
    <xdr:clientData/>
  </xdr:twoCellAnchor>
  <xdr:twoCellAnchor editAs="oneCell">
    <xdr:from>
      <xdr:col>5</xdr:col>
      <xdr:colOff>14129</xdr:colOff>
      <xdr:row>40</xdr:row>
      <xdr:rowOff>40802</xdr:rowOff>
    </xdr:from>
    <xdr:to>
      <xdr:col>5</xdr:col>
      <xdr:colOff>182479</xdr:colOff>
      <xdr:row>40</xdr:row>
      <xdr:rowOff>139998</xdr:rowOff>
    </xdr:to>
    <xdr:pic>
      <xdr:nvPicPr>
        <xdr:cNvPr id="54" name="Picture 61">
          <a:extLst>
            <a:ext uri="{FF2B5EF4-FFF2-40B4-BE49-F238E27FC236}">
              <a16:creationId xmlns:a16="http://schemas.microsoft.com/office/drawing/2014/main" id="{A0BB9EA5-066D-4F57-8CB1-213DD37F0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033554" y="7270277"/>
          <a:ext cx="168350" cy="99196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41</xdr:row>
      <xdr:rowOff>45156</xdr:rowOff>
    </xdr:from>
    <xdr:to>
      <xdr:col>3</xdr:col>
      <xdr:colOff>183477</xdr:colOff>
      <xdr:row>41</xdr:row>
      <xdr:rowOff>153156</xdr:rowOff>
    </xdr:to>
    <xdr:pic>
      <xdr:nvPicPr>
        <xdr:cNvPr id="55" name="Picture 62">
          <a:extLst>
            <a:ext uri="{FF2B5EF4-FFF2-40B4-BE49-F238E27FC236}">
              <a16:creationId xmlns:a16="http://schemas.microsoft.com/office/drawing/2014/main" id="{735BEE01-F415-4D22-957E-84EDD728A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88277" y="7455606"/>
          <a:ext cx="162000" cy="108000"/>
        </a:xfrm>
        <a:prstGeom prst="rect">
          <a:avLst/>
        </a:prstGeom>
      </xdr:spPr>
    </xdr:pic>
    <xdr:clientData/>
  </xdr:twoCellAnchor>
  <xdr:twoCellAnchor editAs="oneCell">
    <xdr:from>
      <xdr:col>5</xdr:col>
      <xdr:colOff>14129</xdr:colOff>
      <xdr:row>44</xdr:row>
      <xdr:rowOff>44318</xdr:rowOff>
    </xdr:from>
    <xdr:to>
      <xdr:col>5</xdr:col>
      <xdr:colOff>182479</xdr:colOff>
      <xdr:row>44</xdr:row>
      <xdr:rowOff>152318</xdr:rowOff>
    </xdr:to>
    <xdr:pic>
      <xdr:nvPicPr>
        <xdr:cNvPr id="56" name="Picture 63">
          <a:extLst>
            <a:ext uri="{FF2B5EF4-FFF2-40B4-BE49-F238E27FC236}">
              <a16:creationId xmlns:a16="http://schemas.microsoft.com/office/drawing/2014/main" id="{AB898852-0E05-4C06-B6F7-8B5AA8155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033554" y="7997693"/>
          <a:ext cx="168350" cy="108000"/>
        </a:xfrm>
        <a:prstGeom prst="rect">
          <a:avLst/>
        </a:prstGeom>
      </xdr:spPr>
    </xdr:pic>
    <xdr:clientData/>
  </xdr:twoCellAnchor>
  <xdr:twoCellAnchor editAs="oneCell">
    <xdr:from>
      <xdr:col>5</xdr:col>
      <xdr:colOff>14129</xdr:colOff>
      <xdr:row>42</xdr:row>
      <xdr:rowOff>40775</xdr:rowOff>
    </xdr:from>
    <xdr:to>
      <xdr:col>5</xdr:col>
      <xdr:colOff>182479</xdr:colOff>
      <xdr:row>42</xdr:row>
      <xdr:rowOff>141595</xdr:rowOff>
    </xdr:to>
    <xdr:pic>
      <xdr:nvPicPr>
        <xdr:cNvPr id="57" name="Picture 64">
          <a:extLst>
            <a:ext uri="{FF2B5EF4-FFF2-40B4-BE49-F238E27FC236}">
              <a16:creationId xmlns:a16="http://schemas.microsoft.com/office/drawing/2014/main" id="{9719FA2D-0198-4C8C-847E-92678F18A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033554" y="7632200"/>
          <a:ext cx="168350" cy="100820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43</xdr:row>
      <xdr:rowOff>43832</xdr:rowOff>
    </xdr:from>
    <xdr:to>
      <xdr:col>3</xdr:col>
      <xdr:colOff>183477</xdr:colOff>
      <xdr:row>43</xdr:row>
      <xdr:rowOff>151002</xdr:rowOff>
    </xdr:to>
    <xdr:pic>
      <xdr:nvPicPr>
        <xdr:cNvPr id="58" name="Picture 65">
          <a:extLst>
            <a:ext uri="{FF2B5EF4-FFF2-40B4-BE49-F238E27FC236}">
              <a16:creationId xmlns:a16="http://schemas.microsoft.com/office/drawing/2014/main" id="{538396E5-C18E-4ED4-B6DD-634354BE6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88277" y="7816232"/>
          <a:ext cx="162000" cy="107170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40</xdr:row>
      <xdr:rowOff>39575</xdr:rowOff>
    </xdr:from>
    <xdr:to>
      <xdr:col>3</xdr:col>
      <xdr:colOff>183477</xdr:colOff>
      <xdr:row>40</xdr:row>
      <xdr:rowOff>141225</xdr:rowOff>
    </xdr:to>
    <xdr:pic>
      <xdr:nvPicPr>
        <xdr:cNvPr id="59" name="Picture 66">
          <a:extLst>
            <a:ext uri="{FF2B5EF4-FFF2-40B4-BE49-F238E27FC236}">
              <a16:creationId xmlns:a16="http://schemas.microsoft.com/office/drawing/2014/main" id="{0EE4FB7C-E583-432A-9A8C-F751C5A96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88277" y="7269050"/>
          <a:ext cx="162000" cy="101650"/>
        </a:xfrm>
        <a:prstGeom prst="rect">
          <a:avLst/>
        </a:prstGeom>
      </xdr:spPr>
    </xdr:pic>
    <xdr:clientData/>
  </xdr:twoCellAnchor>
  <xdr:twoCellAnchor editAs="oneCell">
    <xdr:from>
      <xdr:col>5</xdr:col>
      <xdr:colOff>14129</xdr:colOff>
      <xdr:row>43</xdr:row>
      <xdr:rowOff>43417</xdr:rowOff>
    </xdr:from>
    <xdr:to>
      <xdr:col>5</xdr:col>
      <xdr:colOff>182479</xdr:colOff>
      <xdr:row>43</xdr:row>
      <xdr:rowOff>151417</xdr:rowOff>
    </xdr:to>
    <xdr:pic>
      <xdr:nvPicPr>
        <xdr:cNvPr id="60" name="Picture 67">
          <a:extLst>
            <a:ext uri="{FF2B5EF4-FFF2-40B4-BE49-F238E27FC236}">
              <a16:creationId xmlns:a16="http://schemas.microsoft.com/office/drawing/2014/main" id="{EE30C4F4-C310-4314-8E15-230CB227C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033554" y="7815817"/>
          <a:ext cx="168350" cy="108000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42</xdr:row>
      <xdr:rowOff>41587</xdr:rowOff>
    </xdr:from>
    <xdr:to>
      <xdr:col>3</xdr:col>
      <xdr:colOff>183477</xdr:colOff>
      <xdr:row>42</xdr:row>
      <xdr:rowOff>140783</xdr:rowOff>
    </xdr:to>
    <xdr:pic>
      <xdr:nvPicPr>
        <xdr:cNvPr id="61" name="Picture 68">
          <a:extLst>
            <a:ext uri="{FF2B5EF4-FFF2-40B4-BE49-F238E27FC236}">
              <a16:creationId xmlns:a16="http://schemas.microsoft.com/office/drawing/2014/main" id="{C85E6E8F-E6A8-4624-8EFF-AC90825CE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88277" y="7633012"/>
          <a:ext cx="162000" cy="99196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44</xdr:row>
      <xdr:rowOff>45545</xdr:rowOff>
    </xdr:from>
    <xdr:to>
      <xdr:col>3</xdr:col>
      <xdr:colOff>183477</xdr:colOff>
      <xdr:row>44</xdr:row>
      <xdr:rowOff>151091</xdr:rowOff>
    </xdr:to>
    <xdr:pic>
      <xdr:nvPicPr>
        <xdr:cNvPr id="62" name="Picture 69">
          <a:extLst>
            <a:ext uri="{FF2B5EF4-FFF2-40B4-BE49-F238E27FC236}">
              <a16:creationId xmlns:a16="http://schemas.microsoft.com/office/drawing/2014/main" id="{050A86FC-A0C5-478C-B823-DDB74BF3B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88277" y="7998920"/>
          <a:ext cx="162000" cy="105546"/>
        </a:xfrm>
        <a:prstGeom prst="rect">
          <a:avLst/>
        </a:prstGeom>
      </xdr:spPr>
    </xdr:pic>
    <xdr:clientData/>
  </xdr:twoCellAnchor>
  <xdr:twoCellAnchor editAs="oneCell">
    <xdr:from>
      <xdr:col>5</xdr:col>
      <xdr:colOff>13601</xdr:colOff>
      <xdr:row>51</xdr:row>
      <xdr:rowOff>37127</xdr:rowOff>
    </xdr:from>
    <xdr:to>
      <xdr:col>5</xdr:col>
      <xdr:colOff>182479</xdr:colOff>
      <xdr:row>51</xdr:row>
      <xdr:rowOff>144597</xdr:rowOff>
    </xdr:to>
    <xdr:pic>
      <xdr:nvPicPr>
        <xdr:cNvPr id="63" name="Picture 70">
          <a:extLst>
            <a:ext uri="{FF2B5EF4-FFF2-40B4-BE49-F238E27FC236}">
              <a16:creationId xmlns:a16="http://schemas.microsoft.com/office/drawing/2014/main" id="{3F2F1D6F-C90E-45D2-A124-AA8E07CE8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033026" y="9257327"/>
          <a:ext cx="168878" cy="107470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49</xdr:row>
      <xdr:rowOff>33813</xdr:rowOff>
    </xdr:from>
    <xdr:to>
      <xdr:col>3</xdr:col>
      <xdr:colOff>183477</xdr:colOff>
      <xdr:row>49</xdr:row>
      <xdr:rowOff>141813</xdr:rowOff>
    </xdr:to>
    <xdr:pic>
      <xdr:nvPicPr>
        <xdr:cNvPr id="64" name="Picture 71">
          <a:extLst>
            <a:ext uri="{FF2B5EF4-FFF2-40B4-BE49-F238E27FC236}">
              <a16:creationId xmlns:a16="http://schemas.microsoft.com/office/drawing/2014/main" id="{BC70C9DB-A8AB-4298-89D4-9A3214461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88277" y="8892063"/>
          <a:ext cx="162000" cy="108000"/>
        </a:xfrm>
        <a:prstGeom prst="rect">
          <a:avLst/>
        </a:prstGeom>
      </xdr:spPr>
    </xdr:pic>
    <xdr:clientData/>
  </xdr:twoCellAnchor>
  <xdr:twoCellAnchor editAs="oneCell">
    <xdr:from>
      <xdr:col>3</xdr:col>
      <xdr:colOff>22096</xdr:colOff>
      <xdr:row>51</xdr:row>
      <xdr:rowOff>36328</xdr:rowOff>
    </xdr:from>
    <xdr:to>
      <xdr:col>3</xdr:col>
      <xdr:colOff>183477</xdr:colOff>
      <xdr:row>51</xdr:row>
      <xdr:rowOff>145397</xdr:rowOff>
    </xdr:to>
    <xdr:pic>
      <xdr:nvPicPr>
        <xdr:cNvPr id="65" name="Picture 72">
          <a:extLst>
            <a:ext uri="{FF2B5EF4-FFF2-40B4-BE49-F238E27FC236}">
              <a16:creationId xmlns:a16="http://schemas.microsoft.com/office/drawing/2014/main" id="{5F563392-B9AD-4D4C-9F71-2CFA1ABCF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88896" y="9256528"/>
          <a:ext cx="161381" cy="109069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48</xdr:row>
      <xdr:rowOff>38119</xdr:rowOff>
    </xdr:from>
    <xdr:to>
      <xdr:col>3</xdr:col>
      <xdr:colOff>183477</xdr:colOff>
      <xdr:row>48</xdr:row>
      <xdr:rowOff>139741</xdr:rowOff>
    </xdr:to>
    <xdr:pic>
      <xdr:nvPicPr>
        <xdr:cNvPr id="66" name="Picture 73">
          <a:extLst>
            <a:ext uri="{FF2B5EF4-FFF2-40B4-BE49-F238E27FC236}">
              <a16:creationId xmlns:a16="http://schemas.microsoft.com/office/drawing/2014/main" id="{0A04F456-B762-449A-A3B5-B04E64BA9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88277" y="8715394"/>
          <a:ext cx="162000" cy="101622"/>
        </a:xfrm>
        <a:prstGeom prst="rect">
          <a:avLst/>
        </a:prstGeom>
      </xdr:spPr>
    </xdr:pic>
    <xdr:clientData/>
  </xdr:twoCellAnchor>
  <xdr:twoCellAnchor editAs="oneCell">
    <xdr:from>
      <xdr:col>5</xdr:col>
      <xdr:colOff>14129</xdr:colOff>
      <xdr:row>48</xdr:row>
      <xdr:rowOff>37571</xdr:rowOff>
    </xdr:from>
    <xdr:to>
      <xdr:col>5</xdr:col>
      <xdr:colOff>182479</xdr:colOff>
      <xdr:row>48</xdr:row>
      <xdr:rowOff>140290</xdr:rowOff>
    </xdr:to>
    <xdr:pic>
      <xdr:nvPicPr>
        <xdr:cNvPr id="67" name="Picture 74">
          <a:extLst>
            <a:ext uri="{FF2B5EF4-FFF2-40B4-BE49-F238E27FC236}">
              <a16:creationId xmlns:a16="http://schemas.microsoft.com/office/drawing/2014/main" id="{53636CF3-FF06-427D-997E-1680329AD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033554" y="8714846"/>
          <a:ext cx="168350" cy="102719"/>
        </a:xfrm>
        <a:prstGeom prst="rect">
          <a:avLst/>
        </a:prstGeom>
      </xdr:spPr>
    </xdr:pic>
    <xdr:clientData/>
  </xdr:twoCellAnchor>
  <xdr:twoCellAnchor editAs="oneCell">
    <xdr:from>
      <xdr:col>5</xdr:col>
      <xdr:colOff>14129</xdr:colOff>
      <xdr:row>50</xdr:row>
      <xdr:rowOff>37048</xdr:rowOff>
    </xdr:from>
    <xdr:to>
      <xdr:col>5</xdr:col>
      <xdr:colOff>182479</xdr:colOff>
      <xdr:row>50</xdr:row>
      <xdr:rowOff>144518</xdr:rowOff>
    </xdr:to>
    <xdr:pic>
      <xdr:nvPicPr>
        <xdr:cNvPr id="68" name="Picture 75">
          <a:extLst>
            <a:ext uri="{FF2B5EF4-FFF2-40B4-BE49-F238E27FC236}">
              <a16:creationId xmlns:a16="http://schemas.microsoft.com/office/drawing/2014/main" id="{DCFF61A1-41CA-4AA0-86F6-441DA24A7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033554" y="9076273"/>
          <a:ext cx="168350" cy="107470"/>
        </a:xfrm>
        <a:prstGeom prst="rect">
          <a:avLst/>
        </a:prstGeom>
      </xdr:spPr>
    </xdr:pic>
    <xdr:clientData/>
  </xdr:twoCellAnchor>
  <xdr:twoCellAnchor editAs="oneCell">
    <xdr:from>
      <xdr:col>5</xdr:col>
      <xdr:colOff>14129</xdr:colOff>
      <xdr:row>49</xdr:row>
      <xdr:rowOff>34078</xdr:rowOff>
    </xdr:from>
    <xdr:to>
      <xdr:col>5</xdr:col>
      <xdr:colOff>182479</xdr:colOff>
      <xdr:row>49</xdr:row>
      <xdr:rowOff>141549</xdr:rowOff>
    </xdr:to>
    <xdr:pic>
      <xdr:nvPicPr>
        <xdr:cNvPr id="69" name="Picture 76">
          <a:extLst>
            <a:ext uri="{FF2B5EF4-FFF2-40B4-BE49-F238E27FC236}">
              <a16:creationId xmlns:a16="http://schemas.microsoft.com/office/drawing/2014/main" id="{7A9ACB4B-85F0-4F74-AF63-3F2AA9F7D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033554" y="8892328"/>
          <a:ext cx="168350" cy="107471"/>
        </a:xfrm>
        <a:prstGeom prst="rect">
          <a:avLst/>
        </a:prstGeom>
      </xdr:spPr>
    </xdr:pic>
    <xdr:clientData/>
  </xdr:twoCellAnchor>
  <xdr:twoCellAnchor editAs="oneCell">
    <xdr:from>
      <xdr:col>5</xdr:col>
      <xdr:colOff>14411</xdr:colOff>
      <xdr:row>53</xdr:row>
      <xdr:rowOff>41922</xdr:rowOff>
    </xdr:from>
    <xdr:to>
      <xdr:col>5</xdr:col>
      <xdr:colOff>182479</xdr:colOff>
      <xdr:row>53</xdr:row>
      <xdr:rowOff>149894</xdr:rowOff>
    </xdr:to>
    <xdr:pic>
      <xdr:nvPicPr>
        <xdr:cNvPr id="70" name="Picture 77">
          <a:extLst>
            <a:ext uri="{FF2B5EF4-FFF2-40B4-BE49-F238E27FC236}">
              <a16:creationId xmlns:a16="http://schemas.microsoft.com/office/drawing/2014/main" id="{401BA989-B078-446A-9CBC-57AB9C479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033836" y="9624072"/>
          <a:ext cx="168068" cy="107972"/>
        </a:xfrm>
        <a:prstGeom prst="rect">
          <a:avLst/>
        </a:prstGeom>
      </xdr:spPr>
    </xdr:pic>
    <xdr:clientData/>
  </xdr:twoCellAnchor>
  <xdr:twoCellAnchor editAs="oneCell">
    <xdr:from>
      <xdr:col>3</xdr:col>
      <xdr:colOff>21027</xdr:colOff>
      <xdr:row>52</xdr:row>
      <xdr:rowOff>36523</xdr:rowOff>
    </xdr:from>
    <xdr:to>
      <xdr:col>3</xdr:col>
      <xdr:colOff>183477</xdr:colOff>
      <xdr:row>52</xdr:row>
      <xdr:rowOff>145592</xdr:rowOff>
    </xdr:to>
    <xdr:pic>
      <xdr:nvPicPr>
        <xdr:cNvPr id="71" name="Picture 78">
          <a:extLst>
            <a:ext uri="{FF2B5EF4-FFF2-40B4-BE49-F238E27FC236}">
              <a16:creationId xmlns:a16="http://schemas.microsoft.com/office/drawing/2014/main" id="{972A8049-9B25-442F-9B5C-989AE60E2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87827" y="9437698"/>
          <a:ext cx="162450" cy="109069"/>
        </a:xfrm>
        <a:prstGeom prst="rect">
          <a:avLst/>
        </a:prstGeom>
      </xdr:spPr>
    </xdr:pic>
    <xdr:clientData/>
  </xdr:twoCellAnchor>
  <xdr:twoCellAnchor editAs="oneCell">
    <xdr:from>
      <xdr:col>5</xdr:col>
      <xdr:colOff>14129</xdr:colOff>
      <xdr:row>52</xdr:row>
      <xdr:rowOff>37322</xdr:rowOff>
    </xdr:from>
    <xdr:to>
      <xdr:col>5</xdr:col>
      <xdr:colOff>182479</xdr:colOff>
      <xdr:row>52</xdr:row>
      <xdr:rowOff>144792</xdr:rowOff>
    </xdr:to>
    <xdr:pic>
      <xdr:nvPicPr>
        <xdr:cNvPr id="72" name="Picture 79">
          <a:extLst>
            <a:ext uri="{FF2B5EF4-FFF2-40B4-BE49-F238E27FC236}">
              <a16:creationId xmlns:a16="http://schemas.microsoft.com/office/drawing/2014/main" id="{A18924F9-3938-455C-9DD2-FA983287C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033554" y="9438497"/>
          <a:ext cx="168350" cy="107470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53</xdr:row>
      <xdr:rowOff>41638</xdr:rowOff>
    </xdr:from>
    <xdr:to>
      <xdr:col>3</xdr:col>
      <xdr:colOff>183477</xdr:colOff>
      <xdr:row>53</xdr:row>
      <xdr:rowOff>150178</xdr:rowOff>
    </xdr:to>
    <xdr:pic>
      <xdr:nvPicPr>
        <xdr:cNvPr id="73" name="Picture 80">
          <a:extLst>
            <a:ext uri="{FF2B5EF4-FFF2-40B4-BE49-F238E27FC236}">
              <a16:creationId xmlns:a16="http://schemas.microsoft.com/office/drawing/2014/main" id="{EAECBA23-6B7B-4BA1-9D86-833C48B35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88277" y="9623788"/>
          <a:ext cx="162000" cy="108540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50</xdr:row>
      <xdr:rowOff>36797</xdr:rowOff>
    </xdr:from>
    <xdr:to>
      <xdr:col>3</xdr:col>
      <xdr:colOff>183477</xdr:colOff>
      <xdr:row>50</xdr:row>
      <xdr:rowOff>144769</xdr:rowOff>
    </xdr:to>
    <xdr:pic>
      <xdr:nvPicPr>
        <xdr:cNvPr id="74" name="Picture 81">
          <a:extLst>
            <a:ext uri="{FF2B5EF4-FFF2-40B4-BE49-F238E27FC236}">
              <a16:creationId xmlns:a16="http://schemas.microsoft.com/office/drawing/2014/main" id="{F3E3B492-29F1-4DA5-829D-C6F72D149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88277" y="9076022"/>
          <a:ext cx="162000" cy="107972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57</xdr:row>
      <xdr:rowOff>43307</xdr:rowOff>
    </xdr:from>
    <xdr:to>
      <xdr:col>3</xdr:col>
      <xdr:colOff>183477</xdr:colOff>
      <xdr:row>57</xdr:row>
      <xdr:rowOff>150241</xdr:rowOff>
    </xdr:to>
    <xdr:pic>
      <xdr:nvPicPr>
        <xdr:cNvPr id="75" name="Picture 82">
          <a:extLst>
            <a:ext uri="{FF2B5EF4-FFF2-40B4-BE49-F238E27FC236}">
              <a16:creationId xmlns:a16="http://schemas.microsoft.com/office/drawing/2014/main" id="{A6580977-BA8A-4766-BA40-432946E18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88277" y="10349357"/>
          <a:ext cx="162000" cy="106934"/>
        </a:xfrm>
        <a:prstGeom prst="rect">
          <a:avLst/>
        </a:prstGeom>
      </xdr:spPr>
    </xdr:pic>
    <xdr:clientData/>
  </xdr:twoCellAnchor>
  <xdr:twoCellAnchor editAs="oneCell">
    <xdr:from>
      <xdr:col>5</xdr:col>
      <xdr:colOff>14129</xdr:colOff>
      <xdr:row>57</xdr:row>
      <xdr:rowOff>43307</xdr:rowOff>
    </xdr:from>
    <xdr:to>
      <xdr:col>5</xdr:col>
      <xdr:colOff>182479</xdr:colOff>
      <xdr:row>57</xdr:row>
      <xdr:rowOff>150241</xdr:rowOff>
    </xdr:to>
    <xdr:pic>
      <xdr:nvPicPr>
        <xdr:cNvPr id="76" name="Picture 83">
          <a:extLst>
            <a:ext uri="{FF2B5EF4-FFF2-40B4-BE49-F238E27FC236}">
              <a16:creationId xmlns:a16="http://schemas.microsoft.com/office/drawing/2014/main" id="{654D07BD-957D-40E4-824A-00AA3BF2E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033554" y="10349357"/>
          <a:ext cx="168350" cy="106934"/>
        </a:xfrm>
        <a:prstGeom prst="rect">
          <a:avLst/>
        </a:prstGeom>
      </xdr:spPr>
    </xdr:pic>
    <xdr:clientData/>
  </xdr:twoCellAnchor>
  <xdr:twoCellAnchor editAs="oneCell">
    <xdr:from>
      <xdr:col>5</xdr:col>
      <xdr:colOff>13883</xdr:colOff>
      <xdr:row>61</xdr:row>
      <xdr:rowOff>39615</xdr:rowOff>
    </xdr:from>
    <xdr:to>
      <xdr:col>5</xdr:col>
      <xdr:colOff>182479</xdr:colOff>
      <xdr:row>61</xdr:row>
      <xdr:rowOff>140199</xdr:rowOff>
    </xdr:to>
    <xdr:pic>
      <xdr:nvPicPr>
        <xdr:cNvPr id="77" name="Picture 84">
          <a:extLst>
            <a:ext uri="{FF2B5EF4-FFF2-40B4-BE49-F238E27FC236}">
              <a16:creationId xmlns:a16="http://schemas.microsoft.com/office/drawing/2014/main" id="{06DC929F-E4BD-4576-8ED0-F4A811E0C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033308" y="11069565"/>
          <a:ext cx="168596" cy="100584"/>
        </a:xfrm>
        <a:prstGeom prst="rect">
          <a:avLst/>
        </a:prstGeom>
      </xdr:spPr>
    </xdr:pic>
    <xdr:clientData/>
  </xdr:twoCellAnchor>
  <xdr:twoCellAnchor editAs="oneCell">
    <xdr:from>
      <xdr:col>5</xdr:col>
      <xdr:colOff>13883</xdr:colOff>
      <xdr:row>58</xdr:row>
      <xdr:rowOff>42627</xdr:rowOff>
    </xdr:from>
    <xdr:to>
      <xdr:col>5</xdr:col>
      <xdr:colOff>182479</xdr:colOff>
      <xdr:row>58</xdr:row>
      <xdr:rowOff>149561</xdr:rowOff>
    </xdr:to>
    <xdr:pic>
      <xdr:nvPicPr>
        <xdr:cNvPr id="78" name="Picture 85">
          <a:extLst>
            <a:ext uri="{FF2B5EF4-FFF2-40B4-BE49-F238E27FC236}">
              <a16:creationId xmlns:a16="http://schemas.microsoft.com/office/drawing/2014/main" id="{89DD204F-2E03-436D-8E07-DC42DF7D3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033308" y="10529652"/>
          <a:ext cx="168596" cy="106934"/>
        </a:xfrm>
        <a:prstGeom prst="rect">
          <a:avLst/>
        </a:prstGeom>
      </xdr:spPr>
    </xdr:pic>
    <xdr:clientData/>
  </xdr:twoCellAnchor>
  <xdr:twoCellAnchor editAs="oneCell">
    <xdr:from>
      <xdr:col>5</xdr:col>
      <xdr:colOff>13022</xdr:colOff>
      <xdr:row>62</xdr:row>
      <xdr:rowOff>40927</xdr:rowOff>
    </xdr:from>
    <xdr:to>
      <xdr:col>5</xdr:col>
      <xdr:colOff>182479</xdr:colOff>
      <xdr:row>62</xdr:row>
      <xdr:rowOff>142577</xdr:rowOff>
    </xdr:to>
    <xdr:pic>
      <xdr:nvPicPr>
        <xdr:cNvPr id="79" name="Picture 86">
          <a:extLst>
            <a:ext uri="{FF2B5EF4-FFF2-40B4-BE49-F238E27FC236}">
              <a16:creationId xmlns:a16="http://schemas.microsoft.com/office/drawing/2014/main" id="{5E30C909-9DE8-4E1A-A481-48687EBCD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032447" y="11251852"/>
          <a:ext cx="169457" cy="101650"/>
        </a:xfrm>
        <a:prstGeom prst="rect">
          <a:avLst/>
        </a:prstGeom>
      </xdr:spPr>
    </xdr:pic>
    <xdr:clientData/>
  </xdr:twoCellAnchor>
  <xdr:twoCellAnchor editAs="oneCell">
    <xdr:from>
      <xdr:col>3</xdr:col>
      <xdr:colOff>20370</xdr:colOff>
      <xdr:row>61</xdr:row>
      <xdr:rowOff>39615</xdr:rowOff>
    </xdr:from>
    <xdr:to>
      <xdr:col>3</xdr:col>
      <xdr:colOff>183477</xdr:colOff>
      <xdr:row>61</xdr:row>
      <xdr:rowOff>140199</xdr:rowOff>
    </xdr:to>
    <xdr:pic>
      <xdr:nvPicPr>
        <xdr:cNvPr id="80" name="Picture 87">
          <a:extLst>
            <a:ext uri="{FF2B5EF4-FFF2-40B4-BE49-F238E27FC236}">
              <a16:creationId xmlns:a16="http://schemas.microsoft.com/office/drawing/2014/main" id="{D2C1EDBD-671A-40B6-8A1B-2F59099EA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87170" y="11069565"/>
          <a:ext cx="163107" cy="100584"/>
        </a:xfrm>
        <a:prstGeom prst="rect">
          <a:avLst/>
        </a:prstGeom>
      </xdr:spPr>
    </xdr:pic>
    <xdr:clientData/>
  </xdr:twoCellAnchor>
  <xdr:twoCellAnchor editAs="oneCell">
    <xdr:from>
      <xdr:col>5</xdr:col>
      <xdr:colOff>14129</xdr:colOff>
      <xdr:row>59</xdr:row>
      <xdr:rowOff>38826</xdr:rowOff>
    </xdr:from>
    <xdr:to>
      <xdr:col>5</xdr:col>
      <xdr:colOff>182479</xdr:colOff>
      <xdr:row>59</xdr:row>
      <xdr:rowOff>145760</xdr:rowOff>
    </xdr:to>
    <xdr:pic>
      <xdr:nvPicPr>
        <xdr:cNvPr id="81" name="Picture 88">
          <a:extLst>
            <a:ext uri="{FF2B5EF4-FFF2-40B4-BE49-F238E27FC236}">
              <a16:creationId xmlns:a16="http://schemas.microsoft.com/office/drawing/2014/main" id="{48D93645-E241-4D08-B12A-47FBE432B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033554" y="10706826"/>
          <a:ext cx="168350" cy="106934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60</xdr:row>
      <xdr:rowOff>39378</xdr:rowOff>
    </xdr:from>
    <xdr:to>
      <xdr:col>3</xdr:col>
      <xdr:colOff>183477</xdr:colOff>
      <xdr:row>60</xdr:row>
      <xdr:rowOff>141028</xdr:rowOff>
    </xdr:to>
    <xdr:pic>
      <xdr:nvPicPr>
        <xdr:cNvPr id="82" name="Picture 89">
          <a:extLst>
            <a:ext uri="{FF2B5EF4-FFF2-40B4-BE49-F238E27FC236}">
              <a16:creationId xmlns:a16="http://schemas.microsoft.com/office/drawing/2014/main" id="{5B41D9FD-5478-4A2D-904B-2170089B6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88277" y="10888353"/>
          <a:ext cx="162000" cy="101650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59</xdr:row>
      <xdr:rowOff>38293</xdr:rowOff>
    </xdr:from>
    <xdr:to>
      <xdr:col>3</xdr:col>
      <xdr:colOff>183477</xdr:colOff>
      <xdr:row>59</xdr:row>
      <xdr:rowOff>139943</xdr:rowOff>
    </xdr:to>
    <xdr:pic>
      <xdr:nvPicPr>
        <xdr:cNvPr id="83" name="Picture 90">
          <a:extLst>
            <a:ext uri="{FF2B5EF4-FFF2-40B4-BE49-F238E27FC236}">
              <a16:creationId xmlns:a16="http://schemas.microsoft.com/office/drawing/2014/main" id="{B70A99FB-1486-48FF-BF10-26F08BBC3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88277" y="10706293"/>
          <a:ext cx="162000" cy="101650"/>
        </a:xfrm>
        <a:prstGeom prst="rect">
          <a:avLst/>
        </a:prstGeom>
      </xdr:spPr>
    </xdr:pic>
    <xdr:clientData/>
  </xdr:twoCellAnchor>
  <xdr:twoCellAnchor editAs="oneCell">
    <xdr:from>
      <xdr:col>5</xdr:col>
      <xdr:colOff>14129</xdr:colOff>
      <xdr:row>60</xdr:row>
      <xdr:rowOff>39911</xdr:rowOff>
    </xdr:from>
    <xdr:to>
      <xdr:col>5</xdr:col>
      <xdr:colOff>182479</xdr:colOff>
      <xdr:row>60</xdr:row>
      <xdr:rowOff>140495</xdr:rowOff>
    </xdr:to>
    <xdr:pic>
      <xdr:nvPicPr>
        <xdr:cNvPr id="84" name="Picture 91">
          <a:extLst>
            <a:ext uri="{FF2B5EF4-FFF2-40B4-BE49-F238E27FC236}">
              <a16:creationId xmlns:a16="http://schemas.microsoft.com/office/drawing/2014/main" id="{6833BBC0-E220-4CA5-9E8B-A05569F06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033554" y="10888886"/>
          <a:ext cx="168350" cy="100584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58</xdr:row>
      <xdr:rowOff>42627</xdr:rowOff>
    </xdr:from>
    <xdr:to>
      <xdr:col>3</xdr:col>
      <xdr:colOff>183477</xdr:colOff>
      <xdr:row>58</xdr:row>
      <xdr:rowOff>149561</xdr:rowOff>
    </xdr:to>
    <xdr:pic>
      <xdr:nvPicPr>
        <xdr:cNvPr id="85" name="Picture 92">
          <a:extLst>
            <a:ext uri="{FF2B5EF4-FFF2-40B4-BE49-F238E27FC236}">
              <a16:creationId xmlns:a16="http://schemas.microsoft.com/office/drawing/2014/main" id="{C5747A3B-91BC-4221-8AA7-640864178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88277" y="10529652"/>
          <a:ext cx="162000" cy="106934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62</xdr:row>
      <xdr:rowOff>40927</xdr:rowOff>
    </xdr:from>
    <xdr:to>
      <xdr:col>3</xdr:col>
      <xdr:colOff>183477</xdr:colOff>
      <xdr:row>62</xdr:row>
      <xdr:rowOff>142577</xdr:rowOff>
    </xdr:to>
    <xdr:pic>
      <xdr:nvPicPr>
        <xdr:cNvPr id="86" name="Picture 93">
          <a:extLst>
            <a:ext uri="{FF2B5EF4-FFF2-40B4-BE49-F238E27FC236}">
              <a16:creationId xmlns:a16="http://schemas.microsoft.com/office/drawing/2014/main" id="{DDEF9892-24FA-44D1-A451-E79438B4D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88277" y="11251852"/>
          <a:ext cx="162000" cy="101650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66</xdr:row>
      <xdr:rowOff>38569</xdr:rowOff>
    </xdr:from>
    <xdr:to>
      <xdr:col>3</xdr:col>
      <xdr:colOff>183477</xdr:colOff>
      <xdr:row>66</xdr:row>
      <xdr:rowOff>139713</xdr:rowOff>
    </xdr:to>
    <xdr:pic>
      <xdr:nvPicPr>
        <xdr:cNvPr id="87" name="Picture 94">
          <a:extLst>
            <a:ext uri="{FF2B5EF4-FFF2-40B4-BE49-F238E27FC236}">
              <a16:creationId xmlns:a16="http://schemas.microsoft.com/office/drawing/2014/main" id="{60462625-DB09-4FFA-891B-A8B89E798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88277" y="11973394"/>
          <a:ext cx="162000" cy="101144"/>
        </a:xfrm>
        <a:prstGeom prst="rect">
          <a:avLst/>
        </a:prstGeom>
      </xdr:spPr>
    </xdr:pic>
    <xdr:clientData/>
  </xdr:twoCellAnchor>
  <xdr:twoCellAnchor editAs="oneCell">
    <xdr:from>
      <xdr:col>5</xdr:col>
      <xdr:colOff>14129</xdr:colOff>
      <xdr:row>66</xdr:row>
      <xdr:rowOff>38568</xdr:rowOff>
    </xdr:from>
    <xdr:to>
      <xdr:col>5</xdr:col>
      <xdr:colOff>182479</xdr:colOff>
      <xdr:row>66</xdr:row>
      <xdr:rowOff>139714</xdr:rowOff>
    </xdr:to>
    <xdr:pic>
      <xdr:nvPicPr>
        <xdr:cNvPr id="88" name="Picture 95">
          <a:extLst>
            <a:ext uri="{FF2B5EF4-FFF2-40B4-BE49-F238E27FC236}">
              <a16:creationId xmlns:a16="http://schemas.microsoft.com/office/drawing/2014/main" id="{9F8849F5-BDA6-43A0-8131-8C63BFF3D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033554" y="11973393"/>
          <a:ext cx="168350" cy="101146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67</xdr:row>
      <xdr:rowOff>42586</xdr:rowOff>
    </xdr:from>
    <xdr:to>
      <xdr:col>3</xdr:col>
      <xdr:colOff>183477</xdr:colOff>
      <xdr:row>67</xdr:row>
      <xdr:rowOff>150082</xdr:rowOff>
    </xdr:to>
    <xdr:pic>
      <xdr:nvPicPr>
        <xdr:cNvPr id="89" name="Picture 96">
          <a:extLst>
            <a:ext uri="{FF2B5EF4-FFF2-40B4-BE49-F238E27FC236}">
              <a16:creationId xmlns:a16="http://schemas.microsoft.com/office/drawing/2014/main" id="{B60A36F5-822C-412F-A89B-61228F6F3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88277" y="12158386"/>
          <a:ext cx="162000" cy="107496"/>
        </a:xfrm>
        <a:prstGeom prst="rect">
          <a:avLst/>
        </a:prstGeom>
      </xdr:spPr>
    </xdr:pic>
    <xdr:clientData/>
  </xdr:twoCellAnchor>
  <xdr:twoCellAnchor editAs="oneCell">
    <xdr:from>
      <xdr:col>5</xdr:col>
      <xdr:colOff>14129</xdr:colOff>
      <xdr:row>67</xdr:row>
      <xdr:rowOff>42587</xdr:rowOff>
    </xdr:from>
    <xdr:to>
      <xdr:col>5</xdr:col>
      <xdr:colOff>182479</xdr:colOff>
      <xdr:row>67</xdr:row>
      <xdr:rowOff>150082</xdr:rowOff>
    </xdr:to>
    <xdr:pic>
      <xdr:nvPicPr>
        <xdr:cNvPr id="90" name="Picture 97">
          <a:extLst>
            <a:ext uri="{FF2B5EF4-FFF2-40B4-BE49-F238E27FC236}">
              <a16:creationId xmlns:a16="http://schemas.microsoft.com/office/drawing/2014/main" id="{C01B3B88-730E-45CD-8CFC-739A5FA7F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033554" y="12158387"/>
          <a:ext cx="168350" cy="107495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68</xdr:row>
      <xdr:rowOff>35955</xdr:rowOff>
    </xdr:from>
    <xdr:to>
      <xdr:col>3</xdr:col>
      <xdr:colOff>183477</xdr:colOff>
      <xdr:row>68</xdr:row>
      <xdr:rowOff>143449</xdr:rowOff>
    </xdr:to>
    <xdr:pic>
      <xdr:nvPicPr>
        <xdr:cNvPr id="91" name="Picture 98">
          <a:extLst>
            <a:ext uri="{FF2B5EF4-FFF2-40B4-BE49-F238E27FC236}">
              <a16:creationId xmlns:a16="http://schemas.microsoft.com/office/drawing/2014/main" id="{D438859E-0EB6-4601-B18E-A2E551341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88277" y="12332730"/>
          <a:ext cx="162000" cy="107494"/>
        </a:xfrm>
        <a:prstGeom prst="rect">
          <a:avLst/>
        </a:prstGeom>
      </xdr:spPr>
    </xdr:pic>
    <xdr:clientData/>
  </xdr:twoCellAnchor>
  <xdr:twoCellAnchor editAs="oneCell">
    <xdr:from>
      <xdr:col>5</xdr:col>
      <xdr:colOff>14129</xdr:colOff>
      <xdr:row>69</xdr:row>
      <xdr:rowOff>40760</xdr:rowOff>
    </xdr:from>
    <xdr:to>
      <xdr:col>5</xdr:col>
      <xdr:colOff>182479</xdr:colOff>
      <xdr:row>69</xdr:row>
      <xdr:rowOff>141906</xdr:rowOff>
    </xdr:to>
    <xdr:pic>
      <xdr:nvPicPr>
        <xdr:cNvPr id="92" name="Picture 99">
          <a:extLst>
            <a:ext uri="{FF2B5EF4-FFF2-40B4-BE49-F238E27FC236}">
              <a16:creationId xmlns:a16="http://schemas.microsoft.com/office/drawing/2014/main" id="{393B3202-B6B7-411D-A76C-C74A09085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033554" y="12518510"/>
          <a:ext cx="168350" cy="101146"/>
        </a:xfrm>
        <a:prstGeom prst="rect">
          <a:avLst/>
        </a:prstGeom>
      </xdr:spPr>
    </xdr:pic>
    <xdr:clientData/>
  </xdr:twoCellAnchor>
  <xdr:twoCellAnchor editAs="oneCell">
    <xdr:from>
      <xdr:col>5</xdr:col>
      <xdr:colOff>14129</xdr:colOff>
      <xdr:row>70</xdr:row>
      <xdr:rowOff>33964</xdr:rowOff>
    </xdr:from>
    <xdr:to>
      <xdr:col>5</xdr:col>
      <xdr:colOff>182479</xdr:colOff>
      <xdr:row>70</xdr:row>
      <xdr:rowOff>141460</xdr:rowOff>
    </xdr:to>
    <xdr:pic>
      <xdr:nvPicPr>
        <xdr:cNvPr id="93" name="Picture 100">
          <a:extLst>
            <a:ext uri="{FF2B5EF4-FFF2-40B4-BE49-F238E27FC236}">
              <a16:creationId xmlns:a16="http://schemas.microsoft.com/office/drawing/2014/main" id="{3FEB0287-099E-4896-B3D5-4A4BA1B1B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033554" y="12692689"/>
          <a:ext cx="168350" cy="107496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71</xdr:row>
      <xdr:rowOff>37959</xdr:rowOff>
    </xdr:from>
    <xdr:to>
      <xdr:col>3</xdr:col>
      <xdr:colOff>183477</xdr:colOff>
      <xdr:row>71</xdr:row>
      <xdr:rowOff>145454</xdr:rowOff>
    </xdr:to>
    <xdr:pic>
      <xdr:nvPicPr>
        <xdr:cNvPr id="94" name="Picture 101">
          <a:extLst>
            <a:ext uri="{FF2B5EF4-FFF2-40B4-BE49-F238E27FC236}">
              <a16:creationId xmlns:a16="http://schemas.microsoft.com/office/drawing/2014/main" id="{8682E8BE-7EC1-4A9C-9E3F-E5B8671BA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88277" y="12877659"/>
          <a:ext cx="162000" cy="107495"/>
        </a:xfrm>
        <a:prstGeom prst="rect">
          <a:avLst/>
        </a:prstGeom>
      </xdr:spPr>
    </xdr:pic>
    <xdr:clientData/>
  </xdr:twoCellAnchor>
  <xdr:twoCellAnchor editAs="oneCell">
    <xdr:from>
      <xdr:col>5</xdr:col>
      <xdr:colOff>14129</xdr:colOff>
      <xdr:row>71</xdr:row>
      <xdr:rowOff>37959</xdr:rowOff>
    </xdr:from>
    <xdr:to>
      <xdr:col>5</xdr:col>
      <xdr:colOff>182479</xdr:colOff>
      <xdr:row>71</xdr:row>
      <xdr:rowOff>145453</xdr:rowOff>
    </xdr:to>
    <xdr:pic>
      <xdr:nvPicPr>
        <xdr:cNvPr id="95" name="Picture 102">
          <a:extLst>
            <a:ext uri="{FF2B5EF4-FFF2-40B4-BE49-F238E27FC236}">
              <a16:creationId xmlns:a16="http://schemas.microsoft.com/office/drawing/2014/main" id="{EEDACF0D-633A-4CA6-B628-9E7D603E6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033554" y="12877659"/>
          <a:ext cx="168350" cy="107494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70</xdr:row>
      <xdr:rowOff>33964</xdr:rowOff>
    </xdr:from>
    <xdr:to>
      <xdr:col>3</xdr:col>
      <xdr:colOff>183477</xdr:colOff>
      <xdr:row>70</xdr:row>
      <xdr:rowOff>141460</xdr:rowOff>
    </xdr:to>
    <xdr:pic>
      <xdr:nvPicPr>
        <xdr:cNvPr id="96" name="Picture 103">
          <a:extLst>
            <a:ext uri="{FF2B5EF4-FFF2-40B4-BE49-F238E27FC236}">
              <a16:creationId xmlns:a16="http://schemas.microsoft.com/office/drawing/2014/main" id="{7391672C-C689-4EEB-B0C0-B779AF49D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88277" y="12692689"/>
          <a:ext cx="162000" cy="107496"/>
        </a:xfrm>
        <a:prstGeom prst="rect">
          <a:avLst/>
        </a:prstGeom>
      </xdr:spPr>
    </xdr:pic>
    <xdr:clientData/>
  </xdr:twoCellAnchor>
  <xdr:twoCellAnchor editAs="oneCell">
    <xdr:from>
      <xdr:col>5</xdr:col>
      <xdr:colOff>14129</xdr:colOff>
      <xdr:row>68</xdr:row>
      <xdr:rowOff>35954</xdr:rowOff>
    </xdr:from>
    <xdr:to>
      <xdr:col>5</xdr:col>
      <xdr:colOff>182479</xdr:colOff>
      <xdr:row>68</xdr:row>
      <xdr:rowOff>143450</xdr:rowOff>
    </xdr:to>
    <xdr:pic>
      <xdr:nvPicPr>
        <xdr:cNvPr id="97" name="Picture 104">
          <a:extLst>
            <a:ext uri="{FF2B5EF4-FFF2-40B4-BE49-F238E27FC236}">
              <a16:creationId xmlns:a16="http://schemas.microsoft.com/office/drawing/2014/main" id="{78631D8B-08EF-4C95-BD96-DFE693F33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033554" y="12332729"/>
          <a:ext cx="168350" cy="107496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69</xdr:row>
      <xdr:rowOff>40761</xdr:rowOff>
    </xdr:from>
    <xdr:to>
      <xdr:col>3</xdr:col>
      <xdr:colOff>183477</xdr:colOff>
      <xdr:row>69</xdr:row>
      <xdr:rowOff>141906</xdr:rowOff>
    </xdr:to>
    <xdr:pic>
      <xdr:nvPicPr>
        <xdr:cNvPr id="98" name="Picture 105">
          <a:extLst>
            <a:ext uri="{FF2B5EF4-FFF2-40B4-BE49-F238E27FC236}">
              <a16:creationId xmlns:a16="http://schemas.microsoft.com/office/drawing/2014/main" id="{4F9DF3C0-7FF1-4F8B-8656-5CA098F8B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88277" y="12518511"/>
          <a:ext cx="162000" cy="101145"/>
        </a:xfrm>
        <a:prstGeom prst="rect">
          <a:avLst/>
        </a:prstGeom>
      </xdr:spPr>
    </xdr:pic>
    <xdr:clientData/>
  </xdr:twoCellAnchor>
  <xdr:twoCellAnchor editAs="oneCell">
    <xdr:from>
      <xdr:col>3</xdr:col>
      <xdr:colOff>21874</xdr:colOff>
      <xdr:row>77</xdr:row>
      <xdr:rowOff>39042</xdr:rowOff>
    </xdr:from>
    <xdr:to>
      <xdr:col>3</xdr:col>
      <xdr:colOff>183477</xdr:colOff>
      <xdr:row>77</xdr:row>
      <xdr:rowOff>145547</xdr:rowOff>
    </xdr:to>
    <xdr:pic>
      <xdr:nvPicPr>
        <xdr:cNvPr id="99" name="Picture 106">
          <a:extLst>
            <a:ext uri="{FF2B5EF4-FFF2-40B4-BE49-F238E27FC236}">
              <a16:creationId xmlns:a16="http://schemas.microsoft.com/office/drawing/2014/main" id="{EDA1336D-5630-40A8-8CD8-E834C6241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88674" y="13964592"/>
          <a:ext cx="161603" cy="106505"/>
        </a:xfrm>
        <a:prstGeom prst="rect">
          <a:avLst/>
        </a:prstGeom>
      </xdr:spPr>
    </xdr:pic>
    <xdr:clientData/>
  </xdr:twoCellAnchor>
  <xdr:twoCellAnchor editAs="oneCell">
    <xdr:from>
      <xdr:col>3</xdr:col>
      <xdr:colOff>22272</xdr:colOff>
      <xdr:row>80</xdr:row>
      <xdr:rowOff>35898</xdr:rowOff>
    </xdr:from>
    <xdr:to>
      <xdr:col>3</xdr:col>
      <xdr:colOff>183477</xdr:colOff>
      <xdr:row>80</xdr:row>
      <xdr:rowOff>142404</xdr:rowOff>
    </xdr:to>
    <xdr:pic>
      <xdr:nvPicPr>
        <xdr:cNvPr id="100" name="Picture 107">
          <a:extLst>
            <a:ext uri="{FF2B5EF4-FFF2-40B4-BE49-F238E27FC236}">
              <a16:creationId xmlns:a16="http://schemas.microsoft.com/office/drawing/2014/main" id="{C7150DBD-721B-4881-9C2F-02953781E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89072" y="14504373"/>
          <a:ext cx="161205" cy="106506"/>
        </a:xfrm>
        <a:prstGeom prst="rect">
          <a:avLst/>
        </a:prstGeom>
      </xdr:spPr>
    </xdr:pic>
    <xdr:clientData/>
  </xdr:twoCellAnchor>
  <xdr:twoCellAnchor editAs="oneCell">
    <xdr:from>
      <xdr:col>3</xdr:col>
      <xdr:colOff>21275</xdr:colOff>
      <xdr:row>76</xdr:row>
      <xdr:rowOff>37579</xdr:rowOff>
    </xdr:from>
    <xdr:to>
      <xdr:col>3</xdr:col>
      <xdr:colOff>183477</xdr:colOff>
      <xdr:row>76</xdr:row>
      <xdr:rowOff>144084</xdr:rowOff>
    </xdr:to>
    <xdr:pic>
      <xdr:nvPicPr>
        <xdr:cNvPr id="101" name="Picture 108">
          <a:extLst>
            <a:ext uri="{FF2B5EF4-FFF2-40B4-BE49-F238E27FC236}">
              <a16:creationId xmlns:a16="http://schemas.microsoft.com/office/drawing/2014/main" id="{B00B39DE-2CA2-4635-98FA-EE144CF57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88075" y="13782154"/>
          <a:ext cx="162202" cy="106505"/>
        </a:xfrm>
        <a:prstGeom prst="rect">
          <a:avLst/>
        </a:prstGeom>
      </xdr:spPr>
    </xdr:pic>
    <xdr:clientData/>
  </xdr:twoCellAnchor>
  <xdr:twoCellAnchor editAs="oneCell">
    <xdr:from>
      <xdr:col>5</xdr:col>
      <xdr:colOff>15787</xdr:colOff>
      <xdr:row>76</xdr:row>
      <xdr:rowOff>37578</xdr:rowOff>
    </xdr:from>
    <xdr:to>
      <xdr:col>5</xdr:col>
      <xdr:colOff>182479</xdr:colOff>
      <xdr:row>76</xdr:row>
      <xdr:rowOff>144084</xdr:rowOff>
    </xdr:to>
    <xdr:pic>
      <xdr:nvPicPr>
        <xdr:cNvPr id="102" name="Picture 109">
          <a:extLst>
            <a:ext uri="{FF2B5EF4-FFF2-40B4-BE49-F238E27FC236}">
              <a16:creationId xmlns:a16="http://schemas.microsoft.com/office/drawing/2014/main" id="{FD007C7E-CA36-4A14-B561-5FDDC9046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035212" y="13782153"/>
          <a:ext cx="166692" cy="106506"/>
        </a:xfrm>
        <a:prstGeom prst="rect">
          <a:avLst/>
        </a:prstGeom>
      </xdr:spPr>
    </xdr:pic>
    <xdr:clientData/>
  </xdr:twoCellAnchor>
  <xdr:twoCellAnchor editAs="oneCell">
    <xdr:from>
      <xdr:col>3</xdr:col>
      <xdr:colOff>21874</xdr:colOff>
      <xdr:row>75</xdr:row>
      <xdr:rowOff>41990</xdr:rowOff>
    </xdr:from>
    <xdr:to>
      <xdr:col>3</xdr:col>
      <xdr:colOff>183477</xdr:colOff>
      <xdr:row>75</xdr:row>
      <xdr:rowOff>142145</xdr:rowOff>
    </xdr:to>
    <xdr:pic>
      <xdr:nvPicPr>
        <xdr:cNvPr id="103" name="Picture 110">
          <a:extLst>
            <a:ext uri="{FF2B5EF4-FFF2-40B4-BE49-F238E27FC236}">
              <a16:creationId xmlns:a16="http://schemas.microsoft.com/office/drawing/2014/main" id="{F9E90E34-76F6-4329-BB29-FA20E48B3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88674" y="13605590"/>
          <a:ext cx="161603" cy="100155"/>
        </a:xfrm>
        <a:prstGeom prst="rect">
          <a:avLst/>
        </a:prstGeom>
      </xdr:spPr>
    </xdr:pic>
    <xdr:clientData/>
  </xdr:twoCellAnchor>
  <xdr:twoCellAnchor editAs="oneCell">
    <xdr:from>
      <xdr:col>5</xdr:col>
      <xdr:colOff>15787</xdr:colOff>
      <xdr:row>75</xdr:row>
      <xdr:rowOff>41242</xdr:rowOff>
    </xdr:from>
    <xdr:to>
      <xdr:col>5</xdr:col>
      <xdr:colOff>182479</xdr:colOff>
      <xdr:row>75</xdr:row>
      <xdr:rowOff>149242</xdr:rowOff>
    </xdr:to>
    <xdr:pic>
      <xdr:nvPicPr>
        <xdr:cNvPr id="104" name="Picture 111">
          <a:extLst>
            <a:ext uri="{FF2B5EF4-FFF2-40B4-BE49-F238E27FC236}">
              <a16:creationId xmlns:a16="http://schemas.microsoft.com/office/drawing/2014/main" id="{D2A065D9-BDB0-4CCE-8693-A663F2441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035212" y="13604842"/>
          <a:ext cx="166692" cy="108000"/>
        </a:xfrm>
        <a:prstGeom prst="rect">
          <a:avLst/>
        </a:prstGeom>
      </xdr:spPr>
    </xdr:pic>
    <xdr:clientData/>
  </xdr:twoCellAnchor>
  <xdr:twoCellAnchor editAs="oneCell">
    <xdr:from>
      <xdr:col>5</xdr:col>
      <xdr:colOff>15787</xdr:colOff>
      <xdr:row>77</xdr:row>
      <xdr:rowOff>38294</xdr:rowOff>
    </xdr:from>
    <xdr:to>
      <xdr:col>5</xdr:col>
      <xdr:colOff>182479</xdr:colOff>
      <xdr:row>77</xdr:row>
      <xdr:rowOff>139944</xdr:rowOff>
    </xdr:to>
    <xdr:pic>
      <xdr:nvPicPr>
        <xdr:cNvPr id="105" name="Picture 112">
          <a:extLst>
            <a:ext uri="{FF2B5EF4-FFF2-40B4-BE49-F238E27FC236}">
              <a16:creationId xmlns:a16="http://schemas.microsoft.com/office/drawing/2014/main" id="{5109D4F5-0E25-4A70-B744-133590C77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035212" y="13963844"/>
          <a:ext cx="166692" cy="101650"/>
        </a:xfrm>
        <a:prstGeom prst="rect">
          <a:avLst/>
        </a:prstGeom>
      </xdr:spPr>
    </xdr:pic>
    <xdr:clientData/>
  </xdr:twoCellAnchor>
  <xdr:twoCellAnchor editAs="oneCell">
    <xdr:from>
      <xdr:col>3</xdr:col>
      <xdr:colOff>21874</xdr:colOff>
      <xdr:row>78</xdr:row>
      <xdr:rowOff>36148</xdr:rowOff>
    </xdr:from>
    <xdr:to>
      <xdr:col>3</xdr:col>
      <xdr:colOff>183477</xdr:colOff>
      <xdr:row>78</xdr:row>
      <xdr:rowOff>144148</xdr:rowOff>
    </xdr:to>
    <xdr:pic>
      <xdr:nvPicPr>
        <xdr:cNvPr id="106" name="Picture 113">
          <a:extLst>
            <a:ext uri="{FF2B5EF4-FFF2-40B4-BE49-F238E27FC236}">
              <a16:creationId xmlns:a16="http://schemas.microsoft.com/office/drawing/2014/main" id="{62D45DEC-0D2F-461E-9243-0FFDA371D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88674" y="14142673"/>
          <a:ext cx="161603" cy="108000"/>
        </a:xfrm>
        <a:prstGeom prst="rect">
          <a:avLst/>
        </a:prstGeom>
      </xdr:spPr>
    </xdr:pic>
    <xdr:clientData/>
  </xdr:twoCellAnchor>
  <xdr:twoCellAnchor editAs="oneCell">
    <xdr:from>
      <xdr:col>5</xdr:col>
      <xdr:colOff>15787</xdr:colOff>
      <xdr:row>79</xdr:row>
      <xdr:rowOff>41083</xdr:rowOff>
    </xdr:from>
    <xdr:to>
      <xdr:col>5</xdr:col>
      <xdr:colOff>182479</xdr:colOff>
      <xdr:row>79</xdr:row>
      <xdr:rowOff>142733</xdr:rowOff>
    </xdr:to>
    <xdr:pic>
      <xdr:nvPicPr>
        <xdr:cNvPr id="107" name="Picture 114">
          <a:extLst>
            <a:ext uri="{FF2B5EF4-FFF2-40B4-BE49-F238E27FC236}">
              <a16:creationId xmlns:a16="http://schemas.microsoft.com/office/drawing/2014/main" id="{1D9844EE-FE2F-4A21-B82D-D71C0A248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035212" y="14328583"/>
          <a:ext cx="166692" cy="101650"/>
        </a:xfrm>
        <a:prstGeom prst="rect">
          <a:avLst/>
        </a:prstGeom>
      </xdr:spPr>
    </xdr:pic>
    <xdr:clientData/>
  </xdr:twoCellAnchor>
  <xdr:twoCellAnchor editAs="oneCell">
    <xdr:from>
      <xdr:col>5</xdr:col>
      <xdr:colOff>15787</xdr:colOff>
      <xdr:row>78</xdr:row>
      <xdr:rowOff>36895</xdr:rowOff>
    </xdr:from>
    <xdr:to>
      <xdr:col>5</xdr:col>
      <xdr:colOff>182479</xdr:colOff>
      <xdr:row>78</xdr:row>
      <xdr:rowOff>143401</xdr:rowOff>
    </xdr:to>
    <xdr:pic>
      <xdr:nvPicPr>
        <xdr:cNvPr id="108" name="Picture 115">
          <a:extLst>
            <a:ext uri="{FF2B5EF4-FFF2-40B4-BE49-F238E27FC236}">
              <a16:creationId xmlns:a16="http://schemas.microsoft.com/office/drawing/2014/main" id="{93A8BD17-8D1F-4616-B395-445F32198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035212" y="14143420"/>
          <a:ext cx="166692" cy="106506"/>
        </a:xfrm>
        <a:prstGeom prst="rect">
          <a:avLst/>
        </a:prstGeom>
      </xdr:spPr>
    </xdr:pic>
    <xdr:clientData/>
  </xdr:twoCellAnchor>
  <xdr:twoCellAnchor editAs="oneCell">
    <xdr:from>
      <xdr:col>5</xdr:col>
      <xdr:colOff>15787</xdr:colOff>
      <xdr:row>80</xdr:row>
      <xdr:rowOff>35899</xdr:rowOff>
    </xdr:from>
    <xdr:to>
      <xdr:col>5</xdr:col>
      <xdr:colOff>182479</xdr:colOff>
      <xdr:row>80</xdr:row>
      <xdr:rowOff>142404</xdr:rowOff>
    </xdr:to>
    <xdr:pic>
      <xdr:nvPicPr>
        <xdr:cNvPr id="109" name="Picture 116">
          <a:extLst>
            <a:ext uri="{FF2B5EF4-FFF2-40B4-BE49-F238E27FC236}">
              <a16:creationId xmlns:a16="http://schemas.microsoft.com/office/drawing/2014/main" id="{E9282FA1-F8AD-4B84-9342-350EEB9E0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035212" y="14504374"/>
          <a:ext cx="166692" cy="106505"/>
        </a:xfrm>
        <a:prstGeom prst="rect">
          <a:avLst/>
        </a:prstGeom>
      </xdr:spPr>
    </xdr:pic>
    <xdr:clientData/>
  </xdr:twoCellAnchor>
  <xdr:twoCellAnchor editAs="oneCell">
    <xdr:from>
      <xdr:col>3</xdr:col>
      <xdr:colOff>21874</xdr:colOff>
      <xdr:row>79</xdr:row>
      <xdr:rowOff>41830</xdr:rowOff>
    </xdr:from>
    <xdr:to>
      <xdr:col>3</xdr:col>
      <xdr:colOff>183477</xdr:colOff>
      <xdr:row>79</xdr:row>
      <xdr:rowOff>141986</xdr:rowOff>
    </xdr:to>
    <xdr:pic>
      <xdr:nvPicPr>
        <xdr:cNvPr id="110" name="Picture 117">
          <a:extLst>
            <a:ext uri="{FF2B5EF4-FFF2-40B4-BE49-F238E27FC236}">
              <a16:creationId xmlns:a16="http://schemas.microsoft.com/office/drawing/2014/main" id="{47D9F04C-72FB-4452-904D-9CB887D4C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88674" y="14329330"/>
          <a:ext cx="161603" cy="100156"/>
        </a:xfrm>
        <a:prstGeom prst="rect">
          <a:avLst/>
        </a:prstGeom>
      </xdr:spPr>
    </xdr:pic>
    <xdr:clientData/>
  </xdr:twoCellAnchor>
  <xdr:twoCellAnchor editAs="oneCell">
    <xdr:from>
      <xdr:col>5</xdr:col>
      <xdr:colOff>14129</xdr:colOff>
      <xdr:row>89</xdr:row>
      <xdr:rowOff>44259</xdr:rowOff>
    </xdr:from>
    <xdr:to>
      <xdr:col>5</xdr:col>
      <xdr:colOff>182479</xdr:colOff>
      <xdr:row>89</xdr:row>
      <xdr:rowOff>150285</xdr:rowOff>
    </xdr:to>
    <xdr:pic>
      <xdr:nvPicPr>
        <xdr:cNvPr id="111" name="Picture 118">
          <a:extLst>
            <a:ext uri="{FF2B5EF4-FFF2-40B4-BE49-F238E27FC236}">
              <a16:creationId xmlns:a16="http://schemas.microsoft.com/office/drawing/2014/main" id="{83513EAC-E63A-4FE9-9F7F-4691162D8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033554" y="16141509"/>
          <a:ext cx="168350" cy="106026"/>
        </a:xfrm>
        <a:prstGeom prst="rect">
          <a:avLst/>
        </a:prstGeom>
      </xdr:spPr>
    </xdr:pic>
    <xdr:clientData/>
  </xdr:twoCellAnchor>
  <xdr:twoCellAnchor editAs="oneCell">
    <xdr:from>
      <xdr:col>5</xdr:col>
      <xdr:colOff>14975</xdr:colOff>
      <xdr:row>87</xdr:row>
      <xdr:rowOff>42685</xdr:rowOff>
    </xdr:from>
    <xdr:to>
      <xdr:col>5</xdr:col>
      <xdr:colOff>182479</xdr:colOff>
      <xdr:row>87</xdr:row>
      <xdr:rowOff>150685</xdr:rowOff>
    </xdr:to>
    <xdr:pic>
      <xdr:nvPicPr>
        <xdr:cNvPr id="112" name="Picture 119">
          <a:extLst>
            <a:ext uri="{FF2B5EF4-FFF2-40B4-BE49-F238E27FC236}">
              <a16:creationId xmlns:a16="http://schemas.microsoft.com/office/drawing/2014/main" id="{8868A50F-F6A9-40F1-8036-A8E427C8C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034400" y="15777985"/>
          <a:ext cx="167504" cy="108000"/>
        </a:xfrm>
        <a:prstGeom prst="rect">
          <a:avLst/>
        </a:prstGeom>
      </xdr:spPr>
    </xdr:pic>
    <xdr:clientData/>
  </xdr:twoCellAnchor>
  <xdr:twoCellAnchor editAs="oneCell">
    <xdr:from>
      <xdr:col>5</xdr:col>
      <xdr:colOff>16290</xdr:colOff>
      <xdr:row>88</xdr:row>
      <xdr:rowOff>40336</xdr:rowOff>
    </xdr:from>
    <xdr:to>
      <xdr:col>5</xdr:col>
      <xdr:colOff>182479</xdr:colOff>
      <xdr:row>88</xdr:row>
      <xdr:rowOff>140012</xdr:rowOff>
    </xdr:to>
    <xdr:pic>
      <xdr:nvPicPr>
        <xdr:cNvPr id="113" name="Picture 120">
          <a:extLst>
            <a:ext uri="{FF2B5EF4-FFF2-40B4-BE49-F238E27FC236}">
              <a16:creationId xmlns:a16="http://schemas.microsoft.com/office/drawing/2014/main" id="{13FFE4F0-6EC4-4F59-B921-BD7778904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035715" y="15956611"/>
          <a:ext cx="166189" cy="99676"/>
        </a:xfrm>
        <a:prstGeom prst="rect">
          <a:avLst/>
        </a:prstGeom>
      </xdr:spPr>
    </xdr:pic>
    <xdr:clientData/>
  </xdr:twoCellAnchor>
  <xdr:twoCellAnchor editAs="oneCell">
    <xdr:from>
      <xdr:col>3</xdr:col>
      <xdr:colOff>23167</xdr:colOff>
      <xdr:row>89</xdr:row>
      <xdr:rowOff>49973</xdr:rowOff>
    </xdr:from>
    <xdr:to>
      <xdr:col>3</xdr:col>
      <xdr:colOff>183477</xdr:colOff>
      <xdr:row>89</xdr:row>
      <xdr:rowOff>144572</xdr:rowOff>
    </xdr:to>
    <xdr:pic>
      <xdr:nvPicPr>
        <xdr:cNvPr id="114" name="Picture 121">
          <a:extLst>
            <a:ext uri="{FF2B5EF4-FFF2-40B4-BE49-F238E27FC236}">
              <a16:creationId xmlns:a16="http://schemas.microsoft.com/office/drawing/2014/main" id="{BF6D05DF-FD01-48C2-A8B3-7AF4F3EBB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89967" y="16147223"/>
          <a:ext cx="160310" cy="94599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84</xdr:row>
      <xdr:rowOff>41842</xdr:rowOff>
    </xdr:from>
    <xdr:to>
      <xdr:col>3</xdr:col>
      <xdr:colOff>183477</xdr:colOff>
      <xdr:row>84</xdr:row>
      <xdr:rowOff>141518</xdr:rowOff>
    </xdr:to>
    <xdr:pic>
      <xdr:nvPicPr>
        <xdr:cNvPr id="115" name="Picture 122">
          <a:extLst>
            <a:ext uri="{FF2B5EF4-FFF2-40B4-BE49-F238E27FC236}">
              <a16:creationId xmlns:a16="http://schemas.microsoft.com/office/drawing/2014/main" id="{6C38B67B-76FE-4D1C-A7B8-0C0EB4C08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88277" y="15234217"/>
          <a:ext cx="162000" cy="99676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88</xdr:row>
      <xdr:rowOff>39349</xdr:rowOff>
    </xdr:from>
    <xdr:to>
      <xdr:col>3</xdr:col>
      <xdr:colOff>183477</xdr:colOff>
      <xdr:row>88</xdr:row>
      <xdr:rowOff>140999</xdr:rowOff>
    </xdr:to>
    <xdr:pic>
      <xdr:nvPicPr>
        <xdr:cNvPr id="116" name="Picture 123">
          <a:extLst>
            <a:ext uri="{FF2B5EF4-FFF2-40B4-BE49-F238E27FC236}">
              <a16:creationId xmlns:a16="http://schemas.microsoft.com/office/drawing/2014/main" id="{E4A47247-8064-4973-987F-EF890FF5A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88277" y="15955624"/>
          <a:ext cx="162000" cy="101650"/>
        </a:xfrm>
        <a:prstGeom prst="rect">
          <a:avLst/>
        </a:prstGeom>
      </xdr:spPr>
    </xdr:pic>
    <xdr:clientData/>
  </xdr:twoCellAnchor>
  <xdr:twoCellAnchor editAs="oneCell">
    <xdr:from>
      <xdr:col>5</xdr:col>
      <xdr:colOff>14129</xdr:colOff>
      <xdr:row>86</xdr:row>
      <xdr:rowOff>42277</xdr:rowOff>
    </xdr:from>
    <xdr:to>
      <xdr:col>5</xdr:col>
      <xdr:colOff>182479</xdr:colOff>
      <xdr:row>86</xdr:row>
      <xdr:rowOff>150277</xdr:rowOff>
    </xdr:to>
    <xdr:pic>
      <xdr:nvPicPr>
        <xdr:cNvPr id="117" name="Picture 124">
          <a:extLst>
            <a:ext uri="{FF2B5EF4-FFF2-40B4-BE49-F238E27FC236}">
              <a16:creationId xmlns:a16="http://schemas.microsoft.com/office/drawing/2014/main" id="{CE632351-B991-488C-86C8-DA612E1FC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033554" y="15596602"/>
          <a:ext cx="168350" cy="108000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87</xdr:row>
      <xdr:rowOff>49386</xdr:rowOff>
    </xdr:from>
    <xdr:to>
      <xdr:col>3</xdr:col>
      <xdr:colOff>183477</xdr:colOff>
      <xdr:row>87</xdr:row>
      <xdr:rowOff>143985</xdr:rowOff>
    </xdr:to>
    <xdr:pic>
      <xdr:nvPicPr>
        <xdr:cNvPr id="118" name="Picture 125">
          <a:extLst>
            <a:ext uri="{FF2B5EF4-FFF2-40B4-BE49-F238E27FC236}">
              <a16:creationId xmlns:a16="http://schemas.microsoft.com/office/drawing/2014/main" id="{D486F0F4-4459-4119-93C1-A327B2FAC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88277" y="15784686"/>
          <a:ext cx="162000" cy="94599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86</xdr:row>
      <xdr:rowOff>43264</xdr:rowOff>
    </xdr:from>
    <xdr:to>
      <xdr:col>3</xdr:col>
      <xdr:colOff>183477</xdr:colOff>
      <xdr:row>86</xdr:row>
      <xdr:rowOff>149291</xdr:rowOff>
    </xdr:to>
    <xdr:pic>
      <xdr:nvPicPr>
        <xdr:cNvPr id="119" name="Picture 126">
          <a:extLst>
            <a:ext uri="{FF2B5EF4-FFF2-40B4-BE49-F238E27FC236}">
              <a16:creationId xmlns:a16="http://schemas.microsoft.com/office/drawing/2014/main" id="{DC3163A5-D5A9-4DE1-8BB1-0B5A590FB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88277" y="15597589"/>
          <a:ext cx="162000" cy="106027"/>
        </a:xfrm>
        <a:prstGeom prst="rect">
          <a:avLst/>
        </a:prstGeom>
      </xdr:spPr>
    </xdr:pic>
    <xdr:clientData/>
  </xdr:twoCellAnchor>
  <xdr:twoCellAnchor editAs="oneCell">
    <xdr:from>
      <xdr:col>5</xdr:col>
      <xdr:colOff>14129</xdr:colOff>
      <xdr:row>84</xdr:row>
      <xdr:rowOff>41842</xdr:rowOff>
    </xdr:from>
    <xdr:to>
      <xdr:col>5</xdr:col>
      <xdr:colOff>182479</xdr:colOff>
      <xdr:row>84</xdr:row>
      <xdr:rowOff>141519</xdr:rowOff>
    </xdr:to>
    <xdr:pic>
      <xdr:nvPicPr>
        <xdr:cNvPr id="120" name="Picture 127">
          <a:extLst>
            <a:ext uri="{FF2B5EF4-FFF2-40B4-BE49-F238E27FC236}">
              <a16:creationId xmlns:a16="http://schemas.microsoft.com/office/drawing/2014/main" id="{D6CE462D-B228-40C0-91C7-431EE1C80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033554" y="15234217"/>
          <a:ext cx="168350" cy="99677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85</xdr:row>
      <xdr:rowOff>41447</xdr:rowOff>
    </xdr:from>
    <xdr:to>
      <xdr:col>3</xdr:col>
      <xdr:colOff>183477</xdr:colOff>
      <xdr:row>85</xdr:row>
      <xdr:rowOff>149447</xdr:rowOff>
    </xdr:to>
    <xdr:pic>
      <xdr:nvPicPr>
        <xdr:cNvPr id="121" name="Picture 128">
          <a:extLst>
            <a:ext uri="{FF2B5EF4-FFF2-40B4-BE49-F238E27FC236}">
              <a16:creationId xmlns:a16="http://schemas.microsoft.com/office/drawing/2014/main" id="{55B0D638-C511-4675-9FB4-62B69DAD3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88277" y="15414797"/>
          <a:ext cx="162000" cy="108000"/>
        </a:xfrm>
        <a:prstGeom prst="rect">
          <a:avLst/>
        </a:prstGeom>
      </xdr:spPr>
    </xdr:pic>
    <xdr:clientData/>
  </xdr:twoCellAnchor>
  <xdr:twoCellAnchor editAs="oneCell">
    <xdr:from>
      <xdr:col>5</xdr:col>
      <xdr:colOff>14129</xdr:colOff>
      <xdr:row>85</xdr:row>
      <xdr:rowOff>49134</xdr:rowOff>
    </xdr:from>
    <xdr:to>
      <xdr:col>5</xdr:col>
      <xdr:colOff>182479</xdr:colOff>
      <xdr:row>85</xdr:row>
      <xdr:rowOff>141760</xdr:rowOff>
    </xdr:to>
    <xdr:pic>
      <xdr:nvPicPr>
        <xdr:cNvPr id="122" name="Picture 129">
          <a:extLst>
            <a:ext uri="{FF2B5EF4-FFF2-40B4-BE49-F238E27FC236}">
              <a16:creationId xmlns:a16="http://schemas.microsoft.com/office/drawing/2014/main" id="{3740FB40-BD0E-43DD-9330-AC00B10FE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033554" y="15422484"/>
          <a:ext cx="168350" cy="92626"/>
        </a:xfrm>
        <a:prstGeom prst="rect">
          <a:avLst/>
        </a:prstGeom>
      </xdr:spPr>
    </xdr:pic>
    <xdr:clientData/>
  </xdr:twoCellAnchor>
  <xdr:twoCellAnchor editAs="oneCell">
    <xdr:from>
      <xdr:col>5</xdr:col>
      <xdr:colOff>14974</xdr:colOff>
      <xdr:row>97</xdr:row>
      <xdr:rowOff>38189</xdr:rowOff>
    </xdr:from>
    <xdr:to>
      <xdr:col>5</xdr:col>
      <xdr:colOff>182479</xdr:colOff>
      <xdr:row>97</xdr:row>
      <xdr:rowOff>139839</xdr:rowOff>
    </xdr:to>
    <xdr:pic>
      <xdr:nvPicPr>
        <xdr:cNvPr id="123" name="Picture 130">
          <a:extLst>
            <a:ext uri="{FF2B5EF4-FFF2-40B4-BE49-F238E27FC236}">
              <a16:creationId xmlns:a16="http://schemas.microsoft.com/office/drawing/2014/main" id="{602221FE-8832-4729-A4E2-D5BF0547D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034399" y="17583239"/>
          <a:ext cx="167505" cy="101650"/>
        </a:xfrm>
        <a:prstGeom prst="rect">
          <a:avLst/>
        </a:prstGeom>
      </xdr:spPr>
    </xdr:pic>
    <xdr:clientData/>
  </xdr:twoCellAnchor>
  <xdr:twoCellAnchor editAs="oneCell">
    <xdr:from>
      <xdr:col>5</xdr:col>
      <xdr:colOff>14129</xdr:colOff>
      <xdr:row>96</xdr:row>
      <xdr:rowOff>38568</xdr:rowOff>
    </xdr:from>
    <xdr:to>
      <xdr:col>5</xdr:col>
      <xdr:colOff>182479</xdr:colOff>
      <xdr:row>96</xdr:row>
      <xdr:rowOff>140218</xdr:rowOff>
    </xdr:to>
    <xdr:pic>
      <xdr:nvPicPr>
        <xdr:cNvPr id="124" name="Picture 131">
          <a:extLst>
            <a:ext uri="{FF2B5EF4-FFF2-40B4-BE49-F238E27FC236}">
              <a16:creationId xmlns:a16="http://schemas.microsoft.com/office/drawing/2014/main" id="{20E5C59E-7F8E-47C6-A751-C191971D6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033554" y="17402643"/>
          <a:ext cx="168350" cy="101650"/>
        </a:xfrm>
        <a:prstGeom prst="rect">
          <a:avLst/>
        </a:prstGeom>
      </xdr:spPr>
    </xdr:pic>
    <xdr:clientData/>
  </xdr:twoCellAnchor>
  <xdr:twoCellAnchor editAs="oneCell">
    <xdr:from>
      <xdr:col>5</xdr:col>
      <xdr:colOff>14129</xdr:colOff>
      <xdr:row>98</xdr:row>
      <xdr:rowOff>36348</xdr:rowOff>
    </xdr:from>
    <xdr:to>
      <xdr:col>5</xdr:col>
      <xdr:colOff>182479</xdr:colOff>
      <xdr:row>98</xdr:row>
      <xdr:rowOff>144348</xdr:rowOff>
    </xdr:to>
    <xdr:pic>
      <xdr:nvPicPr>
        <xdr:cNvPr id="125" name="Picture 132">
          <a:extLst>
            <a:ext uri="{FF2B5EF4-FFF2-40B4-BE49-F238E27FC236}">
              <a16:creationId xmlns:a16="http://schemas.microsoft.com/office/drawing/2014/main" id="{3FD6726B-E986-4235-9CDA-3FB60B852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033554" y="17762373"/>
          <a:ext cx="168350" cy="108000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97</xdr:row>
      <xdr:rowOff>38189</xdr:rowOff>
    </xdr:from>
    <xdr:to>
      <xdr:col>3</xdr:col>
      <xdr:colOff>183477</xdr:colOff>
      <xdr:row>97</xdr:row>
      <xdr:rowOff>139839</xdr:rowOff>
    </xdr:to>
    <xdr:pic>
      <xdr:nvPicPr>
        <xdr:cNvPr id="126" name="Picture 133">
          <a:extLst>
            <a:ext uri="{FF2B5EF4-FFF2-40B4-BE49-F238E27FC236}">
              <a16:creationId xmlns:a16="http://schemas.microsoft.com/office/drawing/2014/main" id="{CEF9A9CE-3558-4A9C-A78D-1D6D6F940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88277" y="17583239"/>
          <a:ext cx="162000" cy="101650"/>
        </a:xfrm>
        <a:prstGeom prst="rect">
          <a:avLst/>
        </a:prstGeom>
      </xdr:spPr>
    </xdr:pic>
    <xdr:clientData/>
  </xdr:twoCellAnchor>
  <xdr:twoCellAnchor editAs="oneCell">
    <xdr:from>
      <xdr:col>3</xdr:col>
      <xdr:colOff>22322</xdr:colOff>
      <xdr:row>93</xdr:row>
      <xdr:rowOff>36521</xdr:rowOff>
    </xdr:from>
    <xdr:to>
      <xdr:col>3</xdr:col>
      <xdr:colOff>183477</xdr:colOff>
      <xdr:row>93</xdr:row>
      <xdr:rowOff>144521</xdr:rowOff>
    </xdr:to>
    <xdr:pic>
      <xdr:nvPicPr>
        <xdr:cNvPr id="127" name="Picture 134">
          <a:extLst>
            <a:ext uri="{FF2B5EF4-FFF2-40B4-BE49-F238E27FC236}">
              <a16:creationId xmlns:a16="http://schemas.microsoft.com/office/drawing/2014/main" id="{E2E1F976-26C4-43EA-A092-30F2799B2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89122" y="16857671"/>
          <a:ext cx="161155" cy="108000"/>
        </a:xfrm>
        <a:prstGeom prst="rect">
          <a:avLst/>
        </a:prstGeom>
      </xdr:spPr>
    </xdr:pic>
    <xdr:clientData/>
  </xdr:twoCellAnchor>
  <xdr:twoCellAnchor editAs="oneCell">
    <xdr:from>
      <xdr:col>5</xdr:col>
      <xdr:colOff>14129</xdr:colOff>
      <xdr:row>93</xdr:row>
      <xdr:rowOff>36521</xdr:rowOff>
    </xdr:from>
    <xdr:to>
      <xdr:col>5</xdr:col>
      <xdr:colOff>182479</xdr:colOff>
      <xdr:row>93</xdr:row>
      <xdr:rowOff>144521</xdr:rowOff>
    </xdr:to>
    <xdr:pic>
      <xdr:nvPicPr>
        <xdr:cNvPr id="128" name="Picture 135">
          <a:extLst>
            <a:ext uri="{FF2B5EF4-FFF2-40B4-BE49-F238E27FC236}">
              <a16:creationId xmlns:a16="http://schemas.microsoft.com/office/drawing/2014/main" id="{D77DB26B-F656-4756-A626-2966F7A73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033554" y="16857671"/>
          <a:ext cx="168350" cy="108000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94</xdr:row>
      <xdr:rowOff>34925</xdr:rowOff>
    </xdr:from>
    <xdr:to>
      <xdr:col>3</xdr:col>
      <xdr:colOff>183477</xdr:colOff>
      <xdr:row>94</xdr:row>
      <xdr:rowOff>140952</xdr:rowOff>
    </xdr:to>
    <xdr:pic>
      <xdr:nvPicPr>
        <xdr:cNvPr id="129" name="Picture 136">
          <a:extLst>
            <a:ext uri="{FF2B5EF4-FFF2-40B4-BE49-F238E27FC236}">
              <a16:creationId xmlns:a16="http://schemas.microsoft.com/office/drawing/2014/main" id="{BB8C5F5F-4D60-44EF-AC2E-DADBB5339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88277" y="17037050"/>
          <a:ext cx="162000" cy="106027"/>
        </a:xfrm>
        <a:prstGeom prst="rect">
          <a:avLst/>
        </a:prstGeom>
      </xdr:spPr>
    </xdr:pic>
    <xdr:clientData/>
  </xdr:twoCellAnchor>
  <xdr:twoCellAnchor editAs="oneCell">
    <xdr:from>
      <xdr:col>5</xdr:col>
      <xdr:colOff>14129</xdr:colOff>
      <xdr:row>94</xdr:row>
      <xdr:rowOff>34925</xdr:rowOff>
    </xdr:from>
    <xdr:to>
      <xdr:col>5</xdr:col>
      <xdr:colOff>182479</xdr:colOff>
      <xdr:row>94</xdr:row>
      <xdr:rowOff>140952</xdr:rowOff>
    </xdr:to>
    <xdr:pic>
      <xdr:nvPicPr>
        <xdr:cNvPr id="130" name="Picture 137">
          <a:extLst>
            <a:ext uri="{FF2B5EF4-FFF2-40B4-BE49-F238E27FC236}">
              <a16:creationId xmlns:a16="http://schemas.microsoft.com/office/drawing/2014/main" id="{589D1998-3B22-4CDA-B8D1-DB55B6854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033554" y="17037050"/>
          <a:ext cx="168350" cy="106027"/>
        </a:xfrm>
        <a:prstGeom prst="rect">
          <a:avLst/>
        </a:prstGeom>
      </xdr:spPr>
    </xdr:pic>
    <xdr:clientData/>
  </xdr:twoCellAnchor>
  <xdr:twoCellAnchor editAs="oneCell">
    <xdr:from>
      <xdr:col>3</xdr:col>
      <xdr:colOff>22322</xdr:colOff>
      <xdr:row>95</xdr:row>
      <xdr:rowOff>38159</xdr:rowOff>
    </xdr:from>
    <xdr:to>
      <xdr:col>3</xdr:col>
      <xdr:colOff>183477</xdr:colOff>
      <xdr:row>95</xdr:row>
      <xdr:rowOff>144186</xdr:rowOff>
    </xdr:to>
    <xdr:pic>
      <xdr:nvPicPr>
        <xdr:cNvPr id="131" name="Picture 138">
          <a:extLst>
            <a:ext uri="{FF2B5EF4-FFF2-40B4-BE49-F238E27FC236}">
              <a16:creationId xmlns:a16="http://schemas.microsoft.com/office/drawing/2014/main" id="{0F6D8DD6-B06A-4C8D-9CA7-322B57642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89122" y="17221259"/>
          <a:ext cx="161155" cy="106027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98</xdr:row>
      <xdr:rowOff>36348</xdr:rowOff>
    </xdr:from>
    <xdr:to>
      <xdr:col>3</xdr:col>
      <xdr:colOff>183477</xdr:colOff>
      <xdr:row>98</xdr:row>
      <xdr:rowOff>144348</xdr:rowOff>
    </xdr:to>
    <xdr:pic>
      <xdr:nvPicPr>
        <xdr:cNvPr id="132" name="Picture 139">
          <a:extLst>
            <a:ext uri="{FF2B5EF4-FFF2-40B4-BE49-F238E27FC236}">
              <a16:creationId xmlns:a16="http://schemas.microsoft.com/office/drawing/2014/main" id="{E1EAA651-46D9-4292-A1A1-FF490EAD0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88277" y="17762373"/>
          <a:ext cx="162000" cy="108000"/>
        </a:xfrm>
        <a:prstGeom prst="rect">
          <a:avLst/>
        </a:prstGeom>
      </xdr:spPr>
    </xdr:pic>
    <xdr:clientData/>
  </xdr:twoCellAnchor>
  <xdr:twoCellAnchor editAs="oneCell">
    <xdr:from>
      <xdr:col>5</xdr:col>
      <xdr:colOff>14129</xdr:colOff>
      <xdr:row>95</xdr:row>
      <xdr:rowOff>37172</xdr:rowOff>
    </xdr:from>
    <xdr:to>
      <xdr:col>5</xdr:col>
      <xdr:colOff>182479</xdr:colOff>
      <xdr:row>95</xdr:row>
      <xdr:rowOff>145172</xdr:rowOff>
    </xdr:to>
    <xdr:pic>
      <xdr:nvPicPr>
        <xdr:cNvPr id="133" name="Picture 140">
          <a:extLst>
            <a:ext uri="{FF2B5EF4-FFF2-40B4-BE49-F238E27FC236}">
              <a16:creationId xmlns:a16="http://schemas.microsoft.com/office/drawing/2014/main" id="{708DFC40-143E-4EE4-B30D-1BD7B6D63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033554" y="17220272"/>
          <a:ext cx="168350" cy="108000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96</xdr:row>
      <xdr:rowOff>38568</xdr:rowOff>
    </xdr:from>
    <xdr:to>
      <xdr:col>3</xdr:col>
      <xdr:colOff>183477</xdr:colOff>
      <xdr:row>96</xdr:row>
      <xdr:rowOff>140218</xdr:rowOff>
    </xdr:to>
    <xdr:pic>
      <xdr:nvPicPr>
        <xdr:cNvPr id="134" name="Picture 141">
          <a:extLst>
            <a:ext uri="{FF2B5EF4-FFF2-40B4-BE49-F238E27FC236}">
              <a16:creationId xmlns:a16="http://schemas.microsoft.com/office/drawing/2014/main" id="{3ACCE891-63AA-4D18-BB60-221268122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88277" y="17402643"/>
          <a:ext cx="162000" cy="101650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102</xdr:row>
      <xdr:rowOff>41642</xdr:rowOff>
    </xdr:from>
    <xdr:to>
      <xdr:col>3</xdr:col>
      <xdr:colOff>183477</xdr:colOff>
      <xdr:row>102</xdr:row>
      <xdr:rowOff>141319</xdr:rowOff>
    </xdr:to>
    <xdr:pic>
      <xdr:nvPicPr>
        <xdr:cNvPr id="135" name="Picture 142">
          <a:extLst>
            <a:ext uri="{FF2B5EF4-FFF2-40B4-BE49-F238E27FC236}">
              <a16:creationId xmlns:a16="http://schemas.microsoft.com/office/drawing/2014/main" id="{536FC663-A365-4B5A-8BF5-5F3D1C3DA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88277" y="18491567"/>
          <a:ext cx="162000" cy="99677"/>
        </a:xfrm>
        <a:prstGeom prst="rect">
          <a:avLst/>
        </a:prstGeom>
      </xdr:spPr>
    </xdr:pic>
    <xdr:clientData/>
  </xdr:twoCellAnchor>
  <xdr:twoCellAnchor editAs="oneCell">
    <xdr:from>
      <xdr:col>5</xdr:col>
      <xdr:colOff>14129</xdr:colOff>
      <xdr:row>102</xdr:row>
      <xdr:rowOff>41642</xdr:rowOff>
    </xdr:from>
    <xdr:to>
      <xdr:col>5</xdr:col>
      <xdr:colOff>182479</xdr:colOff>
      <xdr:row>102</xdr:row>
      <xdr:rowOff>141318</xdr:rowOff>
    </xdr:to>
    <xdr:pic>
      <xdr:nvPicPr>
        <xdr:cNvPr id="136" name="Picture 143">
          <a:extLst>
            <a:ext uri="{FF2B5EF4-FFF2-40B4-BE49-F238E27FC236}">
              <a16:creationId xmlns:a16="http://schemas.microsoft.com/office/drawing/2014/main" id="{911F6417-7DA9-464D-8F47-22519A00A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033554" y="18491567"/>
          <a:ext cx="168350" cy="99676"/>
        </a:xfrm>
        <a:prstGeom prst="rect">
          <a:avLst/>
        </a:prstGeom>
      </xdr:spPr>
    </xdr:pic>
    <xdr:clientData/>
  </xdr:twoCellAnchor>
  <xdr:twoCellAnchor editAs="oneCell">
    <xdr:from>
      <xdr:col>3</xdr:col>
      <xdr:colOff>22323</xdr:colOff>
      <xdr:row>103</xdr:row>
      <xdr:rowOff>42912</xdr:rowOff>
    </xdr:from>
    <xdr:to>
      <xdr:col>3</xdr:col>
      <xdr:colOff>183477</xdr:colOff>
      <xdr:row>103</xdr:row>
      <xdr:rowOff>150912</xdr:rowOff>
    </xdr:to>
    <xdr:pic>
      <xdr:nvPicPr>
        <xdr:cNvPr id="137" name="Picture 144">
          <a:extLst>
            <a:ext uri="{FF2B5EF4-FFF2-40B4-BE49-F238E27FC236}">
              <a16:creationId xmlns:a16="http://schemas.microsoft.com/office/drawing/2014/main" id="{61E6BE56-DCB8-4502-B401-185E66E55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89123" y="18673812"/>
          <a:ext cx="161154" cy="108000"/>
        </a:xfrm>
        <a:prstGeom prst="rect">
          <a:avLst/>
        </a:prstGeom>
      </xdr:spPr>
    </xdr:pic>
    <xdr:clientData/>
  </xdr:twoCellAnchor>
  <xdr:twoCellAnchor editAs="oneCell">
    <xdr:from>
      <xdr:col>5</xdr:col>
      <xdr:colOff>14129</xdr:colOff>
      <xdr:row>103</xdr:row>
      <xdr:rowOff>43899</xdr:rowOff>
    </xdr:from>
    <xdr:to>
      <xdr:col>5</xdr:col>
      <xdr:colOff>182479</xdr:colOff>
      <xdr:row>103</xdr:row>
      <xdr:rowOff>149925</xdr:rowOff>
    </xdr:to>
    <xdr:pic>
      <xdr:nvPicPr>
        <xdr:cNvPr id="138" name="Picture 145">
          <a:extLst>
            <a:ext uri="{FF2B5EF4-FFF2-40B4-BE49-F238E27FC236}">
              <a16:creationId xmlns:a16="http://schemas.microsoft.com/office/drawing/2014/main" id="{D80F86E9-7423-414D-A43F-8B2D41353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033554" y="18674799"/>
          <a:ext cx="168350" cy="106026"/>
        </a:xfrm>
        <a:prstGeom prst="rect">
          <a:avLst/>
        </a:prstGeom>
      </xdr:spPr>
    </xdr:pic>
    <xdr:clientData/>
  </xdr:twoCellAnchor>
  <xdr:twoCellAnchor editAs="oneCell">
    <xdr:from>
      <xdr:col>5</xdr:col>
      <xdr:colOff>19579</xdr:colOff>
      <xdr:row>106</xdr:row>
      <xdr:rowOff>36930</xdr:rowOff>
    </xdr:from>
    <xdr:to>
      <xdr:col>5</xdr:col>
      <xdr:colOff>182479</xdr:colOff>
      <xdr:row>106</xdr:row>
      <xdr:rowOff>142957</xdr:rowOff>
    </xdr:to>
    <xdr:pic>
      <xdr:nvPicPr>
        <xdr:cNvPr id="139" name="Picture 146">
          <a:extLst>
            <a:ext uri="{FF2B5EF4-FFF2-40B4-BE49-F238E27FC236}">
              <a16:creationId xmlns:a16="http://schemas.microsoft.com/office/drawing/2014/main" id="{02143771-88AE-4CEC-9180-E31D5B671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039004" y="19210755"/>
          <a:ext cx="162900" cy="106027"/>
        </a:xfrm>
        <a:prstGeom prst="rect">
          <a:avLst/>
        </a:prstGeom>
      </xdr:spPr>
    </xdr:pic>
    <xdr:clientData/>
  </xdr:twoCellAnchor>
  <xdr:twoCellAnchor editAs="oneCell">
    <xdr:from>
      <xdr:col>3</xdr:col>
      <xdr:colOff>21477</xdr:colOff>
      <xdr:row>107</xdr:row>
      <xdr:rowOff>41477</xdr:rowOff>
    </xdr:from>
    <xdr:to>
      <xdr:col>3</xdr:col>
      <xdr:colOff>183477</xdr:colOff>
      <xdr:row>107</xdr:row>
      <xdr:rowOff>141153</xdr:rowOff>
    </xdr:to>
    <xdr:pic>
      <xdr:nvPicPr>
        <xdr:cNvPr id="140" name="Picture 147">
          <a:extLst>
            <a:ext uri="{FF2B5EF4-FFF2-40B4-BE49-F238E27FC236}">
              <a16:creationId xmlns:a16="http://schemas.microsoft.com/office/drawing/2014/main" id="{D10E68F1-FC92-4CC5-B763-DB1736F2B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88277" y="19396277"/>
          <a:ext cx="162000" cy="99676"/>
        </a:xfrm>
        <a:prstGeom prst="rect">
          <a:avLst/>
        </a:prstGeom>
      </xdr:spPr>
    </xdr:pic>
    <xdr:clientData/>
  </xdr:twoCellAnchor>
  <xdr:twoCellAnchor editAs="oneCell">
    <xdr:from>
      <xdr:col>5</xdr:col>
      <xdr:colOff>16291</xdr:colOff>
      <xdr:row>107</xdr:row>
      <xdr:rowOff>40490</xdr:rowOff>
    </xdr:from>
    <xdr:to>
      <xdr:col>5</xdr:col>
      <xdr:colOff>182479</xdr:colOff>
      <xdr:row>107</xdr:row>
      <xdr:rowOff>142140</xdr:rowOff>
    </xdr:to>
    <xdr:pic>
      <xdr:nvPicPr>
        <xdr:cNvPr id="141" name="Picture 148">
          <a:extLst>
            <a:ext uri="{FF2B5EF4-FFF2-40B4-BE49-F238E27FC236}">
              <a16:creationId xmlns:a16="http://schemas.microsoft.com/office/drawing/2014/main" id="{D3609345-C6C5-4721-9867-684CE631B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035716" y="19395290"/>
          <a:ext cx="166188" cy="101650"/>
        </a:xfrm>
        <a:prstGeom prst="rect">
          <a:avLst/>
        </a:prstGeom>
      </xdr:spPr>
    </xdr:pic>
    <xdr:clientData/>
  </xdr:twoCellAnchor>
  <xdr:twoCellAnchor editAs="oneCell">
    <xdr:from>
      <xdr:col>3</xdr:col>
      <xdr:colOff>23639</xdr:colOff>
      <xdr:row>105</xdr:row>
      <xdr:rowOff>38847</xdr:rowOff>
    </xdr:from>
    <xdr:to>
      <xdr:col>3</xdr:col>
      <xdr:colOff>183477</xdr:colOff>
      <xdr:row>105</xdr:row>
      <xdr:rowOff>144873</xdr:rowOff>
    </xdr:to>
    <xdr:pic>
      <xdr:nvPicPr>
        <xdr:cNvPr id="142" name="Picture 149">
          <a:extLst>
            <a:ext uri="{FF2B5EF4-FFF2-40B4-BE49-F238E27FC236}">
              <a16:creationId xmlns:a16="http://schemas.microsoft.com/office/drawing/2014/main" id="{0D95BB7B-FCA9-4A9B-A412-BD2F0F98D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439" y="19031697"/>
          <a:ext cx="159838" cy="106026"/>
        </a:xfrm>
        <a:prstGeom prst="rect">
          <a:avLst/>
        </a:prstGeom>
      </xdr:spPr>
    </xdr:pic>
    <xdr:clientData/>
  </xdr:twoCellAnchor>
  <xdr:twoCellAnchor editAs="oneCell">
    <xdr:from>
      <xdr:col>3</xdr:col>
      <xdr:colOff>22323</xdr:colOff>
      <xdr:row>104</xdr:row>
      <xdr:rowOff>36466</xdr:rowOff>
    </xdr:from>
    <xdr:to>
      <xdr:col>3</xdr:col>
      <xdr:colOff>183477</xdr:colOff>
      <xdr:row>104</xdr:row>
      <xdr:rowOff>144466</xdr:rowOff>
    </xdr:to>
    <xdr:pic>
      <xdr:nvPicPr>
        <xdr:cNvPr id="143" name="Picture 150">
          <a:extLst>
            <a:ext uri="{FF2B5EF4-FFF2-40B4-BE49-F238E27FC236}">
              <a16:creationId xmlns:a16="http://schemas.microsoft.com/office/drawing/2014/main" id="{2140A027-570F-40F3-84C1-E6537EF3D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89123" y="18848341"/>
          <a:ext cx="161154" cy="108000"/>
        </a:xfrm>
        <a:prstGeom prst="rect">
          <a:avLst/>
        </a:prstGeom>
      </xdr:spPr>
    </xdr:pic>
    <xdr:clientData/>
  </xdr:twoCellAnchor>
  <xdr:twoCellAnchor editAs="oneCell">
    <xdr:from>
      <xdr:col>5</xdr:col>
      <xdr:colOff>14129</xdr:colOff>
      <xdr:row>105</xdr:row>
      <xdr:rowOff>38847</xdr:rowOff>
    </xdr:from>
    <xdr:to>
      <xdr:col>5</xdr:col>
      <xdr:colOff>182479</xdr:colOff>
      <xdr:row>105</xdr:row>
      <xdr:rowOff>144873</xdr:rowOff>
    </xdr:to>
    <xdr:pic>
      <xdr:nvPicPr>
        <xdr:cNvPr id="144" name="Picture 151">
          <a:extLst>
            <a:ext uri="{FF2B5EF4-FFF2-40B4-BE49-F238E27FC236}">
              <a16:creationId xmlns:a16="http://schemas.microsoft.com/office/drawing/2014/main" id="{05534644-EA76-4AFD-BFB1-CD22122C8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033554" y="19031697"/>
          <a:ext cx="168350" cy="106026"/>
        </a:xfrm>
        <a:prstGeom prst="rect">
          <a:avLst/>
        </a:prstGeom>
      </xdr:spPr>
    </xdr:pic>
    <xdr:clientData/>
  </xdr:twoCellAnchor>
  <xdr:twoCellAnchor editAs="oneCell">
    <xdr:from>
      <xdr:col>5</xdr:col>
      <xdr:colOff>13658</xdr:colOff>
      <xdr:row>104</xdr:row>
      <xdr:rowOff>37453</xdr:rowOff>
    </xdr:from>
    <xdr:to>
      <xdr:col>5</xdr:col>
      <xdr:colOff>182479</xdr:colOff>
      <xdr:row>104</xdr:row>
      <xdr:rowOff>143480</xdr:rowOff>
    </xdr:to>
    <xdr:pic>
      <xdr:nvPicPr>
        <xdr:cNvPr id="145" name="Picture 152">
          <a:extLst>
            <a:ext uri="{FF2B5EF4-FFF2-40B4-BE49-F238E27FC236}">
              <a16:creationId xmlns:a16="http://schemas.microsoft.com/office/drawing/2014/main" id="{80CA069D-1B8C-4F57-914C-2045545D5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033083" y="18849328"/>
          <a:ext cx="168821" cy="106027"/>
        </a:xfrm>
        <a:prstGeom prst="rect">
          <a:avLst/>
        </a:prstGeom>
      </xdr:spPr>
    </xdr:pic>
    <xdr:clientData/>
  </xdr:twoCellAnchor>
  <xdr:twoCellAnchor editAs="oneCell">
    <xdr:from>
      <xdr:col>3</xdr:col>
      <xdr:colOff>21851</xdr:colOff>
      <xdr:row>106</xdr:row>
      <xdr:rowOff>35387</xdr:rowOff>
    </xdr:from>
    <xdr:to>
      <xdr:col>3</xdr:col>
      <xdr:colOff>183477</xdr:colOff>
      <xdr:row>106</xdr:row>
      <xdr:rowOff>141413</xdr:rowOff>
    </xdr:to>
    <xdr:pic>
      <xdr:nvPicPr>
        <xdr:cNvPr id="146" name="Picture 153">
          <a:extLst>
            <a:ext uri="{FF2B5EF4-FFF2-40B4-BE49-F238E27FC236}">
              <a16:creationId xmlns:a16="http://schemas.microsoft.com/office/drawing/2014/main" id="{AE2F2FD0-922D-4136-A10D-EED4F9AEF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88651" y="19209212"/>
          <a:ext cx="161626" cy="106026"/>
        </a:xfrm>
        <a:prstGeom prst="rect">
          <a:avLst/>
        </a:prstGeom>
      </xdr:spPr>
    </xdr:pic>
    <xdr:clientData/>
  </xdr:twoCellAnchor>
  <xdr:twoCellAnchor editAs="oneCell">
    <xdr:from>
      <xdr:col>3</xdr:col>
      <xdr:colOff>21874</xdr:colOff>
      <xdr:row>77</xdr:row>
      <xdr:rowOff>39042</xdr:rowOff>
    </xdr:from>
    <xdr:to>
      <xdr:col>3</xdr:col>
      <xdr:colOff>183477</xdr:colOff>
      <xdr:row>77</xdr:row>
      <xdr:rowOff>145547</xdr:rowOff>
    </xdr:to>
    <xdr:pic>
      <xdr:nvPicPr>
        <xdr:cNvPr id="147" name="Picture 154">
          <a:extLst>
            <a:ext uri="{FF2B5EF4-FFF2-40B4-BE49-F238E27FC236}">
              <a16:creationId xmlns:a16="http://schemas.microsoft.com/office/drawing/2014/main" id="{6BD23106-4002-4429-85BB-5B5465666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88674" y="13964592"/>
          <a:ext cx="161603" cy="106505"/>
        </a:xfrm>
        <a:prstGeom prst="rect">
          <a:avLst/>
        </a:prstGeom>
      </xdr:spPr>
    </xdr:pic>
    <xdr:clientData/>
  </xdr:twoCellAnchor>
  <xdr:twoCellAnchor editAs="oneCell">
    <xdr:from>
      <xdr:col>3</xdr:col>
      <xdr:colOff>22272</xdr:colOff>
      <xdr:row>80</xdr:row>
      <xdr:rowOff>35898</xdr:rowOff>
    </xdr:from>
    <xdr:to>
      <xdr:col>3</xdr:col>
      <xdr:colOff>183477</xdr:colOff>
      <xdr:row>80</xdr:row>
      <xdr:rowOff>142404</xdr:rowOff>
    </xdr:to>
    <xdr:pic>
      <xdr:nvPicPr>
        <xdr:cNvPr id="148" name="Picture 155">
          <a:extLst>
            <a:ext uri="{FF2B5EF4-FFF2-40B4-BE49-F238E27FC236}">
              <a16:creationId xmlns:a16="http://schemas.microsoft.com/office/drawing/2014/main" id="{9AA4A21E-CDA0-4C77-AF01-EDF9E4993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89072" y="14504373"/>
          <a:ext cx="161205" cy="106506"/>
        </a:xfrm>
        <a:prstGeom prst="rect">
          <a:avLst/>
        </a:prstGeom>
      </xdr:spPr>
    </xdr:pic>
    <xdr:clientData/>
  </xdr:twoCellAnchor>
  <xdr:twoCellAnchor editAs="oneCell">
    <xdr:from>
      <xdr:col>3</xdr:col>
      <xdr:colOff>21275</xdr:colOff>
      <xdr:row>76</xdr:row>
      <xdr:rowOff>37579</xdr:rowOff>
    </xdr:from>
    <xdr:to>
      <xdr:col>3</xdr:col>
      <xdr:colOff>183477</xdr:colOff>
      <xdr:row>76</xdr:row>
      <xdr:rowOff>144084</xdr:rowOff>
    </xdr:to>
    <xdr:pic>
      <xdr:nvPicPr>
        <xdr:cNvPr id="149" name="Picture 156">
          <a:extLst>
            <a:ext uri="{FF2B5EF4-FFF2-40B4-BE49-F238E27FC236}">
              <a16:creationId xmlns:a16="http://schemas.microsoft.com/office/drawing/2014/main" id="{A064A8C3-361A-4001-A2A6-3D1960D60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88075" y="13782154"/>
          <a:ext cx="162202" cy="106505"/>
        </a:xfrm>
        <a:prstGeom prst="rect">
          <a:avLst/>
        </a:prstGeom>
      </xdr:spPr>
    </xdr:pic>
    <xdr:clientData/>
  </xdr:twoCellAnchor>
  <xdr:twoCellAnchor editAs="oneCell">
    <xdr:from>
      <xdr:col>3</xdr:col>
      <xdr:colOff>396</xdr:colOff>
      <xdr:row>75</xdr:row>
      <xdr:rowOff>41990</xdr:rowOff>
    </xdr:from>
    <xdr:to>
      <xdr:col>3</xdr:col>
      <xdr:colOff>161999</xdr:colOff>
      <xdr:row>75</xdr:row>
      <xdr:rowOff>142145</xdr:rowOff>
    </xdr:to>
    <xdr:pic>
      <xdr:nvPicPr>
        <xdr:cNvPr id="150" name="Picture 157">
          <a:extLst>
            <a:ext uri="{FF2B5EF4-FFF2-40B4-BE49-F238E27FC236}">
              <a16:creationId xmlns:a16="http://schemas.microsoft.com/office/drawing/2014/main" id="{BB7FA910-129B-47B6-874C-F1EFB62BE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67196" y="13605590"/>
          <a:ext cx="161603" cy="100155"/>
        </a:xfrm>
        <a:prstGeom prst="rect">
          <a:avLst/>
        </a:prstGeom>
      </xdr:spPr>
    </xdr:pic>
    <xdr:clientData/>
  </xdr:twoCellAnchor>
  <xdr:twoCellAnchor editAs="oneCell">
    <xdr:from>
      <xdr:col>3</xdr:col>
      <xdr:colOff>21874</xdr:colOff>
      <xdr:row>78</xdr:row>
      <xdr:rowOff>36148</xdr:rowOff>
    </xdr:from>
    <xdr:to>
      <xdr:col>3</xdr:col>
      <xdr:colOff>183477</xdr:colOff>
      <xdr:row>78</xdr:row>
      <xdr:rowOff>144148</xdr:rowOff>
    </xdr:to>
    <xdr:pic>
      <xdr:nvPicPr>
        <xdr:cNvPr id="151" name="Picture 158">
          <a:extLst>
            <a:ext uri="{FF2B5EF4-FFF2-40B4-BE49-F238E27FC236}">
              <a16:creationId xmlns:a16="http://schemas.microsoft.com/office/drawing/2014/main" id="{6DD24B02-B6F8-4566-A84E-FDEF7B28C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88674" y="14142673"/>
          <a:ext cx="161603" cy="108000"/>
        </a:xfrm>
        <a:prstGeom prst="rect">
          <a:avLst/>
        </a:prstGeom>
      </xdr:spPr>
    </xdr:pic>
    <xdr:clientData/>
  </xdr:twoCellAnchor>
  <xdr:twoCellAnchor editAs="oneCell">
    <xdr:from>
      <xdr:col>3</xdr:col>
      <xdr:colOff>21874</xdr:colOff>
      <xdr:row>79</xdr:row>
      <xdr:rowOff>41830</xdr:rowOff>
    </xdr:from>
    <xdr:to>
      <xdr:col>3</xdr:col>
      <xdr:colOff>183477</xdr:colOff>
      <xdr:row>79</xdr:row>
      <xdr:rowOff>141986</xdr:rowOff>
    </xdr:to>
    <xdr:pic>
      <xdr:nvPicPr>
        <xdr:cNvPr id="152" name="Picture 159">
          <a:extLst>
            <a:ext uri="{FF2B5EF4-FFF2-40B4-BE49-F238E27FC236}">
              <a16:creationId xmlns:a16="http://schemas.microsoft.com/office/drawing/2014/main" id="{F2BEF062-28F3-442A-923D-784A07447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88674" y="14329330"/>
          <a:ext cx="161603" cy="100156"/>
        </a:xfrm>
        <a:prstGeom prst="rect">
          <a:avLst/>
        </a:prstGeom>
      </xdr:spPr>
    </xdr:pic>
    <xdr:clientData/>
  </xdr:twoCellAnchor>
  <xdr:twoCellAnchor editAs="oneCell">
    <xdr:from>
      <xdr:col>3</xdr:col>
      <xdr:colOff>21874</xdr:colOff>
      <xdr:row>75</xdr:row>
      <xdr:rowOff>47394</xdr:rowOff>
    </xdr:from>
    <xdr:to>
      <xdr:col>3</xdr:col>
      <xdr:colOff>183477</xdr:colOff>
      <xdr:row>75</xdr:row>
      <xdr:rowOff>153899</xdr:rowOff>
    </xdr:to>
    <xdr:pic>
      <xdr:nvPicPr>
        <xdr:cNvPr id="153" name="Picture 160">
          <a:extLst>
            <a:ext uri="{FF2B5EF4-FFF2-40B4-BE49-F238E27FC236}">
              <a16:creationId xmlns:a16="http://schemas.microsoft.com/office/drawing/2014/main" id="{94C1A133-17F1-442C-A411-00C6CA335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88674" y="13610994"/>
          <a:ext cx="161603" cy="106505"/>
        </a:xfrm>
        <a:prstGeom prst="rect">
          <a:avLst/>
        </a:prstGeom>
      </xdr:spPr>
    </xdr:pic>
    <xdr:clientData/>
  </xdr:twoCellAnchor>
  <xdr:twoCellAnchor editAs="oneCell">
    <xdr:from>
      <xdr:col>5</xdr:col>
      <xdr:colOff>15787</xdr:colOff>
      <xdr:row>76</xdr:row>
      <xdr:rowOff>37578</xdr:rowOff>
    </xdr:from>
    <xdr:to>
      <xdr:col>5</xdr:col>
      <xdr:colOff>182479</xdr:colOff>
      <xdr:row>76</xdr:row>
      <xdr:rowOff>144084</xdr:rowOff>
    </xdr:to>
    <xdr:pic>
      <xdr:nvPicPr>
        <xdr:cNvPr id="154" name="Picture 161">
          <a:extLst>
            <a:ext uri="{FF2B5EF4-FFF2-40B4-BE49-F238E27FC236}">
              <a16:creationId xmlns:a16="http://schemas.microsoft.com/office/drawing/2014/main" id="{CAFEE4CB-4E67-4709-85AC-388922315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035212" y="13782153"/>
          <a:ext cx="166692" cy="106506"/>
        </a:xfrm>
        <a:prstGeom prst="rect">
          <a:avLst/>
        </a:prstGeom>
      </xdr:spPr>
    </xdr:pic>
    <xdr:clientData/>
  </xdr:twoCellAnchor>
  <xdr:twoCellAnchor editAs="oneCell">
    <xdr:from>
      <xdr:col>5</xdr:col>
      <xdr:colOff>15787</xdr:colOff>
      <xdr:row>75</xdr:row>
      <xdr:rowOff>41242</xdr:rowOff>
    </xdr:from>
    <xdr:to>
      <xdr:col>5</xdr:col>
      <xdr:colOff>182479</xdr:colOff>
      <xdr:row>75</xdr:row>
      <xdr:rowOff>149242</xdr:rowOff>
    </xdr:to>
    <xdr:pic>
      <xdr:nvPicPr>
        <xdr:cNvPr id="155" name="Picture 162">
          <a:extLst>
            <a:ext uri="{FF2B5EF4-FFF2-40B4-BE49-F238E27FC236}">
              <a16:creationId xmlns:a16="http://schemas.microsoft.com/office/drawing/2014/main" id="{E8401419-946B-49A8-AACA-9F985653E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035212" y="13604842"/>
          <a:ext cx="166692" cy="108000"/>
        </a:xfrm>
        <a:prstGeom prst="rect">
          <a:avLst/>
        </a:prstGeom>
      </xdr:spPr>
    </xdr:pic>
    <xdr:clientData/>
  </xdr:twoCellAnchor>
  <xdr:twoCellAnchor editAs="oneCell">
    <xdr:from>
      <xdr:col>5</xdr:col>
      <xdr:colOff>15787</xdr:colOff>
      <xdr:row>77</xdr:row>
      <xdr:rowOff>38294</xdr:rowOff>
    </xdr:from>
    <xdr:to>
      <xdr:col>5</xdr:col>
      <xdr:colOff>182479</xdr:colOff>
      <xdr:row>77</xdr:row>
      <xdr:rowOff>139944</xdr:rowOff>
    </xdr:to>
    <xdr:pic>
      <xdr:nvPicPr>
        <xdr:cNvPr id="156" name="Picture 163">
          <a:extLst>
            <a:ext uri="{FF2B5EF4-FFF2-40B4-BE49-F238E27FC236}">
              <a16:creationId xmlns:a16="http://schemas.microsoft.com/office/drawing/2014/main" id="{06214507-FA52-4C74-9CA8-CD0B6167B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035212" y="13963844"/>
          <a:ext cx="166692" cy="101650"/>
        </a:xfrm>
        <a:prstGeom prst="rect">
          <a:avLst/>
        </a:prstGeom>
      </xdr:spPr>
    </xdr:pic>
    <xdr:clientData/>
  </xdr:twoCellAnchor>
  <xdr:twoCellAnchor editAs="oneCell">
    <xdr:from>
      <xdr:col>5</xdr:col>
      <xdr:colOff>15787</xdr:colOff>
      <xdr:row>79</xdr:row>
      <xdr:rowOff>41083</xdr:rowOff>
    </xdr:from>
    <xdr:to>
      <xdr:col>5</xdr:col>
      <xdr:colOff>182479</xdr:colOff>
      <xdr:row>79</xdr:row>
      <xdr:rowOff>142733</xdr:rowOff>
    </xdr:to>
    <xdr:pic>
      <xdr:nvPicPr>
        <xdr:cNvPr id="157" name="Picture 164">
          <a:extLst>
            <a:ext uri="{FF2B5EF4-FFF2-40B4-BE49-F238E27FC236}">
              <a16:creationId xmlns:a16="http://schemas.microsoft.com/office/drawing/2014/main" id="{571999E5-FEF4-4D90-856F-FCF3B2A32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035212" y="14328583"/>
          <a:ext cx="166692" cy="101650"/>
        </a:xfrm>
        <a:prstGeom prst="rect">
          <a:avLst/>
        </a:prstGeom>
      </xdr:spPr>
    </xdr:pic>
    <xdr:clientData/>
  </xdr:twoCellAnchor>
  <xdr:twoCellAnchor editAs="oneCell">
    <xdr:from>
      <xdr:col>5</xdr:col>
      <xdr:colOff>15787</xdr:colOff>
      <xdr:row>78</xdr:row>
      <xdr:rowOff>36895</xdr:rowOff>
    </xdr:from>
    <xdr:to>
      <xdr:col>5</xdr:col>
      <xdr:colOff>182479</xdr:colOff>
      <xdr:row>78</xdr:row>
      <xdr:rowOff>143401</xdr:rowOff>
    </xdr:to>
    <xdr:pic>
      <xdr:nvPicPr>
        <xdr:cNvPr id="158" name="Picture 165">
          <a:extLst>
            <a:ext uri="{FF2B5EF4-FFF2-40B4-BE49-F238E27FC236}">
              <a16:creationId xmlns:a16="http://schemas.microsoft.com/office/drawing/2014/main" id="{69FCD695-F610-4D04-AA04-8EB0B82B9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035212" y="14143420"/>
          <a:ext cx="166692" cy="106506"/>
        </a:xfrm>
        <a:prstGeom prst="rect">
          <a:avLst/>
        </a:prstGeom>
      </xdr:spPr>
    </xdr:pic>
    <xdr:clientData/>
  </xdr:twoCellAnchor>
  <xdr:twoCellAnchor editAs="oneCell">
    <xdr:from>
      <xdr:col>5</xdr:col>
      <xdr:colOff>15787</xdr:colOff>
      <xdr:row>80</xdr:row>
      <xdr:rowOff>35899</xdr:rowOff>
    </xdr:from>
    <xdr:to>
      <xdr:col>5</xdr:col>
      <xdr:colOff>182479</xdr:colOff>
      <xdr:row>80</xdr:row>
      <xdr:rowOff>142404</xdr:rowOff>
    </xdr:to>
    <xdr:pic>
      <xdr:nvPicPr>
        <xdr:cNvPr id="159" name="Picture 166">
          <a:extLst>
            <a:ext uri="{FF2B5EF4-FFF2-40B4-BE49-F238E27FC236}">
              <a16:creationId xmlns:a16="http://schemas.microsoft.com/office/drawing/2014/main" id="{7A121D1C-79C4-4E95-A909-274E5EA0B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035212" y="14504374"/>
          <a:ext cx="166692" cy="106505"/>
        </a:xfrm>
        <a:prstGeom prst="rect">
          <a:avLst/>
        </a:prstGeom>
      </xdr:spPr>
    </xdr:pic>
    <xdr:clientData/>
  </xdr:twoCellAnchor>
  <xdr:twoCellAnchor editAs="oneCell">
    <xdr:from>
      <xdr:col>3</xdr:col>
      <xdr:colOff>21874</xdr:colOff>
      <xdr:row>77</xdr:row>
      <xdr:rowOff>39042</xdr:rowOff>
    </xdr:from>
    <xdr:to>
      <xdr:col>3</xdr:col>
      <xdr:colOff>183477</xdr:colOff>
      <xdr:row>77</xdr:row>
      <xdr:rowOff>145547</xdr:rowOff>
    </xdr:to>
    <xdr:pic>
      <xdr:nvPicPr>
        <xdr:cNvPr id="160" name="Picture 167">
          <a:extLst>
            <a:ext uri="{FF2B5EF4-FFF2-40B4-BE49-F238E27FC236}">
              <a16:creationId xmlns:a16="http://schemas.microsoft.com/office/drawing/2014/main" id="{40CEB817-94FE-48D6-ACA8-62A2C36E3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88674" y="13964592"/>
          <a:ext cx="161603" cy="106505"/>
        </a:xfrm>
        <a:prstGeom prst="rect">
          <a:avLst/>
        </a:prstGeom>
      </xdr:spPr>
    </xdr:pic>
    <xdr:clientData/>
  </xdr:twoCellAnchor>
  <xdr:twoCellAnchor editAs="oneCell">
    <xdr:from>
      <xdr:col>3</xdr:col>
      <xdr:colOff>22272</xdr:colOff>
      <xdr:row>80</xdr:row>
      <xdr:rowOff>35898</xdr:rowOff>
    </xdr:from>
    <xdr:to>
      <xdr:col>3</xdr:col>
      <xdr:colOff>183477</xdr:colOff>
      <xdr:row>80</xdr:row>
      <xdr:rowOff>142404</xdr:rowOff>
    </xdr:to>
    <xdr:pic>
      <xdr:nvPicPr>
        <xdr:cNvPr id="161" name="Picture 168">
          <a:extLst>
            <a:ext uri="{FF2B5EF4-FFF2-40B4-BE49-F238E27FC236}">
              <a16:creationId xmlns:a16="http://schemas.microsoft.com/office/drawing/2014/main" id="{F2A3891E-0C5D-4814-B687-992B38DE4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89072" y="14504373"/>
          <a:ext cx="161205" cy="106506"/>
        </a:xfrm>
        <a:prstGeom prst="rect">
          <a:avLst/>
        </a:prstGeom>
      </xdr:spPr>
    </xdr:pic>
    <xdr:clientData/>
  </xdr:twoCellAnchor>
  <xdr:twoCellAnchor editAs="oneCell">
    <xdr:from>
      <xdr:col>3</xdr:col>
      <xdr:colOff>21275</xdr:colOff>
      <xdr:row>76</xdr:row>
      <xdr:rowOff>37579</xdr:rowOff>
    </xdr:from>
    <xdr:to>
      <xdr:col>3</xdr:col>
      <xdr:colOff>183477</xdr:colOff>
      <xdr:row>76</xdr:row>
      <xdr:rowOff>144084</xdr:rowOff>
    </xdr:to>
    <xdr:pic>
      <xdr:nvPicPr>
        <xdr:cNvPr id="162" name="Picture 169">
          <a:extLst>
            <a:ext uri="{FF2B5EF4-FFF2-40B4-BE49-F238E27FC236}">
              <a16:creationId xmlns:a16="http://schemas.microsoft.com/office/drawing/2014/main" id="{46D8B6F7-C2DC-4E9F-8430-F1DFDE770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88075" y="13782154"/>
          <a:ext cx="162202" cy="106505"/>
        </a:xfrm>
        <a:prstGeom prst="rect">
          <a:avLst/>
        </a:prstGeom>
      </xdr:spPr>
    </xdr:pic>
    <xdr:clientData/>
  </xdr:twoCellAnchor>
  <xdr:twoCellAnchor editAs="oneCell">
    <xdr:from>
      <xdr:col>5</xdr:col>
      <xdr:colOff>15787</xdr:colOff>
      <xdr:row>76</xdr:row>
      <xdr:rowOff>37578</xdr:rowOff>
    </xdr:from>
    <xdr:to>
      <xdr:col>5</xdr:col>
      <xdr:colOff>182479</xdr:colOff>
      <xdr:row>76</xdr:row>
      <xdr:rowOff>144084</xdr:rowOff>
    </xdr:to>
    <xdr:pic>
      <xdr:nvPicPr>
        <xdr:cNvPr id="163" name="Picture 170">
          <a:extLst>
            <a:ext uri="{FF2B5EF4-FFF2-40B4-BE49-F238E27FC236}">
              <a16:creationId xmlns:a16="http://schemas.microsoft.com/office/drawing/2014/main" id="{B8CF1302-FE89-4657-8B73-0438270A3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035212" y="13782153"/>
          <a:ext cx="166692" cy="106506"/>
        </a:xfrm>
        <a:prstGeom prst="rect">
          <a:avLst/>
        </a:prstGeom>
      </xdr:spPr>
    </xdr:pic>
    <xdr:clientData/>
  </xdr:twoCellAnchor>
  <xdr:twoCellAnchor editAs="oneCell">
    <xdr:from>
      <xdr:col>3</xdr:col>
      <xdr:colOff>396</xdr:colOff>
      <xdr:row>75</xdr:row>
      <xdr:rowOff>41990</xdr:rowOff>
    </xdr:from>
    <xdr:to>
      <xdr:col>3</xdr:col>
      <xdr:colOff>161999</xdr:colOff>
      <xdr:row>75</xdr:row>
      <xdr:rowOff>142145</xdr:rowOff>
    </xdr:to>
    <xdr:pic>
      <xdr:nvPicPr>
        <xdr:cNvPr id="164" name="Picture 171">
          <a:extLst>
            <a:ext uri="{FF2B5EF4-FFF2-40B4-BE49-F238E27FC236}">
              <a16:creationId xmlns:a16="http://schemas.microsoft.com/office/drawing/2014/main" id="{AF8B95B5-380F-4E1C-826B-AF22311FE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67196" y="13605590"/>
          <a:ext cx="161603" cy="100155"/>
        </a:xfrm>
        <a:prstGeom prst="rect">
          <a:avLst/>
        </a:prstGeom>
      </xdr:spPr>
    </xdr:pic>
    <xdr:clientData/>
  </xdr:twoCellAnchor>
  <xdr:twoCellAnchor editAs="oneCell">
    <xdr:from>
      <xdr:col>5</xdr:col>
      <xdr:colOff>15787</xdr:colOff>
      <xdr:row>75</xdr:row>
      <xdr:rowOff>41242</xdr:rowOff>
    </xdr:from>
    <xdr:to>
      <xdr:col>5</xdr:col>
      <xdr:colOff>182479</xdr:colOff>
      <xdr:row>75</xdr:row>
      <xdr:rowOff>149242</xdr:rowOff>
    </xdr:to>
    <xdr:pic>
      <xdr:nvPicPr>
        <xdr:cNvPr id="165" name="Picture 172">
          <a:extLst>
            <a:ext uri="{FF2B5EF4-FFF2-40B4-BE49-F238E27FC236}">
              <a16:creationId xmlns:a16="http://schemas.microsoft.com/office/drawing/2014/main" id="{0A3B984B-59CF-40E1-8D09-1D6AC06EC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035212" y="13604842"/>
          <a:ext cx="166692" cy="108000"/>
        </a:xfrm>
        <a:prstGeom prst="rect">
          <a:avLst/>
        </a:prstGeom>
      </xdr:spPr>
    </xdr:pic>
    <xdr:clientData/>
  </xdr:twoCellAnchor>
  <xdr:twoCellAnchor editAs="oneCell">
    <xdr:from>
      <xdr:col>5</xdr:col>
      <xdr:colOff>15787</xdr:colOff>
      <xdr:row>77</xdr:row>
      <xdr:rowOff>38294</xdr:rowOff>
    </xdr:from>
    <xdr:to>
      <xdr:col>5</xdr:col>
      <xdr:colOff>182479</xdr:colOff>
      <xdr:row>77</xdr:row>
      <xdr:rowOff>139944</xdr:rowOff>
    </xdr:to>
    <xdr:pic>
      <xdr:nvPicPr>
        <xdr:cNvPr id="166" name="Picture 173">
          <a:extLst>
            <a:ext uri="{FF2B5EF4-FFF2-40B4-BE49-F238E27FC236}">
              <a16:creationId xmlns:a16="http://schemas.microsoft.com/office/drawing/2014/main" id="{9C6067F7-354D-49F6-BA0A-10BF55E00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035212" y="13963844"/>
          <a:ext cx="166692" cy="101650"/>
        </a:xfrm>
        <a:prstGeom prst="rect">
          <a:avLst/>
        </a:prstGeom>
      </xdr:spPr>
    </xdr:pic>
    <xdr:clientData/>
  </xdr:twoCellAnchor>
  <xdr:twoCellAnchor editAs="oneCell">
    <xdr:from>
      <xdr:col>3</xdr:col>
      <xdr:colOff>21874</xdr:colOff>
      <xdr:row>78</xdr:row>
      <xdr:rowOff>36148</xdr:rowOff>
    </xdr:from>
    <xdr:to>
      <xdr:col>3</xdr:col>
      <xdr:colOff>183477</xdr:colOff>
      <xdr:row>78</xdr:row>
      <xdr:rowOff>144148</xdr:rowOff>
    </xdr:to>
    <xdr:pic>
      <xdr:nvPicPr>
        <xdr:cNvPr id="167" name="Picture 174">
          <a:extLst>
            <a:ext uri="{FF2B5EF4-FFF2-40B4-BE49-F238E27FC236}">
              <a16:creationId xmlns:a16="http://schemas.microsoft.com/office/drawing/2014/main" id="{A3D81CA2-AF36-4632-881E-AC9D6D39A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88674" y="14142673"/>
          <a:ext cx="161603" cy="108000"/>
        </a:xfrm>
        <a:prstGeom prst="rect">
          <a:avLst/>
        </a:prstGeom>
      </xdr:spPr>
    </xdr:pic>
    <xdr:clientData/>
  </xdr:twoCellAnchor>
  <xdr:twoCellAnchor editAs="oneCell">
    <xdr:from>
      <xdr:col>5</xdr:col>
      <xdr:colOff>15787</xdr:colOff>
      <xdr:row>79</xdr:row>
      <xdr:rowOff>41083</xdr:rowOff>
    </xdr:from>
    <xdr:to>
      <xdr:col>5</xdr:col>
      <xdr:colOff>182479</xdr:colOff>
      <xdr:row>79</xdr:row>
      <xdr:rowOff>142733</xdr:rowOff>
    </xdr:to>
    <xdr:pic>
      <xdr:nvPicPr>
        <xdr:cNvPr id="168" name="Picture 175">
          <a:extLst>
            <a:ext uri="{FF2B5EF4-FFF2-40B4-BE49-F238E27FC236}">
              <a16:creationId xmlns:a16="http://schemas.microsoft.com/office/drawing/2014/main" id="{9ECABE1C-9415-4B79-ABB9-91EDB8914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035212" y="14328583"/>
          <a:ext cx="166692" cy="101650"/>
        </a:xfrm>
        <a:prstGeom prst="rect">
          <a:avLst/>
        </a:prstGeom>
      </xdr:spPr>
    </xdr:pic>
    <xdr:clientData/>
  </xdr:twoCellAnchor>
  <xdr:twoCellAnchor editAs="oneCell">
    <xdr:from>
      <xdr:col>5</xdr:col>
      <xdr:colOff>15787</xdr:colOff>
      <xdr:row>78</xdr:row>
      <xdr:rowOff>36895</xdr:rowOff>
    </xdr:from>
    <xdr:to>
      <xdr:col>5</xdr:col>
      <xdr:colOff>182479</xdr:colOff>
      <xdr:row>78</xdr:row>
      <xdr:rowOff>143401</xdr:rowOff>
    </xdr:to>
    <xdr:pic>
      <xdr:nvPicPr>
        <xdr:cNvPr id="169" name="Picture 176">
          <a:extLst>
            <a:ext uri="{FF2B5EF4-FFF2-40B4-BE49-F238E27FC236}">
              <a16:creationId xmlns:a16="http://schemas.microsoft.com/office/drawing/2014/main" id="{BB46CDCD-E6C0-45EC-9D05-5402BBDB9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035212" y="14143420"/>
          <a:ext cx="166692" cy="106506"/>
        </a:xfrm>
        <a:prstGeom prst="rect">
          <a:avLst/>
        </a:prstGeom>
      </xdr:spPr>
    </xdr:pic>
    <xdr:clientData/>
  </xdr:twoCellAnchor>
  <xdr:twoCellAnchor editAs="oneCell">
    <xdr:from>
      <xdr:col>5</xdr:col>
      <xdr:colOff>15787</xdr:colOff>
      <xdr:row>80</xdr:row>
      <xdr:rowOff>35899</xdr:rowOff>
    </xdr:from>
    <xdr:to>
      <xdr:col>5</xdr:col>
      <xdr:colOff>182479</xdr:colOff>
      <xdr:row>80</xdr:row>
      <xdr:rowOff>142404</xdr:rowOff>
    </xdr:to>
    <xdr:pic>
      <xdr:nvPicPr>
        <xdr:cNvPr id="170" name="Picture 177">
          <a:extLst>
            <a:ext uri="{FF2B5EF4-FFF2-40B4-BE49-F238E27FC236}">
              <a16:creationId xmlns:a16="http://schemas.microsoft.com/office/drawing/2014/main" id="{911C245B-E555-49C7-B4FB-18A683E44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035212" y="14504374"/>
          <a:ext cx="166692" cy="106505"/>
        </a:xfrm>
        <a:prstGeom prst="rect">
          <a:avLst/>
        </a:prstGeom>
      </xdr:spPr>
    </xdr:pic>
    <xdr:clientData/>
  </xdr:twoCellAnchor>
  <xdr:twoCellAnchor editAs="oneCell">
    <xdr:from>
      <xdr:col>3</xdr:col>
      <xdr:colOff>21874</xdr:colOff>
      <xdr:row>79</xdr:row>
      <xdr:rowOff>41830</xdr:rowOff>
    </xdr:from>
    <xdr:to>
      <xdr:col>3</xdr:col>
      <xdr:colOff>183477</xdr:colOff>
      <xdr:row>79</xdr:row>
      <xdr:rowOff>141986</xdr:rowOff>
    </xdr:to>
    <xdr:pic>
      <xdr:nvPicPr>
        <xdr:cNvPr id="171" name="Picture 178">
          <a:extLst>
            <a:ext uri="{FF2B5EF4-FFF2-40B4-BE49-F238E27FC236}">
              <a16:creationId xmlns:a16="http://schemas.microsoft.com/office/drawing/2014/main" id="{9D10BEDA-0ED9-4DE6-9069-2B8FC3D18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88674" y="14329330"/>
          <a:ext cx="161603" cy="100156"/>
        </a:xfrm>
        <a:prstGeom prst="rect">
          <a:avLst/>
        </a:prstGeom>
      </xdr:spPr>
    </xdr:pic>
    <xdr:clientData/>
  </xdr:twoCellAnchor>
  <xdr:twoCellAnchor editAs="oneCell">
    <xdr:from>
      <xdr:col>3</xdr:col>
      <xdr:colOff>21874</xdr:colOff>
      <xdr:row>75</xdr:row>
      <xdr:rowOff>47394</xdr:rowOff>
    </xdr:from>
    <xdr:to>
      <xdr:col>3</xdr:col>
      <xdr:colOff>183477</xdr:colOff>
      <xdr:row>75</xdr:row>
      <xdr:rowOff>153899</xdr:rowOff>
    </xdr:to>
    <xdr:pic>
      <xdr:nvPicPr>
        <xdr:cNvPr id="172" name="Picture 179">
          <a:extLst>
            <a:ext uri="{FF2B5EF4-FFF2-40B4-BE49-F238E27FC236}">
              <a16:creationId xmlns:a16="http://schemas.microsoft.com/office/drawing/2014/main" id="{BE928B88-03DA-4795-A3C7-8C24D1516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88674" y="13610994"/>
          <a:ext cx="161603" cy="10650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manhr\Downloads\VM-tips-2026-Swedish%206p%204.4.xlsm" TargetMode="External"/><Relationship Id="rId1" Type="http://schemas.openxmlformats.org/officeDocument/2006/relationships/externalLinkPath" Target="file:///C:\Users\mmanhr\Downloads\VM-tips-2026-Swedish%206p%204.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äng &amp; instruktioner"/>
      <sheetName val="Ditt slutspelsträd"/>
      <sheetName val="Resultat &amp; tabell"/>
      <sheetName val="Mitt tips"/>
      <sheetName val="Resultat &amp; tabell (backup)"/>
      <sheetName val="Third-place combinations"/>
    </sheetNames>
    <sheetDataSet>
      <sheetData sheetId="0"/>
      <sheetData sheetId="1"/>
      <sheetData sheetId="2">
        <row r="4">
          <cell r="G4"/>
          <cell r="I4"/>
          <cell r="J4" t="str">
            <v/>
          </cell>
          <cell r="Y4"/>
        </row>
        <row r="5">
          <cell r="G5"/>
          <cell r="I5"/>
          <cell r="J5" t="str">
            <v/>
          </cell>
          <cell r="Y5"/>
        </row>
        <row r="6">
          <cell r="G6"/>
          <cell r="I6"/>
          <cell r="J6" t="str">
            <v/>
          </cell>
          <cell r="Y6"/>
        </row>
        <row r="7">
          <cell r="G7"/>
          <cell r="I7"/>
          <cell r="J7" t="str">
            <v/>
          </cell>
          <cell r="Y7"/>
        </row>
        <row r="8">
          <cell r="G8"/>
          <cell r="I8"/>
          <cell r="J8" t="str">
            <v/>
          </cell>
          <cell r="Y8"/>
        </row>
        <row r="9">
          <cell r="G9"/>
          <cell r="I9"/>
          <cell r="J9" t="str">
            <v/>
          </cell>
          <cell r="Y9"/>
        </row>
        <row r="10">
          <cell r="Y10"/>
        </row>
        <row r="13">
          <cell r="G13"/>
          <cell r="I13"/>
          <cell r="J13" t="str">
            <v/>
          </cell>
        </row>
        <row r="14">
          <cell r="G14"/>
          <cell r="I14"/>
          <cell r="J14" t="str">
            <v/>
          </cell>
        </row>
        <row r="15">
          <cell r="G15"/>
          <cell r="I15"/>
          <cell r="J15" t="str">
            <v/>
          </cell>
        </row>
        <row r="16">
          <cell r="G16"/>
          <cell r="I16"/>
          <cell r="J16" t="str">
            <v/>
          </cell>
        </row>
        <row r="17">
          <cell r="G17"/>
          <cell r="I17"/>
          <cell r="J17" t="str">
            <v/>
          </cell>
        </row>
        <row r="18">
          <cell r="G18"/>
          <cell r="I18"/>
          <cell r="J18" t="str">
            <v/>
          </cell>
        </row>
        <row r="22">
          <cell r="G22"/>
          <cell r="I22"/>
          <cell r="J22" t="str">
            <v/>
          </cell>
        </row>
        <row r="23">
          <cell r="G23"/>
          <cell r="I23"/>
          <cell r="J23" t="str">
            <v/>
          </cell>
        </row>
        <row r="24">
          <cell r="G24"/>
          <cell r="I24"/>
          <cell r="J24" t="str">
            <v/>
          </cell>
        </row>
        <row r="25">
          <cell r="G25"/>
          <cell r="I25"/>
          <cell r="J25" t="str">
            <v/>
          </cell>
        </row>
        <row r="26">
          <cell r="G26"/>
          <cell r="I26"/>
          <cell r="J26" t="str">
            <v/>
          </cell>
        </row>
        <row r="27">
          <cell r="G27"/>
          <cell r="I27"/>
          <cell r="J27" t="str">
            <v/>
          </cell>
        </row>
        <row r="31">
          <cell r="G31"/>
          <cell r="I31"/>
          <cell r="J31" t="str">
            <v/>
          </cell>
        </row>
        <row r="32">
          <cell r="G32"/>
          <cell r="I32"/>
          <cell r="J32" t="str">
            <v/>
          </cell>
        </row>
        <row r="33">
          <cell r="G33"/>
          <cell r="I33"/>
          <cell r="J33" t="str">
            <v/>
          </cell>
        </row>
        <row r="34">
          <cell r="G34"/>
          <cell r="I34"/>
          <cell r="J34" t="str">
            <v/>
          </cell>
        </row>
        <row r="35">
          <cell r="G35"/>
          <cell r="I35"/>
          <cell r="J35" t="str">
            <v/>
          </cell>
        </row>
        <row r="36">
          <cell r="G36"/>
          <cell r="I36"/>
          <cell r="J36" t="str">
            <v/>
          </cell>
        </row>
        <row r="40">
          <cell r="G40"/>
          <cell r="I40"/>
          <cell r="J40" t="str">
            <v/>
          </cell>
        </row>
        <row r="41">
          <cell r="G41"/>
          <cell r="I41"/>
          <cell r="J41" t="str">
            <v/>
          </cell>
        </row>
        <row r="42">
          <cell r="G42"/>
          <cell r="I42"/>
          <cell r="J42" t="str">
            <v/>
          </cell>
        </row>
        <row r="43">
          <cell r="G43"/>
          <cell r="I43"/>
          <cell r="J43" t="str">
            <v/>
          </cell>
        </row>
        <row r="44">
          <cell r="G44"/>
          <cell r="I44"/>
          <cell r="J44" t="str">
            <v/>
          </cell>
        </row>
        <row r="45">
          <cell r="G45"/>
          <cell r="I45"/>
          <cell r="J45" t="str">
            <v/>
          </cell>
        </row>
        <row r="49">
          <cell r="G49"/>
          <cell r="I49"/>
          <cell r="J49" t="str">
            <v/>
          </cell>
        </row>
        <row r="50">
          <cell r="G50"/>
          <cell r="I50"/>
          <cell r="J50" t="str">
            <v/>
          </cell>
        </row>
        <row r="51">
          <cell r="G51"/>
          <cell r="I51"/>
          <cell r="J51" t="str">
            <v/>
          </cell>
        </row>
        <row r="52">
          <cell r="G52"/>
          <cell r="I52"/>
          <cell r="J52" t="str">
            <v/>
          </cell>
        </row>
        <row r="53">
          <cell r="G53"/>
          <cell r="I53"/>
          <cell r="J53" t="str">
            <v/>
          </cell>
        </row>
        <row r="54">
          <cell r="G54"/>
          <cell r="I54"/>
          <cell r="J54" t="str">
            <v/>
          </cell>
        </row>
        <row r="58">
          <cell r="G58"/>
          <cell r="I58"/>
          <cell r="J58" t="str">
            <v/>
          </cell>
        </row>
        <row r="59">
          <cell r="G59"/>
          <cell r="I59"/>
          <cell r="J59" t="str">
            <v/>
          </cell>
        </row>
        <row r="60">
          <cell r="G60"/>
          <cell r="I60"/>
          <cell r="J60" t="str">
            <v/>
          </cell>
        </row>
        <row r="61">
          <cell r="G61"/>
          <cell r="I61"/>
          <cell r="J61" t="str">
            <v/>
          </cell>
        </row>
        <row r="62">
          <cell r="G62"/>
          <cell r="I62"/>
          <cell r="J62" t="str">
            <v/>
          </cell>
        </row>
        <row r="63">
          <cell r="G63"/>
          <cell r="I63"/>
          <cell r="J63" t="str">
            <v/>
          </cell>
        </row>
        <row r="67">
          <cell r="G67"/>
          <cell r="I67"/>
          <cell r="J67" t="str">
            <v/>
          </cell>
        </row>
        <row r="68">
          <cell r="G68"/>
          <cell r="I68"/>
          <cell r="J68" t="str">
            <v/>
          </cell>
        </row>
        <row r="69">
          <cell r="G69"/>
          <cell r="I69"/>
          <cell r="J69" t="str">
            <v/>
          </cell>
        </row>
        <row r="70">
          <cell r="G70"/>
          <cell r="I70"/>
          <cell r="J70" t="str">
            <v/>
          </cell>
        </row>
        <row r="71">
          <cell r="G71"/>
          <cell r="I71"/>
          <cell r="J71" t="str">
            <v/>
          </cell>
        </row>
        <row r="72">
          <cell r="G72"/>
          <cell r="I72"/>
          <cell r="J72" t="str">
            <v/>
          </cell>
        </row>
        <row r="76">
          <cell r="G76"/>
          <cell r="I76"/>
          <cell r="J76" t="str">
            <v/>
          </cell>
        </row>
        <row r="77">
          <cell r="G77"/>
          <cell r="I77"/>
          <cell r="J77" t="str">
            <v/>
          </cell>
        </row>
        <row r="78">
          <cell r="G78"/>
          <cell r="I78"/>
          <cell r="J78" t="str">
            <v/>
          </cell>
        </row>
        <row r="79">
          <cell r="G79"/>
          <cell r="I79"/>
          <cell r="J79" t="str">
            <v/>
          </cell>
        </row>
        <row r="80">
          <cell r="G80"/>
          <cell r="I80"/>
          <cell r="J80" t="str">
            <v/>
          </cell>
        </row>
        <row r="81">
          <cell r="G81"/>
          <cell r="I81"/>
          <cell r="J81" t="str">
            <v/>
          </cell>
        </row>
        <row r="85">
          <cell r="G85"/>
          <cell r="I85"/>
          <cell r="J85" t="str">
            <v/>
          </cell>
        </row>
        <row r="86">
          <cell r="G86"/>
          <cell r="I86"/>
          <cell r="J86" t="str">
            <v/>
          </cell>
        </row>
        <row r="87">
          <cell r="G87"/>
          <cell r="I87"/>
          <cell r="J87" t="str">
            <v/>
          </cell>
        </row>
        <row r="88">
          <cell r="G88"/>
          <cell r="I88"/>
          <cell r="J88" t="str">
            <v/>
          </cell>
        </row>
        <row r="89">
          <cell r="G89"/>
          <cell r="I89"/>
          <cell r="J89" t="str">
            <v/>
          </cell>
        </row>
        <row r="90">
          <cell r="G90"/>
          <cell r="I90"/>
          <cell r="J90" t="str">
            <v/>
          </cell>
        </row>
        <row r="94">
          <cell r="G94"/>
          <cell r="I94"/>
          <cell r="J94" t="str">
            <v/>
          </cell>
        </row>
        <row r="95">
          <cell r="G95"/>
          <cell r="I95"/>
          <cell r="J95" t="str">
            <v/>
          </cell>
        </row>
        <row r="96">
          <cell r="G96"/>
          <cell r="I96"/>
          <cell r="J96" t="str">
            <v/>
          </cell>
        </row>
        <row r="97">
          <cell r="G97"/>
          <cell r="I97"/>
          <cell r="J97" t="str">
            <v/>
          </cell>
        </row>
        <row r="98">
          <cell r="G98"/>
          <cell r="I98"/>
          <cell r="J98" t="str">
            <v/>
          </cell>
        </row>
        <row r="99">
          <cell r="G99"/>
          <cell r="I99"/>
          <cell r="J99" t="str">
            <v/>
          </cell>
        </row>
        <row r="103">
          <cell r="G103"/>
          <cell r="I103"/>
          <cell r="J103" t="str">
            <v/>
          </cell>
        </row>
        <row r="104">
          <cell r="G104"/>
          <cell r="I104"/>
          <cell r="J104" t="str">
            <v/>
          </cell>
        </row>
        <row r="105">
          <cell r="G105"/>
          <cell r="I105"/>
          <cell r="J105" t="str">
            <v/>
          </cell>
        </row>
        <row r="106">
          <cell r="G106"/>
          <cell r="I106"/>
          <cell r="J106" t="str">
            <v/>
          </cell>
        </row>
        <row r="107">
          <cell r="G107"/>
          <cell r="I107"/>
          <cell r="J107" t="str">
            <v/>
          </cell>
        </row>
        <row r="108">
          <cell r="G108"/>
          <cell r="I108"/>
          <cell r="J108" t="str">
            <v/>
          </cell>
        </row>
        <row r="112">
          <cell r="D112" t="str">
            <v>Tvåa grupp A</v>
          </cell>
          <cell r="F112" t="str">
            <v>Tvåa grupp B</v>
          </cell>
          <cell r="G112"/>
          <cell r="I112"/>
          <cell r="J112" t="str">
            <v/>
          </cell>
        </row>
        <row r="113">
          <cell r="D113" t="str">
            <v>Vinnare grupp E</v>
          </cell>
          <cell r="F113" t="str">
            <v>Bästa trea ABCDF</v>
          </cell>
          <cell r="G113"/>
          <cell r="I113"/>
          <cell r="J113" t="str">
            <v/>
          </cell>
        </row>
        <row r="114">
          <cell r="D114" t="str">
            <v>Vinnare grupp F</v>
          </cell>
          <cell r="F114" t="str">
            <v>Tvåa grupp C</v>
          </cell>
          <cell r="G114"/>
          <cell r="I114"/>
          <cell r="J114" t="str">
            <v/>
          </cell>
        </row>
        <row r="115">
          <cell r="D115" t="str">
            <v>Vinnare grupp C</v>
          </cell>
          <cell r="F115" t="str">
            <v>Tvåa grupp F</v>
          </cell>
          <cell r="G115"/>
          <cell r="I115"/>
          <cell r="J115" t="str">
            <v/>
          </cell>
        </row>
        <row r="116">
          <cell r="D116" t="str">
            <v>Vinnare grupp I</v>
          </cell>
          <cell r="F116" t="str">
            <v>Bästa trea CDFGH</v>
          </cell>
          <cell r="G116"/>
          <cell r="I116"/>
          <cell r="J116" t="str">
            <v/>
          </cell>
        </row>
        <row r="117">
          <cell r="D117" t="str">
            <v>Tvåa grupp E</v>
          </cell>
          <cell r="F117" t="str">
            <v>Tvåa grupp I</v>
          </cell>
          <cell r="G117"/>
          <cell r="I117"/>
          <cell r="J117" t="str">
            <v/>
          </cell>
        </row>
        <row r="118">
          <cell r="D118" t="str">
            <v>Vinnare grupp A</v>
          </cell>
          <cell r="F118" t="str">
            <v>Bästa trea CEFHI</v>
          </cell>
          <cell r="G118"/>
          <cell r="I118"/>
          <cell r="J118" t="str">
            <v/>
          </cell>
        </row>
        <row r="119">
          <cell r="D119" t="str">
            <v>Vinnare grupp L</v>
          </cell>
          <cell r="F119" t="str">
            <v>Bästa trea EHIJK</v>
          </cell>
          <cell r="G119"/>
          <cell r="I119"/>
          <cell r="J119" t="str">
            <v/>
          </cell>
        </row>
        <row r="120">
          <cell r="D120" t="str">
            <v>Vinnare grupp D</v>
          </cell>
          <cell r="F120" t="str">
            <v>Bästa trea BEFIJ</v>
          </cell>
          <cell r="G120"/>
          <cell r="I120"/>
          <cell r="J120" t="str">
            <v/>
          </cell>
        </row>
        <row r="121">
          <cell r="D121" t="str">
            <v>Vinnare grupp G</v>
          </cell>
          <cell r="F121" t="str">
            <v>Bästa trea AEHIJ</v>
          </cell>
          <cell r="G121"/>
          <cell r="I121"/>
          <cell r="J121" t="str">
            <v/>
          </cell>
        </row>
        <row r="122">
          <cell r="D122" t="str">
            <v>Tvåa grupp K</v>
          </cell>
          <cell r="F122" t="str">
            <v>Tvåa grupp L</v>
          </cell>
          <cell r="G122"/>
          <cell r="I122"/>
          <cell r="J122" t="str">
            <v/>
          </cell>
        </row>
        <row r="123">
          <cell r="D123" t="str">
            <v>Vinnare grupp H</v>
          </cell>
          <cell r="F123" t="str">
            <v>Tvåa grupp J</v>
          </cell>
          <cell r="G123"/>
          <cell r="I123"/>
          <cell r="J123" t="str">
            <v/>
          </cell>
        </row>
        <row r="124">
          <cell r="D124" t="str">
            <v>Vinnare grupp B</v>
          </cell>
          <cell r="F124" t="str">
            <v>Bästa trea EFGIJ</v>
          </cell>
          <cell r="G124"/>
          <cell r="I124"/>
          <cell r="J124" t="str">
            <v/>
          </cell>
        </row>
        <row r="125">
          <cell r="D125" t="str">
            <v>Vinnare grupp J</v>
          </cell>
          <cell r="F125" t="str">
            <v>Tvåa grupp H</v>
          </cell>
          <cell r="G125"/>
          <cell r="I125"/>
          <cell r="J125" t="str">
            <v/>
          </cell>
        </row>
        <row r="126">
          <cell r="D126" t="str">
            <v>Vinnare grupp K</v>
          </cell>
          <cell r="F126" t="str">
            <v>Bästa trea DEIJL</v>
          </cell>
          <cell r="G126"/>
          <cell r="I126"/>
          <cell r="J126" t="str">
            <v/>
          </cell>
        </row>
        <row r="127">
          <cell r="D127" t="str">
            <v>Tvåa grupp D</v>
          </cell>
          <cell r="F127" t="str">
            <v>Tvåa grupp G</v>
          </cell>
          <cell r="G127"/>
          <cell r="I127"/>
          <cell r="J127" t="str">
            <v/>
          </cell>
        </row>
        <row r="131">
          <cell r="D131" t="str">
            <v>Vinnare match 74</v>
          </cell>
          <cell r="F131" t="str">
            <v>Vinnare match 77</v>
          </cell>
          <cell r="G131"/>
          <cell r="I131"/>
          <cell r="J131" t="str">
            <v/>
          </cell>
        </row>
        <row r="132">
          <cell r="D132" t="str">
            <v>Vinnare match 73</v>
          </cell>
          <cell r="F132" t="str">
            <v>Vinnare match 75</v>
          </cell>
          <cell r="G132"/>
          <cell r="I132"/>
          <cell r="J132" t="str">
            <v/>
          </cell>
        </row>
        <row r="133">
          <cell r="D133" t="str">
            <v>Vinnare match 76</v>
          </cell>
          <cell r="F133" t="str">
            <v>Vinnare match 78</v>
          </cell>
          <cell r="G133"/>
          <cell r="I133"/>
          <cell r="J133" t="str">
            <v/>
          </cell>
        </row>
        <row r="134">
          <cell r="D134" t="str">
            <v>Vinnare match 79</v>
          </cell>
          <cell r="F134" t="str">
            <v>Vinnare match 80</v>
          </cell>
          <cell r="G134"/>
          <cell r="I134"/>
          <cell r="J134" t="str">
            <v/>
          </cell>
        </row>
        <row r="135">
          <cell r="D135" t="str">
            <v>Vinnare match 83</v>
          </cell>
          <cell r="F135" t="str">
            <v>Vinnare match 84</v>
          </cell>
          <cell r="G135"/>
          <cell r="I135"/>
          <cell r="J135" t="str">
            <v/>
          </cell>
        </row>
        <row r="136">
          <cell r="D136" t="str">
            <v>Vinnare match 81</v>
          </cell>
          <cell r="F136" t="str">
            <v>Vinnare match 82</v>
          </cell>
          <cell r="G136"/>
          <cell r="I136"/>
          <cell r="J136" t="str">
            <v/>
          </cell>
        </row>
        <row r="137">
          <cell r="D137" t="str">
            <v>Vinnare match 86</v>
          </cell>
          <cell r="F137" t="str">
            <v>Vinnare match 88</v>
          </cell>
          <cell r="G137"/>
          <cell r="I137"/>
          <cell r="J137" t="str">
            <v/>
          </cell>
        </row>
        <row r="138">
          <cell r="D138" t="str">
            <v>Vinnare match 85</v>
          </cell>
          <cell r="F138" t="str">
            <v>Vinnare match 87</v>
          </cell>
          <cell r="G138"/>
          <cell r="I138"/>
          <cell r="J138" t="str">
            <v/>
          </cell>
        </row>
        <row r="142">
          <cell r="D142" t="str">
            <v>Vinnare match 89</v>
          </cell>
          <cell r="F142" t="str">
            <v>Vinnare match 90</v>
          </cell>
          <cell r="G142"/>
          <cell r="I142"/>
          <cell r="J142" t="str">
            <v/>
          </cell>
        </row>
        <row r="143">
          <cell r="D143" t="str">
            <v>Vinnare match 93</v>
          </cell>
          <cell r="F143" t="str">
            <v>Vinnare match 94</v>
          </cell>
          <cell r="G143"/>
          <cell r="I143"/>
          <cell r="J143" t="str">
            <v/>
          </cell>
        </row>
        <row r="144">
          <cell r="D144" t="str">
            <v>Vinnare match 91</v>
          </cell>
          <cell r="F144" t="str">
            <v>Vinnare match 92</v>
          </cell>
          <cell r="G144"/>
          <cell r="I144"/>
          <cell r="J144" t="str">
            <v/>
          </cell>
        </row>
        <row r="145">
          <cell r="D145" t="str">
            <v>Vinnare match 95</v>
          </cell>
          <cell r="F145" t="str">
            <v>Vinnare match 96</v>
          </cell>
          <cell r="G145"/>
          <cell r="I145"/>
          <cell r="J145" t="str">
            <v/>
          </cell>
        </row>
        <row r="149">
          <cell r="D149" t="str">
            <v>Vinnare match 97</v>
          </cell>
          <cell r="F149" t="str">
            <v>Vinnare match 98</v>
          </cell>
          <cell r="G149"/>
          <cell r="I149"/>
          <cell r="J149" t="str">
            <v/>
          </cell>
        </row>
        <row r="150">
          <cell r="D150" t="str">
            <v>Vinnare match 99</v>
          </cell>
          <cell r="F150" t="str">
            <v>Vinnare match 100</v>
          </cell>
          <cell r="G150"/>
          <cell r="I150"/>
          <cell r="J150" t="str">
            <v/>
          </cell>
        </row>
        <row r="154">
          <cell r="D154" t="str">
            <v>Förlorare match 101</v>
          </cell>
          <cell r="F154" t="str">
            <v>Förlorare match 102</v>
          </cell>
          <cell r="G154"/>
          <cell r="I154"/>
          <cell r="J154" t="str">
            <v/>
          </cell>
        </row>
        <row r="158">
          <cell r="D158" t="str">
            <v>Vinnare match 101</v>
          </cell>
          <cell r="F158" t="str">
            <v>Vinnare match 102</v>
          </cell>
          <cell r="G158"/>
          <cell r="I158"/>
          <cell r="J158" t="str">
            <v/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fotbollsvmem.s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6C3C8-2156-4955-9C0E-E4919946B769}">
  <sheetPr codeName="Sheet6"/>
  <dimension ref="B1:GZ498"/>
  <sheetViews>
    <sheetView showGridLines="0" tabSelected="1" zoomScale="70" zoomScaleNormal="70" zoomScaleSheetLayoutView="90" workbookViewId="0">
      <pane ySplit="1" topLeftCell="A2" activePane="bottomLeft" state="frozen"/>
      <selection pane="bottomLeft" activeCell="AA45" sqref="AA45"/>
    </sheetView>
  </sheetViews>
  <sheetFormatPr defaultColWidth="9" defaultRowHeight="14.25" customHeight="1" x14ac:dyDescent="0.25"/>
  <cols>
    <col min="1" max="1" width="2.85546875" style="9" customWidth="1"/>
    <col min="2" max="2" width="5.85546875" style="1" customWidth="1"/>
    <col min="3" max="3" width="7.28515625" style="1" customWidth="1"/>
    <col min="4" max="4" width="22.28515625" style="95" customWidth="1"/>
    <col min="5" max="5" width="7" style="3" customWidth="1"/>
    <col min="6" max="6" width="22.28515625" style="95" customWidth="1"/>
    <col min="7" max="7" width="4.85546875" style="6" customWidth="1"/>
    <col min="8" max="8" width="1.5703125" style="6" bestFit="1" customWidth="1"/>
    <col min="9" max="9" width="4.85546875" style="6" customWidth="1"/>
    <col min="10" max="10" width="6.28515625" style="26" customWidth="1"/>
    <col min="11" max="11" width="6.28515625" style="27" customWidth="1"/>
    <col min="12" max="12" width="6.28515625" style="28" customWidth="1"/>
    <col min="13" max="13" width="4.85546875" style="30" hidden="1" customWidth="1"/>
    <col min="14" max="14" width="6.28515625" style="30" hidden="1" customWidth="1"/>
    <col min="15" max="15" width="20.5703125" style="9" bestFit="1" customWidth="1"/>
    <col min="16" max="21" width="5" style="9" customWidth="1"/>
    <col min="22" max="22" width="5" style="1" customWidth="1"/>
    <col min="23" max="23" width="5.85546875" style="9" customWidth="1"/>
    <col min="24" max="24" width="34" style="3" bestFit="1" customWidth="1"/>
    <col min="25" max="26" width="6.7109375" style="3" customWidth="1"/>
    <col min="27" max="27" width="6.5703125" style="3" customWidth="1"/>
    <col min="28" max="28" width="19.28515625" style="10" customWidth="1"/>
    <col min="29" max="29" width="6.28515625" style="11" customWidth="1"/>
    <col min="30" max="30" width="5.7109375" style="9" hidden="1" customWidth="1"/>
    <col min="31" max="31" width="7.28515625" style="12" hidden="1" customWidth="1"/>
    <col min="32" max="32" width="17.85546875" style="12" hidden="1" customWidth="1"/>
    <col min="33" max="33" width="1.5703125" style="12" hidden="1" customWidth="1"/>
    <col min="34" max="34" width="17.85546875" style="12" hidden="1" customWidth="1"/>
    <col min="35" max="35" width="4.85546875" style="3" hidden="1" customWidth="1"/>
    <col min="36" max="36" width="1.5703125" style="3" hidden="1" customWidth="1"/>
    <col min="37" max="37" width="4.85546875" style="3" hidden="1" customWidth="1"/>
    <col min="38" max="38" width="6.28515625" style="26" hidden="1" customWidth="1"/>
    <col min="39" max="39" width="6.28515625" style="27" hidden="1" customWidth="1"/>
    <col min="40" max="40" width="6" style="13" hidden="1" customWidth="1"/>
    <col min="41" max="41" width="2.85546875" style="13" hidden="1" customWidth="1"/>
    <col min="42" max="43" width="3" style="13" hidden="1" customWidth="1"/>
    <col min="44" max="45" width="2.5703125" style="13" hidden="1" customWidth="1"/>
    <col min="46" max="46" width="6" style="13" hidden="1" customWidth="1"/>
    <col min="47" max="47" width="2.85546875" style="13" hidden="1" customWidth="1"/>
    <col min="48" max="49" width="3" style="13" hidden="1" customWidth="1"/>
    <col min="50" max="51" width="2.5703125" style="13" hidden="1" customWidth="1"/>
    <col min="52" max="52" width="6" style="13" hidden="1" customWidth="1"/>
    <col min="53" max="53" width="2.85546875" style="13" hidden="1" customWidth="1"/>
    <col min="54" max="55" width="3" style="13" hidden="1" customWidth="1"/>
    <col min="56" max="57" width="2.5703125" style="13" hidden="1" customWidth="1"/>
    <col min="58" max="58" width="6" style="13" hidden="1" customWidth="1"/>
    <col min="59" max="59" width="2.85546875" style="13" hidden="1" customWidth="1"/>
    <col min="60" max="61" width="3" style="13" hidden="1" customWidth="1"/>
    <col min="62" max="63" width="2.5703125" style="13" hidden="1" customWidth="1"/>
    <col min="64" max="64" width="6" style="13" hidden="1" customWidth="1"/>
    <col min="65" max="65" width="2.85546875" style="13" hidden="1" customWidth="1"/>
    <col min="66" max="67" width="3" style="13" hidden="1" customWidth="1"/>
    <col min="68" max="68" width="2.5703125" style="13" hidden="1" customWidth="1"/>
    <col min="69" max="69" width="6" style="13" hidden="1" customWidth="1"/>
    <col min="70" max="70" width="15.5703125" style="12" hidden="1" customWidth="1"/>
    <col min="71" max="71" width="13.7109375" style="12" hidden="1" customWidth="1"/>
    <col min="72" max="72" width="10.7109375" style="12" hidden="1" customWidth="1"/>
    <col min="73" max="73" width="9.7109375" style="13" hidden="1" customWidth="1"/>
    <col min="74" max="74" width="5.5703125" style="13" hidden="1" customWidth="1"/>
    <col min="75" max="75" width="1.85546875" style="13" hidden="1" customWidth="1"/>
    <col min="76" max="78" width="5.28515625" style="13" hidden="1" customWidth="1"/>
    <col min="79" max="79" width="3.28515625" style="13" hidden="1" customWidth="1"/>
    <col min="80" max="80" width="13" style="12" hidden="1" customWidth="1"/>
    <col min="81" max="81" width="9.28515625" style="13" hidden="1" customWidth="1"/>
    <col min="82" max="82" width="9" style="13" hidden="1" customWidth="1"/>
    <col min="83" max="83" width="9" style="12" hidden="1" customWidth="1"/>
    <col min="84" max="84" width="10.5703125" style="12" hidden="1" customWidth="1"/>
    <col min="85" max="85" width="6.28515625" style="13" hidden="1" customWidth="1"/>
    <col min="86" max="86" width="5.28515625" style="13" hidden="1" customWidth="1"/>
    <col min="87" max="87" width="6.28515625" style="13" hidden="1" customWidth="1"/>
    <col min="88" max="88" width="4.28515625" style="13" hidden="1" customWidth="1"/>
    <col min="89" max="89" width="5.85546875" style="13" hidden="1" customWidth="1"/>
    <col min="90" max="90" width="7" style="13" hidden="1" customWidth="1"/>
    <col min="91" max="91" width="4.85546875" style="13" hidden="1" customWidth="1"/>
    <col min="92" max="94" width="7.85546875" style="13" hidden="1" customWidth="1"/>
    <col min="95" max="95" width="11.85546875" style="13" hidden="1" customWidth="1"/>
    <col min="96" max="98" width="9" style="13" hidden="1" customWidth="1"/>
    <col min="99" max="99" width="10.28515625" style="13" hidden="1" customWidth="1"/>
    <col min="100" max="102" width="9" style="13" hidden="1" customWidth="1"/>
    <col min="103" max="103" width="9" style="12" hidden="1" customWidth="1"/>
    <col min="104" max="104" width="10.5703125" style="12" hidden="1" customWidth="1"/>
    <col min="105" max="109" width="6.5703125" style="13" hidden="1" customWidth="1"/>
    <col min="110" max="110" width="8.28515625" style="13" hidden="1" customWidth="1"/>
    <col min="111" max="112" width="7.85546875" style="13" hidden="1" customWidth="1"/>
    <col min="113" max="113" width="7" style="13" hidden="1" customWidth="1"/>
    <col min="114" max="114" width="8" style="12" hidden="1" customWidth="1"/>
    <col min="115" max="121" width="9" style="12" hidden="1" customWidth="1"/>
    <col min="122" max="122" width="10" style="12" hidden="1" customWidth="1"/>
    <col min="123" max="123" width="9" style="12" hidden="1" customWidth="1"/>
    <col min="124" max="124" width="10.5703125" style="13" hidden="1" customWidth="1"/>
    <col min="125" max="129" width="6.5703125" style="13" hidden="1" customWidth="1"/>
    <col min="130" max="134" width="7" style="13" hidden="1" customWidth="1"/>
    <col min="135" max="142" width="9" style="13" hidden="1" customWidth="1"/>
    <col min="143" max="143" width="9" style="12" hidden="1" customWidth="1"/>
    <col min="144" max="144" width="10.5703125" style="13" hidden="1" customWidth="1"/>
    <col min="145" max="148" width="6.28515625" style="13" hidden="1" customWidth="1"/>
    <col min="149" max="149" width="6.5703125" style="13" hidden="1" customWidth="1"/>
    <col min="150" max="151" width="7" style="13" hidden="1" customWidth="1"/>
    <col min="152" max="152" width="7.85546875" style="13" hidden="1" customWidth="1"/>
    <col min="153" max="153" width="7" style="13" hidden="1" customWidth="1"/>
    <col min="154" max="154" width="8.28515625" style="13" hidden="1" customWidth="1"/>
    <col min="155" max="162" width="9" style="13" hidden="1" customWidth="1"/>
    <col min="163" max="163" width="9" style="12" hidden="1" customWidth="1"/>
    <col min="164" max="165" width="9" style="13" hidden="1" customWidth="1"/>
    <col min="166" max="166" width="9" style="12" hidden="1" customWidth="1"/>
    <col min="167" max="168" width="5.7109375" style="9" hidden="1" customWidth="1"/>
    <col min="169" max="169" width="10.5703125" style="9" hidden="1" customWidth="1"/>
    <col min="170" max="170" width="13.28515625" style="9" hidden="1" customWidth="1"/>
    <col min="171" max="171" width="7.85546875" style="9" hidden="1" customWidth="1"/>
    <col min="172" max="172" width="8.85546875" style="9" hidden="1" customWidth="1"/>
    <col min="173" max="173" width="7.85546875" style="9" hidden="1" customWidth="1"/>
    <col min="174" max="174" width="7.28515625" style="9" hidden="1" customWidth="1"/>
    <col min="175" max="175" width="10" style="9" hidden="1" customWidth="1"/>
    <col min="176" max="177" width="5" style="9" hidden="1" customWidth="1"/>
    <col min="178" max="178" width="3.5703125" style="9" hidden="1" customWidth="1"/>
    <col min="179" max="179" width="5.85546875" style="9" hidden="1" customWidth="1"/>
    <col min="180" max="180" width="11.85546875" style="9" hidden="1" customWidth="1"/>
    <col min="181" max="181" width="5.7109375" style="9" hidden="1" customWidth="1"/>
    <col min="182" max="182" width="9.28515625" style="9" hidden="1" customWidth="1"/>
    <col min="183" max="183" width="9" style="9" hidden="1" customWidth="1"/>
    <col min="184" max="184" width="6.28515625" style="9" hidden="1" customWidth="1"/>
    <col min="185" max="191" width="5.7109375" style="9" hidden="1" customWidth="1"/>
    <col min="192" max="199" width="5.5703125" style="9" hidden="1" customWidth="1"/>
    <col min="200" max="200" width="4.7109375" style="9" hidden="1" customWidth="1"/>
    <col min="201" max="205" width="5.7109375" style="9" hidden="1" customWidth="1"/>
    <col min="206" max="206" width="5.7109375" style="18" hidden="1" customWidth="1"/>
    <col min="207" max="207" width="5.85546875" style="9" hidden="1" customWidth="1"/>
    <col min="208" max="208" width="9" style="9" hidden="1" customWidth="1"/>
    <col min="209" max="16384" width="9" style="9"/>
  </cols>
  <sheetData>
    <row r="1" spans="2:206" ht="14.25" customHeight="1" x14ac:dyDescent="0.25">
      <c r="D1" s="2" t="s">
        <v>0</v>
      </c>
      <c r="F1" s="4"/>
      <c r="G1" s="5" t="s">
        <v>1</v>
      </c>
      <c r="I1" s="7"/>
      <c r="J1"/>
      <c r="K1"/>
      <c r="L1"/>
      <c r="M1" s="8"/>
      <c r="N1" s="8"/>
      <c r="AK1"/>
      <c r="AL1"/>
      <c r="AM1"/>
      <c r="BT1" s="14"/>
      <c r="FM1" s="15"/>
      <c r="FN1" s="16"/>
      <c r="FO1" s="15"/>
      <c r="FP1" s="16"/>
      <c r="FQ1" s="16"/>
      <c r="FR1" s="16"/>
      <c r="FS1" s="16"/>
      <c r="FT1" s="17"/>
      <c r="FU1" s="18"/>
      <c r="FV1" s="19"/>
      <c r="FW1" s="1"/>
      <c r="FX1" s="1"/>
      <c r="FY1" s="20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8"/>
    </row>
    <row r="2" spans="2:206" ht="14.25" customHeight="1" x14ac:dyDescent="0.25">
      <c r="B2" s="21" t="s">
        <v>2</v>
      </c>
      <c r="C2" s="19"/>
      <c r="D2" s="22"/>
      <c r="E2" s="23"/>
      <c r="F2" s="24"/>
      <c r="G2" s="25"/>
      <c r="H2" s="25"/>
      <c r="I2" s="7"/>
      <c r="M2" s="29"/>
      <c r="O2" s="21" t="s">
        <v>2</v>
      </c>
      <c r="P2" s="31"/>
      <c r="Q2" s="31"/>
      <c r="R2" s="31"/>
      <c r="S2" s="31"/>
      <c r="T2" s="31"/>
      <c r="U2" s="31"/>
      <c r="V2" s="9"/>
      <c r="X2" s="19" t="s">
        <v>3</v>
      </c>
      <c r="Y2" s="19"/>
      <c r="Z2" s="19"/>
      <c r="AA2" s="19"/>
      <c r="AB2" s="1"/>
      <c r="AC2" s="20"/>
      <c r="AE2" s="32" t="s">
        <v>2</v>
      </c>
      <c r="AF2" s="9"/>
      <c r="AG2" s="9"/>
      <c r="AH2" s="9"/>
      <c r="AI2" s="33"/>
      <c r="AJ2" s="33"/>
      <c r="AK2" s="12"/>
      <c r="AN2" s="34" t="s">
        <v>4</v>
      </c>
      <c r="AO2" s="34"/>
      <c r="AP2" s="34"/>
      <c r="AQ2" s="34"/>
      <c r="AR2" s="34"/>
      <c r="AS2" s="34"/>
      <c r="AT2" s="35" t="s">
        <v>5</v>
      </c>
      <c r="AU2" s="35"/>
      <c r="AV2" s="35"/>
      <c r="AW2" s="35"/>
      <c r="AX2" s="35"/>
      <c r="AY2" s="35"/>
      <c r="AZ2" s="36" t="s">
        <v>6</v>
      </c>
      <c r="BA2" s="36"/>
      <c r="BB2" s="36"/>
      <c r="BC2" s="36"/>
      <c r="BD2" s="36"/>
      <c r="BE2" s="36"/>
      <c r="BF2" s="37" t="s">
        <v>6</v>
      </c>
      <c r="BG2" s="37"/>
      <c r="BH2" s="37"/>
      <c r="BI2" s="37"/>
      <c r="BJ2" s="37"/>
      <c r="BK2" s="37"/>
      <c r="BL2" s="38" t="s">
        <v>7</v>
      </c>
      <c r="BM2" s="38"/>
      <c r="BN2" s="38"/>
      <c r="BO2" s="38"/>
      <c r="BP2" s="38"/>
      <c r="BQ2" s="38"/>
      <c r="BT2" s="39" t="s">
        <v>4</v>
      </c>
      <c r="BU2" s="34"/>
      <c r="BV2" s="34"/>
      <c r="BW2" s="34"/>
      <c r="BX2" s="34"/>
      <c r="BY2" s="34"/>
      <c r="BZ2" s="34"/>
      <c r="CA2" s="34"/>
      <c r="CB2" s="39"/>
      <c r="CC2" s="34"/>
      <c r="CD2" s="34"/>
      <c r="CF2" s="40" t="s">
        <v>5</v>
      </c>
      <c r="CG2" s="35">
        <f>COUNTIF(CC4:CC7,1)</f>
        <v>4</v>
      </c>
      <c r="CH2" s="35"/>
      <c r="CI2" s="35"/>
      <c r="CJ2" s="35"/>
      <c r="CK2" s="35"/>
      <c r="CL2" s="35"/>
      <c r="CM2" s="35"/>
      <c r="CN2" s="35"/>
      <c r="CO2" s="35"/>
      <c r="CP2" s="35"/>
      <c r="CZ2" s="41" t="s">
        <v>8</v>
      </c>
      <c r="DA2" s="36">
        <f>COUNTIF(CC4:CC7,2)</f>
        <v>0</v>
      </c>
      <c r="DB2" s="36"/>
      <c r="DC2" s="36"/>
      <c r="DD2" s="36"/>
      <c r="DE2" s="36"/>
      <c r="DF2" s="36"/>
      <c r="DG2" s="36"/>
      <c r="DH2" s="36"/>
      <c r="DI2" s="36"/>
      <c r="DJ2" s="41"/>
      <c r="DT2" s="37" t="s">
        <v>6</v>
      </c>
      <c r="DU2" s="37">
        <f>COUNTIF(CC4:CC7,3)</f>
        <v>0</v>
      </c>
      <c r="DV2" s="37"/>
      <c r="DW2" s="37"/>
      <c r="DX2" s="37"/>
      <c r="DY2" s="37"/>
      <c r="DZ2" s="37"/>
      <c r="EA2" s="37"/>
      <c r="EB2" s="37"/>
      <c r="EC2" s="37"/>
      <c r="ED2" s="37"/>
      <c r="EN2" s="38" t="s">
        <v>7</v>
      </c>
      <c r="EO2" s="38">
        <f>COUNTIF(CC4:CC7,4)</f>
        <v>0</v>
      </c>
      <c r="EP2" s="38"/>
      <c r="EQ2" s="38"/>
      <c r="ER2" s="38"/>
      <c r="ES2" s="38"/>
      <c r="ET2" s="38"/>
      <c r="EU2" s="38"/>
      <c r="EV2" s="38"/>
      <c r="EW2" s="38"/>
      <c r="EX2" s="38"/>
      <c r="FM2" s="42" t="s">
        <v>9</v>
      </c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4" t="s">
        <v>10</v>
      </c>
      <c r="GA2" s="44"/>
      <c r="GB2" s="44"/>
      <c r="GC2" s="44"/>
      <c r="GD2" s="44"/>
      <c r="GG2" s="44"/>
      <c r="GH2" s="44"/>
      <c r="GI2" s="44"/>
      <c r="GJ2" s="44" t="s">
        <v>11</v>
      </c>
      <c r="GK2" s="44"/>
      <c r="GL2" s="44"/>
      <c r="GM2" s="44"/>
      <c r="GN2" s="44"/>
      <c r="GO2" s="44"/>
      <c r="GP2" s="44"/>
      <c r="GQ2" s="44"/>
      <c r="GR2" s="18"/>
    </row>
    <row r="3" spans="2:206" ht="15" x14ac:dyDescent="0.25">
      <c r="B3" s="45" t="s">
        <v>12</v>
      </c>
      <c r="C3" s="46" t="s">
        <v>13</v>
      </c>
      <c r="D3" s="181" t="s">
        <v>12</v>
      </c>
      <c r="E3" s="182"/>
      <c r="F3" s="183"/>
      <c r="G3" s="198" t="s">
        <v>14</v>
      </c>
      <c r="H3" s="198"/>
      <c r="I3" s="198"/>
      <c r="J3" s="47" t="s">
        <v>15</v>
      </c>
      <c r="K3" s="48" t="s">
        <v>16</v>
      </c>
      <c r="L3" s="49"/>
      <c r="M3" s="50" t="s">
        <v>17</v>
      </c>
      <c r="O3" s="51" t="s">
        <v>18</v>
      </c>
      <c r="P3" s="52" t="s">
        <v>19</v>
      </c>
      <c r="Q3" s="52" t="s">
        <v>20</v>
      </c>
      <c r="R3" s="52" t="s">
        <v>21</v>
      </c>
      <c r="S3" s="52" t="s">
        <v>22</v>
      </c>
      <c r="T3" s="52" t="s">
        <v>23</v>
      </c>
      <c r="U3" s="52" t="s">
        <v>24</v>
      </c>
      <c r="V3" s="53" t="s">
        <v>25</v>
      </c>
      <c r="X3" s="45" t="s">
        <v>26</v>
      </c>
      <c r="Y3" s="182" t="s">
        <v>27</v>
      </c>
      <c r="Z3" s="182"/>
      <c r="AA3" s="182"/>
      <c r="AB3" s="199"/>
      <c r="AC3" s="54" t="s">
        <v>16</v>
      </c>
      <c r="AE3" s="51" t="s">
        <v>13</v>
      </c>
      <c r="AF3" s="193" t="s">
        <v>12</v>
      </c>
      <c r="AG3" s="193"/>
      <c r="AH3" s="193"/>
      <c r="AI3" s="200" t="s">
        <v>14</v>
      </c>
      <c r="AJ3" s="200"/>
      <c r="AK3" s="200"/>
      <c r="AL3" s="48" t="s">
        <v>28</v>
      </c>
      <c r="AM3" s="16"/>
      <c r="AN3" s="34" t="s">
        <v>29</v>
      </c>
      <c r="AO3" s="34" t="s">
        <v>30</v>
      </c>
      <c r="AP3" s="34" t="s">
        <v>31</v>
      </c>
      <c r="AQ3" s="34" t="s">
        <v>32</v>
      </c>
      <c r="AR3" s="34" t="s">
        <v>33</v>
      </c>
      <c r="AS3" s="34" t="s">
        <v>34</v>
      </c>
      <c r="AT3" s="35" t="s">
        <v>29</v>
      </c>
      <c r="AU3" s="35" t="s">
        <v>30</v>
      </c>
      <c r="AV3" s="35" t="s">
        <v>31</v>
      </c>
      <c r="AW3" s="35" t="s">
        <v>32</v>
      </c>
      <c r="AX3" s="35" t="s">
        <v>33</v>
      </c>
      <c r="AY3" s="35" t="s">
        <v>34</v>
      </c>
      <c r="AZ3" s="36" t="s">
        <v>29</v>
      </c>
      <c r="BA3" s="36" t="s">
        <v>30</v>
      </c>
      <c r="BB3" s="36" t="s">
        <v>31</v>
      </c>
      <c r="BC3" s="36" t="s">
        <v>32</v>
      </c>
      <c r="BD3" s="36" t="s">
        <v>33</v>
      </c>
      <c r="BE3" s="36" t="s">
        <v>34</v>
      </c>
      <c r="BF3" s="37" t="s">
        <v>29</v>
      </c>
      <c r="BG3" s="37" t="s">
        <v>30</v>
      </c>
      <c r="BH3" s="37" t="s">
        <v>31</v>
      </c>
      <c r="BI3" s="37" t="s">
        <v>32</v>
      </c>
      <c r="BJ3" s="37" t="s">
        <v>33</v>
      </c>
      <c r="BK3" s="37" t="s">
        <v>34</v>
      </c>
      <c r="BL3" s="38" t="s">
        <v>29</v>
      </c>
      <c r="BM3" s="38" t="s">
        <v>30</v>
      </c>
      <c r="BN3" s="38" t="s">
        <v>31</v>
      </c>
      <c r="BO3" s="38" t="s">
        <v>32</v>
      </c>
      <c r="BP3" s="38" t="s">
        <v>33</v>
      </c>
      <c r="BQ3" s="38" t="s">
        <v>34</v>
      </c>
      <c r="BT3" s="39" t="s">
        <v>18</v>
      </c>
      <c r="BU3" s="34" t="s">
        <v>19</v>
      </c>
      <c r="BV3" s="34" t="s">
        <v>20</v>
      </c>
      <c r="BW3" s="34" t="s">
        <v>21</v>
      </c>
      <c r="BX3" s="34" t="s">
        <v>22</v>
      </c>
      <c r="BY3" s="34" t="s">
        <v>23</v>
      </c>
      <c r="BZ3" s="34" t="s">
        <v>24</v>
      </c>
      <c r="CA3" s="34" t="s">
        <v>25</v>
      </c>
      <c r="CB3" s="39" t="s">
        <v>35</v>
      </c>
      <c r="CC3" s="34" t="s">
        <v>36</v>
      </c>
      <c r="CD3" s="34" t="s">
        <v>37</v>
      </c>
      <c r="CF3" s="40" t="s">
        <v>18</v>
      </c>
      <c r="CG3" s="35" t="s">
        <v>19</v>
      </c>
      <c r="CH3" s="35" t="s">
        <v>20</v>
      </c>
      <c r="CI3" s="35" t="s">
        <v>21</v>
      </c>
      <c r="CJ3" s="35" t="s">
        <v>25</v>
      </c>
      <c r="CK3" s="35" t="s">
        <v>35</v>
      </c>
      <c r="CL3" s="35" t="s">
        <v>36</v>
      </c>
      <c r="CM3" s="56" t="s">
        <v>24</v>
      </c>
      <c r="CN3" s="56" t="s">
        <v>38</v>
      </c>
      <c r="CO3" s="56" t="s">
        <v>22</v>
      </c>
      <c r="CP3" s="56" t="s">
        <v>39</v>
      </c>
      <c r="CQ3" s="35" t="s">
        <v>40</v>
      </c>
      <c r="CR3" s="56" t="s">
        <v>41</v>
      </c>
      <c r="CS3" s="56" t="s">
        <v>42</v>
      </c>
      <c r="CT3" s="56" t="s">
        <v>43</v>
      </c>
      <c r="CU3" s="56" t="s">
        <v>44</v>
      </c>
      <c r="CV3" s="56" t="s">
        <v>45</v>
      </c>
      <c r="CW3" s="56" t="s">
        <v>46</v>
      </c>
      <c r="CX3" s="35" t="s">
        <v>47</v>
      </c>
      <c r="CZ3" s="41" t="s">
        <v>18</v>
      </c>
      <c r="DA3" s="36" t="s">
        <v>19</v>
      </c>
      <c r="DB3" s="36" t="s">
        <v>20</v>
      </c>
      <c r="DC3" s="36" t="s">
        <v>21</v>
      </c>
      <c r="DD3" s="36" t="s">
        <v>25</v>
      </c>
      <c r="DE3" s="36" t="s">
        <v>35</v>
      </c>
      <c r="DF3" s="36" t="s">
        <v>36</v>
      </c>
      <c r="DG3" s="36" t="s">
        <v>24</v>
      </c>
      <c r="DH3" s="36" t="s">
        <v>38</v>
      </c>
      <c r="DI3" s="36" t="s">
        <v>22</v>
      </c>
      <c r="DJ3" s="41" t="s">
        <v>39</v>
      </c>
      <c r="DK3" s="41" t="s">
        <v>40</v>
      </c>
      <c r="DL3" s="41" t="s">
        <v>41</v>
      </c>
      <c r="DM3" s="41" t="s">
        <v>42</v>
      </c>
      <c r="DN3" s="41" t="s">
        <v>43</v>
      </c>
      <c r="DO3" s="41" t="s">
        <v>44</v>
      </c>
      <c r="DP3" s="41" t="s">
        <v>45</v>
      </c>
      <c r="DQ3" s="41" t="s">
        <v>46</v>
      </c>
      <c r="DR3" s="41" t="s">
        <v>47</v>
      </c>
      <c r="DT3" s="37" t="s">
        <v>18</v>
      </c>
      <c r="DU3" s="37" t="s">
        <v>19</v>
      </c>
      <c r="DV3" s="37" t="s">
        <v>20</v>
      </c>
      <c r="DW3" s="37" t="s">
        <v>21</v>
      </c>
      <c r="DX3" s="37" t="s">
        <v>25</v>
      </c>
      <c r="DY3" s="37" t="s">
        <v>35</v>
      </c>
      <c r="DZ3" s="37" t="s">
        <v>36</v>
      </c>
      <c r="EA3" s="37" t="s">
        <v>24</v>
      </c>
      <c r="EB3" s="37" t="s">
        <v>38</v>
      </c>
      <c r="EC3" s="37" t="s">
        <v>22</v>
      </c>
      <c r="ED3" s="37" t="s">
        <v>39</v>
      </c>
      <c r="EE3" s="37" t="s">
        <v>40</v>
      </c>
      <c r="EF3" s="37" t="s">
        <v>41</v>
      </c>
      <c r="EG3" s="37" t="s">
        <v>42</v>
      </c>
      <c r="EH3" s="37" t="s">
        <v>43</v>
      </c>
      <c r="EI3" s="37" t="s">
        <v>44</v>
      </c>
      <c r="EJ3" s="37" t="s">
        <v>45</v>
      </c>
      <c r="EK3" s="37" t="s">
        <v>46</v>
      </c>
      <c r="EL3" s="37" t="s">
        <v>47</v>
      </c>
      <c r="EN3" s="38" t="s">
        <v>18</v>
      </c>
      <c r="EO3" s="38" t="s">
        <v>19</v>
      </c>
      <c r="EP3" s="38" t="s">
        <v>20</v>
      </c>
      <c r="EQ3" s="38" t="s">
        <v>21</v>
      </c>
      <c r="ER3" s="38" t="s">
        <v>25</v>
      </c>
      <c r="ES3" s="38" t="s">
        <v>35</v>
      </c>
      <c r="ET3" s="38" t="s">
        <v>36</v>
      </c>
      <c r="EU3" s="38" t="s">
        <v>24</v>
      </c>
      <c r="EV3" s="38" t="s">
        <v>38</v>
      </c>
      <c r="EW3" s="38" t="s">
        <v>22</v>
      </c>
      <c r="EX3" s="38" t="s">
        <v>39</v>
      </c>
      <c r="EY3" s="38" t="s">
        <v>40</v>
      </c>
      <c r="EZ3" s="38" t="s">
        <v>41</v>
      </c>
      <c r="FA3" s="38" t="s">
        <v>42</v>
      </c>
      <c r="FB3" s="38" t="s">
        <v>43</v>
      </c>
      <c r="FC3" s="38" t="s">
        <v>44</v>
      </c>
      <c r="FD3" s="38" t="s">
        <v>45</v>
      </c>
      <c r="FE3" s="38" t="s">
        <v>46</v>
      </c>
      <c r="FF3" s="38" t="s">
        <v>47</v>
      </c>
      <c r="FH3" s="38" t="s">
        <v>48</v>
      </c>
      <c r="FI3" s="38" t="s">
        <v>49</v>
      </c>
      <c r="FM3" s="42" t="s">
        <v>35</v>
      </c>
      <c r="FN3" s="42" t="s">
        <v>18</v>
      </c>
      <c r="FO3" s="57" t="s">
        <v>50</v>
      </c>
      <c r="FP3" s="57" t="s">
        <v>51</v>
      </c>
      <c r="FQ3" s="57" t="s">
        <v>52</v>
      </c>
      <c r="FR3" s="57" t="s">
        <v>37</v>
      </c>
      <c r="FS3" s="57" t="s">
        <v>53</v>
      </c>
      <c r="FT3" s="57" t="s">
        <v>16</v>
      </c>
      <c r="FU3" s="57" t="s">
        <v>24</v>
      </c>
      <c r="FV3" s="57" t="s">
        <v>22</v>
      </c>
      <c r="FW3" s="57" t="s">
        <v>35</v>
      </c>
      <c r="FX3" s="42" t="s">
        <v>54</v>
      </c>
      <c r="FY3" s="43"/>
      <c r="FZ3" s="42" t="s">
        <v>55</v>
      </c>
      <c r="GA3" s="42">
        <f>MAX(GR4:GR498)</f>
        <v>2</v>
      </c>
      <c r="GB3" s="42" t="s">
        <v>56</v>
      </c>
      <c r="GC3" s="42" t="s">
        <v>57</v>
      </c>
      <c r="GD3" s="42" t="s">
        <v>58</v>
      </c>
      <c r="GE3" s="42" t="s">
        <v>59</v>
      </c>
      <c r="GF3" s="42" t="s">
        <v>60</v>
      </c>
      <c r="GG3" s="42" t="s">
        <v>61</v>
      </c>
      <c r="GH3" s="42" t="s">
        <v>62</v>
      </c>
      <c r="GI3" s="42" t="s">
        <v>63</v>
      </c>
      <c r="GJ3" s="42" t="s">
        <v>56</v>
      </c>
      <c r="GK3" s="42" t="s">
        <v>57</v>
      </c>
      <c r="GL3" s="42" t="s">
        <v>58</v>
      </c>
      <c r="GM3" s="42" t="s">
        <v>59</v>
      </c>
      <c r="GN3" s="42" t="s">
        <v>60</v>
      </c>
      <c r="GO3" s="42" t="s">
        <v>61</v>
      </c>
      <c r="GP3" s="42" t="s">
        <v>62</v>
      </c>
      <c r="GQ3" s="42" t="s">
        <v>63</v>
      </c>
      <c r="GR3" s="42" t="s">
        <v>64</v>
      </c>
      <c r="GX3" s="23"/>
    </row>
    <row r="4" spans="2:206" ht="14.25" customHeight="1" x14ac:dyDescent="0.25">
      <c r="B4" s="58">
        <v>1</v>
      </c>
      <c r="C4" s="59">
        <v>46184</v>
      </c>
      <c r="D4" s="60" t="s">
        <v>65</v>
      </c>
      <c r="E4" s="61" t="s">
        <v>66</v>
      </c>
      <c r="F4" s="62" t="s">
        <v>67</v>
      </c>
      <c r="G4" s="63"/>
      <c r="H4" s="64" t="s">
        <v>66</v>
      </c>
      <c r="I4" s="63"/>
      <c r="J4" s="65" t="str">
        <f>IF(OR(ISBLANK(G4),ISBLANK(I4)),"",IF(G4&gt;I4,1,IF(G4&lt;I4,2,"X")))</f>
        <v/>
      </c>
      <c r="K4" s="66">
        <f>IF(OR(G4="",I4="",'[1]Resultat &amp; tabell'!G4="",'[1]Resultat &amp; tabell'!I4=""),0,IF(G4='[1]Resultat &amp; tabell'!G4,2,0)+IF(I4='[1]Resultat &amp; tabell'!I4,2,0)+IF(J4='[1]Resultat &amp; tabell'!J4,2,0))</f>
        <v>0</v>
      </c>
      <c r="L4" s="67"/>
      <c r="M4" s="29">
        <f>IF(VLOOKUP(D4,$BT$3:$CC$7,10,FALSE)=VLOOKUP(F4,$BT$3:$CC$7,10,FALSE),VLOOKUP(D4,$BT$3:$CC$7,10,FALSE),"-")</f>
        <v>1</v>
      </c>
      <c r="N4" s="30">
        <v>1</v>
      </c>
      <c r="O4" s="68" t="str">
        <f>VLOOKUP(N4,FI4:FJ7,2,FALSE)</f>
        <v>Mexiko</v>
      </c>
      <c r="P4" s="69">
        <f>VLOOKUP($O$4,$BT$4:$CA$7,2,FALSE)</f>
        <v>0</v>
      </c>
      <c r="Q4" s="69">
        <f>VLOOKUP($O$4,$BT$4:$CA$7,3,FALSE)</f>
        <v>0</v>
      </c>
      <c r="R4" s="69">
        <f>VLOOKUP($O$4,$BT$4:$CA$7,4,FALSE)</f>
        <v>0</v>
      </c>
      <c r="S4" s="69">
        <f>VLOOKUP($O$4,$BT$4:$CA$7,5,FALSE)</f>
        <v>0</v>
      </c>
      <c r="T4" s="69">
        <f>VLOOKUP($O$4,$BT$4:$CA$7,6,FALSE)</f>
        <v>0</v>
      </c>
      <c r="U4" s="69">
        <f>VLOOKUP($O$4,$BT$4:$CA$7,7,FALSE)</f>
        <v>0</v>
      </c>
      <c r="V4" s="70">
        <f>VLOOKUP($O$4,$BT$4:$CA$7,8,FALSE)</f>
        <v>0</v>
      </c>
      <c r="X4" s="71" t="s">
        <v>68</v>
      </c>
      <c r="Y4" s="195"/>
      <c r="Z4" s="196"/>
      <c r="AA4" s="196"/>
      <c r="AB4" s="197"/>
      <c r="AC4" s="66">
        <f>IF(AND('[1]Resultat &amp; tabell'!Y4&gt;0,Y4='[1]Resultat &amp; tabell'!Y4),20,0)</f>
        <v>0</v>
      </c>
      <c r="AE4" s="72">
        <f t="shared" ref="AE4:AH9" si="0">C4</f>
        <v>46184</v>
      </c>
      <c r="AF4" s="72" t="str">
        <f t="shared" si="0"/>
        <v>Mexiko</v>
      </c>
      <c r="AG4" s="72" t="str">
        <f t="shared" si="0"/>
        <v>-</v>
      </c>
      <c r="AH4" s="72" t="str">
        <f t="shared" si="0"/>
        <v>Sydafrika</v>
      </c>
      <c r="AI4" s="63" t="str">
        <f t="shared" ref="AI4" si="1">IF(G4="","",G4)</f>
        <v/>
      </c>
      <c r="AJ4" s="58" t="str">
        <f t="shared" ref="AJ4:AJ9" si="2">H4</f>
        <v>-</v>
      </c>
      <c r="AK4" s="63" t="str">
        <f t="shared" ref="AK4:AK9" si="3">IF(I4="","",I4)</f>
        <v/>
      </c>
      <c r="AL4" s="65" t="str">
        <f t="shared" ref="AL4:AL9" si="4">J4</f>
        <v/>
      </c>
      <c r="AM4" s="73"/>
      <c r="AN4" s="13">
        <f t="shared" ref="AN4:AN9" si="5">IF(AI4&gt;AK4,1,0)</f>
        <v>0</v>
      </c>
      <c r="AO4" s="13">
        <f t="shared" ref="AO4:AO9" si="6">IF(AK4&gt;AI4,1,0)</f>
        <v>0</v>
      </c>
      <c r="AP4" s="13">
        <f t="shared" ref="AP4:AP9" si="7">IF(AND(AI4=AK4,AI4&lt;&gt;""),1,0)</f>
        <v>0</v>
      </c>
      <c r="AQ4" s="13">
        <f t="shared" ref="AQ4:AQ9" si="8">IF(AND(AI4=AK4,AI4&lt;&gt;""),1,0)</f>
        <v>0</v>
      </c>
      <c r="AR4" s="13">
        <f t="shared" ref="AR4:AR9" si="9">IF(AI4&lt;AK4,1,0)</f>
        <v>0</v>
      </c>
      <c r="AS4" s="13">
        <f t="shared" ref="AS4:AS9" si="10">IF(AK4&lt;AI4,1,)</f>
        <v>0</v>
      </c>
      <c r="AT4" s="13">
        <f t="shared" ref="AT4:AT9" si="11">IF(ISERROR(VLOOKUP(AF4,CF:CF,1,FALSE)),0,1)*IF(ISERROR(VLOOKUP(AH4,CF:CF,1,FALSE)),0,1)*AN4</f>
        <v>0</v>
      </c>
      <c r="AU4" s="13">
        <f t="shared" ref="AU4:AU9" si="12">IF(ISERROR(VLOOKUP(AF4,CF:CF,1,FALSE)),0,1)*IF(ISERROR(VLOOKUP(AH4,CF:CF,1,FALSE)),0,1)*AO4</f>
        <v>0</v>
      </c>
      <c r="AV4" s="13">
        <f t="shared" ref="AV4:AV9" si="13">IF(ISERROR(VLOOKUP(AF4,CF:CF,1,FALSE)),0,1)*IF(ISERROR(VLOOKUP(AH4,CF:CF,1,FALSE)),0,1)*AP4</f>
        <v>0</v>
      </c>
      <c r="AW4" s="13">
        <f t="shared" ref="AW4:AW9" si="14">IF(ISERROR(VLOOKUP(AF4,CF:CF,1,FALSE)),0,1)*IF(ISERROR(VLOOKUP(AH4,CF:CF,1,FALSE)),0,1)*AQ4</f>
        <v>0</v>
      </c>
      <c r="AX4" s="13">
        <f t="shared" ref="AX4:AX9" si="15">IF(ISERROR(VLOOKUP(AF4,CF:CF,1,FALSE)),0,1)*IF(ISERROR(VLOOKUP(AH4,CF:CF,1,FALSE)),0,1)*AR4</f>
        <v>0</v>
      </c>
      <c r="AY4" s="13">
        <f t="shared" ref="AY4:AY9" si="16">IF(ISERROR(VLOOKUP(AF4,CF:CF,1,FALSE)),0,1)*IF(ISERROR(VLOOKUP(AH4,CF:CF,1,FALSE)),0,1)*AS4</f>
        <v>0</v>
      </c>
      <c r="AZ4" s="13">
        <f t="shared" ref="AZ4:AZ9" si="17">IF(ISERROR(VLOOKUP(AF4,CZ:CZ,1,FALSE)),0,1)*IF(ISERROR(VLOOKUP(AH4,CZ:CZ,1,FALSE)),0,1)*AN4</f>
        <v>0</v>
      </c>
      <c r="BA4" s="13">
        <f t="shared" ref="BA4:BA9" si="18">IF(ISERROR(VLOOKUP(AF4,CZ:CZ,1,FALSE)),0,1)*IF(ISERROR(VLOOKUP(AH4,CZ:CZ,1,FALSE)),0,1)*AO4</f>
        <v>0</v>
      </c>
      <c r="BB4" s="13">
        <f t="shared" ref="BB4:BB9" si="19">IF(ISERROR(VLOOKUP(AF4,CZ:CZ,1,FALSE)),0,1)*IF(ISERROR(VLOOKUP(AH4,CZ:CZ,1,FALSE)),0,1)*AP4</f>
        <v>0</v>
      </c>
      <c r="BC4" s="13">
        <f t="shared" ref="BC4:BC9" si="20">IF(ISERROR(VLOOKUP(AF4,CZ:CZ,1,FALSE)),0,1)*IF(ISERROR(VLOOKUP(AH4,CZ:CZ,1,FALSE)),0,1)*AQ4</f>
        <v>0</v>
      </c>
      <c r="BD4" s="13">
        <f t="shared" ref="BD4:BD9" si="21">IF(ISERROR(VLOOKUP(AF4,CZ:CZ,1,FALSE)),0,1)*IF(ISERROR(VLOOKUP(AH4,CZ:CZ,1,FALSE)),0,1)*AR4</f>
        <v>0</v>
      </c>
      <c r="BE4" s="13">
        <f t="shared" ref="BE4:BE9" si="22">IF(ISERROR(VLOOKUP(AF4,CZ:CZ,1,FALSE)),0,1)*IF(ISERROR(VLOOKUP(AH4,CZ:CZ,1,FALSE)),0,1)*AS4</f>
        <v>0</v>
      </c>
      <c r="BF4" s="13">
        <f t="shared" ref="BF4:BF9" si="23">IF(ISERROR(VLOOKUP(AF4,DT:DT,1,FALSE)),0,1)*IF(ISERROR(VLOOKUP(AH4,DT:DT,1,FALSE)),0,1)*AN4</f>
        <v>0</v>
      </c>
      <c r="BG4" s="13">
        <f t="shared" ref="BG4:BG9" si="24">IF(ISERROR(VLOOKUP(AF4,DT:DT,1,FALSE)),0,1)*IF(ISERROR(VLOOKUP(AH4,DT:DT,1,FALSE)),0,1)*AO4</f>
        <v>0</v>
      </c>
      <c r="BH4" s="13">
        <f t="shared" ref="BH4:BH9" si="25">IF(ISERROR(VLOOKUP(AF4,DT:DT,1,FALSE)),0,1)*IF(ISERROR(VLOOKUP(AH4,DT:DT,1,FALSE)),0,1)*AP4</f>
        <v>0</v>
      </c>
      <c r="BI4" s="13">
        <f t="shared" ref="BI4:BI9" si="26">IF(ISERROR(VLOOKUP(AF4,DT:DT,1,FALSE)),0,1)*IF(ISERROR(VLOOKUP(AH4,DT:DT,1,FALSE)),0,1)*AQ4</f>
        <v>0</v>
      </c>
      <c r="BJ4" s="13">
        <f t="shared" ref="BJ4:BJ9" si="27">IF(ISERROR(VLOOKUP(AF4,DT:DT,1,FALSE)),0,1)*IF(ISERROR(VLOOKUP(AH4,DT:DT,1,FALSE)),0,1)*AR4</f>
        <v>0</v>
      </c>
      <c r="BK4" s="13">
        <f t="shared" ref="BK4:BK9" si="28">IF(ISERROR(VLOOKUP(AF4,DT:DT,1,FALSE)),0,1)*IF(ISERROR(VLOOKUP(AH4,DT:DT,1,FALSE)),0,1)*AS4</f>
        <v>0</v>
      </c>
      <c r="BL4" s="13">
        <f t="shared" ref="BL4:BL9" si="29">IF(ISERROR(VLOOKUP(AF4,EN:EN,1,FALSE)),0,1)*IF(ISERROR(VLOOKUP(AH4,EN:EN,1,FALSE)),0,1)*AN4</f>
        <v>0</v>
      </c>
      <c r="BM4" s="13">
        <f t="shared" ref="BM4:BM9" si="30">IF(ISERROR(VLOOKUP(AF4,EN:EN,1,FALSE)),0,1)*IF(ISERROR(VLOOKUP(AH4,EN:EN,1,FALSE)),0,1)*AO4</f>
        <v>0</v>
      </c>
      <c r="BN4" s="13">
        <f t="shared" ref="BN4:BN9" si="31">IF(ISERROR(VLOOKUP(AF4,EN:EN,1,FALSE)),0,1)*IF(ISERROR(VLOOKUP(AH4,EN:EN,1,FALSE)),0,1)*AP4</f>
        <v>0</v>
      </c>
      <c r="BO4" s="13">
        <f t="shared" ref="BO4:BO9" si="32">IF(ISERROR(VLOOKUP(AF4,EN:EN,1,FALSE)),0,1)*IF(ISERROR(VLOOKUP(AH4,EN:EN,1,FALSE)),0,1)*AQ4</f>
        <v>0</v>
      </c>
      <c r="BP4" s="13">
        <f t="shared" ref="BP4:BP9" si="33">IF(ISERROR(VLOOKUP(AF4,EN:EN,1,FALSE)),0,1)*IF(ISERROR(VLOOKUP(AH4,EN:EN,1,FALSE)),0,1)*AR4</f>
        <v>0</v>
      </c>
      <c r="BQ4" s="13">
        <f t="shared" ref="BQ4:BQ9" si="34">IF(ISERROR(VLOOKUP(AF4,EN:EN,1,FALSE)),0,1)*IF(ISERROR(VLOOKUP(AH4,EN:EN,1,FALSE)),0,1)*AS4</f>
        <v>0</v>
      </c>
      <c r="BT4" s="12" t="s">
        <v>65</v>
      </c>
      <c r="BU4" s="13">
        <f>(SUMIF(AF$4:AF$108,BT4,AN$4:AN$108)+SUMIF(AH$4:AH$108,BT4,AO$4:AO$108))</f>
        <v>0</v>
      </c>
      <c r="BV4" s="13">
        <f>(SUMIF(AF$4:AF$108,BT4,AP$4:AP$108)+SUMIF(AH$4:AH$108,BT4,AQ$4:AQ$108))</f>
        <v>0</v>
      </c>
      <c r="BW4" s="13">
        <f>(SUMIF(AF$4:AF$108,BT4,AR$4:AR$108)+SUMIF(AH$4:AH$108,BT4,AS$4:AS$108))</f>
        <v>0</v>
      </c>
      <c r="BX4" s="13">
        <f>SUMIF($AF$4:$AF$108,BT4,$AI$4:$AI$108)+SUMIF($AH$4:$AH$108,BT4,$AK$4:$AK$108)</f>
        <v>0</v>
      </c>
      <c r="BY4" s="13">
        <f>SUMIF($AF$4:$AF$108,BT4,$AK$4:$AK$108)+SUMIF($AH$4:$AH$108,BT4,$AI$4:$AI$108)</f>
        <v>0</v>
      </c>
      <c r="BZ4" s="13">
        <f>BX4-BY4</f>
        <v>0</v>
      </c>
      <c r="CA4" s="13">
        <f>IFERROR(BU4*3+BV4*1,0)</f>
        <v>0</v>
      </c>
      <c r="CB4" s="13" t="s">
        <v>56</v>
      </c>
      <c r="CC4" s="74">
        <f>RANK(CA4,CA4:CA7)</f>
        <v>1</v>
      </c>
      <c r="CD4" s="13">
        <f>SUMPRODUCT((CA4:CA7=CA4)*(BZ4:BZ7&gt;BZ4))</f>
        <v>0</v>
      </c>
      <c r="CF4" s="12" t="str">
        <f>IF(CC4=1,BT4,)</f>
        <v>Mexiko</v>
      </c>
      <c r="CG4" s="13">
        <f>(SUMIF($AF$4:$AF$108,$BT4,$AT$4:$AT$108)+SUMIF($AH$4:$AH$108,$BT4,$AU$4:$AU$108))</f>
        <v>0</v>
      </c>
      <c r="CH4" s="13">
        <f>(SUMIF($AF$4:$AF$108,$BT4,$AV$4:$AV$108)+SUMIF($AH$4:$AH$108,$BT4,$AW$4:$AW$108))</f>
        <v>0</v>
      </c>
      <c r="CI4" s="13">
        <f>(SUMIF($AF$4:$AF$108,$BT4,$AX$4:$AX$108)+SUMIF($AH$4:$AH$108,$BT4,$AY$4:$AY$108))</f>
        <v>0</v>
      </c>
      <c r="CJ4" s="13">
        <f>IFERROR(CG4*3+CH4*1,0)</f>
        <v>0</v>
      </c>
      <c r="CK4" s="13" t="str">
        <f>CB4</f>
        <v>A</v>
      </c>
      <c r="CL4" s="13">
        <f>IF(CF4&gt;0,RANK(CJ4,CJ4:CJ7),)</f>
        <v>1</v>
      </c>
      <c r="CM4" s="13">
        <f>IF(AND(CF4&gt;0,COUNTIF(CL4:CL7,CL4)&gt;1),SUMIFS($AI$4:$AI$108,$AF$4:$AF$108,$BT4,$M$4:$M$108,1)+SUMIFS($AK$4:$AK$108,$AH$4:$AH$108,$BT4,$M$4:$M$108,1)-SUMIFS($AK$4:$AK$108,$AF$4:$AF$108,$BT4,$M$4:$M$108,1)-SUMIFS($AI$4:$AI$108,$AH$4:$AH$108,$BT4,$M$4:$M$108,1),)</f>
        <v>0</v>
      </c>
      <c r="CN4" s="13">
        <f>IF(AND(CF4&gt;0,COUNTIF(CL4:CL7,CL4)&gt;1),CL4+RANK(CM4,CM4:CM7)-1,CL4)</f>
        <v>1</v>
      </c>
      <c r="CO4" s="13">
        <f>IF(AND(CF4&gt;0,COUNTIF(CN4:CN7,CN4)&gt;1),SUMIFS($AI$4:$AI$108,$AF$4:$AF$108,$BT4,$M$4:$M$108,1)+SUMIFS($AK$4:$AK$108,$AH$4:$AH$108,$BT4,$M$4:$M$108,1),)</f>
        <v>0</v>
      </c>
      <c r="CP4" s="13">
        <f>IF(AND(CF4&gt;0,COUNTIF(CN4:CN7,CN4)&gt;1),CN4+RANK(CO4,CO4:CO7)-1,CN4)</f>
        <v>1</v>
      </c>
      <c r="CQ4" s="13">
        <f>IF(CP4=0,"",CP4)</f>
        <v>1</v>
      </c>
      <c r="CR4" s="13">
        <f>IF(OR(CQ4="",COUNTIF(CQ4:CQ7,CQ4)=1),"",$BZ4)</f>
        <v>0</v>
      </c>
      <c r="CS4" s="13">
        <f>IF(CQ4="","",IF(COUNTIF(CQ4:CQ7,CQ4)=1,CQ4,CQ4+RANK(CR4,CR4:CR7,0)-1))</f>
        <v>1</v>
      </c>
      <c r="CT4" s="13">
        <f>IF(OR(CS4="",COUNTIF(CS4:CS7,CS4)=1),"",$BX4)</f>
        <v>0</v>
      </c>
      <c r="CU4" s="13">
        <f>IF(CQ4="","",IF(COUNTIF(CS4:CS7,CS4)=1,CS4,CS4+RANK(CT4,CT4:CT7,0)-1))</f>
        <v>1</v>
      </c>
      <c r="CV4" s="13">
        <f>IF(OR(CU4="",COUNTIF(CU4:CU7,CU4)=1),"",$BU4)</f>
        <v>0</v>
      </c>
      <c r="CW4" s="13">
        <f>IF(CQ4="","",IF(COUNTIF(CU4:CU7,CU4)=1,CU4,CU4+RANK(CV4,CV4:CV7,0)-1))</f>
        <v>1</v>
      </c>
      <c r="CX4" s="13">
        <f>IF(CF4&gt;0,BM2+RANK(CW4,CW4:CW7,1),)</f>
        <v>1</v>
      </c>
      <c r="CZ4" s="12">
        <f>IF(CC4=2,BT4,)</f>
        <v>0</v>
      </c>
      <c r="DA4" s="13">
        <f>(SUMIF($AF$4:$AF$108,$BT4,$AZ$4:$AZ$108)+SUMIF($AH$4:$AH$108,$BT4,$BA$4:$BA$108))</f>
        <v>0</v>
      </c>
      <c r="DB4" s="13">
        <f>(SUMIF($AF$4:$AF$108,$BT4,$BB$4:$BB$108)+SUMIF($AH$4:$AH$108,$BT4,$BC$4:$BC$108))</f>
        <v>0</v>
      </c>
      <c r="DC4" s="13">
        <f>(SUMIF($AF$4:$AF$108,$BT4,$BD$4:$BD$108)+SUMIF($AH$4:$AH$108,$BT4,$BE$4:$BE$108))</f>
        <v>0</v>
      </c>
      <c r="DD4" s="13">
        <f>IFERROR(DA4*3+DB4*1,0)</f>
        <v>0</v>
      </c>
      <c r="DE4" s="13" t="str">
        <f>$CB4</f>
        <v>A</v>
      </c>
      <c r="DF4" s="13">
        <f>IF(CZ4&gt;0,RANK(DD4,DD4:DD7)+CG2,)</f>
        <v>0</v>
      </c>
      <c r="DG4" s="13">
        <f>IF(AND(CZ4&gt;0,COUNTIF(DF4:DF7,DF4)&gt;1),SUMIFS($AI$4:$AI$108,$AF$4:$AF$108,$BT4,$M$4:$M$108,2)+SUMIFS($AK$4:$AK$108,$AH$4:$AH108,$BT4,$M$4:$M$108,2)-SUMIFS($AK$4:$AK$108,$AF$4:$AF$108,$BT4,$M$4:$M$108,2)-SUMIFS($AI$4:$AI$108,$AH$4:$AH$108,$BT4,$M$4:$M$108,2),)</f>
        <v>0</v>
      </c>
      <c r="DH4" s="13">
        <f>IF(AND(CZ4&gt;0,COUNTIF(DF4:DF7,DF4)&gt;1),DF4+RANK(DG4,DG4:DG7)-1,DF4)</f>
        <v>0</v>
      </c>
      <c r="DI4" s="13">
        <f>IF(AND(CZ4&gt;0,COUNTIF(DH4:DH7,DH4)&gt;1),SUMIFS($AI$4:$AI$108,$AF$4:$AF$108,$BT4,$M$4:$M$108,2)+SUMIFS($AK$4:$AK$108,$AH$4:$AH$108,$BT4,$M$4:$M$108,2),)</f>
        <v>0</v>
      </c>
      <c r="DJ4" s="13">
        <f>IF(AND(CZ4&gt;0,COUNTIF(DH4:DH7,DH4)&gt;1),DH4+RANK(DI4,DI4:DI7)-1,DH4)</f>
        <v>0</v>
      </c>
      <c r="DK4" s="75" t="str">
        <f>IF(DJ4=0,"",DJ4)</f>
        <v/>
      </c>
      <c r="DL4" s="75" t="str">
        <f>IF(OR(DK4="",COUNTIF(DK4:DK7,DK4)=1),"",$BZ4)</f>
        <v/>
      </c>
      <c r="DM4" s="75" t="str">
        <f>IF(DK4="","",IF(COUNTIF(DK4:DK7,DK4)=1,DK4,DK4+RANK(DL4,DL4:DL7,0)-1))</f>
        <v/>
      </c>
      <c r="DN4" s="75" t="str">
        <f>IF(OR(DM4="",COUNTIF(DM4:DM7,DM4)=1),"",$BX4)</f>
        <v/>
      </c>
      <c r="DO4" s="75" t="str">
        <f>IF(DK4="","",IF(COUNTIF(DM4:DM7,DM4)=1,DM4,DM4+RANK(DN4,DN4:DN7,0)-1))</f>
        <v/>
      </c>
      <c r="DP4" s="75" t="str">
        <f>IF(OR(DO4="",COUNTIF(DO4:DO7,DO4)=1),"",$BU4)</f>
        <v/>
      </c>
      <c r="DQ4" s="75" t="str">
        <f>IF(DK4="","",IF(COUNTIF(DO4:DO7,DO4)=1,DO4,DO4+RANK(DP4,DP4:DP7,0)-1))</f>
        <v/>
      </c>
      <c r="DR4" s="13">
        <f>IF(CZ4&gt;0,CG2+RANK(DQ4,DQ4:DQ7,1),)</f>
        <v>0</v>
      </c>
      <c r="DT4" s="13">
        <f>IF(CC4=3,BT4,)</f>
        <v>0</v>
      </c>
      <c r="DU4" s="13">
        <f>(SUMIF($AF$4:$AF$108,BT4,$BF$4:$BF$108)+SUMIF($AH$4:$AH$108,BT4,$BG$4:$BG$108))</f>
        <v>0</v>
      </c>
      <c r="DV4" s="13">
        <f>(SUMIF($AF$4:$AF$108,BT4,$BH$4:$BH$108)+SUMIF($AH$4:$AH$108,BT4,$BI$4:$BI$108))</f>
        <v>0</v>
      </c>
      <c r="DW4" s="13">
        <f>(SUMIF($AF$4:$AF$108,BT4,$BJ$4:$BJ$108)+SUMIF($AH$4:$AH$108,BT4,$BK$4:$BK$108))</f>
        <v>0</v>
      </c>
      <c r="DX4" s="13">
        <f>IFERROR(DU4*3+DV4*1,0)</f>
        <v>0</v>
      </c>
      <c r="DY4" s="13" t="str">
        <f>CB4</f>
        <v>A</v>
      </c>
      <c r="DZ4" s="13">
        <f>IF(DT4&gt;0,RANK(DX4,DX4:DX7)+CG2+DA2,)</f>
        <v>0</v>
      </c>
      <c r="EA4" s="13">
        <f>IF(AND(DT4&gt;0,COUNTIF(DZ4:DZ7,DZ4)&gt;1),SUMIFS($AI$4:$AI$108,$AF$4:$AF$108,$BT4,$M$4:$M$108,3)+SUMIFS($AK$4:$AK$108,$AH$4:$AH$108,$BT4,$M$4:$M$108,3)-SUMIFS($AK$4:$AK$108,$AF$4:$AF$108,$BT4,$M$4:$M$108,3)-SUMIFS($AI$4:$AI$108,$AH$4:$AH$108,$BT4,$M$4:$M$108,3),)</f>
        <v>0</v>
      </c>
      <c r="EB4" s="13">
        <f>IF(AND(DT4&gt;0,COUNTIF(DZ4:DZ7,DZ4)&gt;1),DZ4+RANK(EA4,EA4:EA7)-1,DZ4)</f>
        <v>0</v>
      </c>
      <c r="EC4" s="13">
        <f>IF(AND(DT4&gt;0,COUNTIF(EB4:EB7,EB4)&gt;1),SUMIFS($AI$4:$AI$108,$AF$4:$AF$108,$BT4,$M$4:$M$108,3)+SUMIFS($AK$4:$AK$108,$AH$4:$AH$108,$BT4,$M$4:$M$108,3),)</f>
        <v>0</v>
      </c>
      <c r="ED4" s="13">
        <f>IF(AND(DT4&gt;0,COUNTIF(EB4:EB7,EB4)&gt;1),EB4+RANK(EC4,EC4:EC7)-1,EB4)</f>
        <v>0</v>
      </c>
      <c r="EE4" s="13" t="str">
        <f>IF(ED4=0,"",ED4)</f>
        <v/>
      </c>
      <c r="EF4" s="13" t="str">
        <f>IF(OR(EE4="",COUNTIF(EE4:EE7,EE4)=1),"",$BZ4)</f>
        <v/>
      </c>
      <c r="EG4" s="13" t="str">
        <f>IF(EE4="","",IF(COUNTIF(EE4:EE7,EE4)=1,EE4,EE4+RANK(EF4,EF4:EF7,0)-1))</f>
        <v/>
      </c>
      <c r="EH4" s="13" t="str">
        <f>IF(OR(EG4="",COUNTIF(EG4:EG7,EG4)=1),"",$BX4)</f>
        <v/>
      </c>
      <c r="EI4" s="13" t="str">
        <f>IF(EE4="","",IF(COUNTIF(EG4:EG7,EG4)=1,EG4,EG4+RANK(EH4,EH4:EH7,0)-1))</f>
        <v/>
      </c>
      <c r="EJ4" s="13" t="str">
        <f>IF(OR(EI4="",COUNTIF(EI4:EI7,EI4)=1),"",$BU4)</f>
        <v/>
      </c>
      <c r="EK4" s="13" t="str">
        <f>IF(EE4="","",IF(COUNTIF(EI4:EI7,EI4)=1,EI4,EI4+RANK(EJ4,EJ4:EJ7,0)-1))</f>
        <v/>
      </c>
      <c r="EL4" s="13">
        <f>IF(DT4&gt;0,CG2+DA2+RANK(EK4,EK4:EK7,1),)</f>
        <v>0</v>
      </c>
      <c r="EN4" s="13">
        <f>IF(CC4=4,BT4,)</f>
        <v>0</v>
      </c>
      <c r="EO4" s="13">
        <f>(SUMIF($AF$4:$AF$108,$BT4,$BL$4:$BL$108)+SUMIF($AH$4:$AH$108,$BT4,$BM$4:$BM$108))</f>
        <v>0</v>
      </c>
      <c r="EP4" s="13">
        <f>(SUMIF($AF$4:$AF$108,$BT4,$BN$4:$BN$108)+SUMIF($AH$4:$AH$108,$BT4,$BO$4:$BO$108))</f>
        <v>0</v>
      </c>
      <c r="EQ4" s="13">
        <f>(SUMIF($AF$4:$AF$108,$BT4,$BP$4:$BP$108)+SUMIF($AH$4:$AH$108,$BT4,$BQ$4:$BQ$108))</f>
        <v>0</v>
      </c>
      <c r="ER4" s="13">
        <f>IFERROR(EO4*3+EP4*1,0)</f>
        <v>0</v>
      </c>
      <c r="ES4" s="13" t="str">
        <f>$CB4</f>
        <v>A</v>
      </c>
      <c r="ET4" s="13">
        <f>IF(EN4&gt;0,RANK(ER4,ER4:ER7)+CG2+DA2+DU2,)</f>
        <v>0</v>
      </c>
      <c r="EU4" s="13">
        <f>IF(AND(EN4&gt;0,COUNTIF(ET4:ET7,ET4)&gt;1),SUMIFS($AI$4:$AI$108,$AF$4:$AF$108,$BT4,$M$4:$M$108,4)+SUMIFS($AK$4:$AK$108,$AH$4:$AH$108,$BT4,$M$4:$M$108,4)-SUMIFS($AK$4:$AK$108,$AF$4:$AF$108,$BT4,$M$4:$M$108,4)-SUMIFS($AI$4:$AI$108,$AH$4:$AH$108,$BT4,$M$4:$M$108,4),)</f>
        <v>0</v>
      </c>
      <c r="EV4" s="13">
        <f>IF(AND(EN4&gt;0,COUNTIF(ET4:ET7,ET4)&gt;1),ET4+RANK(EU4,EU4:EU7)-1,ET4)</f>
        <v>0</v>
      </c>
      <c r="EW4" s="13">
        <f>IF(AND(EN4&gt;0,COUNTIF(EV4:EV7,EV4)&gt;1),SUMIFS($AI$4:$AI$108,$AF$4:$AF$108,$BT4,$M$4:$M$108,4)+SUMIFS($AK$4:$AK$108,$AH$4:$AH$108,$BT4,$M$4:$M$108,4),)</f>
        <v>0</v>
      </c>
      <c r="EX4" s="13">
        <f>IF(AND(EN4&gt;0,COUNTIF(EV4:EV7,EV4)&gt;1),EV4+RANK(EW4,EW4:EW7)-1,EV4)</f>
        <v>0</v>
      </c>
      <c r="EY4" s="13" t="str">
        <f>IF(EX4=0,"",EX4)</f>
        <v/>
      </c>
      <c r="EZ4" s="13" t="str">
        <f>IF(OR(EY4="",COUNTIF(EY4:EY7,EY4)=1),"",$BZ4)</f>
        <v/>
      </c>
      <c r="FA4" s="13" t="str">
        <f>IF(EY4="","",IF(COUNTIF(EY4:EY7,EY4)=1,EY4,EY4+RANK(EZ4,EZ4:EZ7,0)-1))</f>
        <v/>
      </c>
      <c r="FB4" s="13" t="str">
        <f>IF(OR(FA4="",COUNTIF(FA4:FA7,FA4)=1),"",$BX4)</f>
        <v/>
      </c>
      <c r="FC4" s="13" t="str">
        <f>IF(EY4="","",IF(COUNTIF(FA4:FA7,FA4)=1,FA4,FA4+RANK(FB4,FB4:FB7,0)-1))</f>
        <v/>
      </c>
      <c r="FD4" s="13" t="str">
        <f>IF(OR(FC4="",COUNTIF(FC4:FC7,FC4)=1),"",$BU4)</f>
        <v/>
      </c>
      <c r="FE4" s="13" t="str">
        <f>IF(EY4="","",IF(COUNTIF(FC4:FC7,FC4)=1,FC4,FC4+RANK(FD4,FD4:FD7,0)-1))</f>
        <v/>
      </c>
      <c r="FF4" s="13">
        <f>IF(EN4&gt;0,CG2+DA2+DU2+RANK(FE4,FE4:FE7,1),)</f>
        <v>0</v>
      </c>
      <c r="FH4" s="13">
        <f>IFERROR(VLOOKUP(FJ4,CF3:CX7,19,FALSE),IFERROR(VLOOKUP(FJ4,CZ3:DR7,19,FALSE),IFERROR(VLOOKUP(FJ4,DT3:EL7,19,FALSE),VLOOKUP(FJ4,EN3:FF7,19,FALSE))))</f>
        <v>1</v>
      </c>
      <c r="FI4" s="13">
        <f>RANK(FH4,FH4:FH7,1)+COUNTIF(FH4:FH4,FH4)-1</f>
        <v>1</v>
      </c>
      <c r="FJ4" s="12" t="str">
        <f>BT4</f>
        <v>Mexiko</v>
      </c>
      <c r="FM4" s="76" t="s">
        <v>56</v>
      </c>
      <c r="FN4" s="9" t="str">
        <f>O6</f>
        <v>Sydkorea</v>
      </c>
      <c r="FO4" s="77">
        <f>RANK($FP4,$FP$4:$FP$15,1)+COUNTIF($FP4:$FP$15,$FP4)-1</f>
        <v>12</v>
      </c>
      <c r="FP4" s="77">
        <f>FS4+FR4+FQ4</f>
        <v>1</v>
      </c>
      <c r="FQ4" s="77" cm="1">
        <f t="array" ref="FQ4">SUMPRODUCT(($FT$4:$FT$15=FT4)*($FU$4:$FU$15=FU4)*($FV$4:$FV$15&gt;FV4))</f>
        <v>0</v>
      </c>
      <c r="FR4" s="73" cm="1">
        <f t="array" ref="FR4">SUMPRODUCT(($FT$4:$FT$15=FT4)*($FU$4:$FU$15&gt;FU4))</f>
        <v>0</v>
      </c>
      <c r="FS4" s="77">
        <f>RANK(FT4,$FT$4:$FT$15)</f>
        <v>1</v>
      </c>
      <c r="FT4" s="78">
        <f>V6</f>
        <v>0</v>
      </c>
      <c r="FU4" s="78">
        <f>U6</f>
        <v>0</v>
      </c>
      <c r="FV4" s="78">
        <f>S6</f>
        <v>0</v>
      </c>
      <c r="FW4" s="78" t="str">
        <f>FM4</f>
        <v>A</v>
      </c>
      <c r="FX4" s="77">
        <f>IF(FO4&lt;9,FW4,)</f>
        <v>0</v>
      </c>
      <c r="FZ4" s="79">
        <v>2</v>
      </c>
      <c r="GA4" s="3" t="str">
        <f>GB4&amp;GC4&amp;GD4&amp;GE4&amp;GF4&amp;GG4&amp;GH4&amp;GI4</f>
        <v>EJIFHGLK</v>
      </c>
      <c r="GB4" s="3" t="s">
        <v>59</v>
      </c>
      <c r="GC4" s="3" t="s">
        <v>69</v>
      </c>
      <c r="GD4" s="3" t="s">
        <v>61</v>
      </c>
      <c r="GE4" s="3" t="s">
        <v>21</v>
      </c>
      <c r="GF4" s="3" t="s">
        <v>70</v>
      </c>
      <c r="GG4" s="3" t="s">
        <v>60</v>
      </c>
      <c r="GH4" s="3" t="s">
        <v>63</v>
      </c>
      <c r="GI4" s="3" t="s">
        <v>62</v>
      </c>
      <c r="GJ4" s="9" t="str">
        <f>VLOOKUP(GB4,$FM$3:$FN$15,2,FALSE)</f>
        <v>Elfenbenskusten</v>
      </c>
      <c r="GK4" s="9" t="str">
        <f t="shared" ref="GK4:GQ19" si="35">VLOOKUP(GC4,$FM$3:$FN$15,2,FALSE)</f>
        <v>Österrike</v>
      </c>
      <c r="GL4" s="9" t="str">
        <f t="shared" si="35"/>
        <v>Irak</v>
      </c>
      <c r="GM4" s="9" t="str">
        <f t="shared" si="35"/>
        <v>Sverige</v>
      </c>
      <c r="GN4" s="9" t="str">
        <f t="shared" si="35"/>
        <v>Saudiarabien</v>
      </c>
      <c r="GO4" s="9" t="str">
        <f t="shared" si="35"/>
        <v>Iran</v>
      </c>
      <c r="GP4" s="9" t="str">
        <f t="shared" si="35"/>
        <v>Ghana</v>
      </c>
      <c r="GQ4" s="9" t="str">
        <f t="shared" si="35"/>
        <v>Uzbekistan</v>
      </c>
      <c r="GR4" s="9">
        <f>IFERROR(IF(AND(VLOOKUP(GB4,$FX$4:$FX$15,1,FALSE)=GB4,VLOOKUP(GC4,$FX$4:$FX$15,1,FALSE)=GC4,VLOOKUP(GD4,$FX$4:$FX$15,1,FALSE)=GD4,VLOOKUP(GE4,$FX$4:$FX$15,1,FALSE)=GE4,VLOOKUP(GF4,$FX$4:$FX$15,1,FALSE)=GF4,VLOOKUP(GG4,$FX$4:$FX$15,1,FALSE)=GG4,VLOOKUP(GH4,$FX$4:$FX$15,1,FALSE)=GH4,VLOOKUP(GI4,$FX$4:$FX$15,1,FALSE)=GI4),FZ4,""),"")</f>
        <v>2</v>
      </c>
      <c r="GX4" s="79"/>
    </row>
    <row r="5" spans="2:206" ht="14.25" customHeight="1" x14ac:dyDescent="0.25">
      <c r="B5" s="58">
        <v>2</v>
      </c>
      <c r="C5" s="59">
        <v>46185</v>
      </c>
      <c r="D5" s="60" t="s">
        <v>71</v>
      </c>
      <c r="E5" s="61" t="s">
        <v>66</v>
      </c>
      <c r="F5" s="62" t="s">
        <v>72</v>
      </c>
      <c r="G5" s="63"/>
      <c r="H5" s="64" t="s">
        <v>66</v>
      </c>
      <c r="I5" s="63"/>
      <c r="J5" s="65" t="str">
        <f t="shared" ref="J5:J9" si="36">IF(OR(ISBLANK(G5),ISBLANK(I5)),"",IF(G5&gt;I5,1,IF(G5&lt;I5,2,"X")))</f>
        <v/>
      </c>
      <c r="K5" s="66">
        <f>IF(OR(G5="",I5="",'[1]Resultat &amp; tabell'!G5="",'[1]Resultat &amp; tabell'!I5=""),0,IF(G5='[1]Resultat &amp; tabell'!G5,2,0)+IF(I5='[1]Resultat &amp; tabell'!I5,2,0)+IF(J5='[1]Resultat &amp; tabell'!J5,2,0))</f>
        <v>0</v>
      </c>
      <c r="L5" s="67"/>
      <c r="M5" s="29">
        <f t="shared" ref="M5:M9" si="37">IF(VLOOKUP(D5,$BT$3:$CC$7,10,FALSE)=VLOOKUP(F5,$BT$3:$CC$7,10,FALSE),VLOOKUP(D5,$BT$3:$CC$7,10,FALSE),"-")</f>
        <v>1</v>
      </c>
      <c r="N5" s="30">
        <v>2</v>
      </c>
      <c r="O5" s="80" t="str">
        <f>VLOOKUP(N5,FI4:FJ7,2,FALSE)</f>
        <v>Sydafrika</v>
      </c>
      <c r="P5" s="81">
        <f>VLOOKUP(O5,$BT$4:$CA$7,2,FALSE)</f>
        <v>0</v>
      </c>
      <c r="Q5" s="81">
        <f>VLOOKUP($O$5,$BT$4:$CA$7,3,FALSE)</f>
        <v>0</v>
      </c>
      <c r="R5" s="81">
        <f>VLOOKUP($O$5,$BT$4:$CA$7,4,FALSE)</f>
        <v>0</v>
      </c>
      <c r="S5" s="81">
        <f>VLOOKUP($O$5,$BT$4:$CA$7,5,FALSE)</f>
        <v>0</v>
      </c>
      <c r="T5" s="81">
        <f>VLOOKUP($O$5,$BT$4:$CA$7,6,FALSE)</f>
        <v>0</v>
      </c>
      <c r="U5" s="81">
        <f>VLOOKUP($O$5,$BT$4:$CA$7,7,FALSE)</f>
        <v>0</v>
      </c>
      <c r="V5" s="82">
        <f>VLOOKUP($O$5,$BT$4:$CA$7,8,FALSE)</f>
        <v>0</v>
      </c>
      <c r="X5" s="71" t="s">
        <v>73</v>
      </c>
      <c r="Y5" s="195"/>
      <c r="Z5" s="196"/>
      <c r="AA5" s="196"/>
      <c r="AB5" s="197"/>
      <c r="AC5" s="66">
        <f>IF(AND('[1]Resultat &amp; tabell'!Y5&gt;0,Y5='[1]Resultat &amp; tabell'!Y5),20,0)</f>
        <v>0</v>
      </c>
      <c r="AE5" s="72">
        <f t="shared" si="0"/>
        <v>46185</v>
      </c>
      <c r="AF5" s="72" t="str">
        <f t="shared" si="0"/>
        <v>Sydkorea</v>
      </c>
      <c r="AG5" s="72" t="str">
        <f t="shared" si="0"/>
        <v>-</v>
      </c>
      <c r="AH5" s="72" t="str">
        <f t="shared" si="0"/>
        <v>Czechia</v>
      </c>
      <c r="AI5" s="63" t="str">
        <f>IF(G5="","",G5)</f>
        <v/>
      </c>
      <c r="AJ5" s="58" t="str">
        <f t="shared" si="2"/>
        <v>-</v>
      </c>
      <c r="AK5" s="63" t="str">
        <f t="shared" si="3"/>
        <v/>
      </c>
      <c r="AL5" s="65" t="str">
        <f t="shared" si="4"/>
        <v/>
      </c>
      <c r="AM5" s="73"/>
      <c r="AN5" s="13">
        <f t="shared" si="5"/>
        <v>0</v>
      </c>
      <c r="AO5" s="13">
        <f t="shared" si="6"/>
        <v>0</v>
      </c>
      <c r="AP5" s="13">
        <f t="shared" si="7"/>
        <v>0</v>
      </c>
      <c r="AQ5" s="13">
        <f t="shared" si="8"/>
        <v>0</v>
      </c>
      <c r="AR5" s="13">
        <f t="shared" si="9"/>
        <v>0</v>
      </c>
      <c r="AS5" s="13">
        <f t="shared" si="10"/>
        <v>0</v>
      </c>
      <c r="AT5" s="13">
        <f t="shared" si="11"/>
        <v>0</v>
      </c>
      <c r="AU5" s="13">
        <f t="shared" si="12"/>
        <v>0</v>
      </c>
      <c r="AV5" s="13">
        <f t="shared" si="13"/>
        <v>0</v>
      </c>
      <c r="AW5" s="13">
        <f t="shared" si="14"/>
        <v>0</v>
      </c>
      <c r="AX5" s="13">
        <f t="shared" si="15"/>
        <v>0</v>
      </c>
      <c r="AY5" s="13">
        <f t="shared" si="16"/>
        <v>0</v>
      </c>
      <c r="AZ5" s="13">
        <f t="shared" si="17"/>
        <v>0</v>
      </c>
      <c r="BA5" s="13">
        <f t="shared" si="18"/>
        <v>0</v>
      </c>
      <c r="BB5" s="13">
        <f t="shared" si="19"/>
        <v>0</v>
      </c>
      <c r="BC5" s="13">
        <f t="shared" si="20"/>
        <v>0</v>
      </c>
      <c r="BD5" s="13">
        <f t="shared" si="21"/>
        <v>0</v>
      </c>
      <c r="BE5" s="13">
        <f t="shared" si="22"/>
        <v>0</v>
      </c>
      <c r="BF5" s="13">
        <f t="shared" si="23"/>
        <v>0</v>
      </c>
      <c r="BG5" s="13">
        <f t="shared" si="24"/>
        <v>0</v>
      </c>
      <c r="BH5" s="13">
        <f t="shared" si="25"/>
        <v>0</v>
      </c>
      <c r="BI5" s="13">
        <f t="shared" si="26"/>
        <v>0</v>
      </c>
      <c r="BJ5" s="13">
        <f t="shared" si="27"/>
        <v>0</v>
      </c>
      <c r="BK5" s="13">
        <f t="shared" si="28"/>
        <v>0</v>
      </c>
      <c r="BL5" s="13">
        <f t="shared" si="29"/>
        <v>0</v>
      </c>
      <c r="BM5" s="13">
        <f t="shared" si="30"/>
        <v>0</v>
      </c>
      <c r="BN5" s="13">
        <f t="shared" si="31"/>
        <v>0</v>
      </c>
      <c r="BO5" s="13">
        <f t="shared" si="32"/>
        <v>0</v>
      </c>
      <c r="BP5" s="13">
        <f t="shared" si="33"/>
        <v>0</v>
      </c>
      <c r="BQ5" s="13">
        <f t="shared" si="34"/>
        <v>0</v>
      </c>
      <c r="BT5" s="12" t="s">
        <v>67</v>
      </c>
      <c r="BU5" s="13">
        <f t="shared" ref="BU5:BU7" si="38">(SUMIF(AF$4:AF$108,BT5,AN$4:AN$108)+SUMIF(AH$4:AH$108,BT5,AO$4:AO$108))</f>
        <v>0</v>
      </c>
      <c r="BV5" s="13">
        <f t="shared" ref="BV5:BV7" si="39">(SUMIF(AF$4:AF$108,BT5,AP$4:AP$108)+SUMIF(AH$4:AH$108,BT5,AQ$4:AQ$108))</f>
        <v>0</v>
      </c>
      <c r="BW5" s="13">
        <f t="shared" ref="BW5:BW7" si="40">(SUMIF(AF$4:AF$108,BT5,AR$4:AR$108)+SUMIF(AH$4:AH$108,BT5,AS$4:AS$108))</f>
        <v>0</v>
      </c>
      <c r="BX5" s="13">
        <f t="shared" ref="BX5:BX7" si="41">SUMIF($AF$4:$AF$108,BT5,$AI$4:$AI$108)+SUMIF($AH$4:$AH$108,BT5,$AK$4:$AK$108)</f>
        <v>0</v>
      </c>
      <c r="BY5" s="13">
        <f t="shared" ref="BY5:BY7" si="42">SUMIF($AF$4:$AF$108,BT5,$AK$4:$AK$108)+SUMIF($AH$4:$AH$108,BT5,$AI$4:$AI$108)</f>
        <v>0</v>
      </c>
      <c r="BZ5" s="13">
        <f t="shared" ref="BZ5:BZ7" si="43">BX5-BY5</f>
        <v>0</v>
      </c>
      <c r="CA5" s="13">
        <f t="shared" ref="CA5:CA7" si="44">IFERROR(BU5*3+BV5*1,0)</f>
        <v>0</v>
      </c>
      <c r="CB5" s="13" t="s">
        <v>56</v>
      </c>
      <c r="CC5" s="74">
        <f>RANK(CA5,CA4:CA7)</f>
        <v>1</v>
      </c>
      <c r="CD5" s="13">
        <f>SUMPRODUCT((CA4:CA7=CA5)*(BZ4:BZ7&gt;BZ5))</f>
        <v>0</v>
      </c>
      <c r="CF5" s="12" t="str">
        <f>IF(CC5=1,BT5,)</f>
        <v>Sydafrika</v>
      </c>
      <c r="CG5" s="13">
        <f t="shared" ref="CG5:CG7" si="45">(SUMIF($AF$4:$AF$108,$BT5,$AT$4:$AT$108)+SUMIF($AH$4:$AH$108,$BT5,$AU$4:$AU$108))</f>
        <v>0</v>
      </c>
      <c r="CH5" s="13">
        <f t="shared" ref="CH5:CH7" si="46">(SUMIF($AF$4:$AF$108,$BT5,$AV$4:$AV$108)+SUMIF($AH$4:$AH$108,$BT5,$AW$4:$AW$108))</f>
        <v>0</v>
      </c>
      <c r="CI5" s="13">
        <f t="shared" ref="CI5:CI7" si="47">(SUMIF($AF$4:$AF$108,$BT5,$AX$4:$AX$108)+SUMIF($AH$4:$AH$108,$BT5,$AY$4:$AY$108))</f>
        <v>0</v>
      </c>
      <c r="CJ5" s="13">
        <f t="shared" ref="CJ5:CJ7" si="48">IFERROR(CG5*3+CH5*1,0)</f>
        <v>0</v>
      </c>
      <c r="CK5" s="13" t="str">
        <f t="shared" ref="CK5:CK7" si="49">CB5</f>
        <v>A</v>
      </c>
      <c r="CL5" s="13">
        <f>IF(CF5&gt;0,RANK(CJ5,CJ4:CJ7),)</f>
        <v>1</v>
      </c>
      <c r="CM5" s="13">
        <f>IF(AND(CF5&gt;0,COUNTIF(CL4:CL7,CL5)&gt;1),SUMIFS($AI$4:$AI$108,$AF$4:$AF$108,$BT5,$M$4:$M$108,1)+SUMIFS($AK$4:$AK$108,$AH$4:$AH$108,$BT5,$M$4:$M$108,1)-SUMIFS($AK$4:$AK$108,$AF$4:$AF$108,$BT5,$M$4:$M$108,1)-SUMIFS($AI$4:$AI$108,$AH$4:$AH$108,$BT5,$M$4:$M$108,1),)</f>
        <v>0</v>
      </c>
      <c r="CN5" s="13">
        <f>IF(AND(CF5&gt;0,COUNTIF(CL4:CL7,CL5)&gt;1),CL5+RANK(CM5,CM4:CM7)-1,CL5)</f>
        <v>1</v>
      </c>
      <c r="CO5" s="13">
        <f>IF(AND(CF5&gt;0,COUNTIF(CN4:CN7,CN5)&gt;1),SUMIFS($AI$4:$AI$108,$AF$4:$AF$108,$BT5,$M$4:$M$108,1)+SUMIFS($AK$4:$AK$108,$AH$4:$AH$108,$BT5,$M$4:$M$108,1),)</f>
        <v>0</v>
      </c>
      <c r="CP5" s="13">
        <f>IF(AND(CF5&gt;0,COUNTIF(CN4:CN7,CN5)&gt;1),CN5+RANK(CO5,CO4:CO7)-1,CN5)</f>
        <v>1</v>
      </c>
      <c r="CQ5" s="13">
        <f t="shared" ref="CQ5:CQ7" si="50">IF(CP5=0,"",CP5)</f>
        <v>1</v>
      </c>
      <c r="CR5" s="13">
        <f>IF(OR(CQ5="",COUNTIF(CQ4:CQ7,CQ5)=1),"",$BZ5)</f>
        <v>0</v>
      </c>
      <c r="CS5" s="13">
        <f>IF(CQ5="","",IF(COUNTIF(CQ4:CQ7,CQ5)=1,CQ5,CQ5+RANK(CR5,CR4:CR7,0)-1))</f>
        <v>1</v>
      </c>
      <c r="CT5" s="13">
        <f>IF(OR(CS5="",COUNTIF(CS4:CS7,CS5)=1),"",$BX5)</f>
        <v>0</v>
      </c>
      <c r="CU5" s="13">
        <f>IF(CQ5="","",IF(COUNTIF(CS4:CS7,CS5)=1,CS5,CS5+RANK(CT5,CT4:CT7,0)-1))</f>
        <v>1</v>
      </c>
      <c r="CV5" s="13">
        <f>IF(OR(CU5="",COUNTIF(CU4:CU7,CU5)=1),"",$BU5)</f>
        <v>0</v>
      </c>
      <c r="CW5" s="13">
        <f>IF(CQ5="","",IF(COUNTIF(CU4:CU7,CU5)=1,CU5,CU5+RANK(CV5,CV4:CV7,0)-1))</f>
        <v>1</v>
      </c>
      <c r="CX5" s="13">
        <f>IF(CF5&gt;0,BM2+RANK(CW5,CW4:CW7,1),)</f>
        <v>1</v>
      </c>
      <c r="CZ5" s="12">
        <f>IF(CC5=2,BT5,)</f>
        <v>0</v>
      </c>
      <c r="DA5" s="13">
        <f>(SUMIF($AF$4:$AF$108,$BT5,$AZ$4:$AZ$108)+SUMIF($AH$4:$AH$108,$BT5,$BA$4:$BA$108))</f>
        <v>0</v>
      </c>
      <c r="DB5" s="13">
        <f t="shared" ref="DB5:DB7" si="51">(SUMIF($AF$4:$AF$108,$BT5,$BB$4:$BB$108)+SUMIF($AH$4:$AH$108,$BT5,$BC$4:$BC$108))</f>
        <v>0</v>
      </c>
      <c r="DC5" s="13">
        <f t="shared" ref="DC5:DC7" si="52">(SUMIF($AF$4:$AF$108,$BT5,$BD$4:$BD$108)+SUMIF($AH$4:$AH$108,$BT5,$BE$4:$BE$108))</f>
        <v>0</v>
      </c>
      <c r="DD5" s="13">
        <f t="shared" ref="DD5:DD7" si="53">IFERROR(DA5*3+DB5*1,0)</f>
        <v>0</v>
      </c>
      <c r="DE5" s="13" t="str">
        <f t="shared" ref="DE5:DE7" si="54">$CB5</f>
        <v>A</v>
      </c>
      <c r="DF5" s="13">
        <f>IF(CZ5&gt;0,RANK(DD5,DD4:DD7)+CG2,)</f>
        <v>0</v>
      </c>
      <c r="DG5" s="13">
        <f>IF(AND(CZ5&gt;0,COUNTIF(DF4:DF7,DF5)&gt;1),SUMIFS($AI$4:$AI$108,$AF$4:$AF$108,$BT5,$M$4:$M$108,2)+SUMIFS($AK$4:$AK$108,$AH$4:$AH108,$BT5,$M$4:$M$108,2)-SUMIFS($AK$4:$AK$108,$AF$4:$AF$108,$BT5,$M$4:$M$108,2)-SUMIFS($AI$4:$AI$108,$AH$4:$AH$108,$BT5,$M$4:$M$108,2),)</f>
        <v>0</v>
      </c>
      <c r="DH5" s="13">
        <f>IF(AND(CZ5&gt;0,COUNTIF(DF4:DF7,DF5)&gt;1),DF5+RANK(DG5,DG4:DG7)-1,DF5)</f>
        <v>0</v>
      </c>
      <c r="DI5" s="13">
        <f>IF(AND(CZ5&gt;0,COUNTIF(DH4:DH7,DH5)&gt;1),SUMIFS($AI$4:$AI$108,$AF$4:$AF$108,$BT5,$M$4:$M$108,2)+SUMIFS($AK$4:$AK$108,$AH$4:$AH$108,$BT5,$M$4:$M$108,2),)</f>
        <v>0</v>
      </c>
      <c r="DJ5" s="13">
        <f>IF(AND(CZ5&gt;0,COUNTIF(DH4:DH7,DH5)&gt;1),DH5+RANK(DI5,DI4:DI7)-1,DH5)</f>
        <v>0</v>
      </c>
      <c r="DK5" s="75" t="str">
        <f t="shared" ref="DK5:DK7" si="55">IF(DJ5=0,"",DJ5)</f>
        <v/>
      </c>
      <c r="DL5" s="75" t="str">
        <f>IF(OR(DK5="",COUNTIF(DK4:DK7,DK5)=1),"",$BZ5)</f>
        <v/>
      </c>
      <c r="DM5" s="75" t="str">
        <f>IF(DK5="","",IF(COUNTIF(DK4:DK7,DK5)=1,DK5,DK5+RANK(DL5,DL4:DL7,0)-1))</f>
        <v/>
      </c>
      <c r="DN5" s="75" t="str">
        <f>IF(OR(DM5="",COUNTIF(DM4:DM7,DM5)=1),"",$BX5)</f>
        <v/>
      </c>
      <c r="DO5" s="75" t="str">
        <f>IF(DK5="","",IF(COUNTIF(DM4:DM7,DM5)=1,DM5,DM5+RANK(DN5,DN4:DN7,0)-1))</f>
        <v/>
      </c>
      <c r="DP5" s="75" t="str">
        <f>IF(OR(DO5="",COUNTIF(DO4:DO7,DO5)=1),"",$BU5)</f>
        <v/>
      </c>
      <c r="DQ5" s="75" t="str">
        <f>IF(DK5="","",IF(COUNTIF(DO4:DO7,DO5)=1,DO5,DO5+RANK(DP5,DP4:DP7,0)-1))</f>
        <v/>
      </c>
      <c r="DR5" s="13">
        <f>IF(CZ5&gt;0,CG2+RANK(DQ5,DQ4:DQ7,1),)</f>
        <v>0</v>
      </c>
      <c r="DT5" s="13">
        <f>IF(CC5=3,BT5,)</f>
        <v>0</v>
      </c>
      <c r="DU5" s="13">
        <f t="shared" ref="DU5:DU7" si="56">(SUMIF($AF$4:$AF$108,BT5,$BF$4:$BF$108)+SUMIF($AH$4:$AH$108,BT5,$BG$4:$BG$108))</f>
        <v>0</v>
      </c>
      <c r="DV5" s="13">
        <f t="shared" ref="DV5:DV7" si="57">(SUMIF($AF$4:$AF$108,BT5,$BH$4:$BH$108)+SUMIF($AH$4:$AH$108,BT5,$BI$4:$BI$108))</f>
        <v>0</v>
      </c>
      <c r="DW5" s="13">
        <f t="shared" ref="DW5:DW7" si="58">(SUMIF($AF$4:$AF$108,BT5,$BJ$4:$BJ$108)+SUMIF($AH$4:$AH$108,BT5,$BK$4:$BK$108))</f>
        <v>0</v>
      </c>
      <c r="DX5" s="13">
        <f>IFERROR(DU5*3+DV5*1,0)</f>
        <v>0</v>
      </c>
      <c r="DY5" s="13" t="str">
        <f t="shared" ref="DY5:DY7" si="59">CB5</f>
        <v>A</v>
      </c>
      <c r="DZ5" s="13">
        <f>IF(DT5&gt;0,RANK(DX5,DX4:DX7)+CG2+DA2,)</f>
        <v>0</v>
      </c>
      <c r="EA5" s="13">
        <f>IF(AND(DT5&gt;0,COUNTIF(DZ4:DZ7,DZ5)&gt;1),SUMIFS($AI$4:$AI$108,$AF$4:$AF$108,$BT5,$M$4:$M$108,3)+SUMIFS($AK$4:$AK$108,$AH$4:$AH$108,$BT5,$M$4:$M$108,3)-SUMIFS($AK$4:$AK$108,$AF$4:$AF$108,$BT5,$M$4:$M$108,3)-SUMIFS($AI$4:$AI$108,$AH$4:$AH$108,$BT5,$M$4:$M$108,3),)</f>
        <v>0</v>
      </c>
      <c r="EB5" s="13">
        <f>IF(AND(DT5&gt;0,COUNTIF(DZ4:DZ7,DZ5)&gt;1),DZ5+RANK(EA5,EA4:EA7)-1,DZ5)</f>
        <v>0</v>
      </c>
      <c r="EC5" s="13">
        <f>IF(AND(DT5&gt;0,COUNTIF(EB4:EB7,EB5)&gt;1),SUMIFS($AI$4:$AI$108,$AF$4:$AF$108,$BT5,$M$4:$M$108,3)+SUMIFS($AK$4:$AK$108,$AH$4:$AH$108,$BT5,$M$4:$M$108,3),)</f>
        <v>0</v>
      </c>
      <c r="ED5" s="13">
        <f>IF(AND(DT5&gt;0,COUNTIF(EB4:EB7,EB5)&gt;1),EB5+RANK(EC5,EC4:EC7)-1,EB5)</f>
        <v>0</v>
      </c>
      <c r="EE5" s="13" t="str">
        <f t="shared" ref="EE5:EE7" si="60">IF(ED5=0,"",ED5)</f>
        <v/>
      </c>
      <c r="EF5" s="13" t="str">
        <f>IF(OR(EE5="",COUNTIF(EE4:EE7,EE5)=1),"",$BZ5)</f>
        <v/>
      </c>
      <c r="EG5" s="13" t="str">
        <f>IF(EE5="","",IF(COUNTIF(EE4:EE7,EE5)=1,EE5,EE5+RANK(EF5,EF4:EF7,0)-1))</f>
        <v/>
      </c>
      <c r="EH5" s="13" t="str">
        <f>IF(OR(EG5="",COUNTIF(EG4:EG7,EG5)=1),"",$BX5)</f>
        <v/>
      </c>
      <c r="EI5" s="13" t="str">
        <f>IF(EE5="","",IF(COUNTIF(EG4:EG7,EG5)=1,EG5,EG5+RANK(EH5,EH4:EH7,0)-1))</f>
        <v/>
      </c>
      <c r="EJ5" s="13" t="str">
        <f>IF(OR(EI5="",COUNTIF(EI4:EI7,EI5)=1),"",$BU5)</f>
        <v/>
      </c>
      <c r="EK5" s="13" t="str">
        <f>IF(EE5="","",IF(COUNTIF(EI4:EI7,EI5)=1,EI5,EI5+RANK(EJ5,EJ4:EJ7,0)-1))</f>
        <v/>
      </c>
      <c r="EL5" s="13">
        <f>IF(DT5&gt;0,CG2+DA2+RANK(EK5,EK4:EK7,1),)</f>
        <v>0</v>
      </c>
      <c r="EN5" s="13">
        <f>IF(CC5=4,BT5,)</f>
        <v>0</v>
      </c>
      <c r="EO5" s="13">
        <f t="shared" ref="EO5:EO7" si="61">(SUMIF($AF$4:$AF$108,$BT5,$BL$4:$BL$108)+SUMIF($AH$4:$AH$108,$BT5,$BM$4:$BM$108))</f>
        <v>0</v>
      </c>
      <c r="EP5" s="13">
        <f t="shared" ref="EP5:EP7" si="62">(SUMIF($AF$4:$AF$108,$BT5,$BN$4:$BN$108)+SUMIF($AH$4:$AH$108,$BT5,$BO$4:$BO$108))</f>
        <v>0</v>
      </c>
      <c r="EQ5" s="13">
        <f t="shared" ref="EQ5:EQ7" si="63">(SUMIF($AF$4:$AF$108,$BT5,$BP$4:$BP$108)+SUMIF($AH$4:$AH$108,$BT5,$BQ$4:$BQ$108))</f>
        <v>0</v>
      </c>
      <c r="ER5" s="13">
        <f t="shared" ref="ER5:ER7" si="64">IFERROR(EO5*3+EP5*1,0)</f>
        <v>0</v>
      </c>
      <c r="ES5" s="13" t="str">
        <f t="shared" ref="ES5:ES7" si="65">$CB5</f>
        <v>A</v>
      </c>
      <c r="ET5" s="13">
        <f>IF(EN5&gt;0,RANK(ER5,ER4:ER7)+CG2+DA2+DU2,)</f>
        <v>0</v>
      </c>
      <c r="EU5" s="13">
        <f>IF(AND(EN5&gt;0,COUNTIF(ET4:ET7,ET5)&gt;1),SUMIFS($AI$4:$AI$108,$AF$4:$AF$108,$BT5,$M$4:$M$108,4)+SUMIFS($AK$4:$AK$108,$AH$4:$AH$108,$BT5,$M$4:$M$108,4)-SUMIFS($AK$4:$AK$108,$AF$4:$AF$108,$BT5,$M$4:$M$108,4)-SUMIFS($AI$4:$AI$108,$AH$4:$AH$108,$BT5,$M$4:$M$108,4),)</f>
        <v>0</v>
      </c>
      <c r="EV5" s="13">
        <f>IF(AND(EN5&gt;0,COUNTIF(ET4:ET7,ET5)&gt;1),ET5+RANK(EU5,EU4:EU7)-1,ET5)</f>
        <v>0</v>
      </c>
      <c r="EW5" s="13">
        <f t="shared" ref="EW5:EW7" si="66">IF(AND(EN5&gt;0,COUNTIF(EV5:EV8,EV5)&gt;1),SUMIFS($AI$4:$AI$108,$AF$4:$AF$108,$BT5,$M$4:$M$108,4)+SUMIFS($AK$4:$AK$108,$AH$4:$AH$108,$BT5,$M$4:$M$108,4),)</f>
        <v>0</v>
      </c>
      <c r="EX5" s="13">
        <f>IF(AND(EN5&gt;0,COUNTIF(EV4:EV7,EV5)&gt;1),EV5+RANK(EW5,EW4:EW7)-1,EV5)</f>
        <v>0</v>
      </c>
      <c r="EY5" s="13" t="str">
        <f t="shared" ref="EY5:EY7" si="67">IF(EX5=0,"",EX5)</f>
        <v/>
      </c>
      <c r="EZ5" s="13" t="str">
        <f>IF(OR(EY5="",COUNTIF(EY4:EY7,EY5)=1),"",$BZ5)</f>
        <v/>
      </c>
      <c r="FA5" s="13" t="str">
        <f>IF(EY5="","",IF(COUNTIF(EY4:EY7,EY5)=1,EY5,EY5+RANK(EZ5,EZ4:EZ7,0)-1))</f>
        <v/>
      </c>
      <c r="FB5" s="13" t="str">
        <f>IF(OR(FA5="",COUNTIF(FA4:FA7,FA5)=1),"",$BX5)</f>
        <v/>
      </c>
      <c r="FC5" s="13" t="str">
        <f>IF(EY5="","",IF(COUNTIF(FA4:FA7,FA5)=1,FA5,FA5+RANK(FB5,FB4:FB7,0)-1))</f>
        <v/>
      </c>
      <c r="FD5" s="13" t="str">
        <f>IF(OR(FC5="",COUNTIF(FC4:FC7,FC5)=1),"",$BU5)</f>
        <v/>
      </c>
      <c r="FE5" s="13" t="str">
        <f>IF(EY5="","",IF(COUNTIF(FC4:FC7,FC5)=1,FC5,FC5+RANK(FD5,FD4:FD7,0)-1))</f>
        <v/>
      </c>
      <c r="FF5" s="13">
        <f>IF(EN5&gt;0,CG2+DA2+DU2+RANK(FE5,FE4:FE7,1),)</f>
        <v>0</v>
      </c>
      <c r="FH5" s="13">
        <f>IFERROR(VLOOKUP(FJ5,CF3:CX7,19,FALSE),IFERROR(VLOOKUP(FJ5,CZ3:DR7,19,FALSE),IFERROR(VLOOKUP(FJ5,DT3:EL7,19,FALSE),VLOOKUP(FJ5,EN3:FF7,19,FALSE))))</f>
        <v>1</v>
      </c>
      <c r="FI5" s="13">
        <f>RANK(FH5,FH4:FH7,1)+COUNTIF(FH4:FH5,FH5)-1</f>
        <v>2</v>
      </c>
      <c r="FJ5" s="12" t="str">
        <f>BT5</f>
        <v>Sydafrika</v>
      </c>
      <c r="FM5" s="76" t="s">
        <v>57</v>
      </c>
      <c r="FN5" s="9" t="str">
        <f>O15</f>
        <v>Qatar</v>
      </c>
      <c r="FO5" s="77">
        <f>RANK($FP5,$FP$4:$FP$15,1)+COUNTIF($FP5:$FP$15,$FP5)-1</f>
        <v>11</v>
      </c>
      <c r="FP5" s="77">
        <f t="shared" ref="FP5:FP15" si="68">FS5+FR5+FQ5</f>
        <v>1</v>
      </c>
      <c r="FQ5" s="77" cm="1">
        <f t="array" ref="FQ5">SUMPRODUCT(($FT$4:$FT$15=FT5)*($FU$4:$FU$15=FU5)*($FV$4:$FV$15&gt;FV5))</f>
        <v>0</v>
      </c>
      <c r="FR5" s="73" cm="1">
        <f t="array" ref="FR5">SUMPRODUCT(($FT$4:$FT$15=FT5)*($FU$4:$FU$15&gt;FU5))</f>
        <v>0</v>
      </c>
      <c r="FS5" s="77">
        <f t="shared" ref="FS5:FS14" si="69">RANK(FT5,$FT$4:$FT$15)</f>
        <v>1</v>
      </c>
      <c r="FT5" s="9">
        <f>V15</f>
        <v>0</v>
      </c>
      <c r="FU5" s="9">
        <f>U15</f>
        <v>0</v>
      </c>
      <c r="FV5" s="9">
        <f>S15</f>
        <v>0</v>
      </c>
      <c r="FW5" s="78" t="str">
        <f t="shared" ref="FW5:FW15" si="70">FM5</f>
        <v>B</v>
      </c>
      <c r="FX5" s="77">
        <f t="shared" ref="FX5:FX15" si="71">IF(FO5&lt;9,FW5,)</f>
        <v>0</v>
      </c>
      <c r="FZ5" s="79">
        <v>3</v>
      </c>
      <c r="GA5" s="3" t="str">
        <f t="shared" ref="GA5:GA68" si="72">GB5&amp;GC5&amp;GD5&amp;GE5&amp;GF5&amp;GG5&amp;GH5&amp;GI5</f>
        <v>HGIDJFLK</v>
      </c>
      <c r="GB5" s="3" t="s">
        <v>70</v>
      </c>
      <c r="GC5" s="3" t="s">
        <v>60</v>
      </c>
      <c r="GD5" s="3" t="s">
        <v>61</v>
      </c>
      <c r="GE5" s="3" t="s">
        <v>58</v>
      </c>
      <c r="GF5" s="3" t="s">
        <v>69</v>
      </c>
      <c r="GG5" s="3" t="s">
        <v>21</v>
      </c>
      <c r="GH5" s="3" t="s">
        <v>63</v>
      </c>
      <c r="GI5" s="3" t="s">
        <v>62</v>
      </c>
      <c r="GJ5" s="9" t="str">
        <f t="shared" ref="GJ5:GQ49" si="73">VLOOKUP(GB5,$FM$3:$FN$15,2,FALSE)</f>
        <v>Saudiarabien</v>
      </c>
      <c r="GK5" s="9" t="str">
        <f t="shared" si="35"/>
        <v>Iran</v>
      </c>
      <c r="GL5" s="9" t="str">
        <f t="shared" si="35"/>
        <v>Irak</v>
      </c>
      <c r="GM5" s="9" t="str">
        <f t="shared" si="35"/>
        <v>Australien</v>
      </c>
      <c r="GN5" s="9" t="str">
        <f t="shared" si="35"/>
        <v>Österrike</v>
      </c>
      <c r="GO5" s="9" t="str">
        <f t="shared" si="35"/>
        <v>Sverige</v>
      </c>
      <c r="GP5" s="9" t="str">
        <f t="shared" si="35"/>
        <v>Ghana</v>
      </c>
      <c r="GQ5" s="9" t="str">
        <f t="shared" si="35"/>
        <v>Uzbekistan</v>
      </c>
      <c r="GR5" s="9" t="str">
        <f>IFERROR(IF(AND(VLOOKUP(GB5,$FX$4:$FX$15,1,FALSE)=GB5,VLOOKUP(GC5,$FX$4:$FX$15,1,FALSE)=GC5,VLOOKUP(GD5,$FX$4:$FX$15,1,FALSE)=GD5,VLOOKUP(GE5,$FX$4:$FX$15,1,FALSE)=GE5,VLOOKUP(GF5,$FX$4:$FX$15,1,FALSE)=GF5,VLOOKUP(GG5,$FX$4:$FX$15,1,FALSE)=GG5,VLOOKUP(GH5,$FX$4:$FX$15,1,FALSE)=GH5,VLOOKUP(GI5,$FX$4:$FX$15,1,FALSE)=GI5),FZ5,""),"")</f>
        <v/>
      </c>
      <c r="GX5" s="79"/>
    </row>
    <row r="6" spans="2:206" ht="14.25" customHeight="1" x14ac:dyDescent="0.25">
      <c r="B6" s="58">
        <v>25</v>
      </c>
      <c r="C6" s="59">
        <v>46191</v>
      </c>
      <c r="D6" s="60" t="s">
        <v>72</v>
      </c>
      <c r="E6" s="61" t="s">
        <v>66</v>
      </c>
      <c r="F6" s="62" t="s">
        <v>67</v>
      </c>
      <c r="G6" s="63"/>
      <c r="H6" s="64" t="s">
        <v>66</v>
      </c>
      <c r="I6" s="63"/>
      <c r="J6" s="65" t="str">
        <f t="shared" si="36"/>
        <v/>
      </c>
      <c r="K6" s="66">
        <f>IF(OR(G6="",I6="",'[1]Resultat &amp; tabell'!G6="",'[1]Resultat &amp; tabell'!I6=""),0,IF(G6='[1]Resultat &amp; tabell'!G6,2,0)+IF(I6='[1]Resultat &amp; tabell'!I6,2,0)+IF(J6='[1]Resultat &amp; tabell'!J6,2,0))</f>
        <v>0</v>
      </c>
      <c r="L6" s="67"/>
      <c r="M6" s="29">
        <f t="shared" si="37"/>
        <v>1</v>
      </c>
      <c r="N6" s="30">
        <v>3</v>
      </c>
      <c r="O6" s="83" t="str">
        <f>VLOOKUP(N6,FI4:FJ7,2,FALSE)</f>
        <v>Sydkorea</v>
      </c>
      <c r="P6" s="84">
        <f>VLOOKUP(O6,$BT$4:$CA$7,2,FALSE)</f>
        <v>0</v>
      </c>
      <c r="Q6" s="84">
        <f>VLOOKUP($O$6,$BT$4:$CA$7,3,FALSE)</f>
        <v>0</v>
      </c>
      <c r="R6" s="84">
        <f>VLOOKUP($O$6,$BT$4:$CA$7,4,FALSE)</f>
        <v>0</v>
      </c>
      <c r="S6" s="84">
        <f>VLOOKUP($O$6,$BT$4:$CA$7,5,FALSE)</f>
        <v>0</v>
      </c>
      <c r="T6" s="84">
        <f>VLOOKUP($O$6,$BT$4:$CA$7,6,FALSE)</f>
        <v>0</v>
      </c>
      <c r="U6" s="84">
        <f>VLOOKUP($O$6,$BT$4:$CA$7,7,FALSE)</f>
        <v>0</v>
      </c>
      <c r="V6" s="85">
        <f>VLOOKUP($O$6,$BT$4:$CA$7,8,FALSE)</f>
        <v>0</v>
      </c>
      <c r="X6" s="71" t="s">
        <v>74</v>
      </c>
      <c r="Y6" s="195"/>
      <c r="Z6" s="196"/>
      <c r="AA6" s="196"/>
      <c r="AB6" s="197"/>
      <c r="AC6" s="66">
        <f>IF(AND('[1]Resultat &amp; tabell'!Y6&gt;0,Y6='[1]Resultat &amp; tabell'!Y6),20,0)</f>
        <v>0</v>
      </c>
      <c r="AE6" s="72">
        <f t="shared" si="0"/>
        <v>46191</v>
      </c>
      <c r="AF6" s="72" t="str">
        <f t="shared" si="0"/>
        <v>Czechia</v>
      </c>
      <c r="AG6" s="72" t="str">
        <f t="shared" si="0"/>
        <v>-</v>
      </c>
      <c r="AH6" s="72" t="str">
        <f t="shared" si="0"/>
        <v>Sydafrika</v>
      </c>
      <c r="AI6" s="63" t="str">
        <f t="shared" ref="AI6:AI9" si="74">IF(G6="","",G6)</f>
        <v/>
      </c>
      <c r="AJ6" s="58" t="str">
        <f t="shared" si="2"/>
        <v>-</v>
      </c>
      <c r="AK6" s="63" t="str">
        <f t="shared" si="3"/>
        <v/>
      </c>
      <c r="AL6" s="65" t="str">
        <f t="shared" si="4"/>
        <v/>
      </c>
      <c r="AM6" s="73"/>
      <c r="AN6" s="13">
        <f t="shared" si="5"/>
        <v>0</v>
      </c>
      <c r="AO6" s="13">
        <f t="shared" si="6"/>
        <v>0</v>
      </c>
      <c r="AP6" s="13">
        <f t="shared" si="7"/>
        <v>0</v>
      </c>
      <c r="AQ6" s="13">
        <f t="shared" si="8"/>
        <v>0</v>
      </c>
      <c r="AR6" s="13">
        <f t="shared" si="9"/>
        <v>0</v>
      </c>
      <c r="AS6" s="13">
        <f t="shared" si="10"/>
        <v>0</v>
      </c>
      <c r="AT6" s="13">
        <f t="shared" si="11"/>
        <v>0</v>
      </c>
      <c r="AU6" s="13">
        <f t="shared" si="12"/>
        <v>0</v>
      </c>
      <c r="AV6" s="13">
        <f t="shared" si="13"/>
        <v>0</v>
      </c>
      <c r="AW6" s="13">
        <f t="shared" si="14"/>
        <v>0</v>
      </c>
      <c r="AX6" s="13">
        <f t="shared" si="15"/>
        <v>0</v>
      </c>
      <c r="AY6" s="13">
        <f t="shared" si="16"/>
        <v>0</v>
      </c>
      <c r="AZ6" s="13">
        <f t="shared" si="17"/>
        <v>0</v>
      </c>
      <c r="BA6" s="13">
        <f t="shared" si="18"/>
        <v>0</v>
      </c>
      <c r="BB6" s="13">
        <f t="shared" si="19"/>
        <v>0</v>
      </c>
      <c r="BC6" s="13">
        <f t="shared" si="20"/>
        <v>0</v>
      </c>
      <c r="BD6" s="13">
        <f t="shared" si="21"/>
        <v>0</v>
      </c>
      <c r="BE6" s="13">
        <f t="shared" si="22"/>
        <v>0</v>
      </c>
      <c r="BF6" s="13">
        <f t="shared" si="23"/>
        <v>0</v>
      </c>
      <c r="BG6" s="13">
        <f t="shared" si="24"/>
        <v>0</v>
      </c>
      <c r="BH6" s="13">
        <f t="shared" si="25"/>
        <v>0</v>
      </c>
      <c r="BI6" s="13">
        <f t="shared" si="26"/>
        <v>0</v>
      </c>
      <c r="BJ6" s="13">
        <f t="shared" si="27"/>
        <v>0</v>
      </c>
      <c r="BK6" s="13">
        <f t="shared" si="28"/>
        <v>0</v>
      </c>
      <c r="BL6" s="13">
        <f t="shared" si="29"/>
        <v>0</v>
      </c>
      <c r="BM6" s="13">
        <f t="shared" si="30"/>
        <v>0</v>
      </c>
      <c r="BN6" s="13">
        <f t="shared" si="31"/>
        <v>0</v>
      </c>
      <c r="BO6" s="13">
        <f t="shared" si="32"/>
        <v>0</v>
      </c>
      <c r="BP6" s="13">
        <f t="shared" si="33"/>
        <v>0</v>
      </c>
      <c r="BQ6" s="13">
        <f t="shared" si="34"/>
        <v>0</v>
      </c>
      <c r="BT6" s="12" t="s">
        <v>71</v>
      </c>
      <c r="BU6" s="13">
        <f t="shared" si="38"/>
        <v>0</v>
      </c>
      <c r="BV6" s="13">
        <f t="shared" si="39"/>
        <v>0</v>
      </c>
      <c r="BW6" s="13">
        <f t="shared" si="40"/>
        <v>0</v>
      </c>
      <c r="BX6" s="13">
        <f t="shared" si="41"/>
        <v>0</v>
      </c>
      <c r="BY6" s="13">
        <f t="shared" si="42"/>
        <v>0</v>
      </c>
      <c r="BZ6" s="13">
        <f t="shared" si="43"/>
        <v>0</v>
      </c>
      <c r="CA6" s="13">
        <f t="shared" si="44"/>
        <v>0</v>
      </c>
      <c r="CB6" s="13" t="s">
        <v>56</v>
      </c>
      <c r="CC6" s="74">
        <f>RANK(CA6,CA4:CA7)</f>
        <v>1</v>
      </c>
      <c r="CD6" s="13">
        <f>SUMPRODUCT((CA4:CA7=CA6)*(BZ4:BZ7&gt;BZ6))</f>
        <v>0</v>
      </c>
      <c r="CF6" s="12" t="str">
        <f>IF(CC6=1,BT6,)</f>
        <v>Sydkorea</v>
      </c>
      <c r="CG6" s="13">
        <f t="shared" si="45"/>
        <v>0</v>
      </c>
      <c r="CH6" s="13">
        <f t="shared" si="46"/>
        <v>0</v>
      </c>
      <c r="CI6" s="13">
        <f t="shared" si="47"/>
        <v>0</v>
      </c>
      <c r="CJ6" s="13">
        <f t="shared" si="48"/>
        <v>0</v>
      </c>
      <c r="CK6" s="13" t="str">
        <f t="shared" si="49"/>
        <v>A</v>
      </c>
      <c r="CL6" s="13">
        <f>IF(CF6&gt;0,RANK(CJ6,CJ4:CJ7),)</f>
        <v>1</v>
      </c>
      <c r="CM6" s="13">
        <f>IF(AND(CF6&gt;0,COUNTIF(CL4:CL7,CL6)&gt;1),SUMIFS($AI$4:$AI$108,$AF$4:$AF$108,$BT6,$M$4:$M$108,1)+SUMIFS($AK$4:$AK$108,$AH$4:$AH$108,$BT6,$M$4:$M$108,1)-SUMIFS($AK$4:$AK$108,$AF$4:$AF$108,$BT6,$M$4:$M$108,1)-SUMIFS($AI$4:$AI$108,$AH$4:$AH$108,$BT6,$M$4:$M$108,1),)</f>
        <v>0</v>
      </c>
      <c r="CN6" s="13">
        <f>IF(AND(CF6&gt;0,COUNTIF(CL4:CL7,CL6)&gt;1),CL6+RANK(CM6,CM4:CM7)-1,CL6)</f>
        <v>1</v>
      </c>
      <c r="CO6" s="13">
        <f>IF(AND(CF6&gt;0,COUNTIF(CN4:CN7,CN6)&gt;1),SUMIFS($AI$4:$AI$108,$AF$4:$AF$108,$BT6,$M$4:$M$108,1)+SUMIFS($AK$4:$AK$108,$AH$4:$AH$108,$BT6,$M$4:$M$108,1),)</f>
        <v>0</v>
      </c>
      <c r="CP6" s="13">
        <f>IF(AND(CF6&gt;0,COUNTIF(CN4:CN7,CN6)&gt;1),CN6+RANK(CO6,CO4:CO7)-1,CN6)</f>
        <v>1</v>
      </c>
      <c r="CQ6" s="13">
        <f t="shared" si="50"/>
        <v>1</v>
      </c>
      <c r="CR6" s="13">
        <f>IF(OR(CQ6="",COUNTIF(CQ4:CQ7,CQ6)=1),"",$BZ6)</f>
        <v>0</v>
      </c>
      <c r="CS6" s="13">
        <f>IF(CQ6="","",IF(COUNTIF(CQ4:CQ7,CQ6)=1,CQ6,CQ6+RANK(CR6,CR4:CR7,0)-1))</f>
        <v>1</v>
      </c>
      <c r="CT6" s="13">
        <f>IF(OR(CS6="",COUNTIF(CS4:CS7,CS6)=1),"",$BX6)</f>
        <v>0</v>
      </c>
      <c r="CU6" s="13">
        <f>IF(CQ6="","",IF(COUNTIF(CS4:CS7,CS6)=1,CS6,CS6+RANK(CT6,CT4:CT7,0)-1))</f>
        <v>1</v>
      </c>
      <c r="CV6" s="13">
        <f>IF(OR(CU6="",COUNTIF(CU4:CU7,CU6)=1),"",$BU6)</f>
        <v>0</v>
      </c>
      <c r="CW6" s="13">
        <f>IF(CQ6="","",IF(COUNTIF(CU4:CU7,CU6)=1,CU6,CU6+RANK(CV6,CV4:CV7,0)-1))</f>
        <v>1</v>
      </c>
      <c r="CX6" s="13">
        <f>IF(CF6&gt;0,BM2+RANK(CW6,CW4:CW7,1),)</f>
        <v>1</v>
      </c>
      <c r="CZ6" s="12">
        <f>IF(CC6=2,BT6,)</f>
        <v>0</v>
      </c>
      <c r="DA6" s="13">
        <f>(SUMIF($AF$4:$AF$108,$BT6,$AZ$4:$AZ$108)+SUMIF($AH$4:$AH$108,$BT6,$BA$4:$BA$108))</f>
        <v>0</v>
      </c>
      <c r="DB6" s="13">
        <f t="shared" si="51"/>
        <v>0</v>
      </c>
      <c r="DC6" s="13">
        <f t="shared" si="52"/>
        <v>0</v>
      </c>
      <c r="DD6" s="13">
        <f t="shared" si="53"/>
        <v>0</v>
      </c>
      <c r="DE6" s="13" t="str">
        <f t="shared" si="54"/>
        <v>A</v>
      </c>
      <c r="DF6" s="13">
        <f>IF(CZ6&gt;0,RANK(DD6,DD4:DD7)+CG2,)</f>
        <v>0</v>
      </c>
      <c r="DG6" s="13">
        <f>IF(AND(CZ6&gt;0,COUNTIF(DF4:DF7,DF6)&gt;1),SUMIFS($AI$4:$AI$108,$AF$4:$AF$108,$BT6,$M$4:$M$108,2)+SUMIFS($AK$4:$AK$108,$AH$4:$AH108,$BT6,$M$4:$M$108,2)-SUMIFS($AK$4:$AK$108,$AF$4:$AF$108,$BT6,$M$4:$M$108,2)-SUMIFS($AI$4:$AI$108,$AH$4:$AH$108,$BT6,$M$4:$M$108,2),)</f>
        <v>0</v>
      </c>
      <c r="DH6" s="13">
        <f>IF(AND(CZ6&gt;0,COUNTIF(DF4:DF7,DF6)&gt;1),DF6+RANK(DG6,DG4:DG7)-1,DF6)</f>
        <v>0</v>
      </c>
      <c r="DI6" s="13">
        <f>IF(AND(CZ6&gt;0,COUNTIF(DH4:DH7,DH6)&gt;1),SUMIFS($AI$4:$AI$108,$AF$4:$AF$108,$BT6,$M$4:$M$108,2)+SUMIFS($AK$4:$AK$108,$AH$4:$AH$108,$BT6,$M$4:$M$108,2),)</f>
        <v>0</v>
      </c>
      <c r="DJ6" s="13">
        <f>IF(AND(CZ6&gt;0,COUNTIF(DH4:DH7,DH6)&gt;1),DH6+RANK(DI6,DI4:DI7)-1,DH6)</f>
        <v>0</v>
      </c>
      <c r="DK6" s="75" t="str">
        <f t="shared" si="55"/>
        <v/>
      </c>
      <c r="DL6" s="75" t="str">
        <f>IF(OR(DK6="",COUNTIF(DK4:DK7,DK6)=1),"",$BZ6)</f>
        <v/>
      </c>
      <c r="DM6" s="75" t="str">
        <f>IF(DK6="","",IF(COUNTIF(DK4:DK7,DK6)=1,DK6,DK6+RANK(DL6,DL4:DL7,0)-1))</f>
        <v/>
      </c>
      <c r="DN6" s="75" t="str">
        <f>IF(OR(DM6="",COUNTIF(DM4:DM7,DM6)=1),"",$BX6)</f>
        <v/>
      </c>
      <c r="DO6" s="75" t="str">
        <f>IF(DK6="","",IF(COUNTIF(DM4:DM7,DM6)=1,DM6,DM6+RANK(DN6,DN4:DN7,0)-1))</f>
        <v/>
      </c>
      <c r="DP6" s="75" t="str">
        <f>IF(OR(DO6="",COUNTIF(DO4:DO7,DO6)=1),"",$BU6)</f>
        <v/>
      </c>
      <c r="DQ6" s="75" t="str">
        <f>IF(DK6="","",IF(COUNTIF(DO4:DO7,DO6)=1,DO6,DO6+RANK(DP6,DP4:DP7,0)-1))</f>
        <v/>
      </c>
      <c r="DR6" s="13">
        <f>IF(CZ6&gt;0,CG2+RANK(DQ6,DQ4:DQ7,1),)</f>
        <v>0</v>
      </c>
      <c r="DT6" s="13">
        <f>IF(CC6=3,BT6,)</f>
        <v>0</v>
      </c>
      <c r="DU6" s="13">
        <f t="shared" si="56"/>
        <v>0</v>
      </c>
      <c r="DV6" s="13">
        <f t="shared" si="57"/>
        <v>0</v>
      </c>
      <c r="DW6" s="13">
        <f t="shared" si="58"/>
        <v>0</v>
      </c>
      <c r="DX6" s="13">
        <f>IFERROR(DU6*3+DV6*1,0)</f>
        <v>0</v>
      </c>
      <c r="DY6" s="13" t="str">
        <f t="shared" si="59"/>
        <v>A</v>
      </c>
      <c r="DZ6" s="13">
        <f>IF(DT6&gt;0,RANK(DX6,DX4:DX7)+CG2+DA2,)</f>
        <v>0</v>
      </c>
      <c r="EA6" s="13">
        <f>IF(AND(DT6&gt;0,COUNTIF(DZ4:DZ7,DZ6)&gt;1),SUMIFS($AI$4:$AI$108,$AF$4:$AF$108,$BT6,$M$4:$M$108,3)+SUMIFS($AK$4:$AK$108,$AH$4:$AH$108,$BT6,$M$4:$M$108,3)-SUMIFS($AK$4:$AK$108,$AF$4:$AF$108,$BT6,$M$4:$M$108,3)-SUMIFS($AI$4:$AI$108,$AH$4:$AH$108,$BT6,$M$4:$M$108,3),)</f>
        <v>0</v>
      </c>
      <c r="EB6" s="13">
        <f>IF(AND(DT6&gt;0,COUNTIF(DZ4:DZ7,DZ6)&gt;1),DZ6+RANK(EA6,EA4:EA7)-1,DZ6)</f>
        <v>0</v>
      </c>
      <c r="EC6" s="13">
        <f>IF(AND(DT6&gt;0,COUNTIF(EB4:EB7,EB6)&gt;1),SUMIFS($AI$4:$AI$108,$AF$4:$AF$108,$BT6,$M$4:$M$108,3)+SUMIFS($AK$4:$AK$108,$AH$4:$AH$108,$BT6,$M$4:$M$108,3),)</f>
        <v>0</v>
      </c>
      <c r="ED6" s="13">
        <f>IF(AND(DT6&gt;0,COUNTIF(EB4:EB7,EB6)&gt;1),EB6+RANK(EC6,EC4:EC7)-1,EB6)</f>
        <v>0</v>
      </c>
      <c r="EE6" s="13" t="str">
        <f t="shared" si="60"/>
        <v/>
      </c>
      <c r="EF6" s="13" t="str">
        <f>IF(OR(EE6="",COUNTIF(EE4:EE7,EE6)=1),"",$BZ6)</f>
        <v/>
      </c>
      <c r="EG6" s="13" t="str">
        <f>IF(EE6="","",IF(COUNTIF(EE4:EE7,EE6)=1,EE6,EE6+RANK(EF6,EF4:EF7,0)-1))</f>
        <v/>
      </c>
      <c r="EH6" s="13" t="str">
        <f>IF(OR(EG6="",COUNTIF(EG4:EG7,EG6)=1),"",$BX6)</f>
        <v/>
      </c>
      <c r="EI6" s="13" t="str">
        <f>IF(EE6="","",IF(COUNTIF(EG4:EG7,EG6)=1,EG6,EG6+RANK(EH6,EH4:EH7,0)-1))</f>
        <v/>
      </c>
      <c r="EJ6" s="13" t="str">
        <f>IF(OR(EI6="",COUNTIF(EI4:EI7,EI6)=1),"",$BU6)</f>
        <v/>
      </c>
      <c r="EK6" s="13" t="str">
        <f>IF(EE6="","",IF(COUNTIF(EI4:EI7,EI6)=1,EI6,EI6+RANK(EJ6,EJ4:EJ7,0)-1))</f>
        <v/>
      </c>
      <c r="EL6" s="13">
        <f>IF(DT6&gt;0,CG2+DA2+RANK(EK6,EK4:EK7,1),)</f>
        <v>0</v>
      </c>
      <c r="EN6" s="13">
        <f>IF(CC6=4,BT6,)</f>
        <v>0</v>
      </c>
      <c r="EO6" s="13">
        <f t="shared" si="61"/>
        <v>0</v>
      </c>
      <c r="EP6" s="13">
        <f t="shared" si="62"/>
        <v>0</v>
      </c>
      <c r="EQ6" s="13">
        <f t="shared" si="63"/>
        <v>0</v>
      </c>
      <c r="ER6" s="13">
        <f t="shared" si="64"/>
        <v>0</v>
      </c>
      <c r="ES6" s="13" t="str">
        <f t="shared" si="65"/>
        <v>A</v>
      </c>
      <c r="ET6" s="13">
        <f>IF(EN6&gt;0,RANK(ER6,ER4:ER7)+CG2+DA2+DU2,)</f>
        <v>0</v>
      </c>
      <c r="EU6" s="13">
        <f>IF(AND(EN6&gt;0,COUNTIF(ET4:ET7,ET6)&gt;1),SUMIFS($AI$4:$AI$108,$AF$4:$AF$108,$BT6,$M$4:$M$108,4)+SUMIFS($AK$4:$AK$108,$AH$4:$AH$108,$BT6,$M$4:$M$108,4)-SUMIFS($AK$4:$AK$108,$AF$4:$AF$108,$BT6,$M$4:$M$108,4)-SUMIFS($AI$4:$AI$108,$AH$4:$AH$108,$BT6,$M$4:$M$108,4),)</f>
        <v>0</v>
      </c>
      <c r="EV6" s="13">
        <f>IF(AND(EN6&gt;0,COUNTIF(ET4:ET7,ET6)&gt;1),ET6+RANK(EU6,EU4:EU7)-1,ET6)</f>
        <v>0</v>
      </c>
      <c r="EW6" s="13">
        <f t="shared" si="66"/>
        <v>0</v>
      </c>
      <c r="EX6" s="13">
        <f>IF(AND(EN6&gt;0,COUNTIF(EV4:EV7,EV6)&gt;1),EV6+RANK(EW6,EW4:EW7)-1,EV6)</f>
        <v>0</v>
      </c>
      <c r="EY6" s="13" t="str">
        <f t="shared" si="67"/>
        <v/>
      </c>
      <c r="EZ6" s="13" t="str">
        <f>IF(OR(EY6="",COUNTIF(EY4:EY7,EY6)=1),"",$BZ6)</f>
        <v/>
      </c>
      <c r="FA6" s="13" t="str">
        <f>IF(EY6="","",IF(COUNTIF(EY4:EY7,EY6)=1,EY6,EY6+RANK(EZ6,EZ4:EZ7,0)-1))</f>
        <v/>
      </c>
      <c r="FB6" s="13" t="str">
        <f>IF(OR(FA6="",COUNTIF(FA4:FA7,FA6)=1),"",$BX6)</f>
        <v/>
      </c>
      <c r="FC6" s="13" t="str">
        <f>IF(EY6="","",IF(COUNTIF(FA4:FA7,FA6)=1,FA6,FA6+RANK(FB6,FB4:FB7,0)-1))</f>
        <v/>
      </c>
      <c r="FD6" s="13" t="str">
        <f>IF(OR(FC6="",COUNTIF(FC4:FC7,FC6)=1),"",$BU6)</f>
        <v/>
      </c>
      <c r="FE6" s="13" t="str">
        <f>IF(EY6="","",IF(COUNTIF(FC4:FC7,FC6)=1,FC6,FC6+RANK(FD6,FD4:FD7,0)-1))</f>
        <v/>
      </c>
      <c r="FF6" s="13">
        <f>IF(EN6&gt;0,CG2+DA2+DU2+RANK(FE6,FE4:FE7,1),)</f>
        <v>0</v>
      </c>
      <c r="FH6" s="13">
        <f>IFERROR(VLOOKUP(FJ6,CF3:CX7,19,FALSE),IFERROR(VLOOKUP(FJ6,CZ3:DR7,19,FALSE),IFERROR(VLOOKUP(FJ6,DT3:EL7,19,FALSE),VLOOKUP(FJ6,EN3:FF7,19,FALSE))))</f>
        <v>1</v>
      </c>
      <c r="FI6" s="13">
        <f>RANK(FH6,FH4:FH7,1)+COUNTIF(FH4:FH6,FH6)-1</f>
        <v>3</v>
      </c>
      <c r="FJ6" s="12" t="str">
        <f>BT6</f>
        <v>Sydkorea</v>
      </c>
      <c r="FM6" s="76" t="s">
        <v>75</v>
      </c>
      <c r="FN6" s="9" t="str">
        <f>O24</f>
        <v>Haiti</v>
      </c>
      <c r="FO6" s="77">
        <f>RANK($FP6,$FP$4:$FP$15,1)+COUNTIF($FP6:$FP$15,$FP6)-1</f>
        <v>10</v>
      </c>
      <c r="FP6" s="77">
        <f t="shared" si="68"/>
        <v>1</v>
      </c>
      <c r="FQ6" s="77" cm="1">
        <f t="array" ref="FQ6">SUMPRODUCT(($FT$4:$FT$15=FT6)*($FU$4:$FU$15=FU6)*($FV$4:$FV$15&gt;FV6))</f>
        <v>0</v>
      </c>
      <c r="FR6" s="73" cm="1">
        <f t="array" ref="FR6">SUMPRODUCT(($FT$4:$FT$15=FT6)*($FU$4:$FU$15&gt;FU6))</f>
        <v>0</v>
      </c>
      <c r="FS6" s="77">
        <f t="shared" si="69"/>
        <v>1</v>
      </c>
      <c r="FT6" s="9">
        <f>V24</f>
        <v>0</v>
      </c>
      <c r="FU6" s="9">
        <f>U24</f>
        <v>0</v>
      </c>
      <c r="FV6" s="9">
        <f>S24</f>
        <v>0</v>
      </c>
      <c r="FW6" s="78" t="str">
        <f t="shared" si="70"/>
        <v>C</v>
      </c>
      <c r="FX6" s="77">
        <f t="shared" si="71"/>
        <v>0</v>
      </c>
      <c r="FZ6" s="79">
        <v>4</v>
      </c>
      <c r="GA6" s="3" t="str">
        <f t="shared" si="72"/>
        <v>EJIDHGLK</v>
      </c>
      <c r="GB6" s="3" t="s">
        <v>59</v>
      </c>
      <c r="GC6" s="3" t="s">
        <v>69</v>
      </c>
      <c r="GD6" s="3" t="s">
        <v>61</v>
      </c>
      <c r="GE6" s="3" t="s">
        <v>58</v>
      </c>
      <c r="GF6" s="3" t="s">
        <v>70</v>
      </c>
      <c r="GG6" s="3" t="s">
        <v>60</v>
      </c>
      <c r="GH6" s="3" t="s">
        <v>63</v>
      </c>
      <c r="GI6" s="3" t="s">
        <v>62</v>
      </c>
      <c r="GJ6" s="9" t="str">
        <f t="shared" si="73"/>
        <v>Elfenbenskusten</v>
      </c>
      <c r="GK6" s="9" t="str">
        <f t="shared" si="35"/>
        <v>Österrike</v>
      </c>
      <c r="GL6" s="9" t="str">
        <f t="shared" si="35"/>
        <v>Irak</v>
      </c>
      <c r="GM6" s="9" t="str">
        <f t="shared" si="35"/>
        <v>Australien</v>
      </c>
      <c r="GN6" s="9" t="str">
        <f t="shared" si="35"/>
        <v>Saudiarabien</v>
      </c>
      <c r="GO6" s="9" t="str">
        <f t="shared" si="35"/>
        <v>Iran</v>
      </c>
      <c r="GP6" s="9" t="str">
        <f t="shared" si="35"/>
        <v>Ghana</v>
      </c>
      <c r="GQ6" s="9" t="str">
        <f t="shared" si="35"/>
        <v>Uzbekistan</v>
      </c>
      <c r="GR6" s="9" t="str">
        <f t="shared" ref="GR6:GR69" si="75">IFERROR(IF(AND(VLOOKUP(GB6,$FX$4:$FX$15,1,FALSE)=GB6,VLOOKUP(GC6,$FX$4:$FX$15,1,FALSE)=GC6,VLOOKUP(GD6,$FX$4:$FX$15,1,FALSE)=GD6,VLOOKUP(GE6,$FX$4:$FX$15,1,FALSE)=GE6,VLOOKUP(GF6,$FX$4:$FX$15,1,FALSE)=GF6,VLOOKUP(GG6,$FX$4:$FX$15,1,FALSE)=GG6,VLOOKUP(GH6,$FX$4:$FX$15,1,FALSE)=GH6,VLOOKUP(GI6,$FX$4:$FX$15,1,FALSE)=GI6),FZ6,""),"")</f>
        <v/>
      </c>
      <c r="GX6" s="79"/>
    </row>
    <row r="7" spans="2:206" ht="14.25" customHeight="1" x14ac:dyDescent="0.25">
      <c r="B7" s="58">
        <v>28</v>
      </c>
      <c r="C7" s="59">
        <v>46192</v>
      </c>
      <c r="D7" s="60" t="s">
        <v>65</v>
      </c>
      <c r="E7" s="61" t="s">
        <v>66</v>
      </c>
      <c r="F7" s="62" t="s">
        <v>71</v>
      </c>
      <c r="G7" s="63"/>
      <c r="H7" s="64" t="s">
        <v>66</v>
      </c>
      <c r="I7" s="63"/>
      <c r="J7" s="65" t="str">
        <f t="shared" si="36"/>
        <v/>
      </c>
      <c r="K7" s="66">
        <f>IF(OR(G7="",I7="",'[1]Resultat &amp; tabell'!G7="",'[1]Resultat &amp; tabell'!I7=""),0,IF(G7='[1]Resultat &amp; tabell'!G7,2,0)+IF(I7='[1]Resultat &amp; tabell'!I7,2,0)+IF(J7='[1]Resultat &amp; tabell'!J7,2,0))</f>
        <v>0</v>
      </c>
      <c r="L7" s="67"/>
      <c r="M7" s="29">
        <f t="shared" si="37"/>
        <v>1</v>
      </c>
      <c r="N7" s="30">
        <v>4</v>
      </c>
      <c r="O7" s="86" t="str">
        <f>VLOOKUP(N7,FI4:FJ7,2,FALSE)</f>
        <v>Czechia</v>
      </c>
      <c r="P7" s="87">
        <f>VLOOKUP(O7,$BT$4:$CA$7,2,FALSE)</f>
        <v>0</v>
      </c>
      <c r="Q7" s="87">
        <f>VLOOKUP($O$7,$BT$4:$CA$7,3,FALSE)</f>
        <v>0</v>
      </c>
      <c r="R7" s="87">
        <f>VLOOKUP($O$7,$BT$4:$CA$7,4,FALSE)</f>
        <v>0</v>
      </c>
      <c r="S7" s="87">
        <f>VLOOKUP($O$7,$BT$4:$CA$7,5,FALSE)</f>
        <v>0</v>
      </c>
      <c r="T7" s="87">
        <f>VLOOKUP($O$7,$BT$4:$CA$7,6,FALSE)</f>
        <v>0</v>
      </c>
      <c r="U7" s="87">
        <f>VLOOKUP($O$7,$BT$4:$CA$7,7,FALSE)</f>
        <v>0</v>
      </c>
      <c r="V7" s="82">
        <f>VLOOKUP($O$7,$BT$4:$CA$7,8,FALSE)</f>
        <v>0</v>
      </c>
      <c r="X7" s="71" t="s">
        <v>76</v>
      </c>
      <c r="Y7" s="195"/>
      <c r="Z7" s="196"/>
      <c r="AA7" s="196"/>
      <c r="AB7" s="197"/>
      <c r="AC7" s="66">
        <f>IF(AND('[1]Resultat &amp; tabell'!Y7&gt;0,Y7='[1]Resultat &amp; tabell'!Y7),10,0)</f>
        <v>0</v>
      </c>
      <c r="AE7" s="72">
        <f t="shared" si="0"/>
        <v>46192</v>
      </c>
      <c r="AF7" s="72" t="str">
        <f t="shared" si="0"/>
        <v>Mexiko</v>
      </c>
      <c r="AG7" s="72" t="str">
        <f t="shared" si="0"/>
        <v>-</v>
      </c>
      <c r="AH7" s="72" t="str">
        <f t="shared" si="0"/>
        <v>Sydkorea</v>
      </c>
      <c r="AI7" s="63" t="str">
        <f t="shared" si="74"/>
        <v/>
      </c>
      <c r="AJ7" s="58" t="str">
        <f t="shared" si="2"/>
        <v>-</v>
      </c>
      <c r="AK7" s="63" t="str">
        <f t="shared" si="3"/>
        <v/>
      </c>
      <c r="AL7" s="65" t="str">
        <f t="shared" si="4"/>
        <v/>
      </c>
      <c r="AM7" s="73"/>
      <c r="AN7" s="13">
        <f t="shared" si="5"/>
        <v>0</v>
      </c>
      <c r="AO7" s="13">
        <f t="shared" si="6"/>
        <v>0</v>
      </c>
      <c r="AP7" s="13">
        <f t="shared" si="7"/>
        <v>0</v>
      </c>
      <c r="AQ7" s="13">
        <f t="shared" si="8"/>
        <v>0</v>
      </c>
      <c r="AR7" s="13">
        <f t="shared" si="9"/>
        <v>0</v>
      </c>
      <c r="AS7" s="13">
        <f t="shared" si="10"/>
        <v>0</v>
      </c>
      <c r="AT7" s="13">
        <f t="shared" si="11"/>
        <v>0</v>
      </c>
      <c r="AU7" s="13">
        <f t="shared" si="12"/>
        <v>0</v>
      </c>
      <c r="AV7" s="13">
        <f t="shared" si="13"/>
        <v>0</v>
      </c>
      <c r="AW7" s="13">
        <f t="shared" si="14"/>
        <v>0</v>
      </c>
      <c r="AX7" s="13">
        <f t="shared" si="15"/>
        <v>0</v>
      </c>
      <c r="AY7" s="13">
        <f t="shared" si="16"/>
        <v>0</v>
      </c>
      <c r="AZ7" s="13">
        <f t="shared" si="17"/>
        <v>0</v>
      </c>
      <c r="BA7" s="13">
        <f t="shared" si="18"/>
        <v>0</v>
      </c>
      <c r="BB7" s="13">
        <f t="shared" si="19"/>
        <v>0</v>
      </c>
      <c r="BC7" s="13">
        <f t="shared" si="20"/>
        <v>0</v>
      </c>
      <c r="BD7" s="13">
        <f t="shared" si="21"/>
        <v>0</v>
      </c>
      <c r="BE7" s="13">
        <f t="shared" si="22"/>
        <v>0</v>
      </c>
      <c r="BF7" s="13">
        <f t="shared" si="23"/>
        <v>0</v>
      </c>
      <c r="BG7" s="13">
        <f t="shared" si="24"/>
        <v>0</v>
      </c>
      <c r="BH7" s="13">
        <f t="shared" si="25"/>
        <v>0</v>
      </c>
      <c r="BI7" s="13">
        <f t="shared" si="26"/>
        <v>0</v>
      </c>
      <c r="BJ7" s="13">
        <f t="shared" si="27"/>
        <v>0</v>
      </c>
      <c r="BK7" s="13">
        <f t="shared" si="28"/>
        <v>0</v>
      </c>
      <c r="BL7" s="13">
        <f t="shared" si="29"/>
        <v>0</v>
      </c>
      <c r="BM7" s="13">
        <f t="shared" si="30"/>
        <v>0</v>
      </c>
      <c r="BN7" s="13">
        <f t="shared" si="31"/>
        <v>0</v>
      </c>
      <c r="BO7" s="13">
        <f t="shared" si="32"/>
        <v>0</v>
      </c>
      <c r="BP7" s="13">
        <f t="shared" si="33"/>
        <v>0</v>
      </c>
      <c r="BQ7" s="13">
        <f t="shared" si="34"/>
        <v>0</v>
      </c>
      <c r="BT7" s="88" t="s">
        <v>72</v>
      </c>
      <c r="BU7" s="13">
        <f t="shared" si="38"/>
        <v>0</v>
      </c>
      <c r="BV7" s="13">
        <f t="shared" si="39"/>
        <v>0</v>
      </c>
      <c r="BW7" s="13">
        <f t="shared" si="40"/>
        <v>0</v>
      </c>
      <c r="BX7" s="13">
        <f t="shared" si="41"/>
        <v>0</v>
      </c>
      <c r="BY7" s="13">
        <f t="shared" si="42"/>
        <v>0</v>
      </c>
      <c r="BZ7" s="13">
        <f t="shared" si="43"/>
        <v>0</v>
      </c>
      <c r="CA7" s="13">
        <f t="shared" si="44"/>
        <v>0</v>
      </c>
      <c r="CB7" s="89" t="s">
        <v>56</v>
      </c>
      <c r="CC7" s="74">
        <f>RANK(CA7,CA4:CA7)</f>
        <v>1</v>
      </c>
      <c r="CD7" s="13">
        <f>SUMPRODUCT((CA4:CA7=CA7)*(BZ4:BZ7&gt;BZ7))</f>
        <v>0</v>
      </c>
      <c r="CF7" s="88" t="str">
        <f>IF(CC7=1,BT7,)</f>
        <v>Czechia</v>
      </c>
      <c r="CG7" s="13">
        <f t="shared" si="45"/>
        <v>0</v>
      </c>
      <c r="CH7" s="13">
        <f t="shared" si="46"/>
        <v>0</v>
      </c>
      <c r="CI7" s="13">
        <f t="shared" si="47"/>
        <v>0</v>
      </c>
      <c r="CJ7" s="13">
        <f t="shared" si="48"/>
        <v>0</v>
      </c>
      <c r="CK7" s="13" t="str">
        <f t="shared" si="49"/>
        <v>A</v>
      </c>
      <c r="CL7" s="13">
        <f>IF(CF7&gt;0,RANK(CJ7,CJ4:CJ7),)</f>
        <v>1</v>
      </c>
      <c r="CM7" s="13">
        <f>IF(AND(CF7&gt;0,COUNTIF(CL4:CL7,CL7)&gt;1),SUMIFS($AI$4:$AI$108,$AF$4:$AF$108,$BT7,$M$4:$M$108,1)+SUMIFS($AK$4:$AK$108,$AH$4:$AH$108,$BT7,$M$4:$M$108,1)-SUMIFS($AK$4:$AK$108,$AF$4:$AF$108,$BT7,$M$4:$M$108,1)-SUMIFS($AI$4:$AI$108,$AH$4:$AH$108,$BT7,$M$4:$M$108,1),)</f>
        <v>0</v>
      </c>
      <c r="CN7" s="13">
        <f>IF(AND(CF7&gt;0,COUNTIF(CL4:CL7,CL7)&gt;1),CL7+RANK(CM7,CM4:CM7)-1,CL7)</f>
        <v>1</v>
      </c>
      <c r="CO7" s="13">
        <f>IF(AND(CF7&gt;0,COUNTIF(CN4:CN7,CN7)&gt;1),SUMIFS($AI$4:$AI$108,$AF$4:$AF$108,$BT7,$M$4:$M$108,1)+SUMIFS($AK$4:$AK$108,$AH$4:$AH$108,$BT7,$M$4:$M$108,1),)</f>
        <v>0</v>
      </c>
      <c r="CP7" s="13">
        <f>IF(AND(CF7&gt;0,COUNTIF(CN4:CN7,CN7)&gt;1),CN7+RANK(CO7,CO4:CO7)-1,CN7)</f>
        <v>1</v>
      </c>
      <c r="CQ7" s="13">
        <f t="shared" si="50"/>
        <v>1</v>
      </c>
      <c r="CR7" s="13">
        <f>IF(OR(CQ7="",COUNTIF(CQ4:CQ7,CQ7)=1),"",$BZ7)</f>
        <v>0</v>
      </c>
      <c r="CS7" s="13">
        <f>IF(CQ7="","",IF(COUNTIF(CQ4:CQ7,CQ7)=1,CQ7,CQ7+RANK(CR7,CR4:CR7,0)-1))</f>
        <v>1</v>
      </c>
      <c r="CT7" s="13">
        <f>IF(OR(CS7="",COUNTIF(CS4:CS7,CS7)=1),"",$BX7)</f>
        <v>0</v>
      </c>
      <c r="CU7" s="13">
        <f>IF(CQ7="","",IF(COUNTIF(CS4:CS7,CS7)=1,CS7,CS7+RANK(CT7,CT4:CT7,0)-1))</f>
        <v>1</v>
      </c>
      <c r="CV7" s="13">
        <f>IF(OR(CU7="",COUNTIF(CU4:CU7,CU7)=1),"",$BU7)</f>
        <v>0</v>
      </c>
      <c r="CW7" s="13">
        <f>IF(CQ7="","",IF(COUNTIF(CU4:CU7,CU7)=1,CU7,CU7+RANK(CV7,CV4:CV7,0)-1))</f>
        <v>1</v>
      </c>
      <c r="CX7" s="13">
        <f>IF(CF7&gt;0,BM2+RANK(CW7,CW4:CW7,1),)</f>
        <v>1</v>
      </c>
      <c r="CZ7" s="88">
        <f>IF(CC7=2,BT7,)</f>
        <v>0</v>
      </c>
      <c r="DA7" s="13">
        <f>(SUMIF($AF$4:$AF$108,$BT7,$AZ$4:$AZ$108)+SUMIF($AH$4:$AH$108,$BT7,$BA$4:$BA$108))</f>
        <v>0</v>
      </c>
      <c r="DB7" s="13">
        <f t="shared" si="51"/>
        <v>0</v>
      </c>
      <c r="DC7" s="13">
        <f t="shared" si="52"/>
        <v>0</v>
      </c>
      <c r="DD7" s="13">
        <f t="shared" si="53"/>
        <v>0</v>
      </c>
      <c r="DE7" s="13" t="str">
        <f t="shared" si="54"/>
        <v>A</v>
      </c>
      <c r="DF7" s="13">
        <f>IF(CZ7&gt;0,RANK(DD7,DD4:DD7)+CG2,)</f>
        <v>0</v>
      </c>
      <c r="DG7" s="13">
        <f>IF(AND(CZ7&gt;0,COUNTIF(DF4:DF7,DF7)&gt;1),SUMIFS($AI$4:$AI$108,$AF$4:$AF$108,$BT7,$M$4:$M$108,2)+SUMIFS($AK$4:$AK$108,$AH$4:$AH108,$BT7,$M$4:$M$108,2)-SUMIFS($AK$4:$AK$108,$AF$4:$AF$108,$BT7,$M$4:$M$108,2)-SUMIFS($AI$4:$AI$108,$AH$4:$AH$108,$BT7,$M$4:$M$108,2),)</f>
        <v>0</v>
      </c>
      <c r="DH7" s="13">
        <f>IF(AND(CZ7&gt;0,COUNTIF(DF4:DF7,DF7)&gt;1),DF7+RANK(DG7,DG4:DG7)-1,DF7)</f>
        <v>0</v>
      </c>
      <c r="DI7" s="13">
        <f>IF(AND(CZ7&gt;0,COUNTIF(DH4:DH7,DH7)&gt;1),SUMIFS($AI$4:$AI$108,$AF$4:$AF$108,$BT7,$M$4:$M$108,2)+SUMIFS($AK$4:$AK$108,$AH$4:$AH$108,$BT7,$M$4:$M$108,2),)</f>
        <v>0</v>
      </c>
      <c r="DJ7" s="13">
        <f>IF(AND(CZ7&gt;0,COUNTIF(DH4:DH7,DH7)&gt;1),DH7+RANK(DI7,DI4:DI7)-1,DH7)</f>
        <v>0</v>
      </c>
      <c r="DK7" s="75" t="str">
        <f t="shared" si="55"/>
        <v/>
      </c>
      <c r="DL7" s="75" t="str">
        <f>IF(OR(DK7="",COUNTIF(DK4:DK7,DK7)=1),"",$BZ7)</f>
        <v/>
      </c>
      <c r="DM7" s="75" t="str">
        <f>IF(DK7="","",IF(COUNTIF(DK4:DK7,DK7)=1,DK7,DK7+RANK(DL7,DL4:DL7,0)-1))</f>
        <v/>
      </c>
      <c r="DN7" s="75" t="str">
        <f>IF(OR(DM7="",COUNTIF(DM4:DM7,DM7)=1),"",$BX7)</f>
        <v/>
      </c>
      <c r="DO7" s="75" t="str">
        <f>IF(DK7="","",IF(COUNTIF(DM4:DM7,DM7)=1,DM7,DM7+RANK(DN7,DN4:DN7,0)-1))</f>
        <v/>
      </c>
      <c r="DP7" s="75" t="str">
        <f>IF(OR(DO7="",COUNTIF(DO4:DO7,DO7)=1),"",$BU7)</f>
        <v/>
      </c>
      <c r="DQ7" s="75" t="str">
        <f>IF(DK7="","",IF(COUNTIF(DO4:DO7,DO7)=1,DO7,DO7+RANK(DP7,DP4:DP7,0)-1))</f>
        <v/>
      </c>
      <c r="DR7" s="13">
        <f>IF(CZ7&gt;0,CG2+RANK(DQ7,DQ4:DQ7,1),)</f>
        <v>0</v>
      </c>
      <c r="DT7" s="89">
        <f>IF(CC7=3,BT7,)</f>
        <v>0</v>
      </c>
      <c r="DU7" s="13">
        <f t="shared" si="56"/>
        <v>0</v>
      </c>
      <c r="DV7" s="13">
        <f t="shared" si="57"/>
        <v>0</v>
      </c>
      <c r="DW7" s="13">
        <f t="shared" si="58"/>
        <v>0</v>
      </c>
      <c r="DX7" s="13">
        <f>IFERROR(DU7*3+DV7*1,0)</f>
        <v>0</v>
      </c>
      <c r="DY7" s="13" t="str">
        <f t="shared" si="59"/>
        <v>A</v>
      </c>
      <c r="DZ7" s="13">
        <f>IF(DT7&gt;0,RANK(DX7,DX4:DX7)+CG2+DA2,)</f>
        <v>0</v>
      </c>
      <c r="EA7" s="13">
        <f>IF(AND(DT7&gt;0,COUNTIF(DZ4:DZ7,DZ7)&gt;1),SUMIFS($AI$4:$AI$108,$AF$4:$AF$108,$BT7,$M$4:$M$108,3)+SUMIFS($AK$4:$AK$108,$AH$4:$AH$108,$BT7,$M$4:$M$108,3)-SUMIFS($AK$4:$AK$108,$AF$4:$AF$108,$BT7,$M$4:$M$108,3)-SUMIFS($AI$4:$AI$108,$AH$4:$AH$108,$BT7,$M$4:$M$108,3),)</f>
        <v>0</v>
      </c>
      <c r="EB7" s="13">
        <f>IF(AND(DT7&gt;0,COUNTIF(DZ4:DZ7,DZ7)&gt;1),DZ7+RANK(EA7,EA4:EA7)-1,DZ7)</f>
        <v>0</v>
      </c>
      <c r="EC7" s="13">
        <f>IF(AND(DT7&gt;0,COUNTIF(EB4:EB7,EB7)&gt;1),SUMIFS($AI$4:$AI$108,$AF$4:$AF$108,$BT7,$M$4:$M$108,3)+SUMIFS($AK$4:$AK$108,$AH$4:$AH$108,$BT7,$M$4:$M$108,3),)</f>
        <v>0</v>
      </c>
      <c r="ED7" s="13">
        <f>IF(AND(DT7&gt;0,COUNTIF(EB4:EB7,EB7)&gt;1),EB7+RANK(EC7,EC4:EC7)-1,EB7)</f>
        <v>0</v>
      </c>
      <c r="EE7" s="13" t="str">
        <f t="shared" si="60"/>
        <v/>
      </c>
      <c r="EF7" s="13" t="str">
        <f>IF(OR(EE7="",COUNTIF(EE4:EE7,EE7)=1),"",$BZ7)</f>
        <v/>
      </c>
      <c r="EG7" s="13" t="str">
        <f>IF(EE7="","",IF(COUNTIF(EE4:EE7,EE7)=1,EE7,EE7+RANK(EF7,EF4:EF7,0)-1))</f>
        <v/>
      </c>
      <c r="EH7" s="13" t="str">
        <f>IF(OR(EG7="",COUNTIF(EG4:EG7,EG7)=1),"",$BX7)</f>
        <v/>
      </c>
      <c r="EI7" s="13" t="str">
        <f>IF(EE7="","",IF(COUNTIF(EG4:EG7,EG7)=1,EG7,EG7+RANK(EH7,EH4:EH7,0)-1))</f>
        <v/>
      </c>
      <c r="EJ7" s="13" t="str">
        <f>IF(OR(EI7="",COUNTIF(EI4:EI7,EI7)=1),"",$BU7)</f>
        <v/>
      </c>
      <c r="EK7" s="13" t="str">
        <f>IF(EE7="","",IF(COUNTIF(EI4:EI7,EI7)=1,EI7,EI7+RANK(EJ7,EJ4:EJ7,0)-1))</f>
        <v/>
      </c>
      <c r="EL7" s="13">
        <f>IF(DT7&gt;0,CG2+DA2+RANK(EK7,EK4:EK7,1),)</f>
        <v>0</v>
      </c>
      <c r="EN7" s="13">
        <f>IF(CC7=4,BT7,)</f>
        <v>0</v>
      </c>
      <c r="EO7" s="13">
        <f t="shared" si="61"/>
        <v>0</v>
      </c>
      <c r="EP7" s="13">
        <f t="shared" si="62"/>
        <v>0</v>
      </c>
      <c r="EQ7" s="13">
        <f t="shared" si="63"/>
        <v>0</v>
      </c>
      <c r="ER7" s="13">
        <f t="shared" si="64"/>
        <v>0</v>
      </c>
      <c r="ES7" s="13" t="str">
        <f t="shared" si="65"/>
        <v>A</v>
      </c>
      <c r="ET7" s="13">
        <f>IF(EN7&gt;0,RANK(ER7,ER4:ER7)+CG2+DA2+DU2,)</f>
        <v>0</v>
      </c>
      <c r="EU7" s="13">
        <f>IF(AND(EN7&gt;0,COUNTIF(ET4:ET7,ET7)&gt;1),SUMIFS($AI$4:$AI$108,$AF$4:$AF$108,$BT7,$M$4:$M$108,4)+SUMIFS($AK$4:$AK$108,$AH$4:$AH$108,$BT7,$M$4:$M$108,4)-SUMIFS($AK$4:$AK$108,$AF$4:$AF$108,$BT7,$M$4:$M$108,4)-SUMIFS($AI$4:$AI$108,$AH$4:$AH$108,$BT7,$M$4:$M$108,4),)</f>
        <v>0</v>
      </c>
      <c r="EV7" s="13">
        <f>IF(AND(EN7&gt;0,COUNTIF(ET4:ET7,ET7)&gt;1),ET7+RANK(EU7,EU4:EU7)-1,ET7)</f>
        <v>0</v>
      </c>
      <c r="EW7" s="13">
        <f t="shared" si="66"/>
        <v>0</v>
      </c>
      <c r="EX7" s="13">
        <f>IF(AND(EN7&gt;0,COUNTIF(EV4:EV7,EV7)&gt;1),EV7+RANK(EW7,EW4:EW7)-1,EV7)</f>
        <v>0</v>
      </c>
      <c r="EY7" s="13" t="str">
        <f t="shared" si="67"/>
        <v/>
      </c>
      <c r="EZ7" s="13" t="str">
        <f>IF(OR(EY7="",COUNTIF(EY4:EY7,EY7)=1),"",$BZ7)</f>
        <v/>
      </c>
      <c r="FA7" s="13" t="str">
        <f>IF(EY7="","",IF(COUNTIF(EY4:EY7,EY7)=1,EY7,EY7+RANK(EZ7,EZ4:EZ7,0)-1))</f>
        <v/>
      </c>
      <c r="FB7" s="13" t="str">
        <f>IF(OR(FA7="",COUNTIF(FA4:FA7,FA7)=1),"",$BX7)</f>
        <v/>
      </c>
      <c r="FC7" s="13" t="str">
        <f>IF(EY7="","",IF(COUNTIF(FA4:FA7,FA7)=1,FA7,FA7+RANK(FB7,FB4:FB7,0)-1))</f>
        <v/>
      </c>
      <c r="FD7" s="13" t="str">
        <f>IF(OR(FC7="",COUNTIF(FC4:FC7,FC7)=1),"",$BU7)</f>
        <v/>
      </c>
      <c r="FE7" s="13" t="str">
        <f>IF(EY7="","",IF(COUNTIF(FC4:FC7,FC7)=1,FC7,FC7+RANK(FD7,FD4:FD7,0)-1))</f>
        <v/>
      </c>
      <c r="FF7" s="13">
        <f>IF(EN7&gt;0,CG2+DA2+DU2+RANK(FE7,FE4:FE7,1),)</f>
        <v>0</v>
      </c>
      <c r="FH7" s="13">
        <f>IFERROR(VLOOKUP(FJ7,CF3:CX7,19,FALSE),IFERROR(VLOOKUP(FJ7,CZ3:DR7,19,FALSE),IFERROR(VLOOKUP(FJ7,DT3:EL7,19,FALSE),VLOOKUP(FJ7,EN3:FF7,19,FALSE))))</f>
        <v>1</v>
      </c>
      <c r="FI7" s="13">
        <f>RANK(FH7,FH4:FH7,1)+COUNTIF(FH4:FH7,FH7)-1</f>
        <v>4</v>
      </c>
      <c r="FJ7" s="12" t="str">
        <f>BT7</f>
        <v>Czechia</v>
      </c>
      <c r="FM7" s="76" t="s">
        <v>58</v>
      </c>
      <c r="FN7" s="9" t="str">
        <f>O33</f>
        <v>Australien</v>
      </c>
      <c r="FO7" s="77">
        <f>RANK($FP7,$FP$4:$FP$15,1)+COUNTIF($FP7:$FP$15,$FP7)-1</f>
        <v>9</v>
      </c>
      <c r="FP7" s="77">
        <f t="shared" si="68"/>
        <v>1</v>
      </c>
      <c r="FQ7" s="77" cm="1">
        <f t="array" ref="FQ7">SUMPRODUCT(($FT$4:$FT$15=FT7)*($FU$4:$FU$15=FU7)*($FV$4:$FV$15&gt;FV7))</f>
        <v>0</v>
      </c>
      <c r="FR7" s="73" cm="1">
        <f t="array" ref="FR7">SUMPRODUCT(($FT$4:$FT$15=FT7)*($FU$4:$FU$15&gt;FU7))</f>
        <v>0</v>
      </c>
      <c r="FS7" s="77">
        <f t="shared" si="69"/>
        <v>1</v>
      </c>
      <c r="FT7" s="9">
        <f>V33</f>
        <v>0</v>
      </c>
      <c r="FU7" s="9">
        <f>U33</f>
        <v>0</v>
      </c>
      <c r="FV7" s="9">
        <f>S33</f>
        <v>0</v>
      </c>
      <c r="FW7" s="78" t="str">
        <f t="shared" si="70"/>
        <v>D</v>
      </c>
      <c r="FX7" s="77">
        <f t="shared" si="71"/>
        <v>0</v>
      </c>
      <c r="FZ7" s="79">
        <v>5</v>
      </c>
      <c r="GA7" s="3" t="str">
        <f t="shared" si="72"/>
        <v>EJIDHFLK</v>
      </c>
      <c r="GB7" s="3" t="s">
        <v>59</v>
      </c>
      <c r="GC7" s="3" t="s">
        <v>69</v>
      </c>
      <c r="GD7" s="3" t="s">
        <v>61</v>
      </c>
      <c r="GE7" s="3" t="s">
        <v>58</v>
      </c>
      <c r="GF7" s="3" t="s">
        <v>70</v>
      </c>
      <c r="GG7" s="3" t="s">
        <v>21</v>
      </c>
      <c r="GH7" s="3" t="s">
        <v>63</v>
      </c>
      <c r="GI7" s="3" t="s">
        <v>62</v>
      </c>
      <c r="GJ7" s="9" t="str">
        <f t="shared" si="73"/>
        <v>Elfenbenskusten</v>
      </c>
      <c r="GK7" s="9" t="str">
        <f t="shared" si="35"/>
        <v>Österrike</v>
      </c>
      <c r="GL7" s="9" t="str">
        <f t="shared" si="35"/>
        <v>Irak</v>
      </c>
      <c r="GM7" s="9" t="str">
        <f t="shared" si="35"/>
        <v>Australien</v>
      </c>
      <c r="GN7" s="9" t="str">
        <f t="shared" si="35"/>
        <v>Saudiarabien</v>
      </c>
      <c r="GO7" s="9" t="str">
        <f t="shared" si="35"/>
        <v>Sverige</v>
      </c>
      <c r="GP7" s="9" t="str">
        <f t="shared" si="35"/>
        <v>Ghana</v>
      </c>
      <c r="GQ7" s="9" t="str">
        <f t="shared" si="35"/>
        <v>Uzbekistan</v>
      </c>
      <c r="GR7" s="9" t="str">
        <f t="shared" si="75"/>
        <v/>
      </c>
      <c r="GX7" s="79"/>
    </row>
    <row r="8" spans="2:206" ht="14.25" customHeight="1" x14ac:dyDescent="0.25">
      <c r="B8" s="90">
        <v>53</v>
      </c>
      <c r="C8" s="59">
        <v>46198</v>
      </c>
      <c r="D8" s="60" t="s">
        <v>72</v>
      </c>
      <c r="E8" s="61" t="s">
        <v>66</v>
      </c>
      <c r="F8" s="62" t="s">
        <v>65</v>
      </c>
      <c r="G8" s="63"/>
      <c r="H8" s="64" t="s">
        <v>66</v>
      </c>
      <c r="I8" s="63"/>
      <c r="J8" s="65" t="str">
        <f t="shared" si="36"/>
        <v/>
      </c>
      <c r="K8" s="66">
        <f>IF(OR(G8="",I8="",'[1]Resultat &amp; tabell'!G8="",'[1]Resultat &amp; tabell'!I8=""),0,IF(G8='[1]Resultat &amp; tabell'!G8,2,0)+IF(I8='[1]Resultat &amp; tabell'!I8,2,0)+IF(J8='[1]Resultat &amp; tabell'!J8,2,0))</f>
        <v>0</v>
      </c>
      <c r="L8" s="67"/>
      <c r="M8" s="29">
        <f t="shared" si="37"/>
        <v>1</v>
      </c>
      <c r="O8" s="91" t="str">
        <f>IF(COUNTBLANK(G4:G9)+COUNTBLANK(I4:I9)=0,"Resultat OK","Fyll i resultat")</f>
        <v>Fyll i resultat</v>
      </c>
      <c r="P8" s="92"/>
      <c r="Q8" s="92"/>
      <c r="R8" s="92"/>
      <c r="S8" s="92"/>
      <c r="T8" s="92"/>
      <c r="U8" s="92"/>
      <c r="V8" s="3"/>
      <c r="X8" s="71" t="s">
        <v>77</v>
      </c>
      <c r="Y8" s="195"/>
      <c r="Z8" s="196"/>
      <c r="AA8" s="196"/>
      <c r="AB8" s="197"/>
      <c r="AC8" s="66">
        <f>IF(AND('[1]Resultat &amp; tabell'!Y8&gt;0,Y8='[1]Resultat &amp; tabell'!Y8),10,0)</f>
        <v>0</v>
      </c>
      <c r="AE8" s="72">
        <f t="shared" si="0"/>
        <v>46198</v>
      </c>
      <c r="AF8" s="72" t="str">
        <f t="shared" si="0"/>
        <v>Czechia</v>
      </c>
      <c r="AG8" s="72" t="str">
        <f t="shared" si="0"/>
        <v>-</v>
      </c>
      <c r="AH8" s="72" t="str">
        <f t="shared" si="0"/>
        <v>Mexiko</v>
      </c>
      <c r="AI8" s="63" t="str">
        <f t="shared" si="74"/>
        <v/>
      </c>
      <c r="AJ8" s="58" t="str">
        <f t="shared" si="2"/>
        <v>-</v>
      </c>
      <c r="AK8" s="63" t="str">
        <f t="shared" si="3"/>
        <v/>
      </c>
      <c r="AL8" s="65" t="str">
        <f t="shared" si="4"/>
        <v/>
      </c>
      <c r="AM8" s="73"/>
      <c r="AN8" s="13">
        <f t="shared" si="5"/>
        <v>0</v>
      </c>
      <c r="AO8" s="13">
        <f t="shared" si="6"/>
        <v>0</v>
      </c>
      <c r="AP8" s="13">
        <f t="shared" si="7"/>
        <v>0</v>
      </c>
      <c r="AQ8" s="13">
        <f t="shared" si="8"/>
        <v>0</v>
      </c>
      <c r="AR8" s="13">
        <f t="shared" si="9"/>
        <v>0</v>
      </c>
      <c r="AS8" s="13">
        <f t="shared" si="10"/>
        <v>0</v>
      </c>
      <c r="AT8" s="13">
        <f t="shared" si="11"/>
        <v>0</v>
      </c>
      <c r="AU8" s="13">
        <f t="shared" si="12"/>
        <v>0</v>
      </c>
      <c r="AV8" s="13">
        <f t="shared" si="13"/>
        <v>0</v>
      </c>
      <c r="AW8" s="13">
        <f t="shared" si="14"/>
        <v>0</v>
      </c>
      <c r="AX8" s="13">
        <f t="shared" si="15"/>
        <v>0</v>
      </c>
      <c r="AY8" s="13">
        <f t="shared" si="16"/>
        <v>0</v>
      </c>
      <c r="AZ8" s="13">
        <f t="shared" si="17"/>
        <v>0</v>
      </c>
      <c r="BA8" s="13">
        <f t="shared" si="18"/>
        <v>0</v>
      </c>
      <c r="BB8" s="13">
        <f t="shared" si="19"/>
        <v>0</v>
      </c>
      <c r="BC8" s="13">
        <f t="shared" si="20"/>
        <v>0</v>
      </c>
      <c r="BD8" s="13">
        <f t="shared" si="21"/>
        <v>0</v>
      </c>
      <c r="BE8" s="13">
        <f t="shared" si="22"/>
        <v>0</v>
      </c>
      <c r="BF8" s="13">
        <f t="shared" si="23"/>
        <v>0</v>
      </c>
      <c r="BG8" s="13">
        <f t="shared" si="24"/>
        <v>0</v>
      </c>
      <c r="BH8" s="13">
        <f t="shared" si="25"/>
        <v>0</v>
      </c>
      <c r="BI8" s="13">
        <f t="shared" si="26"/>
        <v>0</v>
      </c>
      <c r="BJ8" s="13">
        <f t="shared" si="27"/>
        <v>0</v>
      </c>
      <c r="BK8" s="13">
        <f t="shared" si="28"/>
        <v>0</v>
      </c>
      <c r="BL8" s="13">
        <f t="shared" si="29"/>
        <v>0</v>
      </c>
      <c r="BM8" s="13">
        <f t="shared" si="30"/>
        <v>0</v>
      </c>
      <c r="BN8" s="13">
        <f t="shared" si="31"/>
        <v>0</v>
      </c>
      <c r="BO8" s="13">
        <f t="shared" si="32"/>
        <v>0</v>
      </c>
      <c r="BP8" s="13">
        <f t="shared" si="33"/>
        <v>0</v>
      </c>
      <c r="BQ8" s="13">
        <f t="shared" si="34"/>
        <v>0</v>
      </c>
      <c r="FM8" s="76" t="s">
        <v>59</v>
      </c>
      <c r="FN8" s="9" t="str">
        <f>O42</f>
        <v>Elfenbenskusten</v>
      </c>
      <c r="FO8" s="77">
        <f>RANK($FP8,$FP$4:$FP$15,1)+COUNTIF($FP8:$FP$15,$FP8)-1</f>
        <v>8</v>
      </c>
      <c r="FP8" s="77">
        <f t="shared" si="68"/>
        <v>1</v>
      </c>
      <c r="FQ8" s="77" cm="1">
        <f t="array" ref="FQ8">SUMPRODUCT(($FT$4:$FT$15=FT8)*($FU$4:$FU$15=FU8)*($FV$4:$FV$15&gt;FV8))</f>
        <v>0</v>
      </c>
      <c r="FR8" s="73" cm="1">
        <f t="array" ref="FR8">SUMPRODUCT(($FT$4:$FT$15=FT8)*($FU$4:$FU$15&gt;FU8))</f>
        <v>0</v>
      </c>
      <c r="FS8" s="77">
        <f t="shared" si="69"/>
        <v>1</v>
      </c>
      <c r="FT8" s="9">
        <f>V42</f>
        <v>0</v>
      </c>
      <c r="FU8" s="9">
        <f>U42</f>
        <v>0</v>
      </c>
      <c r="FV8" s="9">
        <f>S42</f>
        <v>0</v>
      </c>
      <c r="FW8" s="78" t="str">
        <f t="shared" si="70"/>
        <v>E</v>
      </c>
      <c r="FX8" s="77" t="str">
        <f t="shared" si="71"/>
        <v>E</v>
      </c>
      <c r="FZ8" s="79">
        <v>6</v>
      </c>
      <c r="GA8" s="3" t="str">
        <f t="shared" si="72"/>
        <v>EGIDJFLK</v>
      </c>
      <c r="GB8" s="3" t="s">
        <v>59</v>
      </c>
      <c r="GC8" s="3" t="s">
        <v>60</v>
      </c>
      <c r="GD8" s="3" t="s">
        <v>61</v>
      </c>
      <c r="GE8" s="3" t="s">
        <v>58</v>
      </c>
      <c r="GF8" s="3" t="s">
        <v>69</v>
      </c>
      <c r="GG8" s="3" t="s">
        <v>21</v>
      </c>
      <c r="GH8" s="3" t="s">
        <v>63</v>
      </c>
      <c r="GI8" s="3" t="s">
        <v>62</v>
      </c>
      <c r="GJ8" s="9" t="str">
        <f t="shared" si="73"/>
        <v>Elfenbenskusten</v>
      </c>
      <c r="GK8" s="9" t="str">
        <f t="shared" si="35"/>
        <v>Iran</v>
      </c>
      <c r="GL8" s="9" t="str">
        <f t="shared" si="35"/>
        <v>Irak</v>
      </c>
      <c r="GM8" s="9" t="str">
        <f t="shared" si="35"/>
        <v>Australien</v>
      </c>
      <c r="GN8" s="9" t="str">
        <f t="shared" si="35"/>
        <v>Österrike</v>
      </c>
      <c r="GO8" s="9" t="str">
        <f t="shared" si="35"/>
        <v>Sverige</v>
      </c>
      <c r="GP8" s="9" t="str">
        <f t="shared" si="35"/>
        <v>Ghana</v>
      </c>
      <c r="GQ8" s="9" t="str">
        <f t="shared" si="35"/>
        <v>Uzbekistan</v>
      </c>
      <c r="GR8" s="9" t="str">
        <f t="shared" si="75"/>
        <v/>
      </c>
      <c r="GX8" s="79"/>
    </row>
    <row r="9" spans="2:206" ht="14.25" customHeight="1" x14ac:dyDescent="0.25">
      <c r="B9" s="58">
        <v>54</v>
      </c>
      <c r="C9" s="59">
        <v>46198</v>
      </c>
      <c r="D9" s="60" t="s">
        <v>67</v>
      </c>
      <c r="E9" s="61" t="s">
        <v>66</v>
      </c>
      <c r="F9" s="62" t="s">
        <v>71</v>
      </c>
      <c r="G9" s="63"/>
      <c r="H9" s="64" t="s">
        <v>66</v>
      </c>
      <c r="I9" s="63"/>
      <c r="J9" s="65" t="str">
        <f t="shared" si="36"/>
        <v/>
      </c>
      <c r="K9" s="66">
        <f>IF(OR(G9="",I9="",'[1]Resultat &amp; tabell'!G9="",'[1]Resultat &amp; tabell'!I9=""),0,IF(G9='[1]Resultat &amp; tabell'!G9,2,0)+IF(I9='[1]Resultat &amp; tabell'!I9,2,0)+IF(J9='[1]Resultat &amp; tabell'!J9,2,0))</f>
        <v>0</v>
      </c>
      <c r="L9" s="67"/>
      <c r="M9" s="29">
        <f t="shared" si="37"/>
        <v>1</v>
      </c>
      <c r="O9" s="18"/>
      <c r="V9" s="3"/>
      <c r="X9" s="93" t="s">
        <v>166</v>
      </c>
      <c r="Y9" s="195"/>
      <c r="Z9" s="196"/>
      <c r="AA9" s="196"/>
      <c r="AB9" s="197"/>
      <c r="AC9" s="66">
        <f>IF(AND('[1]Resultat &amp; tabell'!Y9&gt;0,Y9='[1]Resultat &amp; tabell'!Y9),10,0)</f>
        <v>0</v>
      </c>
      <c r="AE9" s="72">
        <f t="shared" si="0"/>
        <v>46198</v>
      </c>
      <c r="AF9" s="72" t="str">
        <f t="shared" si="0"/>
        <v>Sydafrika</v>
      </c>
      <c r="AG9" s="72" t="str">
        <f t="shared" si="0"/>
        <v>-</v>
      </c>
      <c r="AH9" s="72" t="str">
        <f t="shared" si="0"/>
        <v>Sydkorea</v>
      </c>
      <c r="AI9" s="63" t="str">
        <f t="shared" si="74"/>
        <v/>
      </c>
      <c r="AJ9" s="58" t="str">
        <f t="shared" si="2"/>
        <v>-</v>
      </c>
      <c r="AK9" s="63" t="str">
        <f t="shared" si="3"/>
        <v/>
      </c>
      <c r="AL9" s="65" t="str">
        <f t="shared" si="4"/>
        <v/>
      </c>
      <c r="AM9" s="73"/>
      <c r="AN9" s="13">
        <f t="shared" si="5"/>
        <v>0</v>
      </c>
      <c r="AO9" s="13">
        <f t="shared" si="6"/>
        <v>0</v>
      </c>
      <c r="AP9" s="13">
        <f t="shared" si="7"/>
        <v>0</v>
      </c>
      <c r="AQ9" s="13">
        <f t="shared" si="8"/>
        <v>0</v>
      </c>
      <c r="AR9" s="13">
        <f t="shared" si="9"/>
        <v>0</v>
      </c>
      <c r="AS9" s="13">
        <f t="shared" si="10"/>
        <v>0</v>
      </c>
      <c r="AT9" s="13">
        <f t="shared" si="11"/>
        <v>0</v>
      </c>
      <c r="AU9" s="13">
        <f t="shared" si="12"/>
        <v>0</v>
      </c>
      <c r="AV9" s="13">
        <f t="shared" si="13"/>
        <v>0</v>
      </c>
      <c r="AW9" s="13">
        <f t="shared" si="14"/>
        <v>0</v>
      </c>
      <c r="AX9" s="13">
        <f t="shared" si="15"/>
        <v>0</v>
      </c>
      <c r="AY9" s="13">
        <f t="shared" si="16"/>
        <v>0</v>
      </c>
      <c r="AZ9" s="13">
        <f t="shared" si="17"/>
        <v>0</v>
      </c>
      <c r="BA9" s="13">
        <f t="shared" si="18"/>
        <v>0</v>
      </c>
      <c r="BB9" s="13">
        <f t="shared" si="19"/>
        <v>0</v>
      </c>
      <c r="BC9" s="13">
        <f t="shared" si="20"/>
        <v>0</v>
      </c>
      <c r="BD9" s="13">
        <f t="shared" si="21"/>
        <v>0</v>
      </c>
      <c r="BE9" s="13">
        <f t="shared" si="22"/>
        <v>0</v>
      </c>
      <c r="BF9" s="13">
        <f t="shared" si="23"/>
        <v>0</v>
      </c>
      <c r="BG9" s="13">
        <f t="shared" si="24"/>
        <v>0</v>
      </c>
      <c r="BH9" s="13">
        <f t="shared" si="25"/>
        <v>0</v>
      </c>
      <c r="BI9" s="13">
        <f t="shared" si="26"/>
        <v>0</v>
      </c>
      <c r="BJ9" s="13">
        <f t="shared" si="27"/>
        <v>0</v>
      </c>
      <c r="BK9" s="13">
        <f t="shared" si="28"/>
        <v>0</v>
      </c>
      <c r="BL9" s="13">
        <f t="shared" si="29"/>
        <v>0</v>
      </c>
      <c r="BM9" s="13">
        <f t="shared" si="30"/>
        <v>0</v>
      </c>
      <c r="BN9" s="13">
        <f t="shared" si="31"/>
        <v>0</v>
      </c>
      <c r="BO9" s="13">
        <f t="shared" si="32"/>
        <v>0</v>
      </c>
      <c r="BP9" s="13">
        <f t="shared" si="33"/>
        <v>0</v>
      </c>
      <c r="BQ9" s="13">
        <f t="shared" si="34"/>
        <v>0</v>
      </c>
      <c r="FM9" s="76" t="s">
        <v>21</v>
      </c>
      <c r="FN9" s="9" t="str">
        <f>O51</f>
        <v>Sverige</v>
      </c>
      <c r="FO9" s="77">
        <f>RANK($FP9,$FP$4:$FP$15,1)+COUNTIF($FP9:$FP$15,$FP9)-1</f>
        <v>7</v>
      </c>
      <c r="FP9" s="77">
        <f t="shared" si="68"/>
        <v>1</v>
      </c>
      <c r="FQ9" s="77" cm="1">
        <f t="array" ref="FQ9">SUMPRODUCT(($FT$4:$FT$15=FT9)*($FU$4:$FU$15=FU9)*($FV$4:$FV$15&gt;FV9))</f>
        <v>0</v>
      </c>
      <c r="FR9" s="73" cm="1">
        <f t="array" ref="FR9">SUMPRODUCT(($FT$4:$FT$15=FT9)*($FU$4:$FU$15&gt;FU9))</f>
        <v>0</v>
      </c>
      <c r="FS9" s="77">
        <f t="shared" si="69"/>
        <v>1</v>
      </c>
      <c r="FT9" s="9">
        <f>V51</f>
        <v>0</v>
      </c>
      <c r="FU9" s="9">
        <f>U51</f>
        <v>0</v>
      </c>
      <c r="FV9" s="9">
        <f>S51</f>
        <v>0</v>
      </c>
      <c r="FW9" s="78" t="str">
        <f t="shared" si="70"/>
        <v>F</v>
      </c>
      <c r="FX9" s="77" t="str">
        <f t="shared" si="71"/>
        <v>F</v>
      </c>
      <c r="FZ9" s="79">
        <v>7</v>
      </c>
      <c r="GA9" s="3" t="str">
        <f t="shared" si="72"/>
        <v>EGJDHFLK</v>
      </c>
      <c r="GB9" s="3" t="s">
        <v>59</v>
      </c>
      <c r="GC9" s="3" t="s">
        <v>60</v>
      </c>
      <c r="GD9" s="3" t="s">
        <v>69</v>
      </c>
      <c r="GE9" s="3" t="s">
        <v>58</v>
      </c>
      <c r="GF9" s="3" t="s">
        <v>70</v>
      </c>
      <c r="GG9" s="3" t="s">
        <v>21</v>
      </c>
      <c r="GH9" s="3" t="s">
        <v>63</v>
      </c>
      <c r="GI9" s="3" t="s">
        <v>62</v>
      </c>
      <c r="GJ9" s="9" t="str">
        <f t="shared" si="73"/>
        <v>Elfenbenskusten</v>
      </c>
      <c r="GK9" s="9" t="str">
        <f t="shared" si="35"/>
        <v>Iran</v>
      </c>
      <c r="GL9" s="9" t="str">
        <f t="shared" si="35"/>
        <v>Österrike</v>
      </c>
      <c r="GM9" s="9" t="str">
        <f t="shared" si="35"/>
        <v>Australien</v>
      </c>
      <c r="GN9" s="9" t="str">
        <f t="shared" si="35"/>
        <v>Saudiarabien</v>
      </c>
      <c r="GO9" s="9" t="str">
        <f t="shared" si="35"/>
        <v>Sverige</v>
      </c>
      <c r="GP9" s="9" t="str">
        <f t="shared" si="35"/>
        <v>Ghana</v>
      </c>
      <c r="GQ9" s="9" t="str">
        <f t="shared" si="35"/>
        <v>Uzbekistan</v>
      </c>
      <c r="GR9" s="9" t="str">
        <f t="shared" si="75"/>
        <v/>
      </c>
      <c r="GX9" s="79"/>
    </row>
    <row r="10" spans="2:206" ht="14.25" customHeight="1" x14ac:dyDescent="0.3">
      <c r="C10" s="94"/>
      <c r="F10" s="96"/>
      <c r="J10" s="23"/>
      <c r="K10" s="16"/>
      <c r="L10" s="49"/>
      <c r="V10" s="3"/>
      <c r="X10" s="93" t="s">
        <v>167</v>
      </c>
      <c r="Y10" s="195"/>
      <c r="Z10" s="196"/>
      <c r="AA10" s="196"/>
      <c r="AB10" s="197"/>
      <c r="AC10" s="66">
        <f>IF(AND('[1]Resultat &amp; tabell'!Y10&gt;0,Y10='[1]Resultat &amp; tabell'!Y10),10,0)</f>
        <v>0</v>
      </c>
      <c r="AI10" s="3" t="str">
        <f>IF(B10="","",B10)</f>
        <v/>
      </c>
      <c r="AL10" s="23"/>
      <c r="AM10" s="16"/>
      <c r="FM10" s="76" t="s">
        <v>60</v>
      </c>
      <c r="FN10" s="9" t="str">
        <f>O60</f>
        <v>Iran</v>
      </c>
      <c r="FO10" s="77">
        <f>RANK($FP10,$FP$4:$FP$15,1)+COUNTIF($FP10:$FP$15,$FP10)-1</f>
        <v>6</v>
      </c>
      <c r="FP10" s="77">
        <f t="shared" si="68"/>
        <v>1</v>
      </c>
      <c r="FQ10" s="77" cm="1">
        <f t="array" ref="FQ10">SUMPRODUCT(($FT$4:$FT$15=FT10)*($FU$4:$FU$15=FU10)*($FV$4:$FV$15&gt;FV10))</f>
        <v>0</v>
      </c>
      <c r="FR10" s="73" cm="1">
        <f t="array" ref="FR10">SUMPRODUCT(($FT$4:$FT$15=FT10)*($FU$4:$FU$15&gt;FU10))</f>
        <v>0</v>
      </c>
      <c r="FS10" s="77">
        <f t="shared" si="69"/>
        <v>1</v>
      </c>
      <c r="FT10" s="9">
        <f>V60</f>
        <v>0</v>
      </c>
      <c r="FU10" s="9">
        <f>U60</f>
        <v>0</v>
      </c>
      <c r="FV10" s="9">
        <f>S60</f>
        <v>0</v>
      </c>
      <c r="FW10" s="78" t="str">
        <f t="shared" si="70"/>
        <v>G</v>
      </c>
      <c r="FX10" s="77" t="str">
        <f t="shared" si="71"/>
        <v>G</v>
      </c>
      <c r="FZ10" s="79">
        <v>8</v>
      </c>
      <c r="GA10" s="3" t="str">
        <f t="shared" si="72"/>
        <v>EGIDHFLK</v>
      </c>
      <c r="GB10" s="3" t="s">
        <v>59</v>
      </c>
      <c r="GC10" s="3" t="s">
        <v>60</v>
      </c>
      <c r="GD10" s="3" t="s">
        <v>61</v>
      </c>
      <c r="GE10" s="3" t="s">
        <v>58</v>
      </c>
      <c r="GF10" s="3" t="s">
        <v>70</v>
      </c>
      <c r="GG10" s="3" t="s">
        <v>21</v>
      </c>
      <c r="GH10" s="3" t="s">
        <v>63</v>
      </c>
      <c r="GI10" s="3" t="s">
        <v>62</v>
      </c>
      <c r="GJ10" s="9" t="str">
        <f t="shared" si="73"/>
        <v>Elfenbenskusten</v>
      </c>
      <c r="GK10" s="9" t="str">
        <f t="shared" si="35"/>
        <v>Iran</v>
      </c>
      <c r="GL10" s="9" t="str">
        <f t="shared" si="35"/>
        <v>Irak</v>
      </c>
      <c r="GM10" s="9" t="str">
        <f t="shared" si="35"/>
        <v>Australien</v>
      </c>
      <c r="GN10" s="9" t="str">
        <f t="shared" si="35"/>
        <v>Saudiarabien</v>
      </c>
      <c r="GO10" s="9" t="str">
        <f t="shared" si="35"/>
        <v>Sverige</v>
      </c>
      <c r="GP10" s="9" t="str">
        <f t="shared" si="35"/>
        <v>Ghana</v>
      </c>
      <c r="GQ10" s="9" t="str">
        <f t="shared" si="35"/>
        <v>Uzbekistan</v>
      </c>
      <c r="GR10" s="9" t="str">
        <f t="shared" si="75"/>
        <v/>
      </c>
      <c r="GX10" s="79"/>
    </row>
    <row r="11" spans="2:206" s="104" customFormat="1" ht="14.25" customHeight="1" x14ac:dyDescent="0.3">
      <c r="B11" s="19" t="s">
        <v>78</v>
      </c>
      <c r="C11" s="97"/>
      <c r="D11" s="98"/>
      <c r="E11" s="33"/>
      <c r="F11" s="99"/>
      <c r="G11" s="25"/>
      <c r="H11" s="25"/>
      <c r="I11" s="100"/>
      <c r="J11" s="101"/>
      <c r="K11" s="101"/>
      <c r="L11" s="102"/>
      <c r="M11" s="103"/>
      <c r="N11" s="103"/>
      <c r="O11" s="19" t="s">
        <v>78</v>
      </c>
      <c r="V11" s="33"/>
      <c r="AC11" s="43"/>
      <c r="AE11" s="32" t="s">
        <v>78</v>
      </c>
      <c r="AF11" s="9"/>
      <c r="AG11" s="9"/>
      <c r="AH11" s="9"/>
      <c r="AI11" s="33"/>
      <c r="AJ11" s="33"/>
      <c r="AK11" s="105"/>
      <c r="AL11" s="101"/>
      <c r="AM11" s="101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2"/>
      <c r="BS11" s="12"/>
      <c r="BT11" s="39" t="s">
        <v>4</v>
      </c>
      <c r="BU11" s="34"/>
      <c r="BV11" s="34"/>
      <c r="BW11" s="34"/>
      <c r="BX11" s="34"/>
      <c r="BY11" s="34"/>
      <c r="BZ11" s="34"/>
      <c r="CA11" s="34"/>
      <c r="CB11" s="39"/>
      <c r="CC11" s="34"/>
      <c r="CD11" s="34"/>
      <c r="CE11" s="12"/>
      <c r="CF11" s="40" t="s">
        <v>5</v>
      </c>
      <c r="CG11" s="35">
        <f>COUNTIF(CC13:CC16,1)</f>
        <v>4</v>
      </c>
      <c r="CH11" s="35"/>
      <c r="CI11" s="35"/>
      <c r="CJ11" s="35"/>
      <c r="CK11" s="35"/>
      <c r="CL11" s="35"/>
      <c r="CM11" s="35"/>
      <c r="CN11" s="35"/>
      <c r="CO11" s="35"/>
      <c r="CP11" s="35"/>
      <c r="CQ11" s="13"/>
      <c r="CR11" s="13"/>
      <c r="CS11" s="13"/>
      <c r="CT11" s="13"/>
      <c r="CU11" s="13"/>
      <c r="CV11" s="13"/>
      <c r="CW11" s="13"/>
      <c r="CX11" s="13"/>
      <c r="CY11" s="12"/>
      <c r="CZ11" s="41" t="s">
        <v>8</v>
      </c>
      <c r="DA11" s="36">
        <f>COUNTIF(CC13:CC16,2)</f>
        <v>0</v>
      </c>
      <c r="DB11" s="36"/>
      <c r="DC11" s="36"/>
      <c r="DD11" s="36"/>
      <c r="DE11" s="36"/>
      <c r="DF11" s="36"/>
      <c r="DG11" s="36"/>
      <c r="DH11" s="36"/>
      <c r="DI11" s="36"/>
      <c r="DJ11" s="41"/>
      <c r="DK11" s="12"/>
      <c r="DL11" s="12"/>
      <c r="DM11" s="12"/>
      <c r="DN11" s="12"/>
      <c r="DO11" s="12"/>
      <c r="DP11" s="12"/>
      <c r="DQ11" s="12"/>
      <c r="DR11" s="12"/>
      <c r="DS11" s="12"/>
      <c r="DT11" s="37" t="s">
        <v>6</v>
      </c>
      <c r="DU11" s="37">
        <f>COUNTIF(CC13:CC16,3)</f>
        <v>0</v>
      </c>
      <c r="DV11" s="37"/>
      <c r="DW11" s="37"/>
      <c r="DX11" s="37"/>
      <c r="DY11" s="37"/>
      <c r="DZ11" s="37"/>
      <c r="EA11" s="37"/>
      <c r="EB11" s="37"/>
      <c r="EC11" s="37"/>
      <c r="ED11" s="37"/>
      <c r="EE11" s="13"/>
      <c r="EF11" s="13"/>
      <c r="EG11" s="13"/>
      <c r="EH11" s="13"/>
      <c r="EI11" s="13"/>
      <c r="EJ11" s="13"/>
      <c r="EK11" s="13"/>
      <c r="EL11" s="13"/>
      <c r="EM11" s="12"/>
      <c r="EN11" s="38" t="s">
        <v>7</v>
      </c>
      <c r="EO11" s="38">
        <f>COUNTIF(CC13:CC16,4)</f>
        <v>0</v>
      </c>
      <c r="EP11" s="38"/>
      <c r="EQ11" s="38"/>
      <c r="ER11" s="38"/>
      <c r="ES11" s="38"/>
      <c r="ET11" s="38"/>
      <c r="EU11" s="38"/>
      <c r="EV11" s="38"/>
      <c r="EW11" s="38"/>
      <c r="EX11" s="38"/>
      <c r="EY11" s="13"/>
      <c r="EZ11" s="13"/>
      <c r="FA11" s="13"/>
      <c r="FB11" s="13"/>
      <c r="FC11" s="13"/>
      <c r="FD11" s="13"/>
      <c r="FE11" s="13"/>
      <c r="FF11" s="13"/>
      <c r="FG11" s="12"/>
      <c r="FH11" s="13"/>
      <c r="FI11" s="13"/>
      <c r="FJ11" s="12"/>
      <c r="FM11" s="76" t="s">
        <v>70</v>
      </c>
      <c r="FN11" s="9" t="str">
        <f>O69</f>
        <v>Saudiarabien</v>
      </c>
      <c r="FO11" s="77">
        <f>RANK($FP11,$FP$4:$FP$15,1)+COUNTIF($FP11:$FP$15,$FP11)-1</f>
        <v>5</v>
      </c>
      <c r="FP11" s="77">
        <f t="shared" si="68"/>
        <v>1</v>
      </c>
      <c r="FQ11" s="77" cm="1">
        <f t="array" ref="FQ11">SUMPRODUCT(($FT$4:$FT$15=FT11)*($FU$4:$FU$15=FU11)*($FV$4:$FV$15&gt;FV11))</f>
        <v>0</v>
      </c>
      <c r="FR11" s="73" cm="1">
        <f t="array" ref="FR11">SUMPRODUCT(($FT$4:$FT$15=FT11)*($FU$4:$FU$15&gt;FU11))</f>
        <v>0</v>
      </c>
      <c r="FS11" s="77">
        <f t="shared" si="69"/>
        <v>1</v>
      </c>
      <c r="FT11" s="9">
        <f>V69</f>
        <v>0</v>
      </c>
      <c r="FU11" s="9">
        <f>U69</f>
        <v>0</v>
      </c>
      <c r="FV11" s="9">
        <f>S69</f>
        <v>0</v>
      </c>
      <c r="FW11" s="78" t="str">
        <f t="shared" si="70"/>
        <v>H</v>
      </c>
      <c r="FX11" s="77" t="str">
        <f t="shared" si="71"/>
        <v>H</v>
      </c>
      <c r="FZ11" s="79">
        <v>9</v>
      </c>
      <c r="GA11" s="3" t="str">
        <f t="shared" si="72"/>
        <v>EGJDHFLI</v>
      </c>
      <c r="GB11" s="3" t="s">
        <v>59</v>
      </c>
      <c r="GC11" s="3" t="s">
        <v>60</v>
      </c>
      <c r="GD11" s="3" t="s">
        <v>69</v>
      </c>
      <c r="GE11" s="3" t="s">
        <v>58</v>
      </c>
      <c r="GF11" s="3" t="s">
        <v>70</v>
      </c>
      <c r="GG11" s="3" t="s">
        <v>21</v>
      </c>
      <c r="GH11" s="3" t="s">
        <v>63</v>
      </c>
      <c r="GI11" s="3" t="s">
        <v>61</v>
      </c>
      <c r="GJ11" s="9" t="str">
        <f t="shared" si="73"/>
        <v>Elfenbenskusten</v>
      </c>
      <c r="GK11" s="9" t="str">
        <f t="shared" si="35"/>
        <v>Iran</v>
      </c>
      <c r="GL11" s="9" t="str">
        <f t="shared" si="35"/>
        <v>Österrike</v>
      </c>
      <c r="GM11" s="9" t="str">
        <f t="shared" si="35"/>
        <v>Australien</v>
      </c>
      <c r="GN11" s="9" t="str">
        <f t="shared" si="35"/>
        <v>Saudiarabien</v>
      </c>
      <c r="GO11" s="9" t="str">
        <f t="shared" si="35"/>
        <v>Sverige</v>
      </c>
      <c r="GP11" s="9" t="str">
        <f t="shared" si="35"/>
        <v>Ghana</v>
      </c>
      <c r="GQ11" s="9" t="str">
        <f t="shared" si="35"/>
        <v>Irak</v>
      </c>
      <c r="GR11" s="9" t="str">
        <f t="shared" si="75"/>
        <v/>
      </c>
      <c r="GX11" s="23"/>
    </row>
    <row r="12" spans="2:206" s="104" customFormat="1" ht="14.25" customHeight="1" x14ac:dyDescent="0.25">
      <c r="B12" s="106" t="s">
        <v>12</v>
      </c>
      <c r="C12" s="107" t="s">
        <v>13</v>
      </c>
      <c r="D12" s="181" t="s">
        <v>12</v>
      </c>
      <c r="E12" s="182"/>
      <c r="F12" s="183"/>
      <c r="G12" s="184" t="s">
        <v>14</v>
      </c>
      <c r="H12" s="184"/>
      <c r="I12" s="184"/>
      <c r="J12" s="47" t="s">
        <v>15</v>
      </c>
      <c r="K12" s="48" t="s">
        <v>16</v>
      </c>
      <c r="L12" s="49"/>
      <c r="M12" s="103"/>
      <c r="N12" s="103"/>
      <c r="O12" s="51" t="s">
        <v>18</v>
      </c>
      <c r="P12" s="52" t="s">
        <v>19</v>
      </c>
      <c r="Q12" s="52" t="s">
        <v>20</v>
      </c>
      <c r="R12" s="52" t="s">
        <v>21</v>
      </c>
      <c r="S12" s="52" t="s">
        <v>22</v>
      </c>
      <c r="T12" s="52" t="s">
        <v>23</v>
      </c>
      <c r="U12" s="52" t="s">
        <v>24</v>
      </c>
      <c r="V12" s="53" t="s">
        <v>25</v>
      </c>
      <c r="Y12" s="33"/>
      <c r="Z12" s="33"/>
      <c r="AA12" s="33"/>
      <c r="AC12" s="43"/>
      <c r="AE12" s="51" t="s">
        <v>13</v>
      </c>
      <c r="AF12" s="193" t="s">
        <v>12</v>
      </c>
      <c r="AG12" s="193"/>
      <c r="AH12" s="193"/>
      <c r="AI12" s="182" t="s">
        <v>14</v>
      </c>
      <c r="AJ12" s="182"/>
      <c r="AK12" s="182"/>
      <c r="AL12" s="47" t="s">
        <v>28</v>
      </c>
      <c r="AM12" s="16"/>
      <c r="AN12" s="34" t="s">
        <v>29</v>
      </c>
      <c r="AO12" s="34" t="s">
        <v>30</v>
      </c>
      <c r="AP12" s="34" t="s">
        <v>31</v>
      </c>
      <c r="AQ12" s="34" t="s">
        <v>32</v>
      </c>
      <c r="AR12" s="34" t="s">
        <v>33</v>
      </c>
      <c r="AS12" s="34" t="s">
        <v>34</v>
      </c>
      <c r="AT12" s="35" t="s">
        <v>29</v>
      </c>
      <c r="AU12" s="35" t="s">
        <v>30</v>
      </c>
      <c r="AV12" s="35" t="s">
        <v>31</v>
      </c>
      <c r="AW12" s="35" t="s">
        <v>32</v>
      </c>
      <c r="AX12" s="35" t="s">
        <v>33</v>
      </c>
      <c r="AY12" s="35" t="s">
        <v>34</v>
      </c>
      <c r="AZ12" s="36" t="s">
        <v>29</v>
      </c>
      <c r="BA12" s="36" t="s">
        <v>30</v>
      </c>
      <c r="BB12" s="36" t="s">
        <v>31</v>
      </c>
      <c r="BC12" s="36" t="s">
        <v>32</v>
      </c>
      <c r="BD12" s="36" t="s">
        <v>33</v>
      </c>
      <c r="BE12" s="36" t="s">
        <v>34</v>
      </c>
      <c r="BF12" s="37" t="s">
        <v>29</v>
      </c>
      <c r="BG12" s="37" t="s">
        <v>30</v>
      </c>
      <c r="BH12" s="37" t="s">
        <v>31</v>
      </c>
      <c r="BI12" s="37" t="s">
        <v>32</v>
      </c>
      <c r="BJ12" s="37" t="s">
        <v>33</v>
      </c>
      <c r="BK12" s="37" t="s">
        <v>34</v>
      </c>
      <c r="BL12" s="38" t="s">
        <v>29</v>
      </c>
      <c r="BM12" s="38" t="s">
        <v>30</v>
      </c>
      <c r="BN12" s="38" t="s">
        <v>31</v>
      </c>
      <c r="BO12" s="38" t="s">
        <v>32</v>
      </c>
      <c r="BP12" s="38" t="s">
        <v>33</v>
      </c>
      <c r="BQ12" s="38" t="s">
        <v>34</v>
      </c>
      <c r="BR12" s="12"/>
      <c r="BS12" s="12"/>
      <c r="BT12" s="39" t="s">
        <v>18</v>
      </c>
      <c r="BU12" s="34" t="s">
        <v>19</v>
      </c>
      <c r="BV12" s="34" t="s">
        <v>20</v>
      </c>
      <c r="BW12" s="34" t="s">
        <v>21</v>
      </c>
      <c r="BX12" s="34" t="s">
        <v>22</v>
      </c>
      <c r="BY12" s="34" t="s">
        <v>23</v>
      </c>
      <c r="BZ12" s="34" t="s">
        <v>24</v>
      </c>
      <c r="CA12" s="34" t="s">
        <v>25</v>
      </c>
      <c r="CB12" s="39" t="s">
        <v>35</v>
      </c>
      <c r="CC12" s="34" t="s">
        <v>36</v>
      </c>
      <c r="CD12" s="34" t="s">
        <v>37</v>
      </c>
      <c r="CE12" s="12"/>
      <c r="CF12" s="40" t="s">
        <v>18</v>
      </c>
      <c r="CG12" s="35" t="s">
        <v>19</v>
      </c>
      <c r="CH12" s="35" t="s">
        <v>20</v>
      </c>
      <c r="CI12" s="35" t="s">
        <v>21</v>
      </c>
      <c r="CJ12" s="35" t="s">
        <v>25</v>
      </c>
      <c r="CK12" s="35" t="s">
        <v>35</v>
      </c>
      <c r="CL12" s="35" t="s">
        <v>36</v>
      </c>
      <c r="CM12" s="56" t="s">
        <v>24</v>
      </c>
      <c r="CN12" s="56" t="s">
        <v>38</v>
      </c>
      <c r="CO12" s="56" t="s">
        <v>22</v>
      </c>
      <c r="CP12" s="56" t="s">
        <v>39</v>
      </c>
      <c r="CQ12" s="35" t="s">
        <v>40</v>
      </c>
      <c r="CR12" s="56" t="s">
        <v>41</v>
      </c>
      <c r="CS12" s="56" t="s">
        <v>42</v>
      </c>
      <c r="CT12" s="56" t="s">
        <v>43</v>
      </c>
      <c r="CU12" s="56" t="s">
        <v>44</v>
      </c>
      <c r="CV12" s="56" t="s">
        <v>45</v>
      </c>
      <c r="CW12" s="56" t="s">
        <v>46</v>
      </c>
      <c r="CX12" s="35" t="s">
        <v>47</v>
      </c>
      <c r="CY12" s="12"/>
      <c r="CZ12" s="41" t="s">
        <v>18</v>
      </c>
      <c r="DA12" s="36" t="s">
        <v>19</v>
      </c>
      <c r="DB12" s="36" t="s">
        <v>20</v>
      </c>
      <c r="DC12" s="36" t="s">
        <v>21</v>
      </c>
      <c r="DD12" s="36" t="s">
        <v>25</v>
      </c>
      <c r="DE12" s="36" t="s">
        <v>35</v>
      </c>
      <c r="DF12" s="36" t="s">
        <v>36</v>
      </c>
      <c r="DG12" s="36" t="s">
        <v>24</v>
      </c>
      <c r="DH12" s="36" t="s">
        <v>38</v>
      </c>
      <c r="DI12" s="36" t="s">
        <v>22</v>
      </c>
      <c r="DJ12" s="41" t="s">
        <v>39</v>
      </c>
      <c r="DK12" s="41" t="s">
        <v>40</v>
      </c>
      <c r="DL12" s="41" t="s">
        <v>41</v>
      </c>
      <c r="DM12" s="41" t="s">
        <v>42</v>
      </c>
      <c r="DN12" s="41" t="s">
        <v>43</v>
      </c>
      <c r="DO12" s="41" t="s">
        <v>44</v>
      </c>
      <c r="DP12" s="41" t="s">
        <v>45</v>
      </c>
      <c r="DQ12" s="41" t="s">
        <v>46</v>
      </c>
      <c r="DR12" s="41" t="s">
        <v>47</v>
      </c>
      <c r="DS12" s="12"/>
      <c r="DT12" s="37" t="s">
        <v>18</v>
      </c>
      <c r="DU12" s="37" t="s">
        <v>19</v>
      </c>
      <c r="DV12" s="37" t="s">
        <v>20</v>
      </c>
      <c r="DW12" s="37" t="s">
        <v>21</v>
      </c>
      <c r="DX12" s="37" t="s">
        <v>25</v>
      </c>
      <c r="DY12" s="37" t="s">
        <v>35</v>
      </c>
      <c r="DZ12" s="37" t="s">
        <v>36</v>
      </c>
      <c r="EA12" s="37" t="s">
        <v>24</v>
      </c>
      <c r="EB12" s="37" t="s">
        <v>38</v>
      </c>
      <c r="EC12" s="37" t="s">
        <v>22</v>
      </c>
      <c r="ED12" s="37" t="s">
        <v>39</v>
      </c>
      <c r="EE12" s="37" t="s">
        <v>40</v>
      </c>
      <c r="EF12" s="37" t="s">
        <v>41</v>
      </c>
      <c r="EG12" s="37" t="s">
        <v>42</v>
      </c>
      <c r="EH12" s="37" t="s">
        <v>43</v>
      </c>
      <c r="EI12" s="37" t="s">
        <v>44</v>
      </c>
      <c r="EJ12" s="37" t="s">
        <v>45</v>
      </c>
      <c r="EK12" s="37" t="s">
        <v>46</v>
      </c>
      <c r="EL12" s="37" t="s">
        <v>47</v>
      </c>
      <c r="EM12" s="12"/>
      <c r="EN12" s="38" t="s">
        <v>18</v>
      </c>
      <c r="EO12" s="38" t="s">
        <v>19</v>
      </c>
      <c r="EP12" s="38" t="s">
        <v>20</v>
      </c>
      <c r="EQ12" s="38" t="s">
        <v>21</v>
      </c>
      <c r="ER12" s="38" t="s">
        <v>25</v>
      </c>
      <c r="ES12" s="38" t="s">
        <v>35</v>
      </c>
      <c r="ET12" s="38" t="s">
        <v>36</v>
      </c>
      <c r="EU12" s="38" t="s">
        <v>24</v>
      </c>
      <c r="EV12" s="38" t="s">
        <v>38</v>
      </c>
      <c r="EW12" s="38" t="s">
        <v>22</v>
      </c>
      <c r="EX12" s="38" t="s">
        <v>39</v>
      </c>
      <c r="EY12" s="38" t="s">
        <v>40</v>
      </c>
      <c r="EZ12" s="38" t="s">
        <v>41</v>
      </c>
      <c r="FA12" s="38" t="s">
        <v>42</v>
      </c>
      <c r="FB12" s="38" t="s">
        <v>43</v>
      </c>
      <c r="FC12" s="38" t="s">
        <v>44</v>
      </c>
      <c r="FD12" s="38" t="s">
        <v>45</v>
      </c>
      <c r="FE12" s="38" t="s">
        <v>46</v>
      </c>
      <c r="FF12" s="38" t="s">
        <v>47</v>
      </c>
      <c r="FG12" s="12"/>
      <c r="FH12" s="38" t="s">
        <v>48</v>
      </c>
      <c r="FI12" s="38" t="s">
        <v>49</v>
      </c>
      <c r="FJ12" s="12"/>
      <c r="FM12" s="76" t="s">
        <v>61</v>
      </c>
      <c r="FN12" s="9" t="str">
        <f>O78</f>
        <v>Irak</v>
      </c>
      <c r="FO12" s="77">
        <f>RANK($FP12,$FP$4:$FP$15,1)+COUNTIF($FP12:$FP$15,$FP12)-1</f>
        <v>4</v>
      </c>
      <c r="FP12" s="77">
        <f t="shared" si="68"/>
        <v>1</v>
      </c>
      <c r="FQ12" s="77" cm="1">
        <f t="array" ref="FQ12">SUMPRODUCT(($FT$4:$FT$15=FT12)*($FU$4:$FU$15=FU12)*($FV$4:$FV$15&gt;FV12))</f>
        <v>0</v>
      </c>
      <c r="FR12" s="73" cm="1">
        <f t="array" ref="FR12">SUMPRODUCT(($FT$4:$FT$15=FT12)*($FU$4:$FU$15&gt;FU12))</f>
        <v>0</v>
      </c>
      <c r="FS12" s="77">
        <f t="shared" si="69"/>
        <v>1</v>
      </c>
      <c r="FT12" s="9">
        <f>V78</f>
        <v>0</v>
      </c>
      <c r="FU12" s="9">
        <f>U78</f>
        <v>0</v>
      </c>
      <c r="FV12" s="9">
        <f>S78</f>
        <v>0</v>
      </c>
      <c r="FW12" s="78" t="str">
        <f t="shared" si="70"/>
        <v>I</v>
      </c>
      <c r="FX12" s="77" t="str">
        <f t="shared" si="71"/>
        <v>I</v>
      </c>
      <c r="FZ12" s="79">
        <v>10</v>
      </c>
      <c r="GA12" s="3" t="str">
        <f t="shared" si="72"/>
        <v>EGJDHFIK</v>
      </c>
      <c r="GB12" s="3" t="s">
        <v>59</v>
      </c>
      <c r="GC12" s="3" t="s">
        <v>60</v>
      </c>
      <c r="GD12" s="3" t="s">
        <v>69</v>
      </c>
      <c r="GE12" s="3" t="s">
        <v>58</v>
      </c>
      <c r="GF12" s="3" t="s">
        <v>70</v>
      </c>
      <c r="GG12" s="3" t="s">
        <v>21</v>
      </c>
      <c r="GH12" s="3" t="s">
        <v>61</v>
      </c>
      <c r="GI12" s="3" t="s">
        <v>62</v>
      </c>
      <c r="GJ12" s="9" t="str">
        <f t="shared" si="73"/>
        <v>Elfenbenskusten</v>
      </c>
      <c r="GK12" s="9" t="str">
        <f t="shared" si="35"/>
        <v>Iran</v>
      </c>
      <c r="GL12" s="9" t="str">
        <f t="shared" si="35"/>
        <v>Österrike</v>
      </c>
      <c r="GM12" s="9" t="str">
        <f t="shared" si="35"/>
        <v>Australien</v>
      </c>
      <c r="GN12" s="9" t="str">
        <f t="shared" si="35"/>
        <v>Saudiarabien</v>
      </c>
      <c r="GO12" s="9" t="str">
        <f t="shared" si="35"/>
        <v>Sverige</v>
      </c>
      <c r="GP12" s="9" t="str">
        <f t="shared" si="35"/>
        <v>Irak</v>
      </c>
      <c r="GQ12" s="9" t="str">
        <f t="shared" si="35"/>
        <v>Uzbekistan</v>
      </c>
      <c r="GR12" s="9" t="str">
        <f t="shared" si="75"/>
        <v/>
      </c>
      <c r="GX12" s="23"/>
    </row>
    <row r="13" spans="2:206" ht="14.25" customHeight="1" x14ac:dyDescent="0.25">
      <c r="B13" s="58">
        <v>3</v>
      </c>
      <c r="C13" s="59">
        <v>46185</v>
      </c>
      <c r="D13" s="60" t="s">
        <v>79</v>
      </c>
      <c r="E13" s="61" t="s">
        <v>66</v>
      </c>
      <c r="F13" s="62" t="s">
        <v>80</v>
      </c>
      <c r="G13" s="63"/>
      <c r="H13" s="64" t="s">
        <v>66</v>
      </c>
      <c r="I13" s="63"/>
      <c r="J13" s="65" t="str">
        <f>IF(OR(ISBLANK(G13),ISBLANK(I13)),"",IF(G13&gt;I13,1,IF(G13&lt;I13,2,"X")))</f>
        <v/>
      </c>
      <c r="K13" s="66">
        <f>IF(OR(G13="",I13="",'[1]Resultat &amp; tabell'!G13="",'[1]Resultat &amp; tabell'!I13=""),0,IF(G13='[1]Resultat &amp; tabell'!G13,2,0)+IF(I13='[1]Resultat &amp; tabell'!I13,2,0)+IF(J13='[1]Resultat &amp; tabell'!J13,2,0))</f>
        <v>0</v>
      </c>
      <c r="L13" s="67"/>
      <c r="M13" s="29">
        <f t="shared" ref="M13:M18" si="76">IF(VLOOKUP(D13,$BT$12:$CC$16,10,FALSE)=VLOOKUP(F13,$BT$12:$CC$16,10,FALSE),VLOOKUP(D13,$BT$12:$CC$16,10,FALSE),"-")</f>
        <v>1</v>
      </c>
      <c r="N13" s="30">
        <v>1</v>
      </c>
      <c r="O13" s="68" t="str">
        <f>VLOOKUP(N13,FI13:FJ16,2,FALSE)</f>
        <v>Kanada</v>
      </c>
      <c r="P13" s="69">
        <f>VLOOKUP($O13,$BT$13:$CA$16,2,FALSE)</f>
        <v>0</v>
      </c>
      <c r="Q13" s="69">
        <f>VLOOKUP($O13,$BT$13:$CA$16,3,FALSE)</f>
        <v>0</v>
      </c>
      <c r="R13" s="69">
        <f>VLOOKUP($O13,$BT$13:$CA$16,4,FALSE)</f>
        <v>0</v>
      </c>
      <c r="S13" s="69">
        <f>VLOOKUP($O13,$BT$13:$CA$16,5,FALSE)</f>
        <v>0</v>
      </c>
      <c r="T13" s="69">
        <f>VLOOKUP($O13,$BT$13:$CA$16,6,FALSE)</f>
        <v>0</v>
      </c>
      <c r="U13" s="69">
        <f>VLOOKUP($O13,$BT$13:$CA$16,7,FALSE)</f>
        <v>0</v>
      </c>
      <c r="V13" s="70">
        <f>VLOOKUP($O13,$BT$13:$CA$16,8,FALSE)</f>
        <v>0</v>
      </c>
      <c r="X13" s="104"/>
      <c r="Y13" s="79"/>
      <c r="Z13" s="79"/>
      <c r="AA13" s="79"/>
      <c r="AB13" s="9"/>
      <c r="AC13" s="108"/>
      <c r="AE13" s="72">
        <f t="shared" ref="AE13:AH18" si="77">C13</f>
        <v>46185</v>
      </c>
      <c r="AF13" s="72" t="str">
        <f t="shared" si="77"/>
        <v>Kanada</v>
      </c>
      <c r="AG13" s="72" t="str">
        <f t="shared" si="77"/>
        <v>-</v>
      </c>
      <c r="AH13" s="72" t="str">
        <f t="shared" si="77"/>
        <v>Bosnien-Herzigovina</v>
      </c>
      <c r="AI13" s="63" t="str">
        <f t="shared" ref="AI13:AI18" si="78">IF(G13="","",G13)</f>
        <v/>
      </c>
      <c r="AJ13" s="58" t="str">
        <f t="shared" ref="AJ13:AJ18" si="79">H13</f>
        <v>-</v>
      </c>
      <c r="AK13" s="63" t="str">
        <f t="shared" ref="AK13:AK18" si="80">IF(I13="","",I13)</f>
        <v/>
      </c>
      <c r="AL13" s="65" t="str">
        <f t="shared" ref="AL13:AL18" si="81">J13</f>
        <v/>
      </c>
      <c r="AM13" s="73"/>
      <c r="AN13" s="13">
        <f t="shared" ref="AN13:AN18" si="82">IF(AI13&gt;AK13,1,0)</f>
        <v>0</v>
      </c>
      <c r="AO13" s="13">
        <f t="shared" ref="AO13:AO18" si="83">IF(AK13&gt;AI13,1,0)</f>
        <v>0</v>
      </c>
      <c r="AP13" s="13">
        <f t="shared" ref="AP13:AP18" si="84">IF(AND(AI13=AK13,AI13&lt;&gt;""),1,0)</f>
        <v>0</v>
      </c>
      <c r="AQ13" s="13">
        <f t="shared" ref="AQ13:AQ18" si="85">IF(AND(AI13=AK13,AI13&lt;&gt;""),1,0)</f>
        <v>0</v>
      </c>
      <c r="AR13" s="13">
        <f t="shared" ref="AR13:AR18" si="86">IF(AI13&lt;AK13,1,0)</f>
        <v>0</v>
      </c>
      <c r="AS13" s="13">
        <f t="shared" ref="AS13:AS18" si="87">IF(AK13&lt;AI13,1,)</f>
        <v>0</v>
      </c>
      <c r="AT13" s="13">
        <f t="shared" ref="AT13:AT18" si="88">IF(ISERROR(VLOOKUP(AF13,CF:CF,1,FALSE)),0,1)*IF(ISERROR(VLOOKUP(AH13,CF:CF,1,FALSE)),0,1)*AN13</f>
        <v>0</v>
      </c>
      <c r="AU13" s="13">
        <f t="shared" ref="AU13:AU18" si="89">IF(ISERROR(VLOOKUP(AF13,CF:CF,1,FALSE)),0,1)*IF(ISERROR(VLOOKUP(AH13,CF:CF,1,FALSE)),0,1)*AO13</f>
        <v>0</v>
      </c>
      <c r="AV13" s="13">
        <f t="shared" ref="AV13:AV18" si="90">IF(ISERROR(VLOOKUP(AF13,CF:CF,1,FALSE)),0,1)*IF(ISERROR(VLOOKUP(AH13,CF:CF,1,FALSE)),0,1)*AP13</f>
        <v>0</v>
      </c>
      <c r="AW13" s="13">
        <f t="shared" ref="AW13:AW18" si="91">IF(ISERROR(VLOOKUP(AF13,CF:CF,1,FALSE)),0,1)*IF(ISERROR(VLOOKUP(AH13,CF:CF,1,FALSE)),0,1)*AQ13</f>
        <v>0</v>
      </c>
      <c r="AX13" s="13">
        <f t="shared" ref="AX13:AX18" si="92">IF(ISERROR(VLOOKUP(AF13,CF:CF,1,FALSE)),0,1)*IF(ISERROR(VLOOKUP(AH13,CF:CF,1,FALSE)),0,1)*AR13</f>
        <v>0</v>
      </c>
      <c r="AY13" s="13">
        <f t="shared" ref="AY13:AY18" si="93">IF(ISERROR(VLOOKUP(AF13,CF:CF,1,FALSE)),0,1)*IF(ISERROR(VLOOKUP(AH13,CF:CF,1,FALSE)),0,1)*AS13</f>
        <v>0</v>
      </c>
      <c r="AZ13" s="13">
        <f t="shared" ref="AZ13:AZ18" si="94">IF(ISERROR(VLOOKUP(AF13,CZ:CZ,1,FALSE)),0,1)*IF(ISERROR(VLOOKUP(AH13,CZ:CZ,1,FALSE)),0,1)*AN13</f>
        <v>0</v>
      </c>
      <c r="BA13" s="13">
        <f t="shared" ref="BA13:BA18" si="95">IF(ISERROR(VLOOKUP(AF13,CZ:CZ,1,FALSE)),0,1)*IF(ISERROR(VLOOKUP(AH13,CZ:CZ,1,FALSE)),0,1)*AO13</f>
        <v>0</v>
      </c>
      <c r="BB13" s="13">
        <f t="shared" ref="BB13:BB18" si="96">IF(ISERROR(VLOOKUP(AF13,CZ:CZ,1,FALSE)),0,1)*IF(ISERROR(VLOOKUP(AH13,CZ:CZ,1,FALSE)),0,1)*AP13</f>
        <v>0</v>
      </c>
      <c r="BC13" s="13">
        <f t="shared" ref="BC13:BC18" si="97">IF(ISERROR(VLOOKUP(AF13,CZ:CZ,1,FALSE)),0,1)*IF(ISERROR(VLOOKUP(AH13,CZ:CZ,1,FALSE)),0,1)*AQ13</f>
        <v>0</v>
      </c>
      <c r="BD13" s="13">
        <f t="shared" ref="BD13:BD18" si="98">IF(ISERROR(VLOOKUP(AF13,CZ:CZ,1,FALSE)),0,1)*IF(ISERROR(VLOOKUP(AH13,CZ:CZ,1,FALSE)),0,1)*AR13</f>
        <v>0</v>
      </c>
      <c r="BE13" s="13">
        <f t="shared" ref="BE13:BE18" si="99">IF(ISERROR(VLOOKUP(AF13,CZ:CZ,1,FALSE)),0,1)*IF(ISERROR(VLOOKUP(AH13,CZ:CZ,1,FALSE)),0,1)*AS13</f>
        <v>0</v>
      </c>
      <c r="BF13" s="13">
        <f t="shared" ref="BF13:BF18" si="100">IF(ISERROR(VLOOKUP(AF13,DT:DT,1,FALSE)),0,1)*IF(ISERROR(VLOOKUP(AH13,DT:DT,1,FALSE)),0,1)*AN13</f>
        <v>0</v>
      </c>
      <c r="BG13" s="13">
        <f t="shared" ref="BG13:BG18" si="101">IF(ISERROR(VLOOKUP(AF13,DT:DT,1,FALSE)),0,1)*IF(ISERROR(VLOOKUP(AH13,DT:DT,1,FALSE)),0,1)*AO13</f>
        <v>0</v>
      </c>
      <c r="BH13" s="13">
        <f t="shared" ref="BH13:BH18" si="102">IF(ISERROR(VLOOKUP(AF13,DT:DT,1,FALSE)),0,1)*IF(ISERROR(VLOOKUP(AH13,DT:DT,1,FALSE)),0,1)*AP13</f>
        <v>0</v>
      </c>
      <c r="BI13" s="13">
        <f t="shared" ref="BI13:BI18" si="103">IF(ISERROR(VLOOKUP(AF13,DT:DT,1,FALSE)),0,1)*IF(ISERROR(VLOOKUP(AH13,DT:DT,1,FALSE)),0,1)*AQ13</f>
        <v>0</v>
      </c>
      <c r="BJ13" s="13">
        <f t="shared" ref="BJ13:BJ18" si="104">IF(ISERROR(VLOOKUP(AF13,DT:DT,1,FALSE)),0,1)*IF(ISERROR(VLOOKUP(AH13,DT:DT,1,FALSE)),0,1)*AR13</f>
        <v>0</v>
      </c>
      <c r="BK13" s="13">
        <f t="shared" ref="BK13:BK18" si="105">IF(ISERROR(VLOOKUP(AF13,DT:DT,1,FALSE)),0,1)*IF(ISERROR(VLOOKUP(AH13,DT:DT,1,FALSE)),0,1)*AS13</f>
        <v>0</v>
      </c>
      <c r="BL13" s="13">
        <f t="shared" ref="BL13:BL18" si="106">IF(ISERROR(VLOOKUP(AF13,EN:EN,1,FALSE)),0,1)*IF(ISERROR(VLOOKUP(AH13,EN:EN,1,FALSE)),0,1)*AN13</f>
        <v>0</v>
      </c>
      <c r="BM13" s="13">
        <f t="shared" ref="BM13:BM18" si="107">IF(ISERROR(VLOOKUP(AF13,EN:EN,1,FALSE)),0,1)*IF(ISERROR(VLOOKUP(AH13,EN:EN,1,FALSE)),0,1)*AO13</f>
        <v>0</v>
      </c>
      <c r="BN13" s="13">
        <f t="shared" ref="BN13:BN18" si="108">IF(ISERROR(VLOOKUP(AF13,EN:EN,1,FALSE)),0,1)*IF(ISERROR(VLOOKUP(AH13,EN:EN,1,FALSE)),0,1)*AP13</f>
        <v>0</v>
      </c>
      <c r="BO13" s="13">
        <f t="shared" ref="BO13:BO18" si="109">IF(ISERROR(VLOOKUP(AF13,EN:EN,1,FALSE)),0,1)*IF(ISERROR(VLOOKUP(AH13,EN:EN,1,FALSE)),0,1)*AQ13</f>
        <v>0</v>
      </c>
      <c r="BP13" s="13">
        <f t="shared" ref="BP13:BP18" si="110">IF(ISERROR(VLOOKUP(AF13,EN:EN,1,FALSE)),0,1)*IF(ISERROR(VLOOKUP(AH13,EN:EN,1,FALSE)),0,1)*AR13</f>
        <v>0</v>
      </c>
      <c r="BQ13" s="13">
        <f t="shared" ref="BQ13:BQ18" si="111">IF(ISERROR(VLOOKUP(AF13,EN:EN,1,FALSE)),0,1)*IF(ISERROR(VLOOKUP(AH13,EN:EN,1,FALSE)),0,1)*AS13</f>
        <v>0</v>
      </c>
      <c r="BT13" s="12" t="s">
        <v>79</v>
      </c>
      <c r="BU13" s="13">
        <f t="shared" ref="BU13:BU16" si="112">(SUMIF(AF$4:AF$108,BT13,AN$4:AN$108)+SUMIF(AH$4:AH$108,BT13,AO$4:AO$108))</f>
        <v>0</v>
      </c>
      <c r="BV13" s="13">
        <f t="shared" ref="BV13:BV16" si="113">(SUMIF(AF$4:AF$108,BT13,AP$4:AP$108)+SUMIF(AH$4:AH$108,BT13,AQ$4:AQ$108))</f>
        <v>0</v>
      </c>
      <c r="BW13" s="13">
        <f t="shared" ref="BW13:BW16" si="114">(SUMIF(AF$4:AF$108,BT13,AR$4:AR$108)+SUMIF(AH$4:AH$108,BT13,AS$4:AS$108))</f>
        <v>0</v>
      </c>
      <c r="BX13" s="13">
        <f t="shared" ref="BX13:BX16" si="115">SUMIF($AF$4:$AF$108,BT13,$AI$4:$AI$108)+SUMIF($AH$4:$AH$108,BT13,$AK$4:$AK$108)</f>
        <v>0</v>
      </c>
      <c r="BY13" s="13">
        <f t="shared" ref="BY13:BY16" si="116">SUMIF($AF$4:$AF$108,BT13,$AK$4:$AK$108)+SUMIF($AH$4:$AH$108,BT13,$AI$4:$AI$108)</f>
        <v>0</v>
      </c>
      <c r="BZ13" s="13">
        <f t="shared" ref="BZ13:BZ16" si="117">BX13-BY13</f>
        <v>0</v>
      </c>
      <c r="CA13" s="13">
        <f t="shared" ref="CA13:CA16" si="118">IFERROR(BU13*3+BV13*1,0)</f>
        <v>0</v>
      </c>
      <c r="CB13" s="13" t="s">
        <v>57</v>
      </c>
      <c r="CC13" s="74">
        <f>RANK(CA13,CA13:CA16)</f>
        <v>1</v>
      </c>
      <c r="CD13" s="13">
        <f>SUMPRODUCT((CA13:CA16=CA13)*(BZ13:BZ16&gt;BZ13))</f>
        <v>0</v>
      </c>
      <c r="CF13" s="12" t="str">
        <f t="shared" ref="CF13:CF16" si="119">IF(CC13=1,BT13,)</f>
        <v>Kanada</v>
      </c>
      <c r="CG13" s="13">
        <f t="shared" ref="CG13:CG16" si="120">(SUMIF($AF$4:$AF$108,$BT13,$AT$4:$AT$108)+SUMIF($AH$4:$AH$108,$BT13,$AU$4:$AU$108))</f>
        <v>0</v>
      </c>
      <c r="CH13" s="13">
        <f t="shared" ref="CH13:CH16" si="121">(SUMIF($AF$4:$AF$108,$BT13,$AV$4:$AV$108)+SUMIF($AH$4:$AH$108,$BT13,$AW$4:$AW$108))</f>
        <v>0</v>
      </c>
      <c r="CI13" s="13">
        <f t="shared" ref="CI13:CI16" si="122">(SUMIF($AF$4:$AF$108,$BT13,$AX$4:$AX$108)+SUMIF($AH$4:$AH$108,$BT13,$AY$4:$AY$108))</f>
        <v>0</v>
      </c>
      <c r="CJ13" s="13">
        <f t="shared" ref="CJ13:CJ16" si="123">IFERROR(CG13*3+CH13*1,0)</f>
        <v>0</v>
      </c>
      <c r="CK13" s="13" t="str">
        <f>CB13</f>
        <v>B</v>
      </c>
      <c r="CL13" s="13">
        <f>IF(CF13&gt;0,RANK(CJ13,CJ13:CJ16),)</f>
        <v>1</v>
      </c>
      <c r="CM13" s="13">
        <f>IF(AND(CF13&gt;0,COUNTIF(CL13:CL16,CL13)&gt;1),SUMIFS($AI$4:$AI$108,$AF$4:$AF$108,$BT13,$M$4:$M$108,1)+SUMIFS($AK$4:$AK$108,$AH$4:$AH$108,$BT13,$M$4:$M$108,1)-SUMIFS($AK$4:$AK$108,$AF$4:$AF$108,$BT13,$M$4:$M$108,1)-SUMIFS($AI$4:$AI$108,$AH$4:$AH$108,$BT13,$M$4:$M$108,1),)</f>
        <v>0</v>
      </c>
      <c r="CN13" s="13">
        <f>IF(AND(CF13&gt;0,COUNTIF(CL13:CL16,CL13)&gt;1),CL13+RANK(CM13,CM13:CM16)-1,CL13)</f>
        <v>1</v>
      </c>
      <c r="CO13" s="13">
        <f>IF(AND(CF13&gt;0,COUNTIF(CN13:CN16,CN13)&gt;1),SUMIFS($AI$4:$AI$108,$AF$4:$AF$108,$BT13,$M$4:$M$108,1)+SUMIFS($AK$4:$AK$108,$AH$4:$AH$108,$BT13,$M$4:$M$108,1),)</f>
        <v>0</v>
      </c>
      <c r="CP13" s="13">
        <f>IF(AND(CF13&gt;0,COUNTIF(CN13:CN16,CN13)&gt;1),CN13+RANK(CO13,CO13:CO16)-1,CN13)</f>
        <v>1</v>
      </c>
      <c r="CQ13" s="13">
        <f>IF(CP13=0,"",CP13)</f>
        <v>1</v>
      </c>
      <c r="CR13" s="13">
        <f>IF(OR(CQ13="",COUNTIF(CQ13:CQ16,CQ13)=1),"",$BZ13)</f>
        <v>0</v>
      </c>
      <c r="CS13" s="13">
        <f>IF(CQ13="","",IF(COUNTIF(CQ13:CQ16,CQ13)=1,CQ13,CQ13+RANK(CR13,CR13:CR16,0)-1))</f>
        <v>1</v>
      </c>
      <c r="CT13" s="13">
        <f>IF(OR(CS13="",COUNTIF(CS13:CS16,CS13)=1),"",$BX13)</f>
        <v>0</v>
      </c>
      <c r="CU13" s="13">
        <f>IF(CQ13="","",IF(COUNTIF(CS13:CS16,CS13)=1,CS13,CS13+RANK(CT13,CT13:CT16,0)-1))</f>
        <v>1</v>
      </c>
      <c r="CV13" s="13">
        <f>IF(OR(CU13="",COUNTIF(CU13:CU16,CU13)=1),"",$BU13)</f>
        <v>0</v>
      </c>
      <c r="CW13" s="13">
        <f>IF(CQ13="","",IF(COUNTIF(CU13:CU16,CU13)=1,CU13,CU13+RANK(CV13,CV13:CV16,0)-1))</f>
        <v>1</v>
      </c>
      <c r="CX13" s="13">
        <f>IF(CF13&gt;0,BM11+RANK(CW13,CW13:CW16,1),)</f>
        <v>1</v>
      </c>
      <c r="CZ13" s="12">
        <f>IF(CC13=2,BT13,)</f>
        <v>0</v>
      </c>
      <c r="DA13" s="13">
        <f>(SUMIF($AF$4:$AF$108,$BT13,$AZ$4:$AZ$108)+SUMIF($AH$4:$AH$108,$BT13,$BA$4:$BA$108))</f>
        <v>0</v>
      </c>
      <c r="DB13" s="13">
        <f>(SUMIF($AF$4:$AF$108,$BT13,$BB$4:$BB$108)+SUMIF($AH$4:$AH$108,$BT13,$BC$4:$BC$108))</f>
        <v>0</v>
      </c>
      <c r="DC13" s="13">
        <f>(SUMIF($AF$4:$AF$108,$BT13,$BD$4:$BD$108)+SUMIF($AH$4:$AH$108,$BT13,$BE$4:$BE$108))</f>
        <v>0</v>
      </c>
      <c r="DD13" s="13">
        <f>IFERROR(DA13*3+DB13*1,0)</f>
        <v>0</v>
      </c>
      <c r="DE13" s="13" t="str">
        <f>$CB13</f>
        <v>B</v>
      </c>
      <c r="DF13" s="13">
        <f>IF(CZ13&gt;0,RANK(DD13,DD13:DD16)+CG11,)</f>
        <v>0</v>
      </c>
      <c r="DG13" s="13">
        <f>IF(AND(CZ13&gt;0,COUNTIF(DF13:DF16,DF13)&gt;1),SUMIFS($AI$4:$AI$108,$AF$4:$AF$108,$BT13,$M$4:$M$108,2)+SUMIFS($AK$4:$AK$108,$AH$4:$AH108,$BT13,$M$4:$M$108,2)-SUMIFS($AK$4:$AK$108,$AF$4:$AF$108,$BT13,$M$4:$M$108,2)-SUMIFS($AI$4:$AI$108,$AH$4:$AH$108,$BT13,$M$4:$M$108,2),)</f>
        <v>0</v>
      </c>
      <c r="DH13" s="13">
        <f>IF(AND(CZ13&gt;0,COUNTIF(DF13:DF16,DF13)&gt;1),DF13+RANK(DG13,DG13:DG16)-1,DF13)</f>
        <v>0</v>
      </c>
      <c r="DI13" s="13">
        <f>IF(AND(CZ13&gt;0,COUNTIF(DH13:DH16,DH13)&gt;1),SUMIFS($AI$4:$AI$108,$AF$4:$AF$108,$BT13,$M$4:$M$108,2)+SUMIFS($AK$4:$AK$108,$AH$4:$AH$108,$BT13,$M$4:$M$108,2),)</f>
        <v>0</v>
      </c>
      <c r="DJ13" s="13">
        <f>IF(AND(CZ13&gt;0,COUNTIF(DH13:DH16,DH13)&gt;1),DH13+RANK(DI13,DI13:DI16)-1,DH13)</f>
        <v>0</v>
      </c>
      <c r="DK13" s="75" t="str">
        <f>IF(DJ13=0,"",DJ13)</f>
        <v/>
      </c>
      <c r="DL13" s="75" t="str">
        <f>IF(OR(DK13="",COUNTIF(DK13:DK16,DK13)=1),"",$BZ13)</f>
        <v/>
      </c>
      <c r="DM13" s="75" t="str">
        <f>IF(DK13="","",IF(COUNTIF(DK13:DK16,DK13)=1,DK13,DK13+RANK(DL13,DL13:DL16,0)-1))</f>
        <v/>
      </c>
      <c r="DN13" s="75" t="str">
        <f>IF(OR(DM13="",COUNTIF(DM13:DM16,DM13)=1),"",$BX13)</f>
        <v/>
      </c>
      <c r="DO13" s="75" t="str">
        <f>IF(DK13="","",IF(COUNTIF(DM13:DM16,DM13)=1,DM13,DM13+RANK(DN13,DN13:DN16,0)-1))</f>
        <v/>
      </c>
      <c r="DP13" s="75" t="str">
        <f>IF(OR(DO13="",COUNTIF(DO13:DO16,DO13)=1),"",$BU13)</f>
        <v/>
      </c>
      <c r="DQ13" s="75" t="str">
        <f>IF(DK13="","",IF(COUNTIF(DO13:DO16,DO13)=1,DO13,DO13+RANK(DP13,DP13:DP16,0)-1))</f>
        <v/>
      </c>
      <c r="DR13" s="13">
        <f>IF(CZ13&gt;0,CG11+RANK(DQ13,DQ13:DQ16,1),)</f>
        <v>0</v>
      </c>
      <c r="DT13" s="13">
        <f>IF(CC13=3,BT13,)</f>
        <v>0</v>
      </c>
      <c r="DU13" s="13">
        <f>(SUMIF($AF$4:$AF$108,BT13,$BF$4:$BF$108)+SUMIF($AH$4:$AH$108,BT13,$BG$4:$BG$108))</f>
        <v>0</v>
      </c>
      <c r="DV13" s="13">
        <f>(SUMIF($AF$4:$AF$108,BT13,$BH$4:$BH$108)+SUMIF($AH$4:$AH$108,BT13,$BI$4:$BI$108))</f>
        <v>0</v>
      </c>
      <c r="DW13" s="13">
        <f>(SUMIF($AF$4:$AF$108,BT13,$BJ$4:$BJ$108)+SUMIF($AH$4:$AH$108,BT13,$BK$4:$BK$108))</f>
        <v>0</v>
      </c>
      <c r="DX13" s="13">
        <f>IFERROR(DU13*3+DV13*1,0)</f>
        <v>0</v>
      </c>
      <c r="DY13" s="13" t="str">
        <f>CB13</f>
        <v>B</v>
      </c>
      <c r="DZ13" s="13">
        <f>IF(DT13&gt;0,RANK(DX13,DX13:DX16)+CG11+DA11,)</f>
        <v>0</v>
      </c>
      <c r="EA13" s="13">
        <f>IF(AND(DT13&gt;0,COUNTIF(DZ13:DZ16,DZ13)&gt;1),SUMIFS($AI$4:$AI$108,$AF$4:$AF$108,$BT13,$M$4:$M$108,3)+SUMIFS($AK$4:$AK$108,$AH$4:$AH$108,$BT13,$M$4:$M$108,3)-SUMIFS($AK$4:$AK$108,$AF$4:$AF$108,$BT13,$M$4:$M$108,3)-SUMIFS($AI$4:$AI$108,$AH$4:$AH$108,$BT13,$M$4:$M$108,3),)</f>
        <v>0</v>
      </c>
      <c r="EB13" s="13">
        <f>IF(AND(DT13&gt;0,COUNTIF(DZ13:DZ16,DZ13)&gt;1),DZ13+RANK(EA13,EA13:EA16)-1,DZ13)</f>
        <v>0</v>
      </c>
      <c r="EC13" s="13">
        <f>IF(AND(DT13&gt;0,COUNTIF(EB13:EB16,EB13)&gt;1),SUMIFS($AI$4:$AI$108,$AF$4:$AF$108,$BT13,$M$4:$M$108,3)+SUMIFS($AK$4:$AK$108,$AH$4:$AH$108,$BT13,$M$4:$M$108,3),)</f>
        <v>0</v>
      </c>
      <c r="ED13" s="13">
        <f>IF(AND(DT13&gt;0,COUNTIF(EB13:EB16,EB13)&gt;1),EB13+RANK(EC13,EC13:EC16)-1,EB13)</f>
        <v>0</v>
      </c>
      <c r="EE13" s="13" t="str">
        <f>IF(ED13=0,"",ED13)</f>
        <v/>
      </c>
      <c r="EF13" s="13" t="str">
        <f>IF(OR(EE13="",COUNTIF(EE13:EE16,EE13)=1),"",$BZ13)</f>
        <v/>
      </c>
      <c r="EG13" s="13" t="str">
        <f>IF(EE13="","",IF(COUNTIF(EE13:EE16,EE13)=1,EE13,EE13+RANK(EF13,EF13:EF16,0)-1))</f>
        <v/>
      </c>
      <c r="EH13" s="13" t="str">
        <f>IF(OR(EG13="",COUNTIF(EG13:EG16,EG13)=1),"",$BX13)</f>
        <v/>
      </c>
      <c r="EI13" s="13" t="str">
        <f>IF(EE13="","",IF(COUNTIF(EG13:EG16,EG13)=1,EG13,EG13+RANK(EH13,EH13:EH16,0)-1))</f>
        <v/>
      </c>
      <c r="EJ13" s="13" t="str">
        <f>IF(OR(EI13="",COUNTIF(EI13:EI16,EI13)=1),"",$BU13)</f>
        <v/>
      </c>
      <c r="EK13" s="13" t="str">
        <f>IF(EE13="","",IF(COUNTIF(EI13:EI16,EI13)=1,EI13,EI13+RANK(EJ13,EJ13:EJ16,0)-1))</f>
        <v/>
      </c>
      <c r="EL13" s="13">
        <f>IF(DT13&gt;0,CG11+DA11+RANK(EK13,EK13:EK16,1),)</f>
        <v>0</v>
      </c>
      <c r="EN13" s="13">
        <f>IF(CC13=4,BT13,)</f>
        <v>0</v>
      </c>
      <c r="EO13" s="13">
        <f>(SUMIF($AF$4:$AF$108,$BT13,$BL$4:$BL$108)+SUMIF($AH$4:$AH$108,$BT13,$BM$4:$BM$108))</f>
        <v>0</v>
      </c>
      <c r="EP13" s="13">
        <f>(SUMIF($AF$4:$AF$108,$BT13,$BN$4:$BN$108)+SUMIF($AH$4:$AH$108,$BT13,$BO$4:$BO$108))</f>
        <v>0</v>
      </c>
      <c r="EQ13" s="13">
        <f>(SUMIF($AF$4:$AF$108,$BT13,$BP$4:$BP$108)+SUMIF($AH$4:$AH$108,$BT13,$BQ$4:$BQ$108))</f>
        <v>0</v>
      </c>
      <c r="ER13" s="13">
        <f>IFERROR(EO13*3+EP13*1,0)</f>
        <v>0</v>
      </c>
      <c r="ES13" s="13" t="str">
        <f>$CB13</f>
        <v>B</v>
      </c>
      <c r="ET13" s="13">
        <f>IF(EN13&gt;0,RANK(ER13,ER13:ER16)+CG11+DA11+DU11,)</f>
        <v>0</v>
      </c>
      <c r="EU13" s="13">
        <f>IF(AND(EN13&gt;0,COUNTIF(ET13:ET16,ET13)&gt;1),SUMIFS($AI$4:$AI$108,$AF$4:$AF$108,$BT13,$M$4:$M$108,4)+SUMIFS($AK$4:$AK$108,$AH$4:$AH$108,$BT13,$M$4:$M$108,4)-SUMIFS($AK$4:$AK$108,$AF$4:$AF$108,$BT13,$M$4:$M$108,4)-SUMIFS($AI$4:$AI$108,$AH$4:$AH$108,$BT13,$M$4:$M$108,4),)</f>
        <v>0</v>
      </c>
      <c r="EV13" s="13">
        <f>IF(AND(EN13&gt;0,COUNTIF(ET13:ET16,ET13)&gt;1),ET13+RANK(EU13,EU13:EU16)-1,ET13)</f>
        <v>0</v>
      </c>
      <c r="EW13" s="13">
        <f>IF(AND(EN13&gt;0,COUNTIF(EV13:EV16,EV13)&gt;1),SUMIFS($AI$4:$AI$108,$AF$4:$AF$108,$BT13,$M$4:$M$108,4)+SUMIFS($AK$4:$AK$108,$AH$4:$AH$108,$BT13,$M$4:$M$108,4),)</f>
        <v>0</v>
      </c>
      <c r="EX13" s="13">
        <f>IF(AND(EN13&gt;0,COUNTIF(EV13:EV16,EV13)&gt;1),EV13+RANK(EW13,EW13:EW16)-1,EV13)</f>
        <v>0</v>
      </c>
      <c r="EY13" s="13" t="str">
        <f>IF(EX13=0,"",EX13)</f>
        <v/>
      </c>
      <c r="EZ13" s="13" t="str">
        <f>IF(OR(EY13="",COUNTIF(EY13:EY16,EY13)=1),"",$BZ13)</f>
        <v/>
      </c>
      <c r="FA13" s="13" t="str">
        <f>IF(EY13="","",IF(COUNTIF(EY13:EY16,EY13)=1,EY13,EY13+RANK(EZ13,EZ13:EZ16,0)-1))</f>
        <v/>
      </c>
      <c r="FB13" s="13" t="str">
        <f>IF(OR(FA13="",COUNTIF(FA13:FA16,FA13)=1),"",$BX13)</f>
        <v/>
      </c>
      <c r="FC13" s="13" t="str">
        <f>IF(EY13="","",IF(COUNTIF(FA13:FA16,FA13)=1,FA13,FA13+RANK(FB13,FB13:FB16,0)-1))</f>
        <v/>
      </c>
      <c r="FD13" s="13" t="str">
        <f>IF(OR(FC13="",COUNTIF(FC13:FC16,FC13)=1),"",$BU13)</f>
        <v/>
      </c>
      <c r="FE13" s="13" t="str">
        <f>IF(EY13="","",IF(COUNTIF(FC13:FC16,FC13)=1,FC13,FC13+RANK(FD13,FD13:FD16,0)-1))</f>
        <v/>
      </c>
      <c r="FF13" s="13">
        <f>IF(EN13&gt;0,CG11+DA11+DU11+RANK(FE13,FE13:FE16,1),)</f>
        <v>0</v>
      </c>
      <c r="FH13" s="13">
        <f>IFERROR(VLOOKUP(FJ13,CF12:CX16,19,FALSE),IFERROR(VLOOKUP(FJ13,CZ12:DR16,19,FALSE),IFERROR(VLOOKUP(FJ13,DT12:EL16,19,FALSE),VLOOKUP(FJ13,EN12:FF16,19,FALSE))))</f>
        <v>1</v>
      </c>
      <c r="FI13" s="13">
        <f>RANK(FH13,FH13:FH16,1)+COUNTIF(FH13:FH13,FH13)-1</f>
        <v>1</v>
      </c>
      <c r="FJ13" s="12" t="str">
        <f>BT13</f>
        <v>Kanada</v>
      </c>
      <c r="FM13" s="76" t="s">
        <v>69</v>
      </c>
      <c r="FN13" s="9" t="str">
        <f>O87</f>
        <v>Österrike</v>
      </c>
      <c r="FO13" s="77">
        <f>RANK($FP13,$FP$4:$FP$15,1)+COUNTIF($FP13:$FP$15,$FP13)-1</f>
        <v>3</v>
      </c>
      <c r="FP13" s="77">
        <f t="shared" si="68"/>
        <v>1</v>
      </c>
      <c r="FQ13" s="77" cm="1">
        <f t="array" ref="FQ13">SUMPRODUCT(($FT$4:$FT$15=FT13)*($FU$4:$FU$15=FU13)*($FV$4:$FV$15&gt;FV13))</f>
        <v>0</v>
      </c>
      <c r="FR13" s="73" cm="1">
        <f t="array" ref="FR13">SUMPRODUCT(($FT$4:$FT$15=FT13)*($FU$4:$FU$15&gt;FU13))</f>
        <v>0</v>
      </c>
      <c r="FS13" s="77">
        <f t="shared" si="69"/>
        <v>1</v>
      </c>
      <c r="FT13" s="9">
        <f>V87</f>
        <v>0</v>
      </c>
      <c r="FU13" s="9">
        <f>U87</f>
        <v>0</v>
      </c>
      <c r="FV13" s="9">
        <f>S87</f>
        <v>0</v>
      </c>
      <c r="FW13" s="78" t="str">
        <f t="shared" si="70"/>
        <v>J</v>
      </c>
      <c r="FX13" s="77" t="str">
        <f t="shared" si="71"/>
        <v>J</v>
      </c>
      <c r="FZ13" s="79">
        <v>11</v>
      </c>
      <c r="GA13" s="3" t="str">
        <f t="shared" si="72"/>
        <v>HGICJFLK</v>
      </c>
      <c r="GB13" s="3" t="s">
        <v>70</v>
      </c>
      <c r="GC13" s="3" t="s">
        <v>60</v>
      </c>
      <c r="GD13" s="3" t="s">
        <v>61</v>
      </c>
      <c r="GE13" s="3" t="s">
        <v>75</v>
      </c>
      <c r="GF13" s="3" t="s">
        <v>69</v>
      </c>
      <c r="GG13" s="3" t="s">
        <v>21</v>
      </c>
      <c r="GH13" s="3" t="s">
        <v>63</v>
      </c>
      <c r="GI13" s="3" t="s">
        <v>62</v>
      </c>
      <c r="GJ13" s="9" t="str">
        <f t="shared" si="73"/>
        <v>Saudiarabien</v>
      </c>
      <c r="GK13" s="9" t="str">
        <f t="shared" si="35"/>
        <v>Iran</v>
      </c>
      <c r="GL13" s="9" t="str">
        <f t="shared" si="35"/>
        <v>Irak</v>
      </c>
      <c r="GM13" s="9" t="str">
        <f t="shared" si="35"/>
        <v>Haiti</v>
      </c>
      <c r="GN13" s="9" t="str">
        <f t="shared" si="35"/>
        <v>Österrike</v>
      </c>
      <c r="GO13" s="9" t="str">
        <f t="shared" si="35"/>
        <v>Sverige</v>
      </c>
      <c r="GP13" s="9" t="str">
        <f t="shared" si="35"/>
        <v>Ghana</v>
      </c>
      <c r="GQ13" s="9" t="str">
        <f t="shared" si="35"/>
        <v>Uzbekistan</v>
      </c>
      <c r="GR13" s="9" t="str">
        <f t="shared" si="75"/>
        <v/>
      </c>
      <c r="GX13" s="79"/>
    </row>
    <row r="14" spans="2:206" ht="14.25" customHeight="1" x14ac:dyDescent="0.25">
      <c r="B14" s="58">
        <v>8</v>
      </c>
      <c r="C14" s="59">
        <v>46186</v>
      </c>
      <c r="D14" s="60" t="s">
        <v>81</v>
      </c>
      <c r="E14" s="61" t="s">
        <v>66</v>
      </c>
      <c r="F14" s="62" t="s">
        <v>82</v>
      </c>
      <c r="G14" s="63"/>
      <c r="H14" s="64" t="s">
        <v>66</v>
      </c>
      <c r="I14" s="63"/>
      <c r="J14" s="65" t="str">
        <f t="shared" ref="J14:J18" si="124">IF(OR(ISBLANK(G14),ISBLANK(I14)),"",IF(G14&gt;I14,1,IF(G14&lt;I14,2,"X")))</f>
        <v/>
      </c>
      <c r="K14" s="66">
        <f>IF(OR(G14="",I14="",'[1]Resultat &amp; tabell'!G14="",'[1]Resultat &amp; tabell'!I14=""),0,IF(G14='[1]Resultat &amp; tabell'!G14,2,0)+IF(I14='[1]Resultat &amp; tabell'!I14,2,0)+IF(J14='[1]Resultat &amp; tabell'!J14,2,0))</f>
        <v>0</v>
      </c>
      <c r="L14" s="67"/>
      <c r="M14" s="29">
        <f t="shared" si="76"/>
        <v>1</v>
      </c>
      <c r="N14" s="30">
        <v>2</v>
      </c>
      <c r="O14" s="80" t="str">
        <f>VLOOKUP(N14,FI13:FJ16,2,FALSE)</f>
        <v>Bosnien-Herzigovina</v>
      </c>
      <c r="P14" s="81">
        <f>VLOOKUP($O14,$BT$13:$CA$16,2,FALSE)</f>
        <v>0</v>
      </c>
      <c r="Q14" s="81">
        <f>VLOOKUP($O14,$BT$13:$CA$16,3,FALSE)</f>
        <v>0</v>
      </c>
      <c r="R14" s="81">
        <f>VLOOKUP($O14,$BT$13:$CA$16,4,FALSE)</f>
        <v>0</v>
      </c>
      <c r="S14" s="81">
        <f>VLOOKUP($O14,$BT$13:$CA$16,5,FALSE)</f>
        <v>0</v>
      </c>
      <c r="T14" s="81">
        <f>VLOOKUP($O14,$BT$13:$CA$16,6,FALSE)</f>
        <v>0</v>
      </c>
      <c r="U14" s="81">
        <f>VLOOKUP($O14,$BT$13:$CA$16,7,FALSE)</f>
        <v>0</v>
      </c>
      <c r="V14" s="82">
        <f>VLOOKUP($O14,$BT$13:$CA$16,8,FALSE)</f>
        <v>0</v>
      </c>
      <c r="X14"/>
      <c r="Y14" s="79"/>
      <c r="Z14" s="79"/>
      <c r="AA14" s="79"/>
      <c r="AB14" s="9"/>
      <c r="AC14" s="108"/>
      <c r="AE14" s="72">
        <f t="shared" si="77"/>
        <v>46186</v>
      </c>
      <c r="AF14" s="72" t="str">
        <f t="shared" si="77"/>
        <v>Qatar</v>
      </c>
      <c r="AG14" s="72" t="str">
        <f t="shared" si="77"/>
        <v>-</v>
      </c>
      <c r="AH14" s="72" t="str">
        <f t="shared" si="77"/>
        <v>Schweiz</v>
      </c>
      <c r="AI14" s="63" t="str">
        <f t="shared" si="78"/>
        <v/>
      </c>
      <c r="AJ14" s="58" t="str">
        <f t="shared" si="79"/>
        <v>-</v>
      </c>
      <c r="AK14" s="63" t="str">
        <f t="shared" si="80"/>
        <v/>
      </c>
      <c r="AL14" s="65" t="str">
        <f t="shared" si="81"/>
        <v/>
      </c>
      <c r="AM14" s="73"/>
      <c r="AN14" s="13">
        <f t="shared" si="82"/>
        <v>0</v>
      </c>
      <c r="AO14" s="13">
        <f t="shared" si="83"/>
        <v>0</v>
      </c>
      <c r="AP14" s="13">
        <f t="shared" si="84"/>
        <v>0</v>
      </c>
      <c r="AQ14" s="13">
        <f t="shared" si="85"/>
        <v>0</v>
      </c>
      <c r="AR14" s="13">
        <f t="shared" si="86"/>
        <v>0</v>
      </c>
      <c r="AS14" s="13">
        <f t="shared" si="87"/>
        <v>0</v>
      </c>
      <c r="AT14" s="13">
        <f t="shared" si="88"/>
        <v>0</v>
      </c>
      <c r="AU14" s="13">
        <f t="shared" si="89"/>
        <v>0</v>
      </c>
      <c r="AV14" s="13">
        <f t="shared" si="90"/>
        <v>0</v>
      </c>
      <c r="AW14" s="13">
        <f t="shared" si="91"/>
        <v>0</v>
      </c>
      <c r="AX14" s="13">
        <f t="shared" si="92"/>
        <v>0</v>
      </c>
      <c r="AY14" s="13">
        <f t="shared" si="93"/>
        <v>0</v>
      </c>
      <c r="AZ14" s="13">
        <f t="shared" si="94"/>
        <v>0</v>
      </c>
      <c r="BA14" s="13">
        <f t="shared" si="95"/>
        <v>0</v>
      </c>
      <c r="BB14" s="13">
        <f t="shared" si="96"/>
        <v>0</v>
      </c>
      <c r="BC14" s="13">
        <f t="shared" si="97"/>
        <v>0</v>
      </c>
      <c r="BD14" s="13">
        <f t="shared" si="98"/>
        <v>0</v>
      </c>
      <c r="BE14" s="13">
        <f t="shared" si="99"/>
        <v>0</v>
      </c>
      <c r="BF14" s="13">
        <f t="shared" si="100"/>
        <v>0</v>
      </c>
      <c r="BG14" s="13">
        <f t="shared" si="101"/>
        <v>0</v>
      </c>
      <c r="BH14" s="13">
        <f t="shared" si="102"/>
        <v>0</v>
      </c>
      <c r="BI14" s="13">
        <f t="shared" si="103"/>
        <v>0</v>
      </c>
      <c r="BJ14" s="13">
        <f t="shared" si="104"/>
        <v>0</v>
      </c>
      <c r="BK14" s="13">
        <f t="shared" si="105"/>
        <v>0</v>
      </c>
      <c r="BL14" s="13">
        <f t="shared" si="106"/>
        <v>0</v>
      </c>
      <c r="BM14" s="13">
        <f t="shared" si="107"/>
        <v>0</v>
      </c>
      <c r="BN14" s="13">
        <f t="shared" si="108"/>
        <v>0</v>
      </c>
      <c r="BO14" s="13">
        <f t="shared" si="109"/>
        <v>0</v>
      </c>
      <c r="BP14" s="13">
        <f t="shared" si="110"/>
        <v>0</v>
      </c>
      <c r="BQ14" s="13">
        <f t="shared" si="111"/>
        <v>0</v>
      </c>
      <c r="BT14" s="12" t="s">
        <v>80</v>
      </c>
      <c r="BU14" s="13">
        <f t="shared" si="112"/>
        <v>0</v>
      </c>
      <c r="BV14" s="13">
        <f t="shared" si="113"/>
        <v>0</v>
      </c>
      <c r="BW14" s="13">
        <f t="shared" si="114"/>
        <v>0</v>
      </c>
      <c r="BX14" s="13">
        <f t="shared" si="115"/>
        <v>0</v>
      </c>
      <c r="BY14" s="13">
        <f t="shared" si="116"/>
        <v>0</v>
      </c>
      <c r="BZ14" s="13">
        <f t="shared" si="117"/>
        <v>0</v>
      </c>
      <c r="CA14" s="13">
        <f t="shared" si="118"/>
        <v>0</v>
      </c>
      <c r="CB14" s="13" t="s">
        <v>57</v>
      </c>
      <c r="CC14" s="74">
        <f>RANK(CA14,CA13:CA16)</f>
        <v>1</v>
      </c>
      <c r="CD14" s="13">
        <f>SUMPRODUCT((CA13:CA16=CA14)*(BZ13:BZ16&gt;BZ14))</f>
        <v>0</v>
      </c>
      <c r="CF14" s="12" t="str">
        <f t="shared" si="119"/>
        <v>Bosnien-Herzigovina</v>
      </c>
      <c r="CG14" s="13">
        <f t="shared" si="120"/>
        <v>0</v>
      </c>
      <c r="CH14" s="13">
        <f t="shared" si="121"/>
        <v>0</v>
      </c>
      <c r="CI14" s="13">
        <f t="shared" si="122"/>
        <v>0</v>
      </c>
      <c r="CJ14" s="13">
        <f t="shared" si="123"/>
        <v>0</v>
      </c>
      <c r="CK14" s="13" t="str">
        <f t="shared" ref="CK14:CK16" si="125">CB14</f>
        <v>B</v>
      </c>
      <c r="CL14" s="13">
        <f>IF(CF14&gt;0,RANK(CJ14,CJ13:CJ16),)</f>
        <v>1</v>
      </c>
      <c r="CM14" s="13">
        <f>IF(AND(CF14&gt;0,COUNTIF(CL13:CL16,CL14)&gt;1),SUMIFS($AI$4:$AI$108,$AF$4:$AF$108,$BT14,$M$4:$M$108,1)+SUMIFS($AK$4:$AK$108,$AH$4:$AH$108,$BT14,$M$4:$M$108,1)-SUMIFS($AK$4:$AK$108,$AF$4:$AF$108,$BT14,$M$4:$M$108,1)-SUMIFS($AI$4:$AI$108,$AH$4:$AH$108,$BT14,$M$4:$M$108,1),)</f>
        <v>0</v>
      </c>
      <c r="CN14" s="13">
        <f>IF(AND(CF14&gt;0,COUNTIF(CL13:CL16,CL14)&gt;1),CL14+RANK(CM14,CM13:CM16)-1,CL14)</f>
        <v>1</v>
      </c>
      <c r="CO14" s="13">
        <f>IF(AND(CF14&gt;0,COUNTIF(CN13:CN16,CN14)&gt;1),SUMIFS($AI$4:$AI$108,$AF$4:$AF$108,$BT14,$M$4:$M$108,1)+SUMIFS($AK$4:$AK$108,$AH$4:$AH$108,$BT14,$M$4:$M$108,1),)</f>
        <v>0</v>
      </c>
      <c r="CP14" s="13">
        <f>IF(AND(CF14&gt;0,COUNTIF(CN13:CN16,CN14)&gt;1),CN14+RANK(CO14,CO13:CO16)-1,CN14)</f>
        <v>1</v>
      </c>
      <c r="CQ14" s="13">
        <f t="shared" ref="CQ14:CQ16" si="126">IF(CP14=0,"",CP14)</f>
        <v>1</v>
      </c>
      <c r="CR14" s="13">
        <f>IF(OR(CQ14="",COUNTIF(CQ13:CQ16,CQ14)=1),"",$BZ14)</f>
        <v>0</v>
      </c>
      <c r="CS14" s="13">
        <f>IF(CQ14="","",IF(COUNTIF(CQ13:CQ16,CQ14)=1,CQ14,CQ14+RANK(CR14,CR13:CR16,0)-1))</f>
        <v>1</v>
      </c>
      <c r="CT14" s="13">
        <f>IF(OR(CS14="",COUNTIF(CS13:CS16,CS14)=1),"",$BX14)</f>
        <v>0</v>
      </c>
      <c r="CU14" s="13">
        <f>IF(CQ14="","",IF(COUNTIF(CS13:CS16,CS14)=1,CS14,CS14+RANK(CT14,CT13:CT16,0)-1))</f>
        <v>1</v>
      </c>
      <c r="CV14" s="13">
        <f>IF(OR(CU14="",COUNTIF(CU13:CU16,CU14)=1),"",$BU14)</f>
        <v>0</v>
      </c>
      <c r="CW14" s="13">
        <f>IF(CQ14="","",IF(COUNTIF(CU13:CU16,CU14)=1,CU14,CU14+RANK(CV14,CV13:CV16,0)-1))</f>
        <v>1</v>
      </c>
      <c r="CX14" s="13">
        <f>IF(CF14&gt;0,BM11+RANK(CW14,CW13:CW16,1),)</f>
        <v>1</v>
      </c>
      <c r="CZ14" s="12">
        <f>IF(CC14=2,BT14,)</f>
        <v>0</v>
      </c>
      <c r="DA14" s="13">
        <f>(SUMIF($AF$4:$AF$108,$BT14,$AZ$4:$AZ$108)+SUMIF($AH$4:$AH$108,$BT14,$BA$4:$BA$108))</f>
        <v>0</v>
      </c>
      <c r="DB14" s="13">
        <f t="shared" ref="DB14:DB16" si="127">(SUMIF($AF$4:$AF$108,$BT14,$BB$4:$BB$108)+SUMIF($AH$4:$AH$108,$BT14,$BC$4:$BC$108))</f>
        <v>0</v>
      </c>
      <c r="DC14" s="13">
        <f t="shared" ref="DC14:DC16" si="128">(SUMIF($AF$4:$AF$108,$BT14,$BD$4:$BD$108)+SUMIF($AH$4:$AH$108,$BT14,$BE$4:$BE$108))</f>
        <v>0</v>
      </c>
      <c r="DD14" s="13">
        <f t="shared" ref="DD14:DD16" si="129">IFERROR(DA14*3+DB14*1,0)</f>
        <v>0</v>
      </c>
      <c r="DE14" s="13" t="str">
        <f t="shared" ref="DE14:DE16" si="130">$CB14</f>
        <v>B</v>
      </c>
      <c r="DF14" s="13">
        <f>IF(CZ14&gt;0,RANK(DD14,DD13:DD16)+CG11,)</f>
        <v>0</v>
      </c>
      <c r="DG14" s="13">
        <f>IF(AND(CZ14&gt;0,COUNTIF(DF13:DF16,DF14)&gt;1),SUMIFS($AI$4:$AI$108,$AF$4:$AF$108,$BT14,$M$4:$M$108,2)+SUMIFS($AK$4:$AK$108,$AH$4:$AH108,$BT14,$M$4:$M$108,2)-SUMIFS($AK$4:$AK$108,$AF$4:$AF$108,$BT14,$M$4:$M$108,2)-SUMIFS($AI$4:$AI$108,$AH$4:$AH$108,$BT14,$M$4:$M$108,2),)</f>
        <v>0</v>
      </c>
      <c r="DH14" s="13">
        <f>IF(AND(CZ14&gt;0,COUNTIF(DF13:DF16,DF14)&gt;1),DF14+RANK(DG14,DG13:DG16)-1,DF14)</f>
        <v>0</v>
      </c>
      <c r="DI14" s="13">
        <f>IF(AND(CZ14&gt;0,COUNTIF(DH13:DH16,DH14)&gt;1),SUMIFS($AI$4:$AI$108,$AF$4:$AF$108,$BT14,$M$4:$M$108,2)+SUMIFS($AK$4:$AK$108,$AH$4:$AH$108,$BT14,$M$4:$M$108,2),)</f>
        <v>0</v>
      </c>
      <c r="DJ14" s="13">
        <f>IF(AND(CZ14&gt;0,COUNTIF(DH13:DH16,DH14)&gt;1),DH14+RANK(DI14,DI13:DI16)-1,DH14)</f>
        <v>0</v>
      </c>
      <c r="DK14" s="75" t="str">
        <f t="shared" ref="DK14:DK16" si="131">IF(DJ14=0,"",DJ14)</f>
        <v/>
      </c>
      <c r="DL14" s="75" t="str">
        <f>IF(OR(DK14="",COUNTIF(DK13:DK16,DK14)=1),"",$BZ14)</f>
        <v/>
      </c>
      <c r="DM14" s="75" t="str">
        <f>IF(DK14="","",IF(COUNTIF(DK13:DK16,DK14)=1,DK14,DK14+RANK(DL14,DL13:DL16,0)-1))</f>
        <v/>
      </c>
      <c r="DN14" s="75" t="str">
        <f>IF(OR(DM14="",COUNTIF(DM13:DM16,DM14)=1),"",$BX14)</f>
        <v/>
      </c>
      <c r="DO14" s="75" t="str">
        <f>IF(DK14="","",IF(COUNTIF(DM13:DM16,DM14)=1,DM14,DM14+RANK(DN14,DN13:DN16,0)-1))</f>
        <v/>
      </c>
      <c r="DP14" s="75" t="str">
        <f>IF(OR(DO14="",COUNTIF(DO13:DO16,DO14)=1),"",$BU14)</f>
        <v/>
      </c>
      <c r="DQ14" s="75" t="str">
        <f>IF(DK14="","",IF(COUNTIF(DO13:DO16,DO14)=1,DO14,DO14+RANK(DP14,DP13:DP16,0)-1))</f>
        <v/>
      </c>
      <c r="DR14" s="13">
        <f>IF(CZ14&gt;0,CG11+RANK(DQ14,DQ13:DQ16,1),)</f>
        <v>0</v>
      </c>
      <c r="DT14" s="13">
        <f>IF(CC14=3,BT14,)</f>
        <v>0</v>
      </c>
      <c r="DU14" s="13">
        <f t="shared" ref="DU14:DU16" si="132">(SUMIF($AF$4:$AF$108,BT14,$BF$4:$BF$108)+SUMIF($AH$4:$AH$108,BT14,$BG$4:$BG$108))</f>
        <v>0</v>
      </c>
      <c r="DV14" s="13">
        <f t="shared" ref="DV14:DV16" si="133">(SUMIF($AF$4:$AF$108,BT14,$BH$4:$BH$108)+SUMIF($AH$4:$AH$108,BT14,$BI$4:$BI$108))</f>
        <v>0</v>
      </c>
      <c r="DW14" s="13">
        <f t="shared" ref="DW14:DW16" si="134">(SUMIF($AF$4:$AF$108,BT14,$BJ$4:$BJ$108)+SUMIF($AH$4:$AH$108,BT14,$BK$4:$BK$108))</f>
        <v>0</v>
      </c>
      <c r="DX14" s="13">
        <f>IFERROR(DU14*3+DV14*1,0)</f>
        <v>0</v>
      </c>
      <c r="DY14" s="13" t="str">
        <f t="shared" ref="DY14:DY16" si="135">CB14</f>
        <v>B</v>
      </c>
      <c r="DZ14" s="13">
        <f>IF(DT14&gt;0,RANK(DX14,DX13:DX16)+CG11+DA11,)</f>
        <v>0</v>
      </c>
      <c r="EA14" s="13">
        <f>IF(AND(DT14&gt;0,COUNTIF(DZ13:DZ16,DZ14)&gt;1),SUMIFS($AI$4:$AI$108,$AF$4:$AF$108,$BT14,$M$4:$M$108,3)+SUMIFS($AK$4:$AK$108,$AH$4:$AH$108,$BT14,$M$4:$M$108,3)-SUMIFS($AK$4:$AK$108,$AF$4:$AF$108,$BT14,$M$4:$M$108,3)-SUMIFS($AI$4:$AI$108,$AH$4:$AH$108,$BT14,$M$4:$M$108,3),)</f>
        <v>0</v>
      </c>
      <c r="EB14" s="13">
        <f>IF(AND(DT14&gt;0,COUNTIF(DZ13:DZ16,DZ14)&gt;1),DZ14+RANK(EA14,EA13:EA16)-1,DZ14)</f>
        <v>0</v>
      </c>
      <c r="EC14" s="13">
        <f>IF(AND(DT14&gt;0,COUNTIF(EB13:EB16,EB14)&gt;1),SUMIFS($AI$4:$AI$108,$AF$4:$AF$108,$BT14,$M$4:$M$108,3)+SUMIFS($AK$4:$AK$108,$AH$4:$AH$108,$BT14,$M$4:$M$108,3),)</f>
        <v>0</v>
      </c>
      <c r="ED14" s="13">
        <f>IF(AND(DT14&gt;0,COUNTIF(EB13:EB16,EB14)&gt;1),EB14+RANK(EC14,EC13:EC16)-1,EB14)</f>
        <v>0</v>
      </c>
      <c r="EE14" s="13" t="str">
        <f t="shared" ref="EE14:EE16" si="136">IF(ED14=0,"",ED14)</f>
        <v/>
      </c>
      <c r="EF14" s="13" t="str">
        <f>IF(OR(EE14="",COUNTIF(EE13:EE16,EE14)=1),"",$BZ14)</f>
        <v/>
      </c>
      <c r="EG14" s="13" t="str">
        <f>IF(EE14="","",IF(COUNTIF(EE13:EE16,EE14)=1,EE14,EE14+RANK(EF14,EF13:EF16,0)-1))</f>
        <v/>
      </c>
      <c r="EH14" s="13" t="str">
        <f>IF(OR(EG14="",COUNTIF(EG13:EG16,EG14)=1),"",$BX14)</f>
        <v/>
      </c>
      <c r="EI14" s="13" t="str">
        <f>IF(EE14="","",IF(COUNTIF(EG13:EG16,EG14)=1,EG14,EG14+RANK(EH14,EH13:EH16,0)-1))</f>
        <v/>
      </c>
      <c r="EJ14" s="13" t="str">
        <f>IF(OR(EI14="",COUNTIF(EI13:EI16,EI14)=1),"",$BU14)</f>
        <v/>
      </c>
      <c r="EK14" s="13" t="str">
        <f>IF(EE14="","",IF(COUNTIF(EI13:EI16,EI14)=1,EI14,EI14+RANK(EJ14,EJ13:EJ16,0)-1))</f>
        <v/>
      </c>
      <c r="EL14" s="13">
        <f>IF(DT14&gt;0,CG11+DA11+RANK(EK14,EK13:EK16,1),)</f>
        <v>0</v>
      </c>
      <c r="EN14" s="13">
        <f>IF(CC14=4,BT14,)</f>
        <v>0</v>
      </c>
      <c r="EO14" s="13">
        <f t="shared" ref="EO14:EO16" si="137">(SUMIF($AF$4:$AF$108,$BT14,$BL$4:$BL$108)+SUMIF($AH$4:$AH$108,$BT14,$BM$4:$BM$108))</f>
        <v>0</v>
      </c>
      <c r="EP14" s="13">
        <f t="shared" ref="EP14:EP16" si="138">(SUMIF($AF$4:$AF$108,$BT14,$BN$4:$BN$108)+SUMIF($AH$4:$AH$108,$BT14,$BO$4:$BO$108))</f>
        <v>0</v>
      </c>
      <c r="EQ14" s="13">
        <f t="shared" ref="EQ14:EQ16" si="139">(SUMIF($AF$4:$AF$108,$BT14,$BP$4:$BP$108)+SUMIF($AH$4:$AH$108,$BT14,$BQ$4:$BQ$108))</f>
        <v>0</v>
      </c>
      <c r="ER14" s="13">
        <f t="shared" ref="ER14:ER16" si="140">IFERROR(EO14*3+EP14*1,0)</f>
        <v>0</v>
      </c>
      <c r="ES14" s="13" t="str">
        <f t="shared" ref="ES14:ES16" si="141">$CB14</f>
        <v>B</v>
      </c>
      <c r="ET14" s="13">
        <f>IF(EN14&gt;0,RANK(ER14,ER13:ER16)+CG11+DA11+DU11,)</f>
        <v>0</v>
      </c>
      <c r="EU14" s="13">
        <f>IF(AND(EN14&gt;0,COUNTIF(ET13:ET16,ET14)&gt;1),SUMIFS($AI$4:$AI$108,$AF$4:$AF$108,$BT14,$M$4:$M$108,4)+SUMIFS($AK$4:$AK$108,$AH$4:$AH$108,$BT14,$M$4:$M$108,4)-SUMIFS($AK$4:$AK$108,$AF$4:$AF$108,$BT14,$M$4:$M$108,4)-SUMIFS($AI$4:$AI$108,$AH$4:$AH$108,$BT14,$M$4:$M$108,4),)</f>
        <v>0</v>
      </c>
      <c r="EV14" s="13">
        <f>IF(AND(EN14&gt;0,COUNTIF(ET13:ET16,ET14)&gt;1),ET14+RANK(EU14,EU13:EU16)-1,ET14)</f>
        <v>0</v>
      </c>
      <c r="EW14" s="13">
        <f t="shared" ref="EW14:EW16" si="142">IF(AND(EN14&gt;0,COUNTIF(EV14:EV17,EV14)&gt;1),SUMIFS($AI$4:$AI$108,$AF$4:$AF$108,$BT14,$M$4:$M$108,4)+SUMIFS($AK$4:$AK$108,$AH$4:$AH$108,$BT14,$M$4:$M$108,4),)</f>
        <v>0</v>
      </c>
      <c r="EX14" s="13">
        <f>IF(AND(EN14&gt;0,COUNTIF(EV13:EV16,EV14)&gt;1),EV14+RANK(EW14,EW13:EW16)-1,EV14)</f>
        <v>0</v>
      </c>
      <c r="EY14" s="13" t="str">
        <f t="shared" ref="EY14:EY16" si="143">IF(EX14=0,"",EX14)</f>
        <v/>
      </c>
      <c r="EZ14" s="13" t="str">
        <f>IF(OR(EY14="",COUNTIF(EY13:EY16,EY14)=1),"",$BZ14)</f>
        <v/>
      </c>
      <c r="FA14" s="13" t="str">
        <f>IF(EY14="","",IF(COUNTIF(EY13:EY16,EY14)=1,EY14,EY14+RANK(EZ14,EZ13:EZ16,0)-1))</f>
        <v/>
      </c>
      <c r="FB14" s="13" t="str">
        <f>IF(OR(FA14="",COUNTIF(FA13:FA16,FA14)=1),"",$BX14)</f>
        <v/>
      </c>
      <c r="FC14" s="13" t="str">
        <f>IF(EY14="","",IF(COUNTIF(FA13:FA16,FA14)=1,FA14,FA14+RANK(FB14,FB13:FB16,0)-1))</f>
        <v/>
      </c>
      <c r="FD14" s="13" t="str">
        <f>IF(OR(FC14="",COUNTIF(FC13:FC16,FC14)=1),"",$BU14)</f>
        <v/>
      </c>
      <c r="FE14" s="13" t="str">
        <f>IF(EY14="","",IF(COUNTIF(FC13:FC16,FC14)=1,FC14,FC14+RANK(FD14,FD13:FD16,0)-1))</f>
        <v/>
      </c>
      <c r="FF14" s="13">
        <f>IF(EN14&gt;0,CG11+DA11+DU11+RANK(FE14,FE13:FE16,1),)</f>
        <v>0</v>
      </c>
      <c r="FH14" s="13">
        <f>IFERROR(VLOOKUP(FJ14,CF12:CX16,19,FALSE),IFERROR(VLOOKUP(FJ14,CZ12:DR16,19,FALSE),IFERROR(VLOOKUP(FJ14,DT12:EL16,19,FALSE),VLOOKUP(FJ14,EN12:FF16,19,FALSE))))</f>
        <v>1</v>
      </c>
      <c r="FI14" s="13">
        <f>RANK(FH14,FH13:FH16,1)+COUNTIF(FH13:FH14,FH14)-1</f>
        <v>2</v>
      </c>
      <c r="FJ14" s="12" t="str">
        <f>BT14</f>
        <v>Bosnien-Herzigovina</v>
      </c>
      <c r="FM14" s="76" t="s">
        <v>62</v>
      </c>
      <c r="FN14" s="9" t="str">
        <f>O96</f>
        <v>Uzbekistan</v>
      </c>
      <c r="FO14" s="77">
        <f>RANK($FP14,$FP$4:$FP$15,1)+COUNTIF($FP14:$FP$15,$FP14)-1</f>
        <v>2</v>
      </c>
      <c r="FP14" s="77">
        <f t="shared" si="68"/>
        <v>1</v>
      </c>
      <c r="FQ14" s="77" cm="1">
        <f t="array" ref="FQ14">SUMPRODUCT(($FT$4:$FT$15=FT14)*($FU$4:$FU$15=FU14)*($FV$4:$FV$15&gt;FV14))</f>
        <v>0</v>
      </c>
      <c r="FR14" s="73" cm="1">
        <f t="array" ref="FR14">SUMPRODUCT(($FT$4:$FT$15=FT14)*($FU$4:$FU$15&gt;FU14))</f>
        <v>0</v>
      </c>
      <c r="FS14" s="77">
        <f t="shared" si="69"/>
        <v>1</v>
      </c>
      <c r="FT14" s="9">
        <f>V96</f>
        <v>0</v>
      </c>
      <c r="FU14" s="9">
        <f>U96</f>
        <v>0</v>
      </c>
      <c r="FV14" s="9">
        <f>S96</f>
        <v>0</v>
      </c>
      <c r="FW14" s="78" t="str">
        <f t="shared" si="70"/>
        <v>K</v>
      </c>
      <c r="FX14" s="77" t="str">
        <f t="shared" si="71"/>
        <v>K</v>
      </c>
      <c r="FZ14" s="79">
        <v>12</v>
      </c>
      <c r="GA14" s="3" t="str">
        <f t="shared" si="72"/>
        <v>EJICHGLK</v>
      </c>
      <c r="GB14" s="3" t="s">
        <v>59</v>
      </c>
      <c r="GC14" s="3" t="s">
        <v>69</v>
      </c>
      <c r="GD14" s="3" t="s">
        <v>61</v>
      </c>
      <c r="GE14" s="3" t="s">
        <v>75</v>
      </c>
      <c r="GF14" s="3" t="s">
        <v>70</v>
      </c>
      <c r="GG14" s="3" t="s">
        <v>60</v>
      </c>
      <c r="GH14" s="3" t="s">
        <v>63</v>
      </c>
      <c r="GI14" s="3" t="s">
        <v>62</v>
      </c>
      <c r="GJ14" s="9" t="str">
        <f t="shared" si="73"/>
        <v>Elfenbenskusten</v>
      </c>
      <c r="GK14" s="9" t="str">
        <f t="shared" si="35"/>
        <v>Österrike</v>
      </c>
      <c r="GL14" s="9" t="str">
        <f t="shared" si="35"/>
        <v>Irak</v>
      </c>
      <c r="GM14" s="9" t="str">
        <f t="shared" si="35"/>
        <v>Haiti</v>
      </c>
      <c r="GN14" s="9" t="str">
        <f t="shared" si="35"/>
        <v>Saudiarabien</v>
      </c>
      <c r="GO14" s="9" t="str">
        <f t="shared" si="35"/>
        <v>Iran</v>
      </c>
      <c r="GP14" s="9" t="str">
        <f t="shared" si="35"/>
        <v>Ghana</v>
      </c>
      <c r="GQ14" s="9" t="str">
        <f t="shared" si="35"/>
        <v>Uzbekistan</v>
      </c>
      <c r="GR14" s="9" t="str">
        <f t="shared" si="75"/>
        <v/>
      </c>
      <c r="GX14" s="79"/>
    </row>
    <row r="15" spans="2:206" ht="14.25" customHeight="1" x14ac:dyDescent="0.25">
      <c r="B15" s="58">
        <v>26</v>
      </c>
      <c r="C15" s="59">
        <v>46191</v>
      </c>
      <c r="D15" s="60" t="s">
        <v>82</v>
      </c>
      <c r="E15" s="61" t="s">
        <v>66</v>
      </c>
      <c r="F15" s="62" t="s">
        <v>80</v>
      </c>
      <c r="G15" s="63"/>
      <c r="H15" s="64" t="s">
        <v>66</v>
      </c>
      <c r="I15" s="63"/>
      <c r="J15" s="65" t="str">
        <f t="shared" si="124"/>
        <v/>
      </c>
      <c r="K15" s="66">
        <f>IF(OR(G15="",I15="",'[1]Resultat &amp; tabell'!G15="",'[1]Resultat &amp; tabell'!I15=""),0,IF(G15='[1]Resultat &amp; tabell'!G15,2,0)+IF(I15='[1]Resultat &amp; tabell'!I15,2,0)+IF(J15='[1]Resultat &amp; tabell'!J15,2,0))</f>
        <v>0</v>
      </c>
      <c r="L15" s="67"/>
      <c r="M15" s="29">
        <f t="shared" si="76"/>
        <v>1</v>
      </c>
      <c r="N15" s="30">
        <v>3</v>
      </c>
      <c r="O15" s="83" t="str">
        <f>VLOOKUP(N15,FI13:FJ16,2,FALSE)</f>
        <v>Qatar</v>
      </c>
      <c r="P15" s="84">
        <f>VLOOKUP($O15,$BT$13:$CA$16,2,FALSE)</f>
        <v>0</v>
      </c>
      <c r="Q15" s="84">
        <f>VLOOKUP($O15,$BT$13:$CA$16,3,FALSE)</f>
        <v>0</v>
      </c>
      <c r="R15" s="84">
        <f>VLOOKUP($O15,$BT$13:$CA$16,4,FALSE)</f>
        <v>0</v>
      </c>
      <c r="S15" s="84">
        <f>VLOOKUP($O15,$BT$13:$CA$16,5,FALSE)</f>
        <v>0</v>
      </c>
      <c r="T15" s="84">
        <f>VLOOKUP($O15,$BT$13:$CA$16,6,FALSE)</f>
        <v>0</v>
      </c>
      <c r="U15" s="84">
        <f>VLOOKUP($O15,$BT$13:$CA$16,7,FALSE)</f>
        <v>0</v>
      </c>
      <c r="V15" s="85">
        <f>VLOOKUP($O15,$BT$13:$CA$16,8,FALSE)</f>
        <v>0</v>
      </c>
      <c r="X15" s="104"/>
      <c r="Y15" s="79"/>
      <c r="Z15" s="79"/>
      <c r="AA15" s="79"/>
      <c r="AB15" s="9"/>
      <c r="AC15" s="108"/>
      <c r="AE15" s="72">
        <f t="shared" si="77"/>
        <v>46191</v>
      </c>
      <c r="AF15" s="72" t="str">
        <f t="shared" si="77"/>
        <v>Schweiz</v>
      </c>
      <c r="AG15" s="72" t="str">
        <f t="shared" si="77"/>
        <v>-</v>
      </c>
      <c r="AH15" s="72" t="str">
        <f t="shared" si="77"/>
        <v>Bosnien-Herzigovina</v>
      </c>
      <c r="AI15" s="63" t="str">
        <f t="shared" si="78"/>
        <v/>
      </c>
      <c r="AJ15" s="58" t="str">
        <f t="shared" si="79"/>
        <v>-</v>
      </c>
      <c r="AK15" s="63" t="str">
        <f t="shared" si="80"/>
        <v/>
      </c>
      <c r="AL15" s="65" t="str">
        <f t="shared" si="81"/>
        <v/>
      </c>
      <c r="AM15" s="73"/>
      <c r="AN15" s="13">
        <f t="shared" si="82"/>
        <v>0</v>
      </c>
      <c r="AO15" s="13">
        <f t="shared" si="83"/>
        <v>0</v>
      </c>
      <c r="AP15" s="13">
        <f t="shared" si="84"/>
        <v>0</v>
      </c>
      <c r="AQ15" s="13">
        <f t="shared" si="85"/>
        <v>0</v>
      </c>
      <c r="AR15" s="13">
        <f t="shared" si="86"/>
        <v>0</v>
      </c>
      <c r="AS15" s="13">
        <f t="shared" si="87"/>
        <v>0</v>
      </c>
      <c r="AT15" s="13">
        <f t="shared" si="88"/>
        <v>0</v>
      </c>
      <c r="AU15" s="13">
        <f t="shared" si="89"/>
        <v>0</v>
      </c>
      <c r="AV15" s="13">
        <f t="shared" si="90"/>
        <v>0</v>
      </c>
      <c r="AW15" s="13">
        <f t="shared" si="91"/>
        <v>0</v>
      </c>
      <c r="AX15" s="13">
        <f t="shared" si="92"/>
        <v>0</v>
      </c>
      <c r="AY15" s="13">
        <f t="shared" si="93"/>
        <v>0</v>
      </c>
      <c r="AZ15" s="13">
        <f t="shared" si="94"/>
        <v>0</v>
      </c>
      <c r="BA15" s="13">
        <f t="shared" si="95"/>
        <v>0</v>
      </c>
      <c r="BB15" s="13">
        <f t="shared" si="96"/>
        <v>0</v>
      </c>
      <c r="BC15" s="13">
        <f t="shared" si="97"/>
        <v>0</v>
      </c>
      <c r="BD15" s="13">
        <f t="shared" si="98"/>
        <v>0</v>
      </c>
      <c r="BE15" s="13">
        <f t="shared" si="99"/>
        <v>0</v>
      </c>
      <c r="BF15" s="13">
        <f t="shared" si="100"/>
        <v>0</v>
      </c>
      <c r="BG15" s="13">
        <f t="shared" si="101"/>
        <v>0</v>
      </c>
      <c r="BH15" s="13">
        <f t="shared" si="102"/>
        <v>0</v>
      </c>
      <c r="BI15" s="13">
        <f t="shared" si="103"/>
        <v>0</v>
      </c>
      <c r="BJ15" s="13">
        <f t="shared" si="104"/>
        <v>0</v>
      </c>
      <c r="BK15" s="13">
        <f t="shared" si="105"/>
        <v>0</v>
      </c>
      <c r="BL15" s="13">
        <f t="shared" si="106"/>
        <v>0</v>
      </c>
      <c r="BM15" s="13">
        <f t="shared" si="107"/>
        <v>0</v>
      </c>
      <c r="BN15" s="13">
        <f t="shared" si="108"/>
        <v>0</v>
      </c>
      <c r="BO15" s="13">
        <f t="shared" si="109"/>
        <v>0</v>
      </c>
      <c r="BP15" s="13">
        <f t="shared" si="110"/>
        <v>0</v>
      </c>
      <c r="BQ15" s="13">
        <f t="shared" si="111"/>
        <v>0</v>
      </c>
      <c r="BT15" s="12" t="s">
        <v>81</v>
      </c>
      <c r="BU15" s="13">
        <f t="shared" si="112"/>
        <v>0</v>
      </c>
      <c r="BV15" s="13">
        <f t="shared" si="113"/>
        <v>0</v>
      </c>
      <c r="BW15" s="13">
        <f t="shared" si="114"/>
        <v>0</v>
      </c>
      <c r="BX15" s="13">
        <f t="shared" si="115"/>
        <v>0</v>
      </c>
      <c r="BY15" s="13">
        <f t="shared" si="116"/>
        <v>0</v>
      </c>
      <c r="BZ15" s="13">
        <f t="shared" si="117"/>
        <v>0</v>
      </c>
      <c r="CA15" s="13">
        <f t="shared" si="118"/>
        <v>0</v>
      </c>
      <c r="CB15" s="13" t="s">
        <v>57</v>
      </c>
      <c r="CC15" s="74">
        <f>RANK(CA15,CA13:CA16)</f>
        <v>1</v>
      </c>
      <c r="CD15" s="13">
        <f>SUMPRODUCT((CA13:CA16=CA15)*(BZ13:BZ16&gt;BZ15))</f>
        <v>0</v>
      </c>
      <c r="CF15" s="12" t="str">
        <f t="shared" si="119"/>
        <v>Qatar</v>
      </c>
      <c r="CG15" s="13">
        <f t="shared" si="120"/>
        <v>0</v>
      </c>
      <c r="CH15" s="13">
        <f t="shared" si="121"/>
        <v>0</v>
      </c>
      <c r="CI15" s="13">
        <f t="shared" si="122"/>
        <v>0</v>
      </c>
      <c r="CJ15" s="13">
        <f t="shared" si="123"/>
        <v>0</v>
      </c>
      <c r="CK15" s="13" t="str">
        <f t="shared" si="125"/>
        <v>B</v>
      </c>
      <c r="CL15" s="13">
        <f>IF(CF15&gt;0,RANK(CJ15,CJ13:CJ16),)</f>
        <v>1</v>
      </c>
      <c r="CM15" s="13">
        <f>IF(AND(CF15&gt;0,COUNTIF(CL13:CL16,CL15)&gt;1),SUMIFS($AI$4:$AI$108,$AF$4:$AF$108,$BT15,$M$4:$M$108,1)+SUMIFS($AK$4:$AK$108,$AH$4:$AH$108,$BT15,$M$4:$M$108,1)-SUMIFS($AK$4:$AK$108,$AF$4:$AF$108,$BT15,$M$4:$M$108,1)-SUMIFS($AI$4:$AI$108,$AH$4:$AH$108,$BT15,$M$4:$M$108,1),)</f>
        <v>0</v>
      </c>
      <c r="CN15" s="13">
        <f>IF(AND(CF15&gt;0,COUNTIF(CL13:CL16,CL15)&gt;1),CL15+RANK(CM15,CM13:CM16)-1,CL15)</f>
        <v>1</v>
      </c>
      <c r="CO15" s="13">
        <f>IF(AND(CF15&gt;0,COUNTIF(CN13:CN16,CN15)&gt;1),SUMIFS($AI$4:$AI$108,$AF$4:$AF$108,$BT15,$M$4:$M$108,1)+SUMIFS($AK$4:$AK$108,$AH$4:$AH$108,$BT15,$M$4:$M$108,1),)</f>
        <v>0</v>
      </c>
      <c r="CP15" s="13">
        <f>IF(AND(CF15&gt;0,COUNTIF(CN13:CN16,CN15)&gt;1),CN15+RANK(CO15,CO13:CO16)-1,CN15)</f>
        <v>1</v>
      </c>
      <c r="CQ15" s="13">
        <f t="shared" si="126"/>
        <v>1</v>
      </c>
      <c r="CR15" s="13">
        <f>IF(OR(CQ15="",COUNTIF(CQ13:CQ16,CQ15)=1),"",$BZ15)</f>
        <v>0</v>
      </c>
      <c r="CS15" s="13">
        <f>IF(CQ15="","",IF(COUNTIF(CQ13:CQ16,CQ15)=1,CQ15,CQ15+RANK(CR15,CR13:CR16,0)-1))</f>
        <v>1</v>
      </c>
      <c r="CT15" s="13">
        <f>IF(OR(CS15="",COUNTIF(CS13:CS16,CS15)=1),"",$BX15)</f>
        <v>0</v>
      </c>
      <c r="CU15" s="13">
        <f>IF(CQ15="","",IF(COUNTIF(CS13:CS16,CS15)=1,CS15,CS15+RANK(CT15,CT13:CT16,0)-1))</f>
        <v>1</v>
      </c>
      <c r="CV15" s="13">
        <f>IF(OR(CU15="",COUNTIF(CU13:CU16,CU15)=1),"",$BU15)</f>
        <v>0</v>
      </c>
      <c r="CW15" s="13">
        <f>IF(CQ15="","",IF(COUNTIF(CU13:CU16,CU15)=1,CU15,CU15+RANK(CV15,CV13:CV16,0)-1))</f>
        <v>1</v>
      </c>
      <c r="CX15" s="13">
        <f>IF(CF15&gt;0,BM11+RANK(CW15,CW13:CW16,1),)</f>
        <v>1</v>
      </c>
      <c r="CZ15" s="12">
        <f>IF(CC15=2,BT15,)</f>
        <v>0</v>
      </c>
      <c r="DA15" s="13">
        <f>(SUMIF($AF$4:$AF$108,$BT15,$AZ$4:$AZ$108)+SUMIF($AH$4:$AH$108,$BT15,$BA$4:$BA$108))</f>
        <v>0</v>
      </c>
      <c r="DB15" s="13">
        <f t="shared" si="127"/>
        <v>0</v>
      </c>
      <c r="DC15" s="13">
        <f t="shared" si="128"/>
        <v>0</v>
      </c>
      <c r="DD15" s="13">
        <f t="shared" si="129"/>
        <v>0</v>
      </c>
      <c r="DE15" s="13" t="str">
        <f t="shared" si="130"/>
        <v>B</v>
      </c>
      <c r="DF15" s="13">
        <f>IF(CZ15&gt;0,RANK(DD15,DD13:DD16)+CG11,)</f>
        <v>0</v>
      </c>
      <c r="DG15" s="13">
        <f>IF(AND(CZ15&gt;0,COUNTIF(DF13:DF16,DF15)&gt;1),SUMIFS($AI$4:$AI$108,$AF$4:$AF$108,$BT15,$M$4:$M$108,2)+SUMIFS($AK$4:$AK$108,$AH$4:$AH108,$BT15,$M$4:$M$108,2)-SUMIFS($AK$4:$AK$108,$AF$4:$AF$108,$BT15,$M$4:$M$108,2)-SUMIFS($AI$4:$AI$108,$AH$4:$AH$108,$BT15,$M$4:$M$108,2),)</f>
        <v>0</v>
      </c>
      <c r="DH15" s="13">
        <f>IF(AND(CZ15&gt;0,COUNTIF(DF13:DF16,DF15)&gt;1),DF15+RANK(DG15,DG13:DG16)-1,DF15)</f>
        <v>0</v>
      </c>
      <c r="DI15" s="13">
        <f>IF(AND(CZ15&gt;0,COUNTIF(DH13:DH16,DH15)&gt;1),SUMIFS($AI$4:$AI$108,$AF$4:$AF$108,$BT15,$M$4:$M$108,2)+SUMIFS($AK$4:$AK$108,$AH$4:$AH$108,$BT15,$M$4:$M$108,2),)</f>
        <v>0</v>
      </c>
      <c r="DJ15" s="13">
        <f>IF(AND(CZ15&gt;0,COUNTIF(DH13:DH16,DH15)&gt;1),DH15+RANK(DI15,DI13:DI16)-1,DH15)</f>
        <v>0</v>
      </c>
      <c r="DK15" s="75" t="str">
        <f t="shared" si="131"/>
        <v/>
      </c>
      <c r="DL15" s="75" t="str">
        <f>IF(OR(DK15="",COUNTIF(DK13:DK16,DK15)=1),"",$BZ15)</f>
        <v/>
      </c>
      <c r="DM15" s="75" t="str">
        <f>IF(DK15="","",IF(COUNTIF(DK13:DK16,DK15)=1,DK15,DK15+RANK(DL15,DL13:DL16,0)-1))</f>
        <v/>
      </c>
      <c r="DN15" s="75" t="str">
        <f>IF(OR(DM15="",COUNTIF(DM13:DM16,DM15)=1),"",$BX15)</f>
        <v/>
      </c>
      <c r="DO15" s="75" t="str">
        <f>IF(DK15="","",IF(COUNTIF(DM13:DM16,DM15)=1,DM15,DM15+RANK(DN15,DN13:DN16,0)-1))</f>
        <v/>
      </c>
      <c r="DP15" s="75" t="str">
        <f>IF(OR(DO15="",COUNTIF(DO13:DO16,DO15)=1),"",$BU15)</f>
        <v/>
      </c>
      <c r="DQ15" s="75" t="str">
        <f>IF(DK15="","",IF(COUNTIF(DO13:DO16,DO15)=1,DO15,DO15+RANK(DP15,DP13:DP16,0)-1))</f>
        <v/>
      </c>
      <c r="DR15" s="13">
        <f>IF(CZ15&gt;0,CG11+RANK(DQ15,DQ13:DQ16,1),)</f>
        <v>0</v>
      </c>
      <c r="DT15" s="13">
        <f>IF(CC15=3,BT15,)</f>
        <v>0</v>
      </c>
      <c r="DU15" s="13">
        <f t="shared" si="132"/>
        <v>0</v>
      </c>
      <c r="DV15" s="13">
        <f t="shared" si="133"/>
        <v>0</v>
      </c>
      <c r="DW15" s="13">
        <f t="shared" si="134"/>
        <v>0</v>
      </c>
      <c r="DX15" s="13">
        <f>IFERROR(DU15*3+DV15*1,0)</f>
        <v>0</v>
      </c>
      <c r="DY15" s="13" t="str">
        <f t="shared" si="135"/>
        <v>B</v>
      </c>
      <c r="DZ15" s="13">
        <f>IF(DT15&gt;0,RANK(DX15,DX13:DX16)+CG11+DA11,)</f>
        <v>0</v>
      </c>
      <c r="EA15" s="13">
        <f>IF(AND(DT15&gt;0,COUNTIF(DZ13:DZ16,DZ15)&gt;1),SUMIFS($AI$4:$AI$108,$AF$4:$AF$108,$BT15,$M$4:$M$108,3)+SUMIFS($AK$4:$AK$108,$AH$4:$AH$108,$BT15,$M$4:$M$108,3)-SUMIFS($AK$4:$AK$108,$AF$4:$AF$108,$BT15,$M$4:$M$108,3)-SUMIFS($AI$4:$AI$108,$AH$4:$AH$108,$BT15,$M$4:$M$108,3),)</f>
        <v>0</v>
      </c>
      <c r="EB15" s="13">
        <f>IF(AND(DT15&gt;0,COUNTIF(DZ13:DZ16,DZ15)&gt;1),DZ15+RANK(EA15,EA13:EA16)-1,DZ15)</f>
        <v>0</v>
      </c>
      <c r="EC15" s="13">
        <f>IF(AND(DT15&gt;0,COUNTIF(EB13:EB16,EB15)&gt;1),SUMIFS($AI$4:$AI$108,$AF$4:$AF$108,$BT15,$M$4:$M$108,3)+SUMIFS($AK$4:$AK$108,$AH$4:$AH$108,$BT15,$M$4:$M$108,3),)</f>
        <v>0</v>
      </c>
      <c r="ED15" s="13">
        <f>IF(AND(DT15&gt;0,COUNTIF(EB13:EB16,EB15)&gt;1),EB15+RANK(EC15,EC13:EC16)-1,EB15)</f>
        <v>0</v>
      </c>
      <c r="EE15" s="13" t="str">
        <f t="shared" si="136"/>
        <v/>
      </c>
      <c r="EF15" s="13" t="str">
        <f>IF(OR(EE15="",COUNTIF(EE13:EE16,EE15)=1),"",$BZ15)</f>
        <v/>
      </c>
      <c r="EG15" s="13" t="str">
        <f>IF(EE15="","",IF(COUNTIF(EE13:EE16,EE15)=1,EE15,EE15+RANK(EF15,EF13:EF16,0)-1))</f>
        <v/>
      </c>
      <c r="EH15" s="13" t="str">
        <f>IF(OR(EG15="",COUNTIF(EG13:EG16,EG15)=1),"",$BX15)</f>
        <v/>
      </c>
      <c r="EI15" s="13" t="str">
        <f>IF(EE15="","",IF(COUNTIF(EG13:EG16,EG15)=1,EG15,EG15+RANK(EH15,EH13:EH16,0)-1))</f>
        <v/>
      </c>
      <c r="EJ15" s="13" t="str">
        <f>IF(OR(EI15="",COUNTIF(EI13:EI16,EI15)=1),"",$BU15)</f>
        <v/>
      </c>
      <c r="EK15" s="13" t="str">
        <f>IF(EE15="","",IF(COUNTIF(EI13:EI16,EI15)=1,EI15,EI15+RANK(EJ15,EJ13:EJ16,0)-1))</f>
        <v/>
      </c>
      <c r="EL15" s="13">
        <f>IF(DT15&gt;0,CG11+DA11+RANK(EK15,EK13:EK16,1),)</f>
        <v>0</v>
      </c>
      <c r="EN15" s="13">
        <f>IF(CC15=4,BT15,)</f>
        <v>0</v>
      </c>
      <c r="EO15" s="13">
        <f t="shared" si="137"/>
        <v>0</v>
      </c>
      <c r="EP15" s="13">
        <f t="shared" si="138"/>
        <v>0</v>
      </c>
      <c r="EQ15" s="13">
        <f t="shared" si="139"/>
        <v>0</v>
      </c>
      <c r="ER15" s="13">
        <f t="shared" si="140"/>
        <v>0</v>
      </c>
      <c r="ES15" s="13" t="str">
        <f t="shared" si="141"/>
        <v>B</v>
      </c>
      <c r="ET15" s="13">
        <f>IF(EN15&gt;0,RANK(ER15,ER13:ER16)+CG11+DA11+DU11,)</f>
        <v>0</v>
      </c>
      <c r="EU15" s="13">
        <f>IF(AND(EN15&gt;0,COUNTIF(ET13:ET16,ET15)&gt;1),SUMIFS($AI$4:$AI$108,$AF$4:$AF$108,$BT15,$M$4:$M$108,4)+SUMIFS($AK$4:$AK$108,$AH$4:$AH$108,$BT15,$M$4:$M$108,4)-SUMIFS($AK$4:$AK$108,$AF$4:$AF$108,$BT15,$M$4:$M$108,4)-SUMIFS($AI$4:$AI$108,$AH$4:$AH$108,$BT15,$M$4:$M$108,4),)</f>
        <v>0</v>
      </c>
      <c r="EV15" s="13">
        <f>IF(AND(EN15&gt;0,COUNTIF(ET13:ET16,ET15)&gt;1),ET15+RANK(EU15,EU13:EU16)-1,ET15)</f>
        <v>0</v>
      </c>
      <c r="EW15" s="13">
        <f t="shared" si="142"/>
        <v>0</v>
      </c>
      <c r="EX15" s="13">
        <f>IF(AND(EN15&gt;0,COUNTIF(EV13:EV16,EV15)&gt;1),EV15+RANK(EW15,EW13:EW16)-1,EV15)</f>
        <v>0</v>
      </c>
      <c r="EY15" s="13" t="str">
        <f t="shared" si="143"/>
        <v/>
      </c>
      <c r="EZ15" s="13" t="str">
        <f>IF(OR(EY15="",COUNTIF(EY13:EY16,EY15)=1),"",$BZ15)</f>
        <v/>
      </c>
      <c r="FA15" s="13" t="str">
        <f>IF(EY15="","",IF(COUNTIF(EY13:EY16,EY15)=1,EY15,EY15+RANK(EZ15,EZ13:EZ16,0)-1))</f>
        <v/>
      </c>
      <c r="FB15" s="13" t="str">
        <f>IF(OR(FA15="",COUNTIF(FA13:FA16,FA15)=1),"",$BX15)</f>
        <v/>
      </c>
      <c r="FC15" s="13" t="str">
        <f>IF(EY15="","",IF(COUNTIF(FA13:FA16,FA15)=1,FA15,FA15+RANK(FB15,FB13:FB16,0)-1))</f>
        <v/>
      </c>
      <c r="FD15" s="13" t="str">
        <f>IF(OR(FC15="",COUNTIF(FC13:FC16,FC15)=1),"",$BU15)</f>
        <v/>
      </c>
      <c r="FE15" s="13" t="str">
        <f>IF(EY15="","",IF(COUNTIF(FC13:FC16,FC15)=1,FC15,FC15+RANK(FD15,FD13:FD16,0)-1))</f>
        <v/>
      </c>
      <c r="FF15" s="13">
        <f>IF(EN15&gt;0,CG11+DA11+DU11+RANK(FE15,FE13:FE16,1),)</f>
        <v>0</v>
      </c>
      <c r="FH15" s="13">
        <f>IFERROR(VLOOKUP(FJ15,CF12:CX16,19,FALSE),IFERROR(VLOOKUP(FJ15,CZ12:DR16,19,FALSE),IFERROR(VLOOKUP(FJ15,DT12:EL16,19,FALSE),VLOOKUP(FJ15,EN12:FF16,19,FALSE))))</f>
        <v>1</v>
      </c>
      <c r="FI15" s="13">
        <f>RANK(FH15,FH13:FH16,1)+COUNTIF(FH13:FH15,FH15)-1</f>
        <v>3</v>
      </c>
      <c r="FJ15" s="12" t="str">
        <f>BT15</f>
        <v>Qatar</v>
      </c>
      <c r="FM15" s="76" t="s">
        <v>63</v>
      </c>
      <c r="FN15" s="9" t="str">
        <f>O105</f>
        <v>Ghana</v>
      </c>
      <c r="FO15" s="77">
        <f>RANK($FP15,$FP$4:$FP$15,1)+COUNTIF($FP15:$FP$15,$FP15)-1</f>
        <v>1</v>
      </c>
      <c r="FP15" s="77">
        <f t="shared" si="68"/>
        <v>1</v>
      </c>
      <c r="FQ15" s="77" cm="1">
        <f t="array" ref="FQ15">SUMPRODUCT(($FT$4:$FT$15=FT15)*($FU$4:$FU$15=FU15)*($FV$4:$FV$15&gt;FV15))</f>
        <v>0</v>
      </c>
      <c r="FR15" s="73" cm="1">
        <f t="array" ref="FR15">SUMPRODUCT(($FT$4:$FT$15=FT15)*($FU$4:$FU$15&gt;FU15))</f>
        <v>0</v>
      </c>
      <c r="FS15" s="77">
        <f>RANK(FT15,$FT$4:$FT$15)</f>
        <v>1</v>
      </c>
      <c r="FT15" s="9">
        <f>V105</f>
        <v>0</v>
      </c>
      <c r="FU15" s="9">
        <f>U105</f>
        <v>0</v>
      </c>
      <c r="FV15" s="9">
        <f>S105</f>
        <v>0</v>
      </c>
      <c r="FW15" s="78" t="str">
        <f t="shared" si="70"/>
        <v>L</v>
      </c>
      <c r="FX15" s="77" t="str">
        <f t="shared" si="71"/>
        <v>L</v>
      </c>
      <c r="FZ15" s="79">
        <v>13</v>
      </c>
      <c r="GA15" s="3" t="str">
        <f t="shared" si="72"/>
        <v>EJICHFLK</v>
      </c>
      <c r="GB15" s="3" t="s">
        <v>59</v>
      </c>
      <c r="GC15" s="3" t="s">
        <v>69</v>
      </c>
      <c r="GD15" s="3" t="s">
        <v>61</v>
      </c>
      <c r="GE15" s="3" t="s">
        <v>75</v>
      </c>
      <c r="GF15" s="3" t="s">
        <v>70</v>
      </c>
      <c r="GG15" s="3" t="s">
        <v>21</v>
      </c>
      <c r="GH15" s="3" t="s">
        <v>63</v>
      </c>
      <c r="GI15" s="3" t="s">
        <v>62</v>
      </c>
      <c r="GJ15" s="9" t="str">
        <f t="shared" si="73"/>
        <v>Elfenbenskusten</v>
      </c>
      <c r="GK15" s="9" t="str">
        <f t="shared" si="35"/>
        <v>Österrike</v>
      </c>
      <c r="GL15" s="9" t="str">
        <f t="shared" si="35"/>
        <v>Irak</v>
      </c>
      <c r="GM15" s="9" t="str">
        <f t="shared" si="35"/>
        <v>Haiti</v>
      </c>
      <c r="GN15" s="9" t="str">
        <f t="shared" si="35"/>
        <v>Saudiarabien</v>
      </c>
      <c r="GO15" s="9" t="str">
        <f t="shared" si="35"/>
        <v>Sverige</v>
      </c>
      <c r="GP15" s="9" t="str">
        <f t="shared" si="35"/>
        <v>Ghana</v>
      </c>
      <c r="GQ15" s="9" t="str">
        <f t="shared" si="35"/>
        <v>Uzbekistan</v>
      </c>
      <c r="GR15" s="9" t="str">
        <f t="shared" si="75"/>
        <v/>
      </c>
      <c r="GX15" s="79"/>
    </row>
    <row r="16" spans="2:206" ht="14.25" customHeight="1" x14ac:dyDescent="0.25">
      <c r="B16" s="58">
        <v>27</v>
      </c>
      <c r="C16" s="59">
        <v>46192</v>
      </c>
      <c r="D16" s="60" t="s">
        <v>79</v>
      </c>
      <c r="E16" s="61" t="s">
        <v>66</v>
      </c>
      <c r="F16" s="62" t="s">
        <v>81</v>
      </c>
      <c r="G16" s="63"/>
      <c r="H16" s="64" t="s">
        <v>66</v>
      </c>
      <c r="I16" s="63"/>
      <c r="J16" s="65" t="str">
        <f t="shared" si="124"/>
        <v/>
      </c>
      <c r="K16" s="66">
        <f>IF(OR(G16="",I16="",'[1]Resultat &amp; tabell'!G16="",'[1]Resultat &amp; tabell'!I16=""),0,IF(G16='[1]Resultat &amp; tabell'!G16,2,0)+IF(I16='[1]Resultat &amp; tabell'!I16,2,0)+IF(J16='[1]Resultat &amp; tabell'!J16,2,0))</f>
        <v>0</v>
      </c>
      <c r="L16" s="67"/>
      <c r="M16" s="29">
        <f t="shared" si="76"/>
        <v>1</v>
      </c>
      <c r="N16" s="30">
        <v>4</v>
      </c>
      <c r="O16" s="86" t="str">
        <f>VLOOKUP(N16,FI13:FJ16,2,FALSE)</f>
        <v>Schweiz</v>
      </c>
      <c r="P16" s="87">
        <f>VLOOKUP($O16,$BT$13:$CA$16,2,FALSE)</f>
        <v>0</v>
      </c>
      <c r="Q16" s="87">
        <f>VLOOKUP($O16,$BT$13:$CA$16,3,FALSE)</f>
        <v>0</v>
      </c>
      <c r="R16" s="87">
        <f>VLOOKUP($O16,$BT$13:$CA$16,4,FALSE)</f>
        <v>0</v>
      </c>
      <c r="S16" s="87">
        <f>VLOOKUP($O16,$BT$13:$CA$16,5,FALSE)</f>
        <v>0</v>
      </c>
      <c r="T16" s="87">
        <f>VLOOKUP($O16,$BT$13:$CA$16,6,FALSE)</f>
        <v>0</v>
      </c>
      <c r="U16" s="87">
        <f>VLOOKUP($O16,$BT$13:$CA$16,7,FALSE)</f>
        <v>0</v>
      </c>
      <c r="V16" s="82">
        <f>VLOOKUP($O16,$BT$13:$CA$16,8,FALSE)</f>
        <v>0</v>
      </c>
      <c r="X16" s="104"/>
      <c r="Y16" s="79"/>
      <c r="Z16" s="79"/>
      <c r="AA16" s="79"/>
      <c r="AB16" s="9"/>
      <c r="AC16" s="108"/>
      <c r="AE16" s="72">
        <f t="shared" si="77"/>
        <v>46192</v>
      </c>
      <c r="AF16" s="72" t="str">
        <f t="shared" si="77"/>
        <v>Kanada</v>
      </c>
      <c r="AG16" s="72" t="str">
        <f t="shared" si="77"/>
        <v>-</v>
      </c>
      <c r="AH16" s="72" t="str">
        <f t="shared" si="77"/>
        <v>Qatar</v>
      </c>
      <c r="AI16" s="63" t="str">
        <f t="shared" si="78"/>
        <v/>
      </c>
      <c r="AJ16" s="58" t="str">
        <f t="shared" si="79"/>
        <v>-</v>
      </c>
      <c r="AK16" s="63" t="str">
        <f t="shared" si="80"/>
        <v/>
      </c>
      <c r="AL16" s="65" t="str">
        <f t="shared" si="81"/>
        <v/>
      </c>
      <c r="AM16" s="73"/>
      <c r="AN16" s="13">
        <f t="shared" si="82"/>
        <v>0</v>
      </c>
      <c r="AO16" s="13">
        <f t="shared" si="83"/>
        <v>0</v>
      </c>
      <c r="AP16" s="13">
        <f t="shared" si="84"/>
        <v>0</v>
      </c>
      <c r="AQ16" s="13">
        <f t="shared" si="85"/>
        <v>0</v>
      </c>
      <c r="AR16" s="13">
        <f t="shared" si="86"/>
        <v>0</v>
      </c>
      <c r="AS16" s="13">
        <f t="shared" si="87"/>
        <v>0</v>
      </c>
      <c r="AT16" s="13">
        <f t="shared" si="88"/>
        <v>0</v>
      </c>
      <c r="AU16" s="13">
        <f t="shared" si="89"/>
        <v>0</v>
      </c>
      <c r="AV16" s="13">
        <f t="shared" si="90"/>
        <v>0</v>
      </c>
      <c r="AW16" s="13">
        <f t="shared" si="91"/>
        <v>0</v>
      </c>
      <c r="AX16" s="13">
        <f t="shared" si="92"/>
        <v>0</v>
      </c>
      <c r="AY16" s="13">
        <f t="shared" si="93"/>
        <v>0</v>
      </c>
      <c r="AZ16" s="13">
        <f t="shared" si="94"/>
        <v>0</v>
      </c>
      <c r="BA16" s="13">
        <f t="shared" si="95"/>
        <v>0</v>
      </c>
      <c r="BB16" s="13">
        <f t="shared" si="96"/>
        <v>0</v>
      </c>
      <c r="BC16" s="13">
        <f t="shared" si="97"/>
        <v>0</v>
      </c>
      <c r="BD16" s="13">
        <f t="shared" si="98"/>
        <v>0</v>
      </c>
      <c r="BE16" s="13">
        <f t="shared" si="99"/>
        <v>0</v>
      </c>
      <c r="BF16" s="13">
        <f t="shared" si="100"/>
        <v>0</v>
      </c>
      <c r="BG16" s="13">
        <f t="shared" si="101"/>
        <v>0</v>
      </c>
      <c r="BH16" s="13">
        <f t="shared" si="102"/>
        <v>0</v>
      </c>
      <c r="BI16" s="13">
        <f t="shared" si="103"/>
        <v>0</v>
      </c>
      <c r="BJ16" s="13">
        <f t="shared" si="104"/>
        <v>0</v>
      </c>
      <c r="BK16" s="13">
        <f t="shared" si="105"/>
        <v>0</v>
      </c>
      <c r="BL16" s="13">
        <f t="shared" si="106"/>
        <v>0</v>
      </c>
      <c r="BM16" s="13">
        <f t="shared" si="107"/>
        <v>0</v>
      </c>
      <c r="BN16" s="13">
        <f t="shared" si="108"/>
        <v>0</v>
      </c>
      <c r="BO16" s="13">
        <f t="shared" si="109"/>
        <v>0</v>
      </c>
      <c r="BP16" s="13">
        <f t="shared" si="110"/>
        <v>0</v>
      </c>
      <c r="BQ16" s="13">
        <f t="shared" si="111"/>
        <v>0</v>
      </c>
      <c r="BT16" s="88" t="s">
        <v>82</v>
      </c>
      <c r="BU16" s="13">
        <f t="shared" si="112"/>
        <v>0</v>
      </c>
      <c r="BV16" s="13">
        <f t="shared" si="113"/>
        <v>0</v>
      </c>
      <c r="BW16" s="13">
        <f t="shared" si="114"/>
        <v>0</v>
      </c>
      <c r="BX16" s="13">
        <f t="shared" si="115"/>
        <v>0</v>
      </c>
      <c r="BY16" s="13">
        <f t="shared" si="116"/>
        <v>0</v>
      </c>
      <c r="BZ16" s="13">
        <f t="shared" si="117"/>
        <v>0</v>
      </c>
      <c r="CA16" s="13">
        <f t="shared" si="118"/>
        <v>0</v>
      </c>
      <c r="CB16" s="89" t="s">
        <v>57</v>
      </c>
      <c r="CC16" s="74">
        <f>RANK(CA16,CA13:CA16)</f>
        <v>1</v>
      </c>
      <c r="CD16" s="13">
        <f>SUMPRODUCT((CA13:CA16=CA16)*(BZ13:BZ16&gt;BZ16))</f>
        <v>0</v>
      </c>
      <c r="CF16" s="12" t="str">
        <f t="shared" si="119"/>
        <v>Schweiz</v>
      </c>
      <c r="CG16" s="13">
        <f t="shared" si="120"/>
        <v>0</v>
      </c>
      <c r="CH16" s="13">
        <f t="shared" si="121"/>
        <v>0</v>
      </c>
      <c r="CI16" s="13">
        <f t="shared" si="122"/>
        <v>0</v>
      </c>
      <c r="CJ16" s="13">
        <f t="shared" si="123"/>
        <v>0</v>
      </c>
      <c r="CK16" s="13" t="str">
        <f t="shared" si="125"/>
        <v>B</v>
      </c>
      <c r="CL16" s="13">
        <f>IF(CF16&gt;0,RANK(CJ16,CJ13:CJ16),)</f>
        <v>1</v>
      </c>
      <c r="CM16" s="13">
        <f>IF(AND(CF16&gt;0,COUNTIF(CL13:CL16,CL16)&gt;1),SUMIFS($AI$4:$AI$108,$AF$4:$AF$108,$BT16,$M$4:$M$108,1)+SUMIFS($AK$4:$AK$108,$AH$4:$AH$108,$BT16,$M$4:$M$108,1)-SUMIFS($AK$4:$AK$108,$AF$4:$AF$108,$BT16,$M$4:$M$108,1)-SUMIFS($AI$4:$AI$108,$AH$4:$AH$108,$BT16,$M$4:$M$108,1),)</f>
        <v>0</v>
      </c>
      <c r="CN16" s="13">
        <f>IF(AND(CF16&gt;0,COUNTIF(CL13:CL16,CL16)&gt;1),CL16+RANK(CM16,CM13:CM16)-1,CL16)</f>
        <v>1</v>
      </c>
      <c r="CO16" s="13">
        <f>IF(AND(CF16&gt;0,COUNTIF(CN13:CN16,CN16)&gt;1),SUMIFS($AI$4:$AI$108,$AF$4:$AF$108,$BT16,$M$4:$M$108,1)+SUMIFS($AK$4:$AK$108,$AH$4:$AH$108,$BT16,$M$4:$M$108,1),)</f>
        <v>0</v>
      </c>
      <c r="CP16" s="13">
        <f>IF(AND(CF16&gt;0,COUNTIF(CN13:CN16,CN16)&gt;1),CN16+RANK(CO16,CO13:CO16)-1,CN16)</f>
        <v>1</v>
      </c>
      <c r="CQ16" s="13">
        <f t="shared" si="126"/>
        <v>1</v>
      </c>
      <c r="CR16" s="13">
        <f>IF(OR(CQ16="",COUNTIF(CQ13:CQ16,CQ16)=1),"",$BZ16)</f>
        <v>0</v>
      </c>
      <c r="CS16" s="13">
        <f>IF(CQ16="","",IF(COUNTIF(CQ13:CQ16,CQ16)=1,CQ16,CQ16+RANK(CR16,CR13:CR16,0)-1))</f>
        <v>1</v>
      </c>
      <c r="CT16" s="13">
        <f>IF(OR(CS16="",COUNTIF(CS13:CS16,CS16)=1),"",$BX16)</f>
        <v>0</v>
      </c>
      <c r="CU16" s="13">
        <f>IF(CQ16="","",IF(COUNTIF(CS13:CS16,CS16)=1,CS16,CS16+RANK(CT16,CT13:CT16,0)-1))</f>
        <v>1</v>
      </c>
      <c r="CV16" s="13">
        <f>IF(OR(CU16="",COUNTIF(CU13:CU16,CU16)=1),"",$BU16)</f>
        <v>0</v>
      </c>
      <c r="CW16" s="13">
        <f>IF(CQ16="","",IF(COUNTIF(CU13:CU16,CU16)=1,CU16,CU16+RANK(CV16,CV13:CV16,0)-1))</f>
        <v>1</v>
      </c>
      <c r="CX16" s="13">
        <f>IF(CF16&gt;0,BM11+RANK(CW16,CW13:CW16,1),)</f>
        <v>1</v>
      </c>
      <c r="CZ16" s="88">
        <f>IF(CC16=2,BT16,)</f>
        <v>0</v>
      </c>
      <c r="DA16" s="13">
        <f>(SUMIF($AF$4:$AF$108,$BT16,$AZ$4:$AZ$108)+SUMIF($AH$4:$AH$108,$BT16,$BA$4:$BA$108))</f>
        <v>0</v>
      </c>
      <c r="DB16" s="13">
        <f t="shared" si="127"/>
        <v>0</v>
      </c>
      <c r="DC16" s="13">
        <f t="shared" si="128"/>
        <v>0</v>
      </c>
      <c r="DD16" s="13">
        <f t="shared" si="129"/>
        <v>0</v>
      </c>
      <c r="DE16" s="13" t="str">
        <f t="shared" si="130"/>
        <v>B</v>
      </c>
      <c r="DF16" s="13">
        <f>IF(CZ16&gt;0,RANK(DD16,DD13:DD16)+CG11,)</f>
        <v>0</v>
      </c>
      <c r="DG16" s="13">
        <f>IF(AND(CZ16&gt;0,COUNTIF(DF13:DF16,DF16)&gt;1),SUMIFS($AI$4:$AI$108,$AF$4:$AF$108,$BT16,$M$4:$M$108,2)+SUMIFS($AK$4:$AK$108,$AH$4:$AH108,$BT16,$M$4:$M$108,2)-SUMIFS($AK$4:$AK$108,$AF$4:$AF$108,$BT16,$M$4:$M$108,2)-SUMIFS($AI$4:$AI$108,$AH$4:$AH$108,$BT16,$M$4:$M$108,2),)</f>
        <v>0</v>
      </c>
      <c r="DH16" s="13">
        <f>IF(AND(CZ16&gt;0,COUNTIF(DF13:DF16,DF16)&gt;1),DF16+RANK(DG16,DG13:DG16)-1,DF16)</f>
        <v>0</v>
      </c>
      <c r="DI16" s="13">
        <f>IF(AND(CZ16&gt;0,COUNTIF(DH13:DH16,DH16)&gt;1),SUMIFS($AI$4:$AI$108,$AF$4:$AF$108,$BT16,$M$4:$M$108,2)+SUMIFS($AK$4:$AK$108,$AH$4:$AH$108,$BT16,$M$4:$M$108,2),)</f>
        <v>0</v>
      </c>
      <c r="DJ16" s="13">
        <f>IF(AND(CZ16&gt;0,COUNTIF(DH13:DH16,DH16)&gt;1),DH16+RANK(DI16,DI13:DI16)-1,DH16)</f>
        <v>0</v>
      </c>
      <c r="DK16" s="75" t="str">
        <f t="shared" si="131"/>
        <v/>
      </c>
      <c r="DL16" s="75" t="str">
        <f>IF(OR(DK16="",COUNTIF(DK13:DK16,DK16)=1),"",$BZ16)</f>
        <v/>
      </c>
      <c r="DM16" s="75" t="str">
        <f>IF(DK16="","",IF(COUNTIF(DK13:DK16,DK16)=1,DK16,DK16+RANK(DL16,DL13:DL16,0)-1))</f>
        <v/>
      </c>
      <c r="DN16" s="75" t="str">
        <f>IF(OR(DM16="",COUNTIF(DM13:DM16,DM16)=1),"",$BX16)</f>
        <v/>
      </c>
      <c r="DO16" s="75" t="str">
        <f>IF(DK16="","",IF(COUNTIF(DM13:DM16,DM16)=1,DM16,DM16+RANK(DN16,DN13:DN16,0)-1))</f>
        <v/>
      </c>
      <c r="DP16" s="75" t="str">
        <f>IF(OR(DO16="",COUNTIF(DO13:DO16,DO16)=1),"",$BU16)</f>
        <v/>
      </c>
      <c r="DQ16" s="75" t="str">
        <f>IF(DK16="","",IF(COUNTIF(DO13:DO16,DO16)=1,DO16,DO16+RANK(DP16,DP13:DP16,0)-1))</f>
        <v/>
      </c>
      <c r="DR16" s="13">
        <f>IF(CZ16&gt;0,CG11+RANK(DQ16,DQ13:DQ16,1),)</f>
        <v>0</v>
      </c>
      <c r="DT16" s="89">
        <f>IF(CC16=3,BT16,)</f>
        <v>0</v>
      </c>
      <c r="DU16" s="13">
        <f t="shared" si="132"/>
        <v>0</v>
      </c>
      <c r="DV16" s="13">
        <f t="shared" si="133"/>
        <v>0</v>
      </c>
      <c r="DW16" s="13">
        <f t="shared" si="134"/>
        <v>0</v>
      </c>
      <c r="DX16" s="13">
        <f>IFERROR(DU16*3+DV16*1,0)</f>
        <v>0</v>
      </c>
      <c r="DY16" s="13" t="str">
        <f t="shared" si="135"/>
        <v>B</v>
      </c>
      <c r="DZ16" s="13">
        <f>IF(DT16&gt;0,RANK(DX16,DX13:DX16)+CG11+DA11,)</f>
        <v>0</v>
      </c>
      <c r="EA16" s="13">
        <f>IF(AND(DT16&gt;0,COUNTIF(DZ13:DZ16,DZ16)&gt;1),SUMIFS($AI$4:$AI$108,$AF$4:$AF$108,$BT16,$M$4:$M$108,3)+SUMIFS($AK$4:$AK$108,$AH$4:$AH$108,$BT16,$M$4:$M$108,3)-SUMIFS($AK$4:$AK$108,$AF$4:$AF$108,$BT16,$M$4:$M$108,3)-SUMIFS($AI$4:$AI$108,$AH$4:$AH$108,$BT16,$M$4:$M$108,3),)</f>
        <v>0</v>
      </c>
      <c r="EB16" s="13">
        <f>IF(AND(DT16&gt;0,COUNTIF(DZ13:DZ16,DZ16)&gt;1),DZ16+RANK(EA16,EA13:EA16)-1,DZ16)</f>
        <v>0</v>
      </c>
      <c r="EC16" s="13">
        <f>IF(AND(DT16&gt;0,COUNTIF(EB13:EB16,EB16)&gt;1),SUMIFS($AI$4:$AI$108,$AF$4:$AF$108,$BT16,$M$4:$M$108,3)+SUMIFS($AK$4:$AK$108,$AH$4:$AH$108,$BT16,$M$4:$M$108,3),)</f>
        <v>0</v>
      </c>
      <c r="ED16" s="13">
        <f>IF(AND(DT16&gt;0,COUNTIF(EB13:EB16,EB16)&gt;1),EB16+RANK(EC16,EC13:EC16)-1,EB16)</f>
        <v>0</v>
      </c>
      <c r="EE16" s="13" t="str">
        <f t="shared" si="136"/>
        <v/>
      </c>
      <c r="EF16" s="13" t="str">
        <f>IF(OR(EE16="",COUNTIF(EE13:EE16,EE16)=1),"",$BZ16)</f>
        <v/>
      </c>
      <c r="EG16" s="13" t="str">
        <f>IF(EE16="","",IF(COUNTIF(EE13:EE16,EE16)=1,EE16,EE16+RANK(EF16,EF13:EF16,0)-1))</f>
        <v/>
      </c>
      <c r="EH16" s="13" t="str">
        <f>IF(OR(EG16="",COUNTIF(EG13:EG16,EG16)=1),"",$BX16)</f>
        <v/>
      </c>
      <c r="EI16" s="13" t="str">
        <f>IF(EE16="","",IF(COUNTIF(EG13:EG16,EG16)=1,EG16,EG16+RANK(EH16,EH13:EH16,0)-1))</f>
        <v/>
      </c>
      <c r="EJ16" s="13" t="str">
        <f>IF(OR(EI16="",COUNTIF(EI13:EI16,EI16)=1),"",$BU16)</f>
        <v/>
      </c>
      <c r="EK16" s="13" t="str">
        <f>IF(EE16="","",IF(COUNTIF(EI13:EI16,EI16)=1,EI16,EI16+RANK(EJ16,EJ13:EJ16,0)-1))</f>
        <v/>
      </c>
      <c r="EL16" s="13">
        <f>IF(DT16&gt;0,CG11+DA11+RANK(EK16,EK13:EK16,1),)</f>
        <v>0</v>
      </c>
      <c r="EN16" s="13">
        <f>IF(CC16=4,BT16,)</f>
        <v>0</v>
      </c>
      <c r="EO16" s="13">
        <f t="shared" si="137"/>
        <v>0</v>
      </c>
      <c r="EP16" s="13">
        <f t="shared" si="138"/>
        <v>0</v>
      </c>
      <c r="EQ16" s="13">
        <f t="shared" si="139"/>
        <v>0</v>
      </c>
      <c r="ER16" s="13">
        <f t="shared" si="140"/>
        <v>0</v>
      </c>
      <c r="ES16" s="13" t="str">
        <f t="shared" si="141"/>
        <v>B</v>
      </c>
      <c r="ET16" s="13">
        <f>IF(EN16&gt;0,RANK(ER16,ER13:ER16)+CG11+DA11+DU11,)</f>
        <v>0</v>
      </c>
      <c r="EU16" s="13">
        <f>IF(AND(EN16&gt;0,COUNTIF(ET13:ET16,ET16)&gt;1),SUMIFS($AI$4:$AI$108,$AF$4:$AF$108,$BT16,$M$4:$M$108,4)+SUMIFS($AK$4:$AK$108,$AH$4:$AH$108,$BT16,$M$4:$M$108,4)-SUMIFS($AK$4:$AK$108,$AF$4:$AF$108,$BT16,$M$4:$M$108,4)-SUMIFS($AI$4:$AI$108,$AH$4:$AH$108,$BT16,$M$4:$M$108,4),)</f>
        <v>0</v>
      </c>
      <c r="EV16" s="13">
        <f>IF(AND(EN16&gt;0,COUNTIF(ET13:ET16,ET16)&gt;1),ET16+RANK(EU16,EU13:EU16)-1,ET16)</f>
        <v>0</v>
      </c>
      <c r="EW16" s="13">
        <f t="shared" si="142"/>
        <v>0</v>
      </c>
      <c r="EX16" s="13">
        <f>IF(AND(EN16&gt;0,COUNTIF(EV13:EV16,EV16)&gt;1),EV16+RANK(EW16,EW13:EW16)-1,EV16)</f>
        <v>0</v>
      </c>
      <c r="EY16" s="13" t="str">
        <f t="shared" si="143"/>
        <v/>
      </c>
      <c r="EZ16" s="13" t="str">
        <f>IF(OR(EY16="",COUNTIF(EY13:EY16,EY16)=1),"",$BZ16)</f>
        <v/>
      </c>
      <c r="FA16" s="13" t="str">
        <f>IF(EY16="","",IF(COUNTIF(EY13:EY16,EY16)=1,EY16,EY16+RANK(EZ16,EZ13:EZ16,0)-1))</f>
        <v/>
      </c>
      <c r="FB16" s="13" t="str">
        <f>IF(OR(FA16="",COUNTIF(FA13:FA16,FA16)=1),"",$BX16)</f>
        <v/>
      </c>
      <c r="FC16" s="13" t="str">
        <f>IF(EY16="","",IF(COUNTIF(FA13:FA16,FA16)=1,FA16,FA16+RANK(FB16,FB13:FB16,0)-1))</f>
        <v/>
      </c>
      <c r="FD16" s="13" t="str">
        <f>IF(OR(FC16="",COUNTIF(FC13:FC16,FC16)=1),"",$BU16)</f>
        <v/>
      </c>
      <c r="FE16" s="13" t="str">
        <f>IF(EY16="","",IF(COUNTIF(FC13:FC16,FC16)=1,FC16,FC16+RANK(FD16,FD13:FD16,0)-1))</f>
        <v/>
      </c>
      <c r="FF16" s="13">
        <f>IF(EN16&gt;0,CG11+DA11+DU11+RANK(FE16,FE13:FE16,1),)</f>
        <v>0</v>
      </c>
      <c r="FH16" s="13">
        <f>IFERROR(VLOOKUP(FJ16,CF12:CX16,19,FALSE),IFERROR(VLOOKUP(FJ16,CZ12:DR16,19,FALSE),IFERROR(VLOOKUP(FJ16,DT12:EL16,19,FALSE),VLOOKUP(FJ16,EN12:FF16,19,FALSE))))</f>
        <v>1</v>
      </c>
      <c r="FI16" s="13">
        <f>RANK(FH16,FH13:FH16,1)+COUNTIF(FH13:FH16,FH16)-1</f>
        <v>4</v>
      </c>
      <c r="FJ16" s="12" t="str">
        <f>BT16</f>
        <v>Schweiz</v>
      </c>
      <c r="FZ16" s="79">
        <v>14</v>
      </c>
      <c r="GA16" s="3" t="str">
        <f t="shared" si="72"/>
        <v>EGICJFLK</v>
      </c>
      <c r="GB16" s="3" t="s">
        <v>59</v>
      </c>
      <c r="GC16" s="3" t="s">
        <v>60</v>
      </c>
      <c r="GD16" s="3" t="s">
        <v>61</v>
      </c>
      <c r="GE16" s="3" t="s">
        <v>75</v>
      </c>
      <c r="GF16" s="3" t="s">
        <v>69</v>
      </c>
      <c r="GG16" s="3" t="s">
        <v>21</v>
      </c>
      <c r="GH16" s="3" t="s">
        <v>63</v>
      </c>
      <c r="GI16" s="3" t="s">
        <v>62</v>
      </c>
      <c r="GJ16" s="9" t="str">
        <f t="shared" si="73"/>
        <v>Elfenbenskusten</v>
      </c>
      <c r="GK16" s="9" t="str">
        <f t="shared" si="35"/>
        <v>Iran</v>
      </c>
      <c r="GL16" s="9" t="str">
        <f t="shared" si="35"/>
        <v>Irak</v>
      </c>
      <c r="GM16" s="9" t="str">
        <f t="shared" si="35"/>
        <v>Haiti</v>
      </c>
      <c r="GN16" s="9" t="str">
        <f t="shared" si="35"/>
        <v>Österrike</v>
      </c>
      <c r="GO16" s="9" t="str">
        <f t="shared" si="35"/>
        <v>Sverige</v>
      </c>
      <c r="GP16" s="9" t="str">
        <f t="shared" si="35"/>
        <v>Ghana</v>
      </c>
      <c r="GQ16" s="9" t="str">
        <f t="shared" si="35"/>
        <v>Uzbekistan</v>
      </c>
      <c r="GR16" s="9" t="str">
        <f t="shared" si="75"/>
        <v/>
      </c>
      <c r="GX16" s="79"/>
    </row>
    <row r="17" spans="2:206" ht="14.25" customHeight="1" x14ac:dyDescent="0.25">
      <c r="B17" s="58">
        <v>51</v>
      </c>
      <c r="C17" s="59">
        <v>46197</v>
      </c>
      <c r="D17" s="60" t="s">
        <v>82</v>
      </c>
      <c r="E17" s="61" t="s">
        <v>66</v>
      </c>
      <c r="F17" s="62" t="s">
        <v>79</v>
      </c>
      <c r="G17" s="63"/>
      <c r="H17" s="64" t="s">
        <v>66</v>
      </c>
      <c r="I17" s="63"/>
      <c r="J17" s="65" t="str">
        <f t="shared" si="124"/>
        <v/>
      </c>
      <c r="K17" s="66">
        <f>IF(OR(G17="",I17="",'[1]Resultat &amp; tabell'!G17="",'[1]Resultat &amp; tabell'!I17=""),0,IF(G17='[1]Resultat &amp; tabell'!G17,2,0)+IF(I17='[1]Resultat &amp; tabell'!I17,2,0)+IF(J17='[1]Resultat &amp; tabell'!J17,2,0))</f>
        <v>0</v>
      </c>
      <c r="L17" s="67"/>
      <c r="M17" s="29">
        <f t="shared" si="76"/>
        <v>1</v>
      </c>
      <c r="O17" s="91" t="str">
        <f>IF(COUNTBLANK(G13:G18)+COUNTBLANK(I13:I18)=0,"Resultat OK","Fyll i resultat")</f>
        <v>Fyll i resultat</v>
      </c>
      <c r="P17" s="92"/>
      <c r="Q17" s="92"/>
      <c r="R17" s="92"/>
      <c r="S17" s="92"/>
      <c r="T17" s="92"/>
      <c r="U17" s="92"/>
      <c r="V17" s="3"/>
      <c r="X17"/>
      <c r="Y17" s="79"/>
      <c r="Z17"/>
      <c r="AA17" s="79"/>
      <c r="AB17" s="9"/>
      <c r="AC17" s="108"/>
      <c r="AE17" s="72">
        <f t="shared" si="77"/>
        <v>46197</v>
      </c>
      <c r="AF17" s="72" t="str">
        <f t="shared" si="77"/>
        <v>Schweiz</v>
      </c>
      <c r="AG17" s="72" t="str">
        <f t="shared" si="77"/>
        <v>-</v>
      </c>
      <c r="AH17" s="72" t="str">
        <f t="shared" si="77"/>
        <v>Kanada</v>
      </c>
      <c r="AI17" s="63" t="str">
        <f t="shared" si="78"/>
        <v/>
      </c>
      <c r="AJ17" s="58" t="str">
        <f t="shared" si="79"/>
        <v>-</v>
      </c>
      <c r="AK17" s="63" t="str">
        <f t="shared" si="80"/>
        <v/>
      </c>
      <c r="AL17" s="65" t="str">
        <f t="shared" si="81"/>
        <v/>
      </c>
      <c r="AM17" s="73"/>
      <c r="AN17" s="13">
        <f t="shared" si="82"/>
        <v>0</v>
      </c>
      <c r="AO17" s="13">
        <f t="shared" si="83"/>
        <v>0</v>
      </c>
      <c r="AP17" s="13">
        <f t="shared" si="84"/>
        <v>0</v>
      </c>
      <c r="AQ17" s="13">
        <f t="shared" si="85"/>
        <v>0</v>
      </c>
      <c r="AR17" s="13">
        <f t="shared" si="86"/>
        <v>0</v>
      </c>
      <c r="AS17" s="13">
        <f t="shared" si="87"/>
        <v>0</v>
      </c>
      <c r="AT17" s="13">
        <f t="shared" si="88"/>
        <v>0</v>
      </c>
      <c r="AU17" s="13">
        <f t="shared" si="89"/>
        <v>0</v>
      </c>
      <c r="AV17" s="13">
        <f t="shared" si="90"/>
        <v>0</v>
      </c>
      <c r="AW17" s="13">
        <f t="shared" si="91"/>
        <v>0</v>
      </c>
      <c r="AX17" s="13">
        <f t="shared" si="92"/>
        <v>0</v>
      </c>
      <c r="AY17" s="13">
        <f t="shared" si="93"/>
        <v>0</v>
      </c>
      <c r="AZ17" s="13">
        <f t="shared" si="94"/>
        <v>0</v>
      </c>
      <c r="BA17" s="13">
        <f t="shared" si="95"/>
        <v>0</v>
      </c>
      <c r="BB17" s="13">
        <f t="shared" si="96"/>
        <v>0</v>
      </c>
      <c r="BC17" s="13">
        <f t="shared" si="97"/>
        <v>0</v>
      </c>
      <c r="BD17" s="13">
        <f t="shared" si="98"/>
        <v>0</v>
      </c>
      <c r="BE17" s="13">
        <f t="shared" si="99"/>
        <v>0</v>
      </c>
      <c r="BF17" s="13">
        <f t="shared" si="100"/>
        <v>0</v>
      </c>
      <c r="BG17" s="13">
        <f t="shared" si="101"/>
        <v>0</v>
      </c>
      <c r="BH17" s="13">
        <f t="shared" si="102"/>
        <v>0</v>
      </c>
      <c r="BI17" s="13">
        <f t="shared" si="103"/>
        <v>0</v>
      </c>
      <c r="BJ17" s="13">
        <f t="shared" si="104"/>
        <v>0</v>
      </c>
      <c r="BK17" s="13">
        <f t="shared" si="105"/>
        <v>0</v>
      </c>
      <c r="BL17" s="13">
        <f t="shared" si="106"/>
        <v>0</v>
      </c>
      <c r="BM17" s="13">
        <f t="shared" si="107"/>
        <v>0</v>
      </c>
      <c r="BN17" s="13">
        <f t="shared" si="108"/>
        <v>0</v>
      </c>
      <c r="BO17" s="13">
        <f t="shared" si="109"/>
        <v>0</v>
      </c>
      <c r="BP17" s="13">
        <f t="shared" si="110"/>
        <v>0</v>
      </c>
      <c r="BQ17" s="13">
        <f t="shared" si="111"/>
        <v>0</v>
      </c>
      <c r="FZ17" s="79">
        <v>15</v>
      </c>
      <c r="GA17" s="3" t="str">
        <f t="shared" si="72"/>
        <v>EGJCHFLK</v>
      </c>
      <c r="GB17" s="3" t="s">
        <v>59</v>
      </c>
      <c r="GC17" s="3" t="s">
        <v>60</v>
      </c>
      <c r="GD17" s="3" t="s">
        <v>69</v>
      </c>
      <c r="GE17" s="3" t="s">
        <v>75</v>
      </c>
      <c r="GF17" s="3" t="s">
        <v>70</v>
      </c>
      <c r="GG17" s="3" t="s">
        <v>21</v>
      </c>
      <c r="GH17" s="3" t="s">
        <v>63</v>
      </c>
      <c r="GI17" s="3" t="s">
        <v>62</v>
      </c>
      <c r="GJ17" s="9" t="str">
        <f t="shared" si="73"/>
        <v>Elfenbenskusten</v>
      </c>
      <c r="GK17" s="9" t="str">
        <f t="shared" si="35"/>
        <v>Iran</v>
      </c>
      <c r="GL17" s="9" t="str">
        <f t="shared" si="35"/>
        <v>Österrike</v>
      </c>
      <c r="GM17" s="9" t="str">
        <f t="shared" si="35"/>
        <v>Haiti</v>
      </c>
      <c r="GN17" s="9" t="str">
        <f t="shared" si="35"/>
        <v>Saudiarabien</v>
      </c>
      <c r="GO17" s="9" t="str">
        <f t="shared" si="35"/>
        <v>Sverige</v>
      </c>
      <c r="GP17" s="9" t="str">
        <f t="shared" si="35"/>
        <v>Ghana</v>
      </c>
      <c r="GQ17" s="9" t="str">
        <f t="shared" si="35"/>
        <v>Uzbekistan</v>
      </c>
      <c r="GR17" s="9" t="str">
        <f t="shared" si="75"/>
        <v/>
      </c>
      <c r="GX17" s="79"/>
    </row>
    <row r="18" spans="2:206" ht="14.25" customHeight="1" thickBot="1" x14ac:dyDescent="0.3">
      <c r="B18" s="58">
        <v>52</v>
      </c>
      <c r="C18" s="59">
        <v>46197</v>
      </c>
      <c r="D18" s="60" t="s">
        <v>80</v>
      </c>
      <c r="E18" s="61" t="s">
        <v>66</v>
      </c>
      <c r="F18" s="62" t="s">
        <v>81</v>
      </c>
      <c r="G18" s="63"/>
      <c r="H18" s="64" t="s">
        <v>66</v>
      </c>
      <c r="I18" s="63"/>
      <c r="J18" s="65" t="str">
        <f t="shared" si="124"/>
        <v/>
      </c>
      <c r="K18" s="66">
        <f>IF(OR(G18="",I18="",'[1]Resultat &amp; tabell'!G18="",'[1]Resultat &amp; tabell'!I18=""),0,IF(G18='[1]Resultat &amp; tabell'!G18,2,0)+IF(I18='[1]Resultat &amp; tabell'!I18,2,0)+IF(J18='[1]Resultat &amp; tabell'!J18,2,0))</f>
        <v>0</v>
      </c>
      <c r="L18" s="67"/>
      <c r="M18" s="29">
        <f t="shared" si="76"/>
        <v>1</v>
      </c>
      <c r="V18" s="3"/>
      <c r="X18" s="104"/>
      <c r="Y18" s="79"/>
      <c r="Z18" s="79"/>
      <c r="AA18" s="79"/>
      <c r="AB18" s="9"/>
      <c r="AC18" s="108"/>
      <c r="AE18" s="72">
        <f t="shared" si="77"/>
        <v>46197</v>
      </c>
      <c r="AF18" s="72" t="str">
        <f t="shared" si="77"/>
        <v>Bosnien-Herzigovina</v>
      </c>
      <c r="AG18" s="72" t="str">
        <f t="shared" si="77"/>
        <v>-</v>
      </c>
      <c r="AH18" s="72" t="str">
        <f t="shared" si="77"/>
        <v>Qatar</v>
      </c>
      <c r="AI18" s="63" t="str">
        <f t="shared" si="78"/>
        <v/>
      </c>
      <c r="AJ18" s="58" t="str">
        <f t="shared" si="79"/>
        <v>-</v>
      </c>
      <c r="AK18" s="63" t="str">
        <f t="shared" si="80"/>
        <v/>
      </c>
      <c r="AL18" s="65" t="str">
        <f t="shared" si="81"/>
        <v/>
      </c>
      <c r="AM18" s="73"/>
      <c r="AN18" s="13">
        <f t="shared" si="82"/>
        <v>0</v>
      </c>
      <c r="AO18" s="13">
        <f t="shared" si="83"/>
        <v>0</v>
      </c>
      <c r="AP18" s="13">
        <f t="shared" si="84"/>
        <v>0</v>
      </c>
      <c r="AQ18" s="13">
        <f t="shared" si="85"/>
        <v>0</v>
      </c>
      <c r="AR18" s="13">
        <f t="shared" si="86"/>
        <v>0</v>
      </c>
      <c r="AS18" s="13">
        <f t="shared" si="87"/>
        <v>0</v>
      </c>
      <c r="AT18" s="13">
        <f t="shared" si="88"/>
        <v>0</v>
      </c>
      <c r="AU18" s="13">
        <f t="shared" si="89"/>
        <v>0</v>
      </c>
      <c r="AV18" s="13">
        <f t="shared" si="90"/>
        <v>0</v>
      </c>
      <c r="AW18" s="13">
        <f t="shared" si="91"/>
        <v>0</v>
      </c>
      <c r="AX18" s="13">
        <f t="shared" si="92"/>
        <v>0</v>
      </c>
      <c r="AY18" s="13">
        <f t="shared" si="93"/>
        <v>0</v>
      </c>
      <c r="AZ18" s="13">
        <f t="shared" si="94"/>
        <v>0</v>
      </c>
      <c r="BA18" s="13">
        <f t="shared" si="95"/>
        <v>0</v>
      </c>
      <c r="BB18" s="13">
        <f t="shared" si="96"/>
        <v>0</v>
      </c>
      <c r="BC18" s="13">
        <f t="shared" si="97"/>
        <v>0</v>
      </c>
      <c r="BD18" s="13">
        <f t="shared" si="98"/>
        <v>0</v>
      </c>
      <c r="BE18" s="13">
        <f t="shared" si="99"/>
        <v>0</v>
      </c>
      <c r="BF18" s="13">
        <f t="shared" si="100"/>
        <v>0</v>
      </c>
      <c r="BG18" s="13">
        <f t="shared" si="101"/>
        <v>0</v>
      </c>
      <c r="BH18" s="13">
        <f t="shared" si="102"/>
        <v>0</v>
      </c>
      <c r="BI18" s="13">
        <f t="shared" si="103"/>
        <v>0</v>
      </c>
      <c r="BJ18" s="13">
        <f t="shared" si="104"/>
        <v>0</v>
      </c>
      <c r="BK18" s="13">
        <f t="shared" si="105"/>
        <v>0</v>
      </c>
      <c r="BL18" s="13">
        <f t="shared" si="106"/>
        <v>0</v>
      </c>
      <c r="BM18" s="13">
        <f t="shared" si="107"/>
        <v>0</v>
      </c>
      <c r="BN18" s="13">
        <f t="shared" si="108"/>
        <v>0</v>
      </c>
      <c r="BO18" s="13">
        <f t="shared" si="109"/>
        <v>0</v>
      </c>
      <c r="BP18" s="13">
        <f t="shared" si="110"/>
        <v>0</v>
      </c>
      <c r="BQ18" s="13">
        <f t="shared" si="111"/>
        <v>0</v>
      </c>
      <c r="FZ18" s="79">
        <v>16</v>
      </c>
      <c r="GA18" s="3" t="str">
        <f t="shared" si="72"/>
        <v>EGICHFLK</v>
      </c>
      <c r="GB18" s="3" t="s">
        <v>59</v>
      </c>
      <c r="GC18" s="3" t="s">
        <v>60</v>
      </c>
      <c r="GD18" s="3" t="s">
        <v>61</v>
      </c>
      <c r="GE18" s="3" t="s">
        <v>75</v>
      </c>
      <c r="GF18" s="3" t="s">
        <v>70</v>
      </c>
      <c r="GG18" s="3" t="s">
        <v>21</v>
      </c>
      <c r="GH18" s="3" t="s">
        <v>63</v>
      </c>
      <c r="GI18" s="3" t="s">
        <v>62</v>
      </c>
      <c r="GJ18" s="9" t="str">
        <f t="shared" si="73"/>
        <v>Elfenbenskusten</v>
      </c>
      <c r="GK18" s="9" t="str">
        <f t="shared" si="35"/>
        <v>Iran</v>
      </c>
      <c r="GL18" s="9" t="str">
        <f t="shared" si="35"/>
        <v>Irak</v>
      </c>
      <c r="GM18" s="9" t="str">
        <f t="shared" si="35"/>
        <v>Haiti</v>
      </c>
      <c r="GN18" s="9" t="str">
        <f t="shared" si="35"/>
        <v>Saudiarabien</v>
      </c>
      <c r="GO18" s="9" t="str">
        <f t="shared" si="35"/>
        <v>Sverige</v>
      </c>
      <c r="GP18" s="9" t="str">
        <f t="shared" si="35"/>
        <v>Ghana</v>
      </c>
      <c r="GQ18" s="9" t="str">
        <f t="shared" si="35"/>
        <v>Uzbekistan</v>
      </c>
      <c r="GR18" s="9" t="str">
        <f t="shared" si="75"/>
        <v/>
      </c>
      <c r="GX18" s="79"/>
    </row>
    <row r="19" spans="2:206" ht="14.25" customHeight="1" thickBot="1" x14ac:dyDescent="0.3">
      <c r="C19" s="94"/>
      <c r="E19" s="12"/>
      <c r="I19" s="109"/>
      <c r="J19" s="23"/>
      <c r="K19" s="16"/>
      <c r="L19" s="49"/>
      <c r="V19" s="3"/>
      <c r="X19"/>
      <c r="Y19" s="79"/>
      <c r="Z19" s="110"/>
      <c r="AA19" s="79"/>
      <c r="AB19" s="104"/>
      <c r="AC19" s="43"/>
      <c r="AE19" s="111"/>
      <c r="AF19" s="112"/>
      <c r="AG19" s="113"/>
      <c r="AH19" s="113"/>
      <c r="AK19" s="114"/>
      <c r="AL19" s="23"/>
      <c r="AM19" s="16"/>
      <c r="FM19" s="42" t="s">
        <v>83</v>
      </c>
      <c r="FN19" s="115" t="b">
        <f>OR(O8="Fyll i resultat",O17="Fyll i resultat",O26="Fyll i resultat",O35="Fyll i resultat",O44="Fyll i resultat",O53="Fyll i resultat",O62="Fyll i resultat",O71="Fyll i resultat",O80="Fyll i resultat",O89="Fyll i resultat",O98="Fyll i resultat",O107="Fyll i resultat")</f>
        <v>1</v>
      </c>
      <c r="FZ19" s="79">
        <v>17</v>
      </c>
      <c r="GA19" s="3" t="str">
        <f t="shared" si="72"/>
        <v>EGJCHFLI</v>
      </c>
      <c r="GB19" s="3" t="s">
        <v>59</v>
      </c>
      <c r="GC19" s="3" t="s">
        <v>60</v>
      </c>
      <c r="GD19" s="3" t="s">
        <v>69</v>
      </c>
      <c r="GE19" s="3" t="s">
        <v>75</v>
      </c>
      <c r="GF19" s="3" t="s">
        <v>70</v>
      </c>
      <c r="GG19" s="3" t="s">
        <v>21</v>
      </c>
      <c r="GH19" s="3" t="s">
        <v>63</v>
      </c>
      <c r="GI19" s="3" t="s">
        <v>61</v>
      </c>
      <c r="GJ19" s="9" t="str">
        <f t="shared" si="73"/>
        <v>Elfenbenskusten</v>
      </c>
      <c r="GK19" s="9" t="str">
        <f t="shared" si="35"/>
        <v>Iran</v>
      </c>
      <c r="GL19" s="9" t="str">
        <f t="shared" si="35"/>
        <v>Österrike</v>
      </c>
      <c r="GM19" s="9" t="str">
        <f t="shared" si="35"/>
        <v>Haiti</v>
      </c>
      <c r="GN19" s="9" t="str">
        <f t="shared" si="35"/>
        <v>Saudiarabien</v>
      </c>
      <c r="GO19" s="9" t="str">
        <f t="shared" si="35"/>
        <v>Sverige</v>
      </c>
      <c r="GP19" s="9" t="str">
        <f t="shared" si="35"/>
        <v>Ghana</v>
      </c>
      <c r="GQ19" s="9" t="str">
        <f t="shared" si="35"/>
        <v>Irak</v>
      </c>
      <c r="GR19" s="9" t="str">
        <f t="shared" si="75"/>
        <v/>
      </c>
      <c r="GX19" s="79"/>
    </row>
    <row r="20" spans="2:206" s="104" customFormat="1" ht="12.75" customHeight="1" x14ac:dyDescent="0.25">
      <c r="B20" s="19" t="s">
        <v>84</v>
      </c>
      <c r="C20" s="97"/>
      <c r="D20" s="98"/>
      <c r="E20" s="33"/>
      <c r="F20" s="98"/>
      <c r="G20" s="25"/>
      <c r="H20" s="25"/>
      <c r="I20" s="7"/>
      <c r="J20" s="12"/>
      <c r="K20" s="12"/>
      <c r="L20" s="116"/>
      <c r="M20" s="103"/>
      <c r="N20" s="103"/>
      <c r="O20" s="19" t="s">
        <v>84</v>
      </c>
      <c r="V20" s="33"/>
      <c r="X20" s="104" t="s">
        <v>85</v>
      </c>
      <c r="AC20" s="43"/>
      <c r="AE20" s="32" t="s">
        <v>84</v>
      </c>
      <c r="AF20" s="9"/>
      <c r="AG20" s="9"/>
      <c r="AH20" s="9"/>
      <c r="AI20" s="33"/>
      <c r="AJ20" s="33"/>
      <c r="AK20" s="12"/>
      <c r="AL20" s="12"/>
      <c r="AM20" s="12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2"/>
      <c r="BS20" s="12"/>
      <c r="BT20" s="39" t="s">
        <v>4</v>
      </c>
      <c r="BU20" s="34"/>
      <c r="BV20" s="34"/>
      <c r="BW20" s="34"/>
      <c r="BX20" s="34"/>
      <c r="BY20" s="34"/>
      <c r="BZ20" s="34"/>
      <c r="CA20" s="34"/>
      <c r="CB20" s="39"/>
      <c r="CC20" s="34"/>
      <c r="CD20" s="34"/>
      <c r="CE20" s="12"/>
      <c r="CF20" s="40" t="s">
        <v>5</v>
      </c>
      <c r="CG20" s="35">
        <f>COUNTIF(CC22:CC25,1)</f>
        <v>4</v>
      </c>
      <c r="CH20" s="35"/>
      <c r="CI20" s="35"/>
      <c r="CJ20" s="35"/>
      <c r="CK20" s="35"/>
      <c r="CL20" s="35"/>
      <c r="CM20" s="35"/>
      <c r="CN20" s="35"/>
      <c r="CO20" s="35"/>
      <c r="CP20" s="35"/>
      <c r="CQ20" s="13"/>
      <c r="CR20" s="13"/>
      <c r="CS20" s="13"/>
      <c r="CT20" s="13"/>
      <c r="CU20" s="13"/>
      <c r="CV20" s="13"/>
      <c r="CW20" s="13"/>
      <c r="CX20" s="13"/>
      <c r="CY20" s="12"/>
      <c r="CZ20" s="41" t="s">
        <v>8</v>
      </c>
      <c r="DA20" s="36">
        <f>COUNTIF(CC22:CC25,2)</f>
        <v>0</v>
      </c>
      <c r="DB20" s="36"/>
      <c r="DC20" s="36"/>
      <c r="DD20" s="36"/>
      <c r="DE20" s="36"/>
      <c r="DF20" s="36"/>
      <c r="DG20" s="36"/>
      <c r="DH20" s="36"/>
      <c r="DI20" s="36"/>
      <c r="DJ20" s="41"/>
      <c r="DK20" s="12"/>
      <c r="DL20" s="12"/>
      <c r="DM20" s="12"/>
      <c r="DN20" s="12"/>
      <c r="DO20" s="12"/>
      <c r="DP20" s="12"/>
      <c r="DQ20" s="12"/>
      <c r="DR20" s="12"/>
      <c r="DS20" s="12"/>
      <c r="DT20" s="37" t="s">
        <v>6</v>
      </c>
      <c r="DU20" s="37">
        <f>COUNTIF(CC22:CC25,3)</f>
        <v>0</v>
      </c>
      <c r="DV20" s="37"/>
      <c r="DW20" s="37"/>
      <c r="DX20" s="37"/>
      <c r="DY20" s="37"/>
      <c r="DZ20" s="37"/>
      <c r="EA20" s="37"/>
      <c r="EB20" s="37"/>
      <c r="EC20" s="37"/>
      <c r="ED20" s="37"/>
      <c r="EE20" s="13"/>
      <c r="EF20" s="13"/>
      <c r="EG20" s="13"/>
      <c r="EH20" s="13"/>
      <c r="EI20" s="13"/>
      <c r="EJ20" s="13"/>
      <c r="EK20" s="13"/>
      <c r="EL20" s="13"/>
      <c r="EM20" s="12"/>
      <c r="EN20" s="38" t="s">
        <v>7</v>
      </c>
      <c r="EO20" s="38">
        <f>COUNTIF(CC22:CC25,4)</f>
        <v>0</v>
      </c>
      <c r="EP20" s="38"/>
      <c r="EQ20" s="38"/>
      <c r="ER20" s="38"/>
      <c r="ES20" s="38"/>
      <c r="ET20" s="38"/>
      <c r="EU20" s="38"/>
      <c r="EV20" s="38"/>
      <c r="EW20" s="38"/>
      <c r="EX20" s="38"/>
      <c r="EY20" s="13"/>
      <c r="EZ20" s="13"/>
      <c r="FA20" s="13"/>
      <c r="FB20" s="13"/>
      <c r="FC20" s="13"/>
      <c r="FD20" s="13"/>
      <c r="FE20" s="13"/>
      <c r="FF20" s="13"/>
      <c r="FG20" s="12"/>
      <c r="FH20" s="13"/>
      <c r="FI20" s="13"/>
      <c r="FJ20" s="12"/>
      <c r="FZ20" s="79">
        <v>18</v>
      </c>
      <c r="GA20" s="3" t="str">
        <f t="shared" si="72"/>
        <v>EGJCHFIK</v>
      </c>
      <c r="GB20" s="3" t="s">
        <v>59</v>
      </c>
      <c r="GC20" s="3" t="s">
        <v>60</v>
      </c>
      <c r="GD20" s="3" t="s">
        <v>69</v>
      </c>
      <c r="GE20" s="3" t="s">
        <v>75</v>
      </c>
      <c r="GF20" s="3" t="s">
        <v>70</v>
      </c>
      <c r="GG20" s="3" t="s">
        <v>21</v>
      </c>
      <c r="GH20" s="3" t="s">
        <v>61</v>
      </c>
      <c r="GI20" s="3" t="s">
        <v>62</v>
      </c>
      <c r="GJ20" s="9" t="str">
        <f t="shared" si="73"/>
        <v>Elfenbenskusten</v>
      </c>
      <c r="GK20" s="9" t="str">
        <f t="shared" si="73"/>
        <v>Iran</v>
      </c>
      <c r="GL20" s="9" t="str">
        <f t="shared" si="73"/>
        <v>Österrike</v>
      </c>
      <c r="GM20" s="9" t="str">
        <f t="shared" si="73"/>
        <v>Haiti</v>
      </c>
      <c r="GN20" s="9" t="str">
        <f t="shared" si="73"/>
        <v>Saudiarabien</v>
      </c>
      <c r="GO20" s="9" t="str">
        <f t="shared" si="73"/>
        <v>Sverige</v>
      </c>
      <c r="GP20" s="9" t="str">
        <f t="shared" si="73"/>
        <v>Irak</v>
      </c>
      <c r="GQ20" s="9" t="str">
        <f t="shared" si="73"/>
        <v>Uzbekistan</v>
      </c>
      <c r="GR20" s="9" t="str">
        <f t="shared" si="75"/>
        <v/>
      </c>
      <c r="GX20" s="23"/>
    </row>
    <row r="21" spans="2:206" s="104" customFormat="1" ht="14.25" customHeight="1" x14ac:dyDescent="0.25">
      <c r="B21" s="117" t="s">
        <v>12</v>
      </c>
      <c r="C21" s="107" t="s">
        <v>13</v>
      </c>
      <c r="D21" s="181" t="s">
        <v>12</v>
      </c>
      <c r="E21" s="182"/>
      <c r="F21" s="183"/>
      <c r="G21" s="184" t="s">
        <v>14</v>
      </c>
      <c r="H21" s="184"/>
      <c r="I21" s="184"/>
      <c r="J21" s="47" t="s">
        <v>15</v>
      </c>
      <c r="K21" s="48" t="s">
        <v>16</v>
      </c>
      <c r="L21" s="49"/>
      <c r="M21" s="103"/>
      <c r="N21" s="103"/>
      <c r="O21" s="51" t="s">
        <v>18</v>
      </c>
      <c r="P21" s="52" t="s">
        <v>19</v>
      </c>
      <c r="Q21" s="52" t="s">
        <v>20</v>
      </c>
      <c r="R21" s="52" t="s">
        <v>21</v>
      </c>
      <c r="S21" s="52" t="s">
        <v>22</v>
      </c>
      <c r="T21" s="52" t="s">
        <v>23</v>
      </c>
      <c r="U21" s="52" t="s">
        <v>24</v>
      </c>
      <c r="V21" s="53" t="s">
        <v>25</v>
      </c>
      <c r="X21" s="118" t="s">
        <v>26</v>
      </c>
      <c r="Y21" s="55" t="s">
        <v>16</v>
      </c>
      <c r="Z21" s="55" t="s">
        <v>86</v>
      </c>
      <c r="AA21" s="54" t="s">
        <v>87</v>
      </c>
      <c r="AB21" s="108"/>
      <c r="AC21" s="108"/>
      <c r="AE21" s="51" t="s">
        <v>13</v>
      </c>
      <c r="AF21" s="193" t="s">
        <v>12</v>
      </c>
      <c r="AG21" s="193"/>
      <c r="AH21" s="193"/>
      <c r="AI21" s="182" t="s">
        <v>14</v>
      </c>
      <c r="AJ21" s="182"/>
      <c r="AK21" s="182"/>
      <c r="AL21" s="47" t="s">
        <v>28</v>
      </c>
      <c r="AM21" s="16"/>
      <c r="AN21" s="34" t="s">
        <v>29</v>
      </c>
      <c r="AO21" s="34" t="s">
        <v>30</v>
      </c>
      <c r="AP21" s="34" t="s">
        <v>31</v>
      </c>
      <c r="AQ21" s="34" t="s">
        <v>32</v>
      </c>
      <c r="AR21" s="34" t="s">
        <v>33</v>
      </c>
      <c r="AS21" s="34" t="s">
        <v>34</v>
      </c>
      <c r="AT21" s="35" t="s">
        <v>29</v>
      </c>
      <c r="AU21" s="35" t="s">
        <v>30</v>
      </c>
      <c r="AV21" s="35" t="s">
        <v>31</v>
      </c>
      <c r="AW21" s="35" t="s">
        <v>32</v>
      </c>
      <c r="AX21" s="35" t="s">
        <v>33</v>
      </c>
      <c r="AY21" s="35" t="s">
        <v>34</v>
      </c>
      <c r="AZ21" s="36" t="s">
        <v>29</v>
      </c>
      <c r="BA21" s="36" t="s">
        <v>30</v>
      </c>
      <c r="BB21" s="36" t="s">
        <v>31</v>
      </c>
      <c r="BC21" s="36" t="s">
        <v>32</v>
      </c>
      <c r="BD21" s="36" t="s">
        <v>33</v>
      </c>
      <c r="BE21" s="36" t="s">
        <v>34</v>
      </c>
      <c r="BF21" s="37" t="s">
        <v>29</v>
      </c>
      <c r="BG21" s="37" t="s">
        <v>30</v>
      </c>
      <c r="BH21" s="37" t="s">
        <v>31</v>
      </c>
      <c r="BI21" s="37" t="s">
        <v>32</v>
      </c>
      <c r="BJ21" s="37" t="s">
        <v>33</v>
      </c>
      <c r="BK21" s="37" t="s">
        <v>34</v>
      </c>
      <c r="BL21" s="38" t="s">
        <v>29</v>
      </c>
      <c r="BM21" s="38" t="s">
        <v>30</v>
      </c>
      <c r="BN21" s="38" t="s">
        <v>31</v>
      </c>
      <c r="BO21" s="38" t="s">
        <v>32</v>
      </c>
      <c r="BP21" s="38" t="s">
        <v>33</v>
      </c>
      <c r="BQ21" s="38" t="s">
        <v>34</v>
      </c>
      <c r="BR21" s="12"/>
      <c r="BS21" s="12"/>
      <c r="BT21" s="39" t="s">
        <v>18</v>
      </c>
      <c r="BU21" s="34" t="s">
        <v>19</v>
      </c>
      <c r="BV21" s="34" t="s">
        <v>20</v>
      </c>
      <c r="BW21" s="34" t="s">
        <v>21</v>
      </c>
      <c r="BX21" s="34" t="s">
        <v>22</v>
      </c>
      <c r="BY21" s="34" t="s">
        <v>23</v>
      </c>
      <c r="BZ21" s="34" t="s">
        <v>24</v>
      </c>
      <c r="CA21" s="34" t="s">
        <v>25</v>
      </c>
      <c r="CB21" s="39" t="s">
        <v>35</v>
      </c>
      <c r="CC21" s="34" t="s">
        <v>36</v>
      </c>
      <c r="CD21" s="34" t="s">
        <v>37</v>
      </c>
      <c r="CE21" s="12"/>
      <c r="CF21" s="40" t="s">
        <v>18</v>
      </c>
      <c r="CG21" s="35" t="s">
        <v>19</v>
      </c>
      <c r="CH21" s="35" t="s">
        <v>20</v>
      </c>
      <c r="CI21" s="35" t="s">
        <v>21</v>
      </c>
      <c r="CJ21" s="35" t="s">
        <v>25</v>
      </c>
      <c r="CK21" s="35" t="s">
        <v>35</v>
      </c>
      <c r="CL21" s="35" t="s">
        <v>36</v>
      </c>
      <c r="CM21" s="56" t="s">
        <v>24</v>
      </c>
      <c r="CN21" s="56" t="s">
        <v>38</v>
      </c>
      <c r="CO21" s="56" t="s">
        <v>22</v>
      </c>
      <c r="CP21" s="56" t="s">
        <v>39</v>
      </c>
      <c r="CQ21" s="35" t="s">
        <v>40</v>
      </c>
      <c r="CR21" s="56" t="s">
        <v>41</v>
      </c>
      <c r="CS21" s="56" t="s">
        <v>42</v>
      </c>
      <c r="CT21" s="56" t="s">
        <v>43</v>
      </c>
      <c r="CU21" s="56" t="s">
        <v>44</v>
      </c>
      <c r="CV21" s="56" t="s">
        <v>45</v>
      </c>
      <c r="CW21" s="56" t="s">
        <v>46</v>
      </c>
      <c r="CX21" s="35" t="s">
        <v>47</v>
      </c>
      <c r="CY21" s="12"/>
      <c r="CZ21" s="41" t="s">
        <v>18</v>
      </c>
      <c r="DA21" s="36" t="s">
        <v>19</v>
      </c>
      <c r="DB21" s="36" t="s">
        <v>20</v>
      </c>
      <c r="DC21" s="36" t="s">
        <v>21</v>
      </c>
      <c r="DD21" s="36" t="s">
        <v>25</v>
      </c>
      <c r="DE21" s="36" t="s">
        <v>35</v>
      </c>
      <c r="DF21" s="36" t="s">
        <v>36</v>
      </c>
      <c r="DG21" s="36" t="s">
        <v>24</v>
      </c>
      <c r="DH21" s="36" t="s">
        <v>38</v>
      </c>
      <c r="DI21" s="36" t="s">
        <v>22</v>
      </c>
      <c r="DJ21" s="41" t="s">
        <v>39</v>
      </c>
      <c r="DK21" s="41" t="s">
        <v>40</v>
      </c>
      <c r="DL21" s="41" t="s">
        <v>41</v>
      </c>
      <c r="DM21" s="41" t="s">
        <v>42</v>
      </c>
      <c r="DN21" s="41" t="s">
        <v>43</v>
      </c>
      <c r="DO21" s="41" t="s">
        <v>44</v>
      </c>
      <c r="DP21" s="41" t="s">
        <v>45</v>
      </c>
      <c r="DQ21" s="41" t="s">
        <v>46</v>
      </c>
      <c r="DR21" s="41" t="s">
        <v>47</v>
      </c>
      <c r="DS21" s="12"/>
      <c r="DT21" s="37" t="s">
        <v>18</v>
      </c>
      <c r="DU21" s="37" t="s">
        <v>19</v>
      </c>
      <c r="DV21" s="37" t="s">
        <v>20</v>
      </c>
      <c r="DW21" s="37" t="s">
        <v>21</v>
      </c>
      <c r="DX21" s="37" t="s">
        <v>25</v>
      </c>
      <c r="DY21" s="37" t="s">
        <v>35</v>
      </c>
      <c r="DZ21" s="37" t="s">
        <v>36</v>
      </c>
      <c r="EA21" s="37" t="s">
        <v>24</v>
      </c>
      <c r="EB21" s="37" t="s">
        <v>38</v>
      </c>
      <c r="EC21" s="37" t="s">
        <v>22</v>
      </c>
      <c r="ED21" s="37" t="s">
        <v>39</v>
      </c>
      <c r="EE21" s="37" t="s">
        <v>40</v>
      </c>
      <c r="EF21" s="37" t="s">
        <v>41</v>
      </c>
      <c r="EG21" s="37" t="s">
        <v>42</v>
      </c>
      <c r="EH21" s="37" t="s">
        <v>43</v>
      </c>
      <c r="EI21" s="37" t="s">
        <v>44</v>
      </c>
      <c r="EJ21" s="37" t="s">
        <v>45</v>
      </c>
      <c r="EK21" s="37" t="s">
        <v>46</v>
      </c>
      <c r="EL21" s="37" t="s">
        <v>47</v>
      </c>
      <c r="EM21" s="12"/>
      <c r="EN21" s="38" t="s">
        <v>18</v>
      </c>
      <c r="EO21" s="38" t="s">
        <v>19</v>
      </c>
      <c r="EP21" s="38" t="s">
        <v>20</v>
      </c>
      <c r="EQ21" s="38" t="s">
        <v>21</v>
      </c>
      <c r="ER21" s="38" t="s">
        <v>25</v>
      </c>
      <c r="ES21" s="38" t="s">
        <v>35</v>
      </c>
      <c r="ET21" s="38" t="s">
        <v>36</v>
      </c>
      <c r="EU21" s="38" t="s">
        <v>24</v>
      </c>
      <c r="EV21" s="38" t="s">
        <v>38</v>
      </c>
      <c r="EW21" s="38" t="s">
        <v>22</v>
      </c>
      <c r="EX21" s="38" t="s">
        <v>39</v>
      </c>
      <c r="EY21" s="38" t="s">
        <v>40</v>
      </c>
      <c r="EZ21" s="38" t="s">
        <v>41</v>
      </c>
      <c r="FA21" s="38" t="s">
        <v>42</v>
      </c>
      <c r="FB21" s="38" t="s">
        <v>43</v>
      </c>
      <c r="FC21" s="38" t="s">
        <v>44</v>
      </c>
      <c r="FD21" s="38" t="s">
        <v>45</v>
      </c>
      <c r="FE21" s="38" t="s">
        <v>46</v>
      </c>
      <c r="FF21" s="38" t="s">
        <v>47</v>
      </c>
      <c r="FG21" s="12"/>
      <c r="FH21" s="38" t="s">
        <v>48</v>
      </c>
      <c r="FI21" s="38" t="s">
        <v>49</v>
      </c>
      <c r="FJ21" s="12"/>
      <c r="FZ21" s="79">
        <v>19</v>
      </c>
      <c r="GA21" s="3" t="str">
        <f t="shared" si="72"/>
        <v>HGICJDLK</v>
      </c>
      <c r="GB21" s="3" t="s">
        <v>70</v>
      </c>
      <c r="GC21" s="3" t="s">
        <v>60</v>
      </c>
      <c r="GD21" s="3" t="s">
        <v>61</v>
      </c>
      <c r="GE21" s="3" t="s">
        <v>75</v>
      </c>
      <c r="GF21" s="3" t="s">
        <v>69</v>
      </c>
      <c r="GG21" s="3" t="s">
        <v>58</v>
      </c>
      <c r="GH21" s="3" t="s">
        <v>63</v>
      </c>
      <c r="GI21" s="3" t="s">
        <v>62</v>
      </c>
      <c r="GJ21" s="9" t="str">
        <f t="shared" si="73"/>
        <v>Saudiarabien</v>
      </c>
      <c r="GK21" s="9" t="str">
        <f t="shared" si="73"/>
        <v>Iran</v>
      </c>
      <c r="GL21" s="9" t="str">
        <f t="shared" si="73"/>
        <v>Irak</v>
      </c>
      <c r="GM21" s="9" t="str">
        <f t="shared" si="73"/>
        <v>Haiti</v>
      </c>
      <c r="GN21" s="9" t="str">
        <f t="shared" si="73"/>
        <v>Österrike</v>
      </c>
      <c r="GO21" s="9" t="str">
        <f t="shared" si="73"/>
        <v>Australien</v>
      </c>
      <c r="GP21" s="9" t="str">
        <f t="shared" si="73"/>
        <v>Ghana</v>
      </c>
      <c r="GQ21" s="9" t="str">
        <f t="shared" si="73"/>
        <v>Uzbekistan</v>
      </c>
      <c r="GR21" s="9" t="str">
        <f t="shared" si="75"/>
        <v/>
      </c>
      <c r="GX21" s="23"/>
    </row>
    <row r="22" spans="2:206" ht="14.25" customHeight="1" x14ac:dyDescent="0.25">
      <c r="B22" s="58">
        <v>7</v>
      </c>
      <c r="C22" s="59">
        <v>46187</v>
      </c>
      <c r="D22" s="60" t="s">
        <v>88</v>
      </c>
      <c r="E22" s="61" t="s">
        <v>66</v>
      </c>
      <c r="F22" s="62" t="s">
        <v>89</v>
      </c>
      <c r="G22" s="63"/>
      <c r="H22" s="64" t="s">
        <v>66</v>
      </c>
      <c r="I22" s="63"/>
      <c r="J22" s="65" t="str">
        <f>IF(OR(ISBLANK(G22),ISBLANK(I22)),"",IF(G22&gt;I22,1,IF(G22&lt;I22,2,"X")))</f>
        <v/>
      </c>
      <c r="K22" s="66">
        <f>IF(OR(G22="",I22="",'[1]Resultat &amp; tabell'!G22="",'[1]Resultat &amp; tabell'!I22=""),0,IF(G22='[1]Resultat &amp; tabell'!G22,2,0)+IF(I22='[1]Resultat &amp; tabell'!I22,2,0)+IF(J22='[1]Resultat &amp; tabell'!J22,2,0))</f>
        <v>0</v>
      </c>
      <c r="L22" s="67"/>
      <c r="M22" s="29">
        <f t="shared" ref="M22:M27" si="144">IF(VLOOKUP(D22,$BT$21:$CC$25,10,FALSE)=VLOOKUP(F22,$BT$21:$CC$25,10,FALSE),VLOOKUP(D22,$BT$21:$CC$25,10,FALSE),"-")</f>
        <v>1</v>
      </c>
      <c r="N22" s="30">
        <v>1</v>
      </c>
      <c r="O22" s="68" t="str">
        <f>VLOOKUP(N22,FI22:FJ25,2,FALSE)</f>
        <v>Brasilien</v>
      </c>
      <c r="P22" s="69">
        <f>VLOOKUP($O22,$BT$22:$CA$25,2,FALSE)</f>
        <v>0</v>
      </c>
      <c r="Q22" s="69">
        <f>VLOOKUP($O22,$BT$22:$CA$25,3,FALSE)</f>
        <v>0</v>
      </c>
      <c r="R22" s="69">
        <f>VLOOKUP($O22,$BT$22:$CA$25,4,FALSE)</f>
        <v>0</v>
      </c>
      <c r="S22" s="69">
        <f>VLOOKUP($O22,$BT$22:$CA$25,5,FALSE)</f>
        <v>0</v>
      </c>
      <c r="T22" s="69">
        <f>VLOOKUP($O22,$BT$22:$CA$25,6,FALSE)</f>
        <v>0</v>
      </c>
      <c r="U22" s="69">
        <f>VLOOKUP($O22,$BT$22:$CA$25,7,FALSE)</f>
        <v>0</v>
      </c>
      <c r="V22" s="70">
        <f>VLOOKUP($O22,$BT$22:$CA$25,8,FALSE)</f>
        <v>0</v>
      </c>
      <c r="X22" s="119" t="s">
        <v>90</v>
      </c>
      <c r="Y22" s="120">
        <f>SUM(K4:K108)</f>
        <v>0</v>
      </c>
      <c r="Z22" s="120">
        <v>0</v>
      </c>
      <c r="AA22" s="121">
        <f>Y22+Z22</f>
        <v>0</v>
      </c>
      <c r="AB22" s="9"/>
      <c r="AC22" s="108"/>
      <c r="AE22" s="72">
        <f t="shared" ref="AE22:AH27" si="145">C22</f>
        <v>46187</v>
      </c>
      <c r="AF22" s="72" t="str">
        <f t="shared" si="145"/>
        <v>Brasilien</v>
      </c>
      <c r="AG22" s="72" t="str">
        <f t="shared" si="145"/>
        <v>-</v>
      </c>
      <c r="AH22" s="72" t="str">
        <f t="shared" si="145"/>
        <v>Marocko</v>
      </c>
      <c r="AI22" s="63" t="str">
        <f t="shared" ref="AI22:AI27" si="146">IF(G22="","",G22)</f>
        <v/>
      </c>
      <c r="AJ22" s="58" t="str">
        <f t="shared" ref="AJ22:AJ27" si="147">H22</f>
        <v>-</v>
      </c>
      <c r="AK22" s="63" t="str">
        <f t="shared" ref="AK22:AK27" si="148">IF(I22="","",I22)</f>
        <v/>
      </c>
      <c r="AL22" s="65" t="str">
        <f t="shared" ref="AL22:AL27" si="149">J22</f>
        <v/>
      </c>
      <c r="AM22" s="73"/>
      <c r="AN22" s="13">
        <f t="shared" ref="AN22:AN27" si="150">IF(AI22&gt;AK22,1,0)</f>
        <v>0</v>
      </c>
      <c r="AO22" s="13">
        <f t="shared" ref="AO22:AO27" si="151">IF(AK22&gt;AI22,1,0)</f>
        <v>0</v>
      </c>
      <c r="AP22" s="13">
        <f t="shared" ref="AP22:AP27" si="152">IF(AND(AI22=AK22,AI22&lt;&gt;""),1,0)</f>
        <v>0</v>
      </c>
      <c r="AQ22" s="13">
        <f t="shared" ref="AQ22:AQ27" si="153">IF(AND(AI22=AK22,AI22&lt;&gt;""),1,0)</f>
        <v>0</v>
      </c>
      <c r="AR22" s="13">
        <f t="shared" ref="AR22:AR27" si="154">IF(AI22&lt;AK22,1,0)</f>
        <v>0</v>
      </c>
      <c r="AS22" s="13">
        <f t="shared" ref="AS22:AS27" si="155">IF(AK22&lt;AI22,1,)</f>
        <v>0</v>
      </c>
      <c r="AT22" s="13">
        <f t="shared" ref="AT22:AT27" si="156">IF(ISERROR(VLOOKUP(AF22,CF:CF,1,FALSE)),0,1)*IF(ISERROR(VLOOKUP(AH22,CF:CF,1,FALSE)),0,1)*AN22</f>
        <v>0</v>
      </c>
      <c r="AU22" s="13">
        <f t="shared" ref="AU22:AU27" si="157">IF(ISERROR(VLOOKUP(AF22,CF:CF,1,FALSE)),0,1)*IF(ISERROR(VLOOKUP(AH22,CF:CF,1,FALSE)),0,1)*AO22</f>
        <v>0</v>
      </c>
      <c r="AV22" s="13">
        <f t="shared" ref="AV22:AV27" si="158">IF(ISERROR(VLOOKUP(AF22,CF:CF,1,FALSE)),0,1)*IF(ISERROR(VLOOKUP(AH22,CF:CF,1,FALSE)),0,1)*AP22</f>
        <v>0</v>
      </c>
      <c r="AW22" s="13">
        <f t="shared" ref="AW22:AW27" si="159">IF(ISERROR(VLOOKUP(AF22,CF:CF,1,FALSE)),0,1)*IF(ISERROR(VLOOKUP(AH22,CF:CF,1,FALSE)),0,1)*AQ22</f>
        <v>0</v>
      </c>
      <c r="AX22" s="13">
        <f t="shared" ref="AX22:AX27" si="160">IF(ISERROR(VLOOKUP(AF22,CF:CF,1,FALSE)),0,1)*IF(ISERROR(VLOOKUP(AH22,CF:CF,1,FALSE)),0,1)*AR22</f>
        <v>0</v>
      </c>
      <c r="AY22" s="13">
        <f t="shared" ref="AY22:AY27" si="161">IF(ISERROR(VLOOKUP(AF22,CF:CF,1,FALSE)),0,1)*IF(ISERROR(VLOOKUP(AH22,CF:CF,1,FALSE)),0,1)*AS22</f>
        <v>0</v>
      </c>
      <c r="AZ22" s="13">
        <f t="shared" ref="AZ22:AZ27" si="162">IF(ISERROR(VLOOKUP(AF22,CZ:CZ,1,FALSE)),0,1)*IF(ISERROR(VLOOKUP(AH22,CZ:CZ,1,FALSE)),0,1)*AN22</f>
        <v>0</v>
      </c>
      <c r="BA22" s="13">
        <f t="shared" ref="BA22:BA27" si="163">IF(ISERROR(VLOOKUP(AF22,CZ:CZ,1,FALSE)),0,1)*IF(ISERROR(VLOOKUP(AH22,CZ:CZ,1,FALSE)),0,1)*AO22</f>
        <v>0</v>
      </c>
      <c r="BB22" s="13">
        <f t="shared" ref="BB22:BB27" si="164">IF(ISERROR(VLOOKUP(AF22,CZ:CZ,1,FALSE)),0,1)*IF(ISERROR(VLOOKUP(AH22,CZ:CZ,1,FALSE)),0,1)*AP22</f>
        <v>0</v>
      </c>
      <c r="BC22" s="13">
        <f t="shared" ref="BC22:BC27" si="165">IF(ISERROR(VLOOKUP(AF22,CZ:CZ,1,FALSE)),0,1)*IF(ISERROR(VLOOKUP(AH22,CZ:CZ,1,FALSE)),0,1)*AQ22</f>
        <v>0</v>
      </c>
      <c r="BD22" s="13">
        <f t="shared" ref="BD22:BD27" si="166">IF(ISERROR(VLOOKUP(AF22,CZ:CZ,1,FALSE)),0,1)*IF(ISERROR(VLOOKUP(AH22,CZ:CZ,1,FALSE)),0,1)*AR22</f>
        <v>0</v>
      </c>
      <c r="BE22" s="13">
        <f t="shared" ref="BE22:BE27" si="167">IF(ISERROR(VLOOKUP(AF22,CZ:CZ,1,FALSE)),0,1)*IF(ISERROR(VLOOKUP(AH22,CZ:CZ,1,FALSE)),0,1)*AS22</f>
        <v>0</v>
      </c>
      <c r="BF22" s="13">
        <f t="shared" ref="BF22:BF27" si="168">IF(ISERROR(VLOOKUP(AF22,DT:DT,1,FALSE)),0,1)*IF(ISERROR(VLOOKUP(AH22,DT:DT,1,FALSE)),0,1)*AN22</f>
        <v>0</v>
      </c>
      <c r="BG22" s="13">
        <f t="shared" ref="BG22:BG27" si="169">IF(ISERROR(VLOOKUP(AF22,DT:DT,1,FALSE)),0,1)*IF(ISERROR(VLOOKUP(AH22,DT:DT,1,FALSE)),0,1)*AO22</f>
        <v>0</v>
      </c>
      <c r="BH22" s="13">
        <f t="shared" ref="BH22:BH27" si="170">IF(ISERROR(VLOOKUP(AF22,DT:DT,1,FALSE)),0,1)*IF(ISERROR(VLOOKUP(AH22,DT:DT,1,FALSE)),0,1)*AP22</f>
        <v>0</v>
      </c>
      <c r="BI22" s="13">
        <f t="shared" ref="BI22:BI27" si="171">IF(ISERROR(VLOOKUP(AF22,DT:DT,1,FALSE)),0,1)*IF(ISERROR(VLOOKUP(AH22,DT:DT,1,FALSE)),0,1)*AQ22</f>
        <v>0</v>
      </c>
      <c r="BJ22" s="13">
        <f t="shared" ref="BJ22:BJ27" si="172">IF(ISERROR(VLOOKUP(AF22,DT:DT,1,FALSE)),0,1)*IF(ISERROR(VLOOKUP(AH22,DT:DT,1,FALSE)),0,1)*AR22</f>
        <v>0</v>
      </c>
      <c r="BK22" s="13">
        <f t="shared" ref="BK22:BK27" si="173">IF(ISERROR(VLOOKUP(AF22,DT:DT,1,FALSE)),0,1)*IF(ISERROR(VLOOKUP(AH22,DT:DT,1,FALSE)),0,1)*AS22</f>
        <v>0</v>
      </c>
      <c r="BL22" s="13">
        <f t="shared" ref="BL22:BL27" si="174">IF(ISERROR(VLOOKUP(AF22,EN:EN,1,FALSE)),0,1)*IF(ISERROR(VLOOKUP(AH22,EN:EN,1,FALSE)),0,1)*AN22</f>
        <v>0</v>
      </c>
      <c r="BM22" s="13">
        <f t="shared" ref="BM22:BM27" si="175">IF(ISERROR(VLOOKUP(AF22,EN:EN,1,FALSE)),0,1)*IF(ISERROR(VLOOKUP(AH22,EN:EN,1,FALSE)),0,1)*AO22</f>
        <v>0</v>
      </c>
      <c r="BN22" s="13">
        <f t="shared" ref="BN22:BN27" si="176">IF(ISERROR(VLOOKUP(AF22,EN:EN,1,FALSE)),0,1)*IF(ISERROR(VLOOKUP(AH22,EN:EN,1,FALSE)),0,1)*AP22</f>
        <v>0</v>
      </c>
      <c r="BO22" s="13">
        <f t="shared" ref="BO22:BO27" si="177">IF(ISERROR(VLOOKUP(AF22,EN:EN,1,FALSE)),0,1)*IF(ISERROR(VLOOKUP(AH22,EN:EN,1,FALSE)),0,1)*AQ22</f>
        <v>0</v>
      </c>
      <c r="BP22" s="13">
        <f t="shared" ref="BP22:BP27" si="178">IF(ISERROR(VLOOKUP(AF22,EN:EN,1,FALSE)),0,1)*IF(ISERROR(VLOOKUP(AH22,EN:EN,1,FALSE)),0,1)*AR22</f>
        <v>0</v>
      </c>
      <c r="BQ22" s="13">
        <f t="shared" ref="BQ22:BQ27" si="179">IF(ISERROR(VLOOKUP(AF22,EN:EN,1,FALSE)),0,1)*IF(ISERROR(VLOOKUP(AH22,EN:EN,1,FALSE)),0,1)*AS22</f>
        <v>0</v>
      </c>
      <c r="BT22" s="12" t="s">
        <v>88</v>
      </c>
      <c r="BU22" s="13">
        <f t="shared" ref="BU22:BU25" si="180">(SUMIF(AF$4:AF$108,BT22,AN$4:AN$108)+SUMIF(AH$4:AH$108,BT22,AO$4:AO$108))</f>
        <v>0</v>
      </c>
      <c r="BV22" s="13">
        <f t="shared" ref="BV22:BV25" si="181">(SUMIF(AF$4:AF$108,BT22,AP$4:AP$108)+SUMIF(AH$4:AH$108,BT22,AQ$4:AQ$108))</f>
        <v>0</v>
      </c>
      <c r="BW22" s="13">
        <f t="shared" ref="BW22:BW25" si="182">(SUMIF(AF$4:AF$108,BT22,AR$4:AR$108)+SUMIF(AH$4:AH$108,BT22,AS$4:AS$108))</f>
        <v>0</v>
      </c>
      <c r="BX22" s="13">
        <f t="shared" ref="BX22:BX25" si="183">SUMIF($AF$4:$AF$108,BT22,$AI$4:$AI$108)+SUMIF($AH$4:$AH$108,BT22,$AK$4:$AK$108)</f>
        <v>0</v>
      </c>
      <c r="BY22" s="13">
        <f t="shared" ref="BY22:BY25" si="184">SUMIF($AF$4:$AF$108,BT22,$AK$4:$AK$108)+SUMIF($AH$4:$AH$108,BT22,$AI$4:$AI$108)</f>
        <v>0</v>
      </c>
      <c r="BZ22" s="13">
        <f t="shared" ref="BZ22:BZ25" si="185">BX22-BY22</f>
        <v>0</v>
      </c>
      <c r="CA22" s="13">
        <f t="shared" ref="CA22:CA25" si="186">IFERROR(BU22*3+BV22*1,0)</f>
        <v>0</v>
      </c>
      <c r="CB22" s="13" t="s">
        <v>75</v>
      </c>
      <c r="CC22" s="74">
        <f>RANK(CA22,CA22:CA25)</f>
        <v>1</v>
      </c>
      <c r="CD22" s="13">
        <f>SUMPRODUCT((CA22:CA25=CA22)*(BZ22:BZ25&gt;BZ22))</f>
        <v>0</v>
      </c>
      <c r="CF22" s="12" t="str">
        <f>IF(CC22=1,BT22,)</f>
        <v>Brasilien</v>
      </c>
      <c r="CG22" s="13">
        <f t="shared" ref="CG22:CG25" si="187">(SUMIF($AF$4:$AF$108,$BT22,$AT$4:$AT$108)+SUMIF($AH$4:$AH$108,$BT22,$AU$4:$AU$108))</f>
        <v>0</v>
      </c>
      <c r="CH22" s="13">
        <f t="shared" ref="CH22:CH25" si="188">(SUMIF($AF$4:$AF$108,$BT22,$AV$4:$AV$108)+SUMIF($AH$4:$AH$108,$BT22,$AW$4:$AW$108))</f>
        <v>0</v>
      </c>
      <c r="CI22" s="13">
        <f t="shared" ref="CI22:CI25" si="189">(SUMIF($AF$4:$AF$108,$BT22,$AX$4:$AX$108)+SUMIF($AH$4:$AH$108,$BT22,$AY$4:$AY$108))</f>
        <v>0</v>
      </c>
      <c r="CJ22" s="13">
        <f t="shared" ref="CJ22:CJ25" si="190">IFERROR(CG22*3+CH22*1,0)</f>
        <v>0</v>
      </c>
      <c r="CK22" s="13" t="str">
        <f>CB22</f>
        <v>C</v>
      </c>
      <c r="CL22" s="13">
        <f>IF(CF22&gt;0,RANK(CJ22,CJ22:CJ25),)</f>
        <v>1</v>
      </c>
      <c r="CM22" s="13">
        <f>IF(AND(CF22&gt;0,COUNTIF(CL22:CL25,CL22)&gt;1),SUMIFS($AI$4:$AI$108,$AF$4:$AF$108,$BT22,$M$4:$M$108,1)+SUMIFS($AK$4:$AK$108,$AH$4:$AH$108,$BT22,$M$4:$M$108,1)-SUMIFS($AK$4:$AK$108,$AF$4:$AF$108,$BT22,$M$4:$M$108,1)-SUMIFS($AI$4:$AI$108,$AH$4:$AH$108,$BT22,$M$4:$M$108,1),)</f>
        <v>0</v>
      </c>
      <c r="CN22" s="13">
        <f>IF(AND(CF22&gt;0,COUNTIF(CL22:CL25,CL22)&gt;1),CL22+RANK(CM22,CM22:CM25)-1,CL22)</f>
        <v>1</v>
      </c>
      <c r="CO22" s="13">
        <f>IF(AND(CF22&gt;0,COUNTIF(CN22:CN25,CN22)&gt;1),SUMIFS($AI$4:$AI$108,$AF$4:$AF$108,$BT22,$M$4:$M$108,1)+SUMIFS($AK$4:$AK$108,$AH$4:$AH$108,$BT22,$M$4:$M$108,1),)</f>
        <v>0</v>
      </c>
      <c r="CP22" s="13">
        <f>IF(AND(CF22&gt;0,COUNTIF(CN22:CN25,CN22)&gt;1),CN22+RANK(CO22,CO22:CO25)-1,CN22)</f>
        <v>1</v>
      </c>
      <c r="CQ22" s="13">
        <f>IF(CP22=0,"",CP22)</f>
        <v>1</v>
      </c>
      <c r="CR22" s="13">
        <f>IF(OR(CQ22="",COUNTIF(CQ22:CQ25,CQ22)=1),"",$BZ22)</f>
        <v>0</v>
      </c>
      <c r="CS22" s="13">
        <f>IF(CQ22="","",IF(COUNTIF(CQ22:CQ25,CQ22)=1,CQ22,CQ22+RANK(CR22,CR22:CR25,0)-1))</f>
        <v>1</v>
      </c>
      <c r="CT22" s="13">
        <f>IF(OR(CS22="",COUNTIF(CS22:CS25,CS22)=1),"",$BX22)</f>
        <v>0</v>
      </c>
      <c r="CU22" s="13">
        <f>IF(CQ22="","",IF(COUNTIF(CS22:CS25,CS22)=1,CS22,CS22+RANK(CT22,CT22:CT25,0)-1))</f>
        <v>1</v>
      </c>
      <c r="CV22" s="13">
        <f>IF(OR(CU22="",COUNTIF(CU22:CU25,CU22)=1),"",$BU22)</f>
        <v>0</v>
      </c>
      <c r="CW22" s="13">
        <f>IF(CQ22="","",IF(COUNTIF(CU22:CU25,CU22)=1,CU22,CU22+RANK(CV22,CV22:CV25,0)-1))</f>
        <v>1</v>
      </c>
      <c r="CX22" s="13">
        <f>IF(CF22&gt;0,BM20+RANK(CW22,CW22:CW25,1),)</f>
        <v>1</v>
      </c>
      <c r="CZ22" s="12">
        <f>IF(CC22=2,BT22,)</f>
        <v>0</v>
      </c>
      <c r="DA22" s="13">
        <f>(SUMIF($AF$4:$AF$108,$BT22,$AZ$4:$AZ$108)+SUMIF($AH$4:$AH$108,$BT22,$BA$4:$BA$108))</f>
        <v>0</v>
      </c>
      <c r="DB22" s="13">
        <f>(SUMIF($AF$4:$AF$108,$BT22,$BB$4:$BB$108)+SUMIF($AH$4:$AH$108,$BT22,$BC$4:$BC$108))</f>
        <v>0</v>
      </c>
      <c r="DC22" s="13">
        <f>(SUMIF($AF$4:$AF$108,$BT22,$BD$4:$BD$108)+SUMIF($AH$4:$AH$108,$BT22,$BE$4:$BE$108))</f>
        <v>0</v>
      </c>
      <c r="DD22" s="13">
        <f>IFERROR(DA22*3+DB22*1,0)</f>
        <v>0</v>
      </c>
      <c r="DE22" s="13" t="str">
        <f>$CB22</f>
        <v>C</v>
      </c>
      <c r="DF22" s="13">
        <f>IF(CZ22&gt;0,RANK(DD22,DD22:DD25)+CG20,)</f>
        <v>0</v>
      </c>
      <c r="DG22" s="13">
        <f>IF(AND(CZ22&gt;0,COUNTIF(DF22:DF25,DF22)&gt;1),SUMIFS($AI$4:$AI$108,$AF$4:$AF$108,$BT22,$M$4:$M$108,2)+SUMIFS($AK$4:$AK$108,$AH$4:$AH108,$BT22,$M$4:$M$108,2)-SUMIFS($AK$4:$AK$108,$AF$4:$AF$108,$BT22,$M$4:$M$108,2)-SUMIFS($AI$4:$AI$108,$AH$4:$AH$108,$BT22,$M$4:$M$108,2),)</f>
        <v>0</v>
      </c>
      <c r="DH22" s="13">
        <f>IF(AND(CZ22&gt;0,COUNTIF(DF22:DF25,DF22)&gt;1),DF22+RANK(DG22,DG22:DG25)-1,DF22)</f>
        <v>0</v>
      </c>
      <c r="DI22" s="13">
        <f>IF(AND(CZ22&gt;0,COUNTIF(DH22:DH25,DH22)&gt;1),SUMIFS($AI$4:$AI$108,$AF$4:$AF$108,$BT22,$M$4:$M$108,2)+SUMIFS($AK$4:$AK$108,$AH$4:$AH$108,$BT22,$M$4:$M$108,2),)</f>
        <v>0</v>
      </c>
      <c r="DJ22" s="13">
        <f>IF(AND(CZ22&gt;0,COUNTIF(DH22:DH25,DH22)&gt;1),DH22+RANK(DI22,DI22:DI25)-1,DH22)</f>
        <v>0</v>
      </c>
      <c r="DK22" s="75" t="str">
        <f>IF(DJ22=0,"",DJ22)</f>
        <v/>
      </c>
      <c r="DL22" s="75" t="str">
        <f>IF(OR(DK22="",COUNTIF(DK22:DK25,DK22)=1),"",$BZ22)</f>
        <v/>
      </c>
      <c r="DM22" s="75" t="str">
        <f>IF(DK22="","",IF(COUNTIF(DK22:DK25,DK22)=1,DK22,DK22+RANK(DL22,DL22:DL25,0)-1))</f>
        <v/>
      </c>
      <c r="DN22" s="75" t="str">
        <f>IF(OR(DM22="",COUNTIF(DM22:DM25,DM22)=1),"",$BX22)</f>
        <v/>
      </c>
      <c r="DO22" s="75" t="str">
        <f>IF(DK22="","",IF(COUNTIF(DM22:DM25,DM22)=1,DM22,DM22+RANK(DN22,DN22:DN25,0)-1))</f>
        <v/>
      </c>
      <c r="DP22" s="75" t="str">
        <f>IF(OR(DO22="",COUNTIF(DO22:DO25,DO22)=1),"",$BU22)</f>
        <v/>
      </c>
      <c r="DQ22" s="75" t="str">
        <f>IF(DK22="","",IF(COUNTIF(DO22:DO25,DO22)=1,DO22,DO22+RANK(DP22,DP22:DP25,0)-1))</f>
        <v/>
      </c>
      <c r="DR22" s="13">
        <f>IF(CZ22&gt;0,CG20+RANK(DQ22,DQ22:DQ25,1),)</f>
        <v>0</v>
      </c>
      <c r="DT22" s="13">
        <f>IF(CC22=3,BT22,)</f>
        <v>0</v>
      </c>
      <c r="DU22" s="13">
        <f>(SUMIF($AF$4:$AF$108,BT22,$BF$4:$BF$108)+SUMIF($AH$4:$AH$108,BT22,$BG$4:$BG$108))</f>
        <v>0</v>
      </c>
      <c r="DV22" s="13">
        <f>(SUMIF($AF$4:$AF$108,BT22,$BH$4:$BH$108)+SUMIF($AH$4:$AH$108,BT22,$BI$4:$BI$108))</f>
        <v>0</v>
      </c>
      <c r="DW22" s="13">
        <f>(SUMIF($AF$4:$AF$108,BT22,$BJ$4:$BJ$108)+SUMIF($AH$4:$AH$108,BT22,$BK$4:$BK$108))</f>
        <v>0</v>
      </c>
      <c r="DX22" s="13">
        <f>IFERROR(DU22*3+DV22*1,0)</f>
        <v>0</v>
      </c>
      <c r="DY22" s="13" t="str">
        <f>CB22</f>
        <v>C</v>
      </c>
      <c r="DZ22" s="13">
        <f>IF(DT22&gt;0,RANK(DX22,DX22:DX25)+CG20+DA20,)</f>
        <v>0</v>
      </c>
      <c r="EA22" s="13">
        <f>IF(AND(DT22&gt;0,COUNTIF(DZ22:DZ25,DZ22)&gt;1),SUMIFS($AI$4:$AI$108,$AF$4:$AF$108,$BT22,$M$4:$M$108,3)+SUMIFS($AK$4:$AK$108,$AH$4:$AH$108,$BT22,$M$4:$M$108,3)-SUMIFS($AK$4:$AK$108,$AF$4:$AF$108,$BT22,$M$4:$M$108,3)-SUMIFS($AI$4:$AI$108,$AH$4:$AH$108,$BT22,$M$4:$M$108,3),)</f>
        <v>0</v>
      </c>
      <c r="EB22" s="13">
        <f>IF(AND(DT22&gt;0,COUNTIF(DZ22:DZ25,DZ22)&gt;1),DZ22+RANK(EA22,EA22:EA25)-1,DZ22)</f>
        <v>0</v>
      </c>
      <c r="EC22" s="13">
        <f>IF(AND(DT22&gt;0,COUNTIF(EB22:EB25,EB22)&gt;1),SUMIFS($AI$4:$AI$108,$AF$4:$AF$108,$BT22,$M$4:$M$108,3)+SUMIFS($AK$4:$AK$108,$AH$4:$AH$108,$BT22,$M$4:$M$108,3),)</f>
        <v>0</v>
      </c>
      <c r="ED22" s="13">
        <f>IF(AND(DT22&gt;0,COUNTIF(EB22:EB25,EB22)&gt;1),EB22+RANK(EC22,EC22:EC25)-1,EB22)</f>
        <v>0</v>
      </c>
      <c r="EE22" s="13" t="str">
        <f>IF(ED22=0,"",ED22)</f>
        <v/>
      </c>
      <c r="EF22" s="13" t="str">
        <f>IF(OR(EE22="",COUNTIF(EE22:EE25,EE22)=1),"",$BZ22)</f>
        <v/>
      </c>
      <c r="EG22" s="13" t="str">
        <f>IF(EE22="","",IF(COUNTIF(EE22:EE25,EE22)=1,EE22,EE22+RANK(EF22,EF22:EF25,0)-1))</f>
        <v/>
      </c>
      <c r="EH22" s="13" t="str">
        <f>IF(OR(EG22="",COUNTIF(EG22:EG25,EG22)=1),"",$BX22)</f>
        <v/>
      </c>
      <c r="EI22" s="13" t="str">
        <f>IF(EE22="","",IF(COUNTIF(EG22:EG25,EG22)=1,EG22,EG22+RANK(EH22,EH22:EH25,0)-1))</f>
        <v/>
      </c>
      <c r="EJ22" s="13" t="str">
        <f>IF(OR(EI22="",COUNTIF(EI22:EI25,EI22)=1),"",$BU22)</f>
        <v/>
      </c>
      <c r="EK22" s="13" t="str">
        <f>IF(EE22="","",IF(COUNTIF(EI22:EI25,EI22)=1,EI22,EI22+RANK(EJ22,EJ22:EJ25,0)-1))</f>
        <v/>
      </c>
      <c r="EL22" s="13">
        <f>IF(DT22&gt;0,CG20+DA20+RANK(EK22,EK22:EK25,1),)</f>
        <v>0</v>
      </c>
      <c r="EN22" s="13">
        <f>IF(CC22=4,BT22,)</f>
        <v>0</v>
      </c>
      <c r="EO22" s="13">
        <f>(SUMIF($AF$4:$AF$108,$BT22,$BL$4:$BL$108)+SUMIF($AH$4:$AH$108,$BT22,$BM$4:$BM$108))</f>
        <v>0</v>
      </c>
      <c r="EP22" s="13">
        <f>(SUMIF($AF$4:$AF$108,$BT22,$BN$4:$BN$108)+SUMIF($AH$4:$AH$108,$BT22,$BO$4:$BO$108))</f>
        <v>0</v>
      </c>
      <c r="EQ22" s="13">
        <f>(SUMIF($AF$4:$AF$108,$BT22,$BP$4:$BP$108)+SUMIF($AH$4:$AH$108,$BT22,$BQ$4:$BQ$108))</f>
        <v>0</v>
      </c>
      <c r="ER22" s="13">
        <f>IFERROR(EO22*3+EP22*1,0)</f>
        <v>0</v>
      </c>
      <c r="ES22" s="13" t="str">
        <f>$CB22</f>
        <v>C</v>
      </c>
      <c r="ET22" s="13">
        <f>IF(EN22&gt;0,RANK(ER22,ER22:ER25)+CG20+DA20+DU20,)</f>
        <v>0</v>
      </c>
      <c r="EU22" s="13">
        <f>IF(AND(EN22&gt;0,COUNTIF(ET22:ET25,ET22)&gt;1),SUMIFS($AI$4:$AI$108,$AF$4:$AF$108,$BT22,$M$4:$M$108,4)+SUMIFS($AK$4:$AK$108,$AH$4:$AH$108,$BT22,$M$4:$M$108,4)-SUMIFS($AK$4:$AK$108,$AF$4:$AF$108,$BT22,$M$4:$M$108,4)-SUMIFS($AI$4:$AI$108,$AH$4:$AH$108,$BT22,$M$4:$M$108,4),)</f>
        <v>0</v>
      </c>
      <c r="EV22" s="13">
        <f>IF(AND(EN22&gt;0,COUNTIF(ET22:ET25,ET22)&gt;1),ET22+RANK(EU22,EU22:EU25)-1,ET22)</f>
        <v>0</v>
      </c>
      <c r="EW22" s="13">
        <f>IF(AND(EN22&gt;0,COUNTIF(EV22:EV25,EV22)&gt;1),SUMIFS($AI$4:$AI$108,$AF$4:$AF$108,$BT22,$M$4:$M$108,4)+SUMIFS($AK$4:$AK$108,$AH$4:$AH$108,$BT22,$M$4:$M$108,4),)</f>
        <v>0</v>
      </c>
      <c r="EX22" s="13">
        <f>IF(AND(EN22&gt;0,COUNTIF(EV22:EV25,EV22)&gt;1),EV22+RANK(EW22,EW22:EW25)-1,EV22)</f>
        <v>0</v>
      </c>
      <c r="EY22" s="13" t="str">
        <f>IF(EX22=0,"",EX22)</f>
        <v/>
      </c>
      <c r="EZ22" s="13" t="str">
        <f>IF(OR(EY22="",COUNTIF(EY22:EY25,EY22)=1),"",$BZ22)</f>
        <v/>
      </c>
      <c r="FA22" s="13" t="str">
        <f>IF(EY22="","",IF(COUNTIF(EY22:EY25,EY22)=1,EY22,EY22+RANK(EZ22,EZ22:EZ25,0)-1))</f>
        <v/>
      </c>
      <c r="FB22" s="13" t="str">
        <f>IF(OR(FA22="",COUNTIF(FA22:FA25,FA22)=1),"",$BX22)</f>
        <v/>
      </c>
      <c r="FC22" s="13" t="str">
        <f>IF(EY22="","",IF(COUNTIF(FA22:FA25,FA22)=1,FA22,FA22+RANK(FB22,FB22:FB25,0)-1))</f>
        <v/>
      </c>
      <c r="FD22" s="13" t="str">
        <f>IF(OR(FC22="",COUNTIF(FC22:FC25,FC22)=1),"",$BU22)</f>
        <v/>
      </c>
      <c r="FE22" s="13" t="str">
        <f>IF(EY22="","",IF(COUNTIF(FC22:FC25,FC22)=1,FC22,FC22+RANK(FD22,FD22:FD25,0)-1))</f>
        <v/>
      </c>
      <c r="FF22" s="13">
        <f>IF(EN22&gt;0,CG20+DA20+DU20+RANK(FE22,FE22:FE25,1),)</f>
        <v>0</v>
      </c>
      <c r="FH22" s="13">
        <f>IFERROR(VLOOKUP(FJ22,CF21:CX25,19,FALSE),IFERROR(VLOOKUP(FJ22,CZ21:DR25,19,FALSE),IFERROR(VLOOKUP(FJ22,DT21:EL25,19,FALSE),VLOOKUP(FJ22,EN21:FF25,19,FALSE))))</f>
        <v>1</v>
      </c>
      <c r="FI22" s="13">
        <f>RANK(FH22,FH22:FH25,1)+COUNTIF(FH22:FH22,FH22)-1</f>
        <v>1</v>
      </c>
      <c r="FJ22" s="12" t="str">
        <f>BT22</f>
        <v>Brasilien</v>
      </c>
      <c r="FZ22" s="79">
        <v>20</v>
      </c>
      <c r="GA22" s="3" t="str">
        <f t="shared" si="72"/>
        <v>CJIDHFLK</v>
      </c>
      <c r="GB22" s="3" t="s">
        <v>75</v>
      </c>
      <c r="GC22" s="3" t="s">
        <v>69</v>
      </c>
      <c r="GD22" s="3" t="s">
        <v>61</v>
      </c>
      <c r="GE22" s="3" t="s">
        <v>58</v>
      </c>
      <c r="GF22" s="3" t="s">
        <v>70</v>
      </c>
      <c r="GG22" s="3" t="s">
        <v>21</v>
      </c>
      <c r="GH22" s="3" t="s">
        <v>63</v>
      </c>
      <c r="GI22" s="3" t="s">
        <v>62</v>
      </c>
      <c r="GJ22" s="9" t="str">
        <f t="shared" si="73"/>
        <v>Haiti</v>
      </c>
      <c r="GK22" s="9" t="str">
        <f t="shared" si="73"/>
        <v>Österrike</v>
      </c>
      <c r="GL22" s="9" t="str">
        <f t="shared" si="73"/>
        <v>Irak</v>
      </c>
      <c r="GM22" s="9" t="str">
        <f t="shared" si="73"/>
        <v>Australien</v>
      </c>
      <c r="GN22" s="9" t="str">
        <f t="shared" si="73"/>
        <v>Saudiarabien</v>
      </c>
      <c r="GO22" s="9" t="str">
        <f t="shared" si="73"/>
        <v>Sverige</v>
      </c>
      <c r="GP22" s="9" t="str">
        <f t="shared" si="73"/>
        <v>Ghana</v>
      </c>
      <c r="GQ22" s="9" t="str">
        <f t="shared" si="73"/>
        <v>Uzbekistan</v>
      </c>
      <c r="GR22" s="9" t="str">
        <f t="shared" si="75"/>
        <v/>
      </c>
      <c r="GX22" s="79"/>
    </row>
    <row r="23" spans="2:206" ht="14.25" customHeight="1" x14ac:dyDescent="0.25">
      <c r="B23" s="58">
        <v>5</v>
      </c>
      <c r="C23" s="59">
        <v>46187</v>
      </c>
      <c r="D23" s="60" t="s">
        <v>91</v>
      </c>
      <c r="E23" s="61" t="s">
        <v>66</v>
      </c>
      <c r="F23" s="62" t="s">
        <v>92</v>
      </c>
      <c r="G23" s="63"/>
      <c r="H23" s="64" t="s">
        <v>66</v>
      </c>
      <c r="I23" s="63"/>
      <c r="J23" s="65" t="str">
        <f t="shared" ref="J23:J27" si="191">IF(OR(ISBLANK(G23),ISBLANK(I23)),"",IF(G23&gt;I23,1,IF(G23&lt;I23,2,"X")))</f>
        <v/>
      </c>
      <c r="K23" s="66">
        <f>IF(OR(G23="",I23="",'[1]Resultat &amp; tabell'!G23="",'[1]Resultat &amp; tabell'!I23=""),0,IF(G23='[1]Resultat &amp; tabell'!G23,2,0)+IF(I23='[1]Resultat &amp; tabell'!I23,2,0)+IF(J23='[1]Resultat &amp; tabell'!J23,2,0))</f>
        <v>0</v>
      </c>
      <c r="L23" s="67"/>
      <c r="M23" s="29">
        <f t="shared" si="144"/>
        <v>1</v>
      </c>
      <c r="N23" s="30">
        <v>2</v>
      </c>
      <c r="O23" s="80" t="str">
        <f>VLOOKUP(N23,FI22:FJ25,2,FALSE)</f>
        <v>Marocko</v>
      </c>
      <c r="P23" s="81">
        <f>VLOOKUP($O23,$BT$22:$CA$25,2,FALSE)</f>
        <v>0</v>
      </c>
      <c r="Q23" s="81">
        <f>VLOOKUP($O23,$BT$22:$CA$25,3,FALSE)</f>
        <v>0</v>
      </c>
      <c r="R23" s="81">
        <f>VLOOKUP($O23,$BT$22:$CA$25,4,FALSE)</f>
        <v>0</v>
      </c>
      <c r="S23" s="81">
        <f>VLOOKUP($O23,$BT$22:$CA$25,5,FALSE)</f>
        <v>0</v>
      </c>
      <c r="T23" s="81">
        <f>VLOOKUP($O23,$BT$22:$CA$25,6,FALSE)</f>
        <v>0</v>
      </c>
      <c r="U23" s="81">
        <f>VLOOKUP($O23,$BT$22:$CA$25,7,FALSE)</f>
        <v>0</v>
      </c>
      <c r="V23" s="82">
        <f>VLOOKUP($O23,$BT$22:$CA$25,8,FALSE)</f>
        <v>0</v>
      </c>
      <c r="X23" s="122" t="s">
        <v>93</v>
      </c>
      <c r="Y23" s="3">
        <f>SUM(K112:K127)</f>
        <v>0</v>
      </c>
      <c r="Z23" s="3">
        <f>R112</f>
        <v>0</v>
      </c>
      <c r="AA23" s="123">
        <f>Y23+Z23</f>
        <v>0</v>
      </c>
      <c r="AB23" s="9"/>
      <c r="AC23" s="108"/>
      <c r="AE23" s="72">
        <f t="shared" si="145"/>
        <v>46187</v>
      </c>
      <c r="AF23" s="72" t="str">
        <f t="shared" si="145"/>
        <v>Haiti</v>
      </c>
      <c r="AG23" s="72" t="str">
        <f t="shared" si="145"/>
        <v>-</v>
      </c>
      <c r="AH23" s="72" t="str">
        <f t="shared" si="145"/>
        <v>Skottland</v>
      </c>
      <c r="AI23" s="63" t="str">
        <f t="shared" si="146"/>
        <v/>
      </c>
      <c r="AJ23" s="58" t="str">
        <f t="shared" si="147"/>
        <v>-</v>
      </c>
      <c r="AK23" s="63" t="str">
        <f t="shared" si="148"/>
        <v/>
      </c>
      <c r="AL23" s="65" t="str">
        <f t="shared" si="149"/>
        <v/>
      </c>
      <c r="AM23" s="73"/>
      <c r="AN23" s="13">
        <f t="shared" si="150"/>
        <v>0</v>
      </c>
      <c r="AO23" s="13">
        <f t="shared" si="151"/>
        <v>0</v>
      </c>
      <c r="AP23" s="13">
        <f t="shared" si="152"/>
        <v>0</v>
      </c>
      <c r="AQ23" s="13">
        <f t="shared" si="153"/>
        <v>0</v>
      </c>
      <c r="AR23" s="13">
        <f t="shared" si="154"/>
        <v>0</v>
      </c>
      <c r="AS23" s="13">
        <f t="shared" si="155"/>
        <v>0</v>
      </c>
      <c r="AT23" s="13">
        <f t="shared" si="156"/>
        <v>0</v>
      </c>
      <c r="AU23" s="13">
        <f t="shared" si="157"/>
        <v>0</v>
      </c>
      <c r="AV23" s="13">
        <f t="shared" si="158"/>
        <v>0</v>
      </c>
      <c r="AW23" s="13">
        <f t="shared" si="159"/>
        <v>0</v>
      </c>
      <c r="AX23" s="13">
        <f t="shared" si="160"/>
        <v>0</v>
      </c>
      <c r="AY23" s="13">
        <f t="shared" si="161"/>
        <v>0</v>
      </c>
      <c r="AZ23" s="13">
        <f t="shared" si="162"/>
        <v>0</v>
      </c>
      <c r="BA23" s="13">
        <f t="shared" si="163"/>
        <v>0</v>
      </c>
      <c r="BB23" s="13">
        <f t="shared" si="164"/>
        <v>0</v>
      </c>
      <c r="BC23" s="13">
        <f t="shared" si="165"/>
        <v>0</v>
      </c>
      <c r="BD23" s="13">
        <f t="shared" si="166"/>
        <v>0</v>
      </c>
      <c r="BE23" s="13">
        <f t="shared" si="167"/>
        <v>0</v>
      </c>
      <c r="BF23" s="13">
        <f t="shared" si="168"/>
        <v>0</v>
      </c>
      <c r="BG23" s="13">
        <f t="shared" si="169"/>
        <v>0</v>
      </c>
      <c r="BH23" s="13">
        <f t="shared" si="170"/>
        <v>0</v>
      </c>
      <c r="BI23" s="13">
        <f t="shared" si="171"/>
        <v>0</v>
      </c>
      <c r="BJ23" s="13">
        <f t="shared" si="172"/>
        <v>0</v>
      </c>
      <c r="BK23" s="13">
        <f t="shared" si="173"/>
        <v>0</v>
      </c>
      <c r="BL23" s="13">
        <f t="shared" si="174"/>
        <v>0</v>
      </c>
      <c r="BM23" s="13">
        <f t="shared" si="175"/>
        <v>0</v>
      </c>
      <c r="BN23" s="13">
        <f t="shared" si="176"/>
        <v>0</v>
      </c>
      <c r="BO23" s="13">
        <f t="shared" si="177"/>
        <v>0</v>
      </c>
      <c r="BP23" s="13">
        <f t="shared" si="178"/>
        <v>0</v>
      </c>
      <c r="BQ23" s="13">
        <f t="shared" si="179"/>
        <v>0</v>
      </c>
      <c r="BT23" s="12" t="s">
        <v>89</v>
      </c>
      <c r="BU23" s="13">
        <f t="shared" si="180"/>
        <v>0</v>
      </c>
      <c r="BV23" s="13">
        <f t="shared" si="181"/>
        <v>0</v>
      </c>
      <c r="BW23" s="13">
        <f t="shared" si="182"/>
        <v>0</v>
      </c>
      <c r="BX23" s="13">
        <f t="shared" si="183"/>
        <v>0</v>
      </c>
      <c r="BY23" s="13">
        <f t="shared" si="184"/>
        <v>0</v>
      </c>
      <c r="BZ23" s="13">
        <f t="shared" si="185"/>
        <v>0</v>
      </c>
      <c r="CA23" s="13">
        <f t="shared" si="186"/>
        <v>0</v>
      </c>
      <c r="CB23" s="13" t="s">
        <v>75</v>
      </c>
      <c r="CC23" s="74">
        <f>RANK(CA23,CA22:CA25)</f>
        <v>1</v>
      </c>
      <c r="CD23" s="13">
        <f>SUMPRODUCT((CA22:CA25=CA23)*(BZ22:BZ25&gt;BZ23))</f>
        <v>0</v>
      </c>
      <c r="CF23" s="12" t="str">
        <f>IF(CC23=1,BT23,)</f>
        <v>Marocko</v>
      </c>
      <c r="CG23" s="13">
        <f t="shared" si="187"/>
        <v>0</v>
      </c>
      <c r="CH23" s="13">
        <f t="shared" si="188"/>
        <v>0</v>
      </c>
      <c r="CI23" s="13">
        <f t="shared" si="189"/>
        <v>0</v>
      </c>
      <c r="CJ23" s="13">
        <f t="shared" si="190"/>
        <v>0</v>
      </c>
      <c r="CK23" s="13" t="str">
        <f t="shared" ref="CK23:CK25" si="192">CB23</f>
        <v>C</v>
      </c>
      <c r="CL23" s="13">
        <f>IF(CF23&gt;0,RANK(CJ23,CJ22:CJ25),)</f>
        <v>1</v>
      </c>
      <c r="CM23" s="13">
        <f>IF(AND(CF23&gt;0,COUNTIF(CL22:CL25,CL23)&gt;1),SUMIFS($AI$4:$AI$108,$AF$4:$AF$108,$BT23,$M$4:$M$108,1)+SUMIFS($AK$4:$AK$108,$AH$4:$AH$108,$BT23,$M$4:$M$108,1)-SUMIFS($AK$4:$AK$108,$AF$4:$AF$108,$BT23,$M$4:$M$108,1)-SUMIFS($AI$4:$AI$108,$AH$4:$AH$108,$BT23,$M$4:$M$108,1),)</f>
        <v>0</v>
      </c>
      <c r="CN23" s="13">
        <f>IF(AND(CF23&gt;0,COUNTIF(CL22:CL25,CL23)&gt;1),CL23+RANK(CM23,CM22:CM25)-1,CL23)</f>
        <v>1</v>
      </c>
      <c r="CO23" s="13">
        <f>IF(AND(CF23&gt;0,COUNTIF(CN22:CN25,CN23)&gt;1),SUMIFS($AI$4:$AI$108,$AF$4:$AF$108,$BT23,$M$4:$M$108,1)+SUMIFS($AK$4:$AK$108,$AH$4:$AH$108,$BT23,$M$4:$M$108,1),)</f>
        <v>0</v>
      </c>
      <c r="CP23" s="13">
        <f>IF(AND(CF23&gt;0,COUNTIF(CN22:CN25,CN23)&gt;1),CN23+RANK(CO23,CO22:CO25)-1,CN23)</f>
        <v>1</v>
      </c>
      <c r="CQ23" s="13">
        <f t="shared" ref="CQ23:CQ25" si="193">IF(CP23=0,"",CP23)</f>
        <v>1</v>
      </c>
      <c r="CR23" s="13">
        <f>IF(OR(CQ23="",COUNTIF(CQ22:CQ25,CQ23)=1),"",$BZ23)</f>
        <v>0</v>
      </c>
      <c r="CS23" s="13">
        <f>IF(CQ23="","",IF(COUNTIF(CQ22:CQ25,CQ23)=1,CQ23,CQ23+RANK(CR23,CR22:CR25,0)-1))</f>
        <v>1</v>
      </c>
      <c r="CT23" s="13">
        <f>IF(OR(CS23="",COUNTIF(CS22:CS25,CS23)=1),"",$BX23)</f>
        <v>0</v>
      </c>
      <c r="CU23" s="13">
        <f>IF(CQ23="","",IF(COUNTIF(CS22:CS25,CS23)=1,CS23,CS23+RANK(CT23,CT22:CT25,0)-1))</f>
        <v>1</v>
      </c>
      <c r="CV23" s="13">
        <f>IF(OR(CU23="",COUNTIF(CU22:CU25,CU23)=1),"",$BU23)</f>
        <v>0</v>
      </c>
      <c r="CW23" s="13">
        <f>IF(CQ23="","",IF(COUNTIF(CU22:CU25,CU23)=1,CU23,CU23+RANK(CV23,CV22:CV25,0)-1))</f>
        <v>1</v>
      </c>
      <c r="CX23" s="13">
        <f>IF(CF23&gt;0,BM20+RANK(CW23,CW22:CW25,1),)</f>
        <v>1</v>
      </c>
      <c r="CZ23" s="12">
        <f>IF(CC23=2,BT23,)</f>
        <v>0</v>
      </c>
      <c r="DA23" s="13">
        <f>(SUMIF($AF$4:$AF$108,$BT23,$AZ$4:$AZ$108)+SUMIF($AH$4:$AH$108,$BT23,$BA$4:$BA$108))</f>
        <v>0</v>
      </c>
      <c r="DB23" s="13">
        <f t="shared" ref="DB23:DB25" si="194">(SUMIF($AF$4:$AF$108,$BT23,$BB$4:$BB$108)+SUMIF($AH$4:$AH$108,$BT23,$BC$4:$BC$108))</f>
        <v>0</v>
      </c>
      <c r="DC23" s="13">
        <f t="shared" ref="DC23:DC25" si="195">(SUMIF($AF$4:$AF$108,$BT23,$BD$4:$BD$108)+SUMIF($AH$4:$AH$108,$BT23,$BE$4:$BE$108))</f>
        <v>0</v>
      </c>
      <c r="DD23" s="13">
        <f t="shared" ref="DD23:DD25" si="196">IFERROR(DA23*3+DB23*1,0)</f>
        <v>0</v>
      </c>
      <c r="DE23" s="13" t="str">
        <f t="shared" ref="DE23:DE25" si="197">$CB23</f>
        <v>C</v>
      </c>
      <c r="DF23" s="13">
        <f>IF(CZ23&gt;0,RANK(DD23,DD22:DD25)+CG20,)</f>
        <v>0</v>
      </c>
      <c r="DG23" s="13">
        <f>IF(AND(CZ23&gt;0,COUNTIF(DF22:DF25,DF23)&gt;1),SUMIFS($AI$4:$AI$108,$AF$4:$AF$108,$BT23,$M$4:$M$108,2)+SUMIFS($AK$4:$AK$108,$AH$4:$AH108,$BT23,$M$4:$M$108,2)-SUMIFS($AK$4:$AK$108,$AF$4:$AF$108,$BT23,$M$4:$M$108,2)-SUMIFS($AI$4:$AI$108,$AH$4:$AH$108,$BT23,$M$4:$M$108,2),)</f>
        <v>0</v>
      </c>
      <c r="DH23" s="13">
        <f>IF(AND(CZ23&gt;0,COUNTIF(DF22:DF25,DF23)&gt;1),DF23+RANK(DG23,DG22:DG25)-1,DF23)</f>
        <v>0</v>
      </c>
      <c r="DI23" s="13">
        <f>IF(AND(CZ23&gt;0,COUNTIF(DH22:DH25,DH23)&gt;1),SUMIFS($AI$4:$AI$108,$AF$4:$AF$108,$BT23,$M$4:$M$108,2)+SUMIFS($AK$4:$AK$108,$AH$4:$AH$108,$BT23,$M$4:$M$108,2),)</f>
        <v>0</v>
      </c>
      <c r="DJ23" s="13">
        <f>IF(AND(CZ23&gt;0,COUNTIF(DH22:DH25,DH23)&gt;1),DH23+RANK(DI23,DI22:DI25)-1,DH23)</f>
        <v>0</v>
      </c>
      <c r="DK23" s="75" t="str">
        <f t="shared" ref="DK23:DK25" si="198">IF(DJ23=0,"",DJ23)</f>
        <v/>
      </c>
      <c r="DL23" s="75" t="str">
        <f>IF(OR(DK23="",COUNTIF(DK22:DK25,DK23)=1),"",$BZ23)</f>
        <v/>
      </c>
      <c r="DM23" s="75" t="str">
        <f>IF(DK23="","",IF(COUNTIF(DK22:DK25,DK23)=1,DK23,DK23+RANK(DL23,DL22:DL25,0)-1))</f>
        <v/>
      </c>
      <c r="DN23" s="75" t="str">
        <f>IF(OR(DM23="",COUNTIF(DM22:DM25,DM23)=1),"",$BX23)</f>
        <v/>
      </c>
      <c r="DO23" s="75" t="str">
        <f>IF(DK23="","",IF(COUNTIF(DM22:DM25,DM23)=1,DM23,DM23+RANK(DN23,DN22:DN25,0)-1))</f>
        <v/>
      </c>
      <c r="DP23" s="75" t="str">
        <f>IF(OR(DO23="",COUNTIF(DO22:DO25,DO23)=1),"",$BU23)</f>
        <v/>
      </c>
      <c r="DQ23" s="75" t="str">
        <f>IF(DK23="","",IF(COUNTIF(DO22:DO25,DO23)=1,DO23,DO23+RANK(DP23,DP22:DP25,0)-1))</f>
        <v/>
      </c>
      <c r="DR23" s="13">
        <f>IF(CZ23&gt;0,CG20+RANK(DQ23,DQ22:DQ25,1),)</f>
        <v>0</v>
      </c>
      <c r="DT23" s="13">
        <f>IF(CC23=3,BT23,)</f>
        <v>0</v>
      </c>
      <c r="DU23" s="13">
        <f t="shared" ref="DU23:DU25" si="199">(SUMIF($AF$4:$AF$108,BT23,$BF$4:$BF$108)+SUMIF($AH$4:$AH$108,BT23,$BG$4:$BG$108))</f>
        <v>0</v>
      </c>
      <c r="DV23" s="13">
        <f t="shared" ref="DV23:DV25" si="200">(SUMIF($AF$4:$AF$108,BT23,$BH$4:$BH$108)+SUMIF($AH$4:$AH$108,BT23,$BI$4:$BI$108))</f>
        <v>0</v>
      </c>
      <c r="DW23" s="13">
        <f t="shared" ref="DW23:DW25" si="201">(SUMIF($AF$4:$AF$108,BT23,$BJ$4:$BJ$108)+SUMIF($AH$4:$AH$108,BT23,$BK$4:$BK$108))</f>
        <v>0</v>
      </c>
      <c r="DX23" s="13">
        <f>IFERROR(DU23*3+DV23*1,0)</f>
        <v>0</v>
      </c>
      <c r="DY23" s="13" t="str">
        <f t="shared" ref="DY23:DY25" si="202">CB23</f>
        <v>C</v>
      </c>
      <c r="DZ23" s="13">
        <f>IF(DT23&gt;0,RANK(DX23,DX22:DX25)+CG20+DA20,)</f>
        <v>0</v>
      </c>
      <c r="EA23" s="13">
        <f>IF(AND(DT23&gt;0,COUNTIF(DZ22:DZ25,DZ23)&gt;1),SUMIFS($AI$4:$AI$108,$AF$4:$AF$108,$BT23,$M$4:$M$108,3)+SUMIFS($AK$4:$AK$108,$AH$4:$AH$108,$BT23,$M$4:$M$108,3)-SUMIFS($AK$4:$AK$108,$AF$4:$AF$108,$BT23,$M$4:$M$108,3)-SUMIFS($AI$4:$AI$108,$AH$4:$AH$108,$BT23,$M$4:$M$108,3),)</f>
        <v>0</v>
      </c>
      <c r="EB23" s="13">
        <f>IF(AND(DT23&gt;0,COUNTIF(DZ22:DZ25,DZ23)&gt;1),DZ23+RANK(EA23,EA22:EA25)-1,DZ23)</f>
        <v>0</v>
      </c>
      <c r="EC23" s="13">
        <f>IF(AND(DT23&gt;0,COUNTIF(EB22:EB25,EB23)&gt;1),SUMIFS($AI$4:$AI$108,$AF$4:$AF$108,$BT23,$M$4:$M$108,3)+SUMIFS($AK$4:$AK$108,$AH$4:$AH$108,$BT23,$M$4:$M$108,3),)</f>
        <v>0</v>
      </c>
      <c r="ED23" s="13">
        <f>IF(AND(DT23&gt;0,COUNTIF(EB22:EB25,EB23)&gt;1),EB23+RANK(EC23,EC22:EC25)-1,EB23)</f>
        <v>0</v>
      </c>
      <c r="EE23" s="13" t="str">
        <f t="shared" ref="EE23:EE25" si="203">IF(ED23=0,"",ED23)</f>
        <v/>
      </c>
      <c r="EF23" s="13" t="str">
        <f>IF(OR(EE23="",COUNTIF(EE22:EE25,EE23)=1),"",$BZ23)</f>
        <v/>
      </c>
      <c r="EG23" s="13" t="str">
        <f>IF(EE23="","",IF(COUNTIF(EE22:EE25,EE23)=1,EE23,EE23+RANK(EF23,EF22:EF25,0)-1))</f>
        <v/>
      </c>
      <c r="EH23" s="13" t="str">
        <f>IF(OR(EG23="",COUNTIF(EG22:EG25,EG23)=1),"",$BX23)</f>
        <v/>
      </c>
      <c r="EI23" s="13" t="str">
        <f>IF(EE23="","",IF(COUNTIF(EG22:EG25,EG23)=1,EG23,EG23+RANK(EH23,EH22:EH25,0)-1))</f>
        <v/>
      </c>
      <c r="EJ23" s="13" t="str">
        <f>IF(OR(EI23="",COUNTIF(EI22:EI25,EI23)=1),"",$BU23)</f>
        <v/>
      </c>
      <c r="EK23" s="13" t="str">
        <f>IF(EE23="","",IF(COUNTIF(EI22:EI25,EI23)=1,EI23,EI23+RANK(EJ23,EJ22:EJ25,0)-1))</f>
        <v/>
      </c>
      <c r="EL23" s="13">
        <f>IF(DT23&gt;0,CG20+DA20+RANK(EK23,EK22:EK25,1),)</f>
        <v>0</v>
      </c>
      <c r="EN23" s="13">
        <f>IF(CC23=4,BT23,)</f>
        <v>0</v>
      </c>
      <c r="EO23" s="13">
        <f t="shared" ref="EO23:EO25" si="204">(SUMIF($AF$4:$AF$108,$BT23,$BL$4:$BL$108)+SUMIF($AH$4:$AH$108,$BT23,$BM$4:$BM$108))</f>
        <v>0</v>
      </c>
      <c r="EP23" s="13">
        <f t="shared" ref="EP23:EP25" si="205">(SUMIF($AF$4:$AF$108,$BT23,$BN$4:$BN$108)+SUMIF($AH$4:$AH$108,$BT23,$BO$4:$BO$108))</f>
        <v>0</v>
      </c>
      <c r="EQ23" s="13">
        <f t="shared" ref="EQ23:EQ25" si="206">(SUMIF($AF$4:$AF$108,$BT23,$BP$4:$BP$108)+SUMIF($AH$4:$AH$108,$BT23,$BQ$4:$BQ$108))</f>
        <v>0</v>
      </c>
      <c r="ER23" s="13">
        <f t="shared" ref="ER23:ER25" si="207">IFERROR(EO23*3+EP23*1,0)</f>
        <v>0</v>
      </c>
      <c r="ES23" s="13" t="str">
        <f t="shared" ref="ES23:ES25" si="208">$CB23</f>
        <v>C</v>
      </c>
      <c r="ET23" s="13">
        <f>IF(EN23&gt;0,RANK(ER23,ER22:ER25)+CG20+DA20+DU20,)</f>
        <v>0</v>
      </c>
      <c r="EU23" s="13">
        <f>IF(AND(EN23&gt;0,COUNTIF(ET22:ET25,ET23)&gt;1),SUMIFS($AI$4:$AI$108,$AF$4:$AF$108,$BT23,$M$4:$M$108,4)+SUMIFS($AK$4:$AK$108,$AH$4:$AH$108,$BT23,$M$4:$M$108,4)-SUMIFS($AK$4:$AK$108,$AF$4:$AF$108,$BT23,$M$4:$M$108,4)-SUMIFS($AI$4:$AI$108,$AH$4:$AH$108,$BT23,$M$4:$M$108,4),)</f>
        <v>0</v>
      </c>
      <c r="EV23" s="13">
        <f>IF(AND(EN23&gt;0,COUNTIF(ET22:ET25,ET23)&gt;1),ET23+RANK(EU23,EU22:EU25)-1,ET23)</f>
        <v>0</v>
      </c>
      <c r="EW23" s="13">
        <f t="shared" ref="EW23:EW25" si="209">IF(AND(EN23&gt;0,COUNTIF(EV23:EV26,EV23)&gt;1),SUMIFS($AI$4:$AI$108,$AF$4:$AF$108,$BT23,$M$4:$M$108,4)+SUMIFS($AK$4:$AK$108,$AH$4:$AH$108,$BT23,$M$4:$M$108,4),)</f>
        <v>0</v>
      </c>
      <c r="EX23" s="13">
        <f>IF(AND(EN23&gt;0,COUNTIF(EV22:EV25,EV23)&gt;1),EV23+RANK(EW23,EW22:EW25)-1,EV23)</f>
        <v>0</v>
      </c>
      <c r="EY23" s="13" t="str">
        <f t="shared" ref="EY23:EY25" si="210">IF(EX23=0,"",EX23)</f>
        <v/>
      </c>
      <c r="EZ23" s="13" t="str">
        <f>IF(OR(EY23="",COUNTIF(EY22:EY25,EY23)=1),"",$BZ23)</f>
        <v/>
      </c>
      <c r="FA23" s="13" t="str">
        <f>IF(EY23="","",IF(COUNTIF(EY22:EY25,EY23)=1,EY23,EY23+RANK(EZ23,EZ22:EZ25,0)-1))</f>
        <v/>
      </c>
      <c r="FB23" s="13" t="str">
        <f>IF(OR(FA23="",COUNTIF(FA22:FA25,FA23)=1),"",$BX23)</f>
        <v/>
      </c>
      <c r="FC23" s="13" t="str">
        <f>IF(EY23="","",IF(COUNTIF(FA22:FA25,FA23)=1,FA23,FA23+RANK(FB23,FB22:FB25,0)-1))</f>
        <v/>
      </c>
      <c r="FD23" s="13" t="str">
        <f>IF(OR(FC23="",COUNTIF(FC22:FC25,FC23)=1),"",$BU23)</f>
        <v/>
      </c>
      <c r="FE23" s="13" t="str">
        <f>IF(EY23="","",IF(COUNTIF(FC22:FC25,FC23)=1,FC23,FC23+RANK(FD23,FD22:FD25,0)-1))</f>
        <v/>
      </c>
      <c r="FF23" s="13">
        <f>IF(EN23&gt;0,CG20+DA20+DU20+RANK(FE23,FE22:FE25,1),)</f>
        <v>0</v>
      </c>
      <c r="FH23" s="13">
        <f>IFERROR(VLOOKUP(FJ23,CF21:CX25,19,FALSE),IFERROR(VLOOKUP(FJ23,CZ21:DR25,19,FALSE),IFERROR(VLOOKUP(FJ23,DT21:EL25,19,FALSE),VLOOKUP(FJ23,EN21:FF25,19,FALSE))))</f>
        <v>1</v>
      </c>
      <c r="FI23" s="13">
        <f>RANK(FH23,FH22:FH25,1)+COUNTIF(FH22:FH23,FH23)-1</f>
        <v>2</v>
      </c>
      <c r="FJ23" s="12" t="str">
        <f>BT23</f>
        <v>Marocko</v>
      </c>
      <c r="FZ23" s="79">
        <v>21</v>
      </c>
      <c r="GA23" s="3" t="str">
        <f t="shared" si="72"/>
        <v>CGIDJFLK</v>
      </c>
      <c r="GB23" s="3" t="s">
        <v>75</v>
      </c>
      <c r="GC23" s="3" t="s">
        <v>60</v>
      </c>
      <c r="GD23" s="3" t="s">
        <v>61</v>
      </c>
      <c r="GE23" s="3" t="s">
        <v>58</v>
      </c>
      <c r="GF23" s="3" t="s">
        <v>69</v>
      </c>
      <c r="GG23" s="3" t="s">
        <v>21</v>
      </c>
      <c r="GH23" s="3" t="s">
        <v>63</v>
      </c>
      <c r="GI23" s="3" t="s">
        <v>62</v>
      </c>
      <c r="GJ23" s="9" t="str">
        <f t="shared" si="73"/>
        <v>Haiti</v>
      </c>
      <c r="GK23" s="9" t="str">
        <f t="shared" si="73"/>
        <v>Iran</v>
      </c>
      <c r="GL23" s="9" t="str">
        <f t="shared" si="73"/>
        <v>Irak</v>
      </c>
      <c r="GM23" s="9" t="str">
        <f t="shared" si="73"/>
        <v>Australien</v>
      </c>
      <c r="GN23" s="9" t="str">
        <f t="shared" si="73"/>
        <v>Österrike</v>
      </c>
      <c r="GO23" s="9" t="str">
        <f t="shared" si="73"/>
        <v>Sverige</v>
      </c>
      <c r="GP23" s="9" t="str">
        <f t="shared" si="73"/>
        <v>Ghana</v>
      </c>
      <c r="GQ23" s="9" t="str">
        <f t="shared" si="73"/>
        <v>Uzbekistan</v>
      </c>
      <c r="GR23" s="9" t="str">
        <f t="shared" si="75"/>
        <v/>
      </c>
      <c r="GX23" s="79"/>
    </row>
    <row r="24" spans="2:206" ht="14.25" customHeight="1" x14ac:dyDescent="0.25">
      <c r="B24" s="58">
        <v>30</v>
      </c>
      <c r="C24" s="59">
        <v>46193</v>
      </c>
      <c r="D24" s="60" t="s">
        <v>92</v>
      </c>
      <c r="E24" s="61" t="s">
        <v>66</v>
      </c>
      <c r="F24" s="62" t="s">
        <v>89</v>
      </c>
      <c r="G24" s="63"/>
      <c r="H24" s="64" t="s">
        <v>66</v>
      </c>
      <c r="I24" s="63"/>
      <c r="J24" s="65" t="str">
        <f t="shared" si="191"/>
        <v/>
      </c>
      <c r="K24" s="66">
        <f>IF(OR(G24="",I24="",'[1]Resultat &amp; tabell'!G24="",'[1]Resultat &amp; tabell'!I24=""),0,IF(G24='[1]Resultat &amp; tabell'!G24,2,0)+IF(I24='[1]Resultat &amp; tabell'!I24,2,0)+IF(J24='[1]Resultat &amp; tabell'!J24,2,0))</f>
        <v>0</v>
      </c>
      <c r="L24" s="67"/>
      <c r="M24" s="29">
        <f t="shared" si="144"/>
        <v>1</v>
      </c>
      <c r="N24" s="30">
        <v>3</v>
      </c>
      <c r="O24" s="83" t="str">
        <f>VLOOKUP(N24,FI22:FJ25,2,FALSE)</f>
        <v>Haiti</v>
      </c>
      <c r="P24" s="84">
        <f>VLOOKUP($O24,$BT$22:$CA$25,2,FALSE)</f>
        <v>0</v>
      </c>
      <c r="Q24" s="84">
        <f>VLOOKUP($O24,$BT$22:$CA$25,3,FALSE)</f>
        <v>0</v>
      </c>
      <c r="R24" s="84">
        <f>VLOOKUP($O24,$BT$22:$CA$25,4,FALSE)</f>
        <v>0</v>
      </c>
      <c r="S24" s="84">
        <f>VLOOKUP($O24,$BT$22:$CA$25,5,FALSE)</f>
        <v>0</v>
      </c>
      <c r="T24" s="84">
        <f>VLOOKUP($O24,$BT$22:$CA$25,6,FALSE)</f>
        <v>0</v>
      </c>
      <c r="U24" s="84">
        <f>VLOOKUP($O24,$BT$22:$CA$25,7,FALSE)</f>
        <v>0</v>
      </c>
      <c r="V24" s="85">
        <f>VLOOKUP($O24,$BT$22:$CA$25,8,FALSE)</f>
        <v>0</v>
      </c>
      <c r="X24" s="122" t="s">
        <v>94</v>
      </c>
      <c r="Y24" s="3">
        <f>SUM(K131:K138)</f>
        <v>0</v>
      </c>
      <c r="Z24" s="3">
        <f>R131</f>
        <v>0</v>
      </c>
      <c r="AA24" s="123">
        <f t="shared" ref="AA24:AA28" si="211">Y24+Z24</f>
        <v>0</v>
      </c>
      <c r="AB24" s="9"/>
      <c r="AC24" s="108"/>
      <c r="AE24" s="72">
        <f t="shared" si="145"/>
        <v>46193</v>
      </c>
      <c r="AF24" s="72" t="str">
        <f t="shared" si="145"/>
        <v>Skottland</v>
      </c>
      <c r="AG24" s="72" t="str">
        <f t="shared" si="145"/>
        <v>-</v>
      </c>
      <c r="AH24" s="72" t="str">
        <f t="shared" si="145"/>
        <v>Marocko</v>
      </c>
      <c r="AI24" s="63" t="str">
        <f t="shared" si="146"/>
        <v/>
      </c>
      <c r="AJ24" s="58" t="str">
        <f t="shared" si="147"/>
        <v>-</v>
      </c>
      <c r="AK24" s="63" t="str">
        <f t="shared" si="148"/>
        <v/>
      </c>
      <c r="AL24" s="65" t="str">
        <f t="shared" si="149"/>
        <v/>
      </c>
      <c r="AM24" s="73"/>
      <c r="AN24" s="13">
        <f t="shared" si="150"/>
        <v>0</v>
      </c>
      <c r="AO24" s="13">
        <f t="shared" si="151"/>
        <v>0</v>
      </c>
      <c r="AP24" s="13">
        <f t="shared" si="152"/>
        <v>0</v>
      </c>
      <c r="AQ24" s="13">
        <f t="shared" si="153"/>
        <v>0</v>
      </c>
      <c r="AR24" s="13">
        <f t="shared" si="154"/>
        <v>0</v>
      </c>
      <c r="AS24" s="13">
        <f t="shared" si="155"/>
        <v>0</v>
      </c>
      <c r="AT24" s="13">
        <f t="shared" si="156"/>
        <v>0</v>
      </c>
      <c r="AU24" s="13">
        <f t="shared" si="157"/>
        <v>0</v>
      </c>
      <c r="AV24" s="13">
        <f t="shared" si="158"/>
        <v>0</v>
      </c>
      <c r="AW24" s="13">
        <f t="shared" si="159"/>
        <v>0</v>
      </c>
      <c r="AX24" s="13">
        <f t="shared" si="160"/>
        <v>0</v>
      </c>
      <c r="AY24" s="13">
        <f t="shared" si="161"/>
        <v>0</v>
      </c>
      <c r="AZ24" s="13">
        <f t="shared" si="162"/>
        <v>0</v>
      </c>
      <c r="BA24" s="13">
        <f t="shared" si="163"/>
        <v>0</v>
      </c>
      <c r="BB24" s="13">
        <f t="shared" si="164"/>
        <v>0</v>
      </c>
      <c r="BC24" s="13">
        <f t="shared" si="165"/>
        <v>0</v>
      </c>
      <c r="BD24" s="13">
        <f t="shared" si="166"/>
        <v>0</v>
      </c>
      <c r="BE24" s="13">
        <f t="shared" si="167"/>
        <v>0</v>
      </c>
      <c r="BF24" s="13">
        <f t="shared" si="168"/>
        <v>0</v>
      </c>
      <c r="BG24" s="13">
        <f t="shared" si="169"/>
        <v>0</v>
      </c>
      <c r="BH24" s="13">
        <f t="shared" si="170"/>
        <v>0</v>
      </c>
      <c r="BI24" s="13">
        <f t="shared" si="171"/>
        <v>0</v>
      </c>
      <c r="BJ24" s="13">
        <f t="shared" si="172"/>
        <v>0</v>
      </c>
      <c r="BK24" s="13">
        <f t="shared" si="173"/>
        <v>0</v>
      </c>
      <c r="BL24" s="13">
        <f t="shared" si="174"/>
        <v>0</v>
      </c>
      <c r="BM24" s="13">
        <f t="shared" si="175"/>
        <v>0</v>
      </c>
      <c r="BN24" s="13">
        <f t="shared" si="176"/>
        <v>0</v>
      </c>
      <c r="BO24" s="13">
        <f t="shared" si="177"/>
        <v>0</v>
      </c>
      <c r="BP24" s="13">
        <f t="shared" si="178"/>
        <v>0</v>
      </c>
      <c r="BQ24" s="13">
        <f t="shared" si="179"/>
        <v>0</v>
      </c>
      <c r="BT24" s="12" t="s">
        <v>91</v>
      </c>
      <c r="BU24" s="13">
        <f t="shared" si="180"/>
        <v>0</v>
      </c>
      <c r="BV24" s="13">
        <f t="shared" si="181"/>
        <v>0</v>
      </c>
      <c r="BW24" s="13">
        <f t="shared" si="182"/>
        <v>0</v>
      </c>
      <c r="BX24" s="13">
        <f t="shared" si="183"/>
        <v>0</v>
      </c>
      <c r="BY24" s="13">
        <f t="shared" si="184"/>
        <v>0</v>
      </c>
      <c r="BZ24" s="13">
        <f t="shared" si="185"/>
        <v>0</v>
      </c>
      <c r="CA24" s="13">
        <f t="shared" si="186"/>
        <v>0</v>
      </c>
      <c r="CB24" s="13" t="s">
        <v>75</v>
      </c>
      <c r="CC24" s="74">
        <f>RANK(CA24,CA22:CA25)</f>
        <v>1</v>
      </c>
      <c r="CD24" s="13">
        <f>SUMPRODUCT((CA22:CA25=CA24)*(BZ22:BZ25&gt;BZ24))</f>
        <v>0</v>
      </c>
      <c r="CF24" s="12" t="str">
        <f>IF(CC24=1,BT24,)</f>
        <v>Haiti</v>
      </c>
      <c r="CG24" s="13">
        <f t="shared" si="187"/>
        <v>0</v>
      </c>
      <c r="CH24" s="13">
        <f t="shared" si="188"/>
        <v>0</v>
      </c>
      <c r="CI24" s="13">
        <f t="shared" si="189"/>
        <v>0</v>
      </c>
      <c r="CJ24" s="13">
        <f t="shared" si="190"/>
        <v>0</v>
      </c>
      <c r="CK24" s="13" t="str">
        <f t="shared" si="192"/>
        <v>C</v>
      </c>
      <c r="CL24" s="13">
        <f>IF(CF24&gt;0,RANK(CJ24,CJ22:CJ25),)</f>
        <v>1</v>
      </c>
      <c r="CM24" s="13">
        <f>IF(AND(CF24&gt;0,COUNTIF(CL22:CL25,CL24)&gt;1),SUMIFS($AI$4:$AI$108,$AF$4:$AF$108,$BT24,$M$4:$M$108,1)+SUMIFS($AK$4:$AK$108,$AH$4:$AH$108,$BT24,$M$4:$M$108,1)-SUMIFS($AK$4:$AK$108,$AF$4:$AF$108,$BT24,$M$4:$M$108,1)-SUMIFS($AI$4:$AI$108,$AH$4:$AH$108,$BT24,$M$4:$M$108,1),)</f>
        <v>0</v>
      </c>
      <c r="CN24" s="13">
        <f>IF(AND(CF24&gt;0,COUNTIF(CL22:CL25,CL24)&gt;1),CL24+RANK(CM24,CM22:CM25)-1,CL24)</f>
        <v>1</v>
      </c>
      <c r="CO24" s="13">
        <f>IF(AND(CF24&gt;0,COUNTIF(CN22:CN25,CN24)&gt;1),SUMIFS($AI$4:$AI$108,$AF$4:$AF$108,$BT24,$M$4:$M$108,1)+SUMIFS($AK$4:$AK$108,$AH$4:$AH$108,$BT24,$M$4:$M$108,1),)</f>
        <v>0</v>
      </c>
      <c r="CP24" s="13">
        <f>IF(AND(CF24&gt;0,COUNTIF(CN22:CN25,CN24)&gt;1),CN24+RANK(CO24,CO22:CO25)-1,CN24)</f>
        <v>1</v>
      </c>
      <c r="CQ24" s="13">
        <f t="shared" si="193"/>
        <v>1</v>
      </c>
      <c r="CR24" s="13">
        <f>IF(OR(CQ24="",COUNTIF(CQ22:CQ25,CQ24)=1),"",$BZ24)</f>
        <v>0</v>
      </c>
      <c r="CS24" s="13">
        <f>IF(CQ24="","",IF(COUNTIF(CQ22:CQ25,CQ24)=1,CQ24,CQ24+RANK(CR24,CR22:CR25,0)-1))</f>
        <v>1</v>
      </c>
      <c r="CT24" s="13">
        <f>IF(OR(CS24="",COUNTIF(CS22:CS25,CS24)=1),"",$BX24)</f>
        <v>0</v>
      </c>
      <c r="CU24" s="13">
        <f>IF(CQ24="","",IF(COUNTIF(CS22:CS25,CS24)=1,CS24,CS24+RANK(CT24,CT22:CT25,0)-1))</f>
        <v>1</v>
      </c>
      <c r="CV24" s="13">
        <f>IF(OR(CU24="",COUNTIF(CU22:CU25,CU24)=1),"",$BU24)</f>
        <v>0</v>
      </c>
      <c r="CW24" s="13">
        <f>IF(CQ24="","",IF(COUNTIF(CU22:CU25,CU24)=1,CU24,CU24+RANK(CV24,CV22:CV25,0)-1))</f>
        <v>1</v>
      </c>
      <c r="CX24" s="13">
        <f>IF(CF24&gt;0,BM20+RANK(CW24,CW22:CW25,1),)</f>
        <v>1</v>
      </c>
      <c r="CZ24" s="12">
        <f>IF(CC24=2,BT24,)</f>
        <v>0</v>
      </c>
      <c r="DA24" s="13">
        <f>(SUMIF($AF$4:$AF$108,$BT24,$AZ$4:$AZ$108)+SUMIF($AH$4:$AH$108,$BT24,$BA$4:$BA$108))</f>
        <v>0</v>
      </c>
      <c r="DB24" s="13">
        <f t="shared" si="194"/>
        <v>0</v>
      </c>
      <c r="DC24" s="13">
        <f t="shared" si="195"/>
        <v>0</v>
      </c>
      <c r="DD24" s="13">
        <f t="shared" si="196"/>
        <v>0</v>
      </c>
      <c r="DE24" s="13" t="str">
        <f t="shared" si="197"/>
        <v>C</v>
      </c>
      <c r="DF24" s="13">
        <f>IF(CZ24&gt;0,RANK(DD24,DD22:DD25)+CG20,)</f>
        <v>0</v>
      </c>
      <c r="DG24" s="13">
        <f>IF(AND(CZ24&gt;0,COUNTIF(DF22:DF25,DF24)&gt;1),SUMIFS($AI$4:$AI$108,$AF$4:$AF$108,$BT24,$M$4:$M$108,2)+SUMIFS($AK$4:$AK$108,$AH$4:$AH108,$BT24,$M$4:$M$108,2)-SUMIFS($AK$4:$AK$108,$AF$4:$AF$108,$BT24,$M$4:$M$108,2)-SUMIFS($AI$4:$AI$108,$AH$4:$AH$108,$BT24,$M$4:$M$108,2),)</f>
        <v>0</v>
      </c>
      <c r="DH24" s="13">
        <f>IF(AND(CZ24&gt;0,COUNTIF(DF22:DF25,DF24)&gt;1),DF24+RANK(DG24,DG22:DG25)-1,DF24)</f>
        <v>0</v>
      </c>
      <c r="DI24" s="13">
        <f>IF(AND(CZ24&gt;0,COUNTIF(DH22:DH25,DH24)&gt;1),SUMIFS($AI$4:$AI$108,$AF$4:$AF$108,$BT24,$M$4:$M$108,2)+SUMIFS($AK$4:$AK$108,$AH$4:$AH$108,$BT24,$M$4:$M$108,2),)</f>
        <v>0</v>
      </c>
      <c r="DJ24" s="13">
        <f>IF(AND(CZ24&gt;0,COUNTIF(DH22:DH25,DH24)&gt;1),DH24+RANK(DI24,DI22:DI25)-1,DH24)</f>
        <v>0</v>
      </c>
      <c r="DK24" s="75" t="str">
        <f t="shared" si="198"/>
        <v/>
      </c>
      <c r="DL24" s="75" t="str">
        <f>IF(OR(DK24="",COUNTIF(DK22:DK25,DK24)=1),"",$BZ24)</f>
        <v/>
      </c>
      <c r="DM24" s="75" t="str">
        <f>IF(DK24="","",IF(COUNTIF(DK22:DK25,DK24)=1,DK24,DK24+RANK(DL24,DL22:DL25,0)-1))</f>
        <v/>
      </c>
      <c r="DN24" s="75" t="str">
        <f>IF(OR(DM24="",COUNTIF(DM22:DM25,DM24)=1),"",$BX24)</f>
        <v/>
      </c>
      <c r="DO24" s="75" t="str">
        <f>IF(DK24="","",IF(COUNTIF(DM22:DM25,DM24)=1,DM24,DM24+RANK(DN24,DN22:DN25,0)-1))</f>
        <v/>
      </c>
      <c r="DP24" s="75" t="str">
        <f>IF(OR(DO24="",COUNTIF(DO22:DO25,DO24)=1),"",$BU24)</f>
        <v/>
      </c>
      <c r="DQ24" s="75" t="str">
        <f>IF(DK24="","",IF(COUNTIF(DO22:DO25,DO24)=1,DO24,DO24+RANK(DP24,DP22:DP25,0)-1))</f>
        <v/>
      </c>
      <c r="DR24" s="13">
        <f>IF(CZ24&gt;0,CG20+RANK(DQ24,DQ22:DQ25,1),)</f>
        <v>0</v>
      </c>
      <c r="DT24" s="13">
        <f>IF(CC24=3,BT24,)</f>
        <v>0</v>
      </c>
      <c r="DU24" s="13">
        <f t="shared" si="199"/>
        <v>0</v>
      </c>
      <c r="DV24" s="13">
        <f t="shared" si="200"/>
        <v>0</v>
      </c>
      <c r="DW24" s="13">
        <f t="shared" si="201"/>
        <v>0</v>
      </c>
      <c r="DX24" s="13">
        <f>IFERROR(DU24*3+DV24*1,0)</f>
        <v>0</v>
      </c>
      <c r="DY24" s="13" t="str">
        <f t="shared" si="202"/>
        <v>C</v>
      </c>
      <c r="DZ24" s="13">
        <f>IF(DT24&gt;0,RANK(DX24,DX22:DX25)+CG20+DA20,)</f>
        <v>0</v>
      </c>
      <c r="EA24" s="13">
        <f>IF(AND(DT24&gt;0,COUNTIF(DZ22:DZ25,DZ24)&gt;1),SUMIFS($AI$4:$AI$108,$AF$4:$AF$108,$BT24,$M$4:$M$108,3)+SUMIFS($AK$4:$AK$108,$AH$4:$AH$108,$BT24,$M$4:$M$108,3)-SUMIFS($AK$4:$AK$108,$AF$4:$AF$108,$BT24,$M$4:$M$108,3)-SUMIFS($AI$4:$AI$108,$AH$4:$AH$108,$BT24,$M$4:$M$108,3),)</f>
        <v>0</v>
      </c>
      <c r="EB24" s="13">
        <f>IF(AND(DT24&gt;0,COUNTIF(DZ22:DZ25,DZ24)&gt;1),DZ24+RANK(EA24,EA22:EA25)-1,DZ24)</f>
        <v>0</v>
      </c>
      <c r="EC24" s="13">
        <f>IF(AND(DT24&gt;0,COUNTIF(EB22:EB25,EB24)&gt;1),SUMIFS($AI$4:$AI$108,$AF$4:$AF$108,$BT24,$M$4:$M$108,3)+SUMIFS($AK$4:$AK$108,$AH$4:$AH$108,$BT24,$M$4:$M$108,3),)</f>
        <v>0</v>
      </c>
      <c r="ED24" s="13">
        <f>IF(AND(DT24&gt;0,COUNTIF(EB22:EB25,EB24)&gt;1),EB24+RANK(EC24,EC22:EC25)-1,EB24)</f>
        <v>0</v>
      </c>
      <c r="EE24" s="13" t="str">
        <f t="shared" si="203"/>
        <v/>
      </c>
      <c r="EF24" s="13" t="str">
        <f>IF(OR(EE24="",COUNTIF(EE22:EE25,EE24)=1),"",$BZ24)</f>
        <v/>
      </c>
      <c r="EG24" s="13" t="str">
        <f>IF(EE24="","",IF(COUNTIF(EE22:EE25,EE24)=1,EE24,EE24+RANK(EF24,EF22:EF25,0)-1))</f>
        <v/>
      </c>
      <c r="EH24" s="13" t="str">
        <f>IF(OR(EG24="",COUNTIF(EG22:EG25,EG24)=1),"",$BX24)</f>
        <v/>
      </c>
      <c r="EI24" s="13" t="str">
        <f>IF(EE24="","",IF(COUNTIF(EG22:EG25,EG24)=1,EG24,EG24+RANK(EH24,EH22:EH25,0)-1))</f>
        <v/>
      </c>
      <c r="EJ24" s="13" t="str">
        <f>IF(OR(EI24="",COUNTIF(EI22:EI25,EI24)=1),"",$BU24)</f>
        <v/>
      </c>
      <c r="EK24" s="13" t="str">
        <f>IF(EE24="","",IF(COUNTIF(EI22:EI25,EI24)=1,EI24,EI24+RANK(EJ24,EJ22:EJ25,0)-1))</f>
        <v/>
      </c>
      <c r="EL24" s="13">
        <f>IF(DT24&gt;0,CG20+DA20+RANK(EK24,EK22:EK25,1),)</f>
        <v>0</v>
      </c>
      <c r="EN24" s="13">
        <f>IF(CC24=4,BT24,)</f>
        <v>0</v>
      </c>
      <c r="EO24" s="13">
        <f t="shared" si="204"/>
        <v>0</v>
      </c>
      <c r="EP24" s="13">
        <f t="shared" si="205"/>
        <v>0</v>
      </c>
      <c r="EQ24" s="13">
        <f t="shared" si="206"/>
        <v>0</v>
      </c>
      <c r="ER24" s="13">
        <f t="shared" si="207"/>
        <v>0</v>
      </c>
      <c r="ES24" s="13" t="str">
        <f t="shared" si="208"/>
        <v>C</v>
      </c>
      <c r="ET24" s="13">
        <f>IF(EN24&gt;0,RANK(ER24,ER22:ER25)+CG20+DA20+DU20,)</f>
        <v>0</v>
      </c>
      <c r="EU24" s="13">
        <f>IF(AND(EN24&gt;0,COUNTIF(ET22:ET25,ET24)&gt;1),SUMIFS($AI$4:$AI$108,$AF$4:$AF$108,$BT24,$M$4:$M$108,4)+SUMIFS($AK$4:$AK$108,$AH$4:$AH$108,$BT24,$M$4:$M$108,4)-SUMIFS($AK$4:$AK$108,$AF$4:$AF$108,$BT24,$M$4:$M$108,4)-SUMIFS($AI$4:$AI$108,$AH$4:$AH$108,$BT24,$M$4:$M$108,4),)</f>
        <v>0</v>
      </c>
      <c r="EV24" s="13">
        <f>IF(AND(EN24&gt;0,COUNTIF(ET22:ET25,ET24)&gt;1),ET24+RANK(EU24,EU22:EU25)-1,ET24)</f>
        <v>0</v>
      </c>
      <c r="EW24" s="13">
        <f t="shared" si="209"/>
        <v>0</v>
      </c>
      <c r="EX24" s="13">
        <f>IF(AND(EN24&gt;0,COUNTIF(EV22:EV25,EV24)&gt;1),EV24+RANK(EW24,EW22:EW25)-1,EV24)</f>
        <v>0</v>
      </c>
      <c r="EY24" s="13" t="str">
        <f t="shared" si="210"/>
        <v/>
      </c>
      <c r="EZ24" s="13" t="str">
        <f>IF(OR(EY24="",COUNTIF(EY22:EY25,EY24)=1),"",$BZ24)</f>
        <v/>
      </c>
      <c r="FA24" s="13" t="str">
        <f>IF(EY24="","",IF(COUNTIF(EY22:EY25,EY24)=1,EY24,EY24+RANK(EZ24,EZ22:EZ25,0)-1))</f>
        <v/>
      </c>
      <c r="FB24" s="13" t="str">
        <f>IF(OR(FA24="",COUNTIF(FA22:FA25,FA24)=1),"",$BX24)</f>
        <v/>
      </c>
      <c r="FC24" s="13" t="str">
        <f>IF(EY24="","",IF(COUNTIF(FA22:FA25,FA24)=1,FA24,FA24+RANK(FB24,FB22:FB25,0)-1))</f>
        <v/>
      </c>
      <c r="FD24" s="13" t="str">
        <f>IF(OR(FC24="",COUNTIF(FC22:FC25,FC24)=1),"",$BU24)</f>
        <v/>
      </c>
      <c r="FE24" s="13" t="str">
        <f>IF(EY24="","",IF(COUNTIF(FC22:FC25,FC24)=1,FC24,FC24+RANK(FD24,FD22:FD25,0)-1))</f>
        <v/>
      </c>
      <c r="FF24" s="13">
        <f>IF(EN24&gt;0,CG20+DA20+DU20+RANK(FE24,FE22:FE25,1),)</f>
        <v>0</v>
      </c>
      <c r="FH24" s="13">
        <f>IFERROR(VLOOKUP(FJ24,CF21:CX25,19,FALSE),IFERROR(VLOOKUP(FJ24,CZ21:DR25,19,FALSE),IFERROR(VLOOKUP(FJ24,DT21:EL25,19,FALSE),VLOOKUP(FJ24,EN21:FF25,19,FALSE))))</f>
        <v>1</v>
      </c>
      <c r="FI24" s="13">
        <f>RANK(FH24,FH22:FH25,1)+COUNTIF(FH22:FH24,FH24)-1</f>
        <v>3</v>
      </c>
      <c r="FJ24" s="12" t="str">
        <f>BT24</f>
        <v>Haiti</v>
      </c>
      <c r="FZ24" s="79">
        <v>22</v>
      </c>
      <c r="GA24" s="3" t="str">
        <f t="shared" si="72"/>
        <v>CGJDHFLK</v>
      </c>
      <c r="GB24" s="3" t="s">
        <v>75</v>
      </c>
      <c r="GC24" s="3" t="s">
        <v>60</v>
      </c>
      <c r="GD24" s="3" t="s">
        <v>69</v>
      </c>
      <c r="GE24" s="3" t="s">
        <v>58</v>
      </c>
      <c r="GF24" s="3" t="s">
        <v>70</v>
      </c>
      <c r="GG24" s="3" t="s">
        <v>21</v>
      </c>
      <c r="GH24" s="3" t="s">
        <v>63</v>
      </c>
      <c r="GI24" s="3" t="s">
        <v>62</v>
      </c>
      <c r="GJ24" s="9" t="str">
        <f t="shared" si="73"/>
        <v>Haiti</v>
      </c>
      <c r="GK24" s="9" t="str">
        <f t="shared" si="73"/>
        <v>Iran</v>
      </c>
      <c r="GL24" s="9" t="str">
        <f t="shared" si="73"/>
        <v>Österrike</v>
      </c>
      <c r="GM24" s="9" t="str">
        <f t="shared" si="73"/>
        <v>Australien</v>
      </c>
      <c r="GN24" s="9" t="str">
        <f t="shared" si="73"/>
        <v>Saudiarabien</v>
      </c>
      <c r="GO24" s="9" t="str">
        <f t="shared" si="73"/>
        <v>Sverige</v>
      </c>
      <c r="GP24" s="9" t="str">
        <f t="shared" si="73"/>
        <v>Ghana</v>
      </c>
      <c r="GQ24" s="9" t="str">
        <f t="shared" si="73"/>
        <v>Uzbekistan</v>
      </c>
      <c r="GR24" s="9" t="str">
        <f t="shared" si="75"/>
        <v/>
      </c>
      <c r="GX24" s="79"/>
    </row>
    <row r="25" spans="2:206" ht="14.25" customHeight="1" x14ac:dyDescent="0.25">
      <c r="B25" s="58">
        <v>29</v>
      </c>
      <c r="C25" s="59">
        <v>46193</v>
      </c>
      <c r="D25" s="60" t="s">
        <v>88</v>
      </c>
      <c r="E25" s="61" t="s">
        <v>66</v>
      </c>
      <c r="F25" s="62" t="s">
        <v>91</v>
      </c>
      <c r="G25" s="63"/>
      <c r="H25" s="64" t="s">
        <v>66</v>
      </c>
      <c r="I25" s="63"/>
      <c r="J25" s="65" t="str">
        <f t="shared" si="191"/>
        <v/>
      </c>
      <c r="K25" s="66">
        <f>IF(OR(G25="",I25="",'[1]Resultat &amp; tabell'!G25="",'[1]Resultat &amp; tabell'!I25=""),0,IF(G25='[1]Resultat &amp; tabell'!G25,2,0)+IF(I25='[1]Resultat &amp; tabell'!I25,2,0)+IF(J25='[1]Resultat &amp; tabell'!J25,2,0))</f>
        <v>0</v>
      </c>
      <c r="L25" s="67"/>
      <c r="M25" s="29">
        <f t="shared" si="144"/>
        <v>1</v>
      </c>
      <c r="N25" s="30">
        <v>4</v>
      </c>
      <c r="O25" s="86" t="str">
        <f>VLOOKUP(N25,FI22:FJ25,2,FALSE)</f>
        <v>Skottland</v>
      </c>
      <c r="P25" s="87">
        <f>VLOOKUP($O25,$BT$22:$CA$25,2,FALSE)</f>
        <v>0</v>
      </c>
      <c r="Q25" s="87">
        <f>VLOOKUP($O25,$BT$22:$CA$25,3,FALSE)</f>
        <v>0</v>
      </c>
      <c r="R25" s="87">
        <f>VLOOKUP($O25,$BT$22:$CA$25,4,FALSE)</f>
        <v>0</v>
      </c>
      <c r="S25" s="87">
        <f>VLOOKUP($O25,$BT$22:$CA$25,5,FALSE)</f>
        <v>0</v>
      </c>
      <c r="T25" s="87">
        <f>VLOOKUP($O25,$BT$22:$CA$25,6,FALSE)</f>
        <v>0</v>
      </c>
      <c r="U25" s="87">
        <f>VLOOKUP($O25,$BT$22:$CA$25,7,FALSE)</f>
        <v>0</v>
      </c>
      <c r="V25" s="82">
        <f>VLOOKUP($O25,$BT$22:$CA$25,8,FALSE)</f>
        <v>0</v>
      </c>
      <c r="X25" s="122" t="s">
        <v>95</v>
      </c>
      <c r="Y25" s="3">
        <f>SUM(K142:K145)</f>
        <v>0</v>
      </c>
      <c r="Z25" s="3">
        <f>R142</f>
        <v>0</v>
      </c>
      <c r="AA25" s="123">
        <f t="shared" si="211"/>
        <v>0</v>
      </c>
      <c r="AB25" s="9"/>
      <c r="AC25" s="108"/>
      <c r="AE25" s="72">
        <f t="shared" si="145"/>
        <v>46193</v>
      </c>
      <c r="AF25" s="72" t="str">
        <f t="shared" si="145"/>
        <v>Brasilien</v>
      </c>
      <c r="AG25" s="72" t="str">
        <f t="shared" si="145"/>
        <v>-</v>
      </c>
      <c r="AH25" s="72" t="str">
        <f t="shared" si="145"/>
        <v>Haiti</v>
      </c>
      <c r="AI25" s="63" t="str">
        <f t="shared" si="146"/>
        <v/>
      </c>
      <c r="AJ25" s="58" t="str">
        <f t="shared" si="147"/>
        <v>-</v>
      </c>
      <c r="AK25" s="63" t="str">
        <f t="shared" si="148"/>
        <v/>
      </c>
      <c r="AL25" s="65" t="str">
        <f t="shared" si="149"/>
        <v/>
      </c>
      <c r="AM25" s="73"/>
      <c r="AN25" s="13">
        <f t="shared" si="150"/>
        <v>0</v>
      </c>
      <c r="AO25" s="13">
        <f t="shared" si="151"/>
        <v>0</v>
      </c>
      <c r="AP25" s="13">
        <f t="shared" si="152"/>
        <v>0</v>
      </c>
      <c r="AQ25" s="13">
        <f t="shared" si="153"/>
        <v>0</v>
      </c>
      <c r="AR25" s="13">
        <f t="shared" si="154"/>
        <v>0</v>
      </c>
      <c r="AS25" s="13">
        <f t="shared" si="155"/>
        <v>0</v>
      </c>
      <c r="AT25" s="13">
        <f t="shared" si="156"/>
        <v>0</v>
      </c>
      <c r="AU25" s="13">
        <f t="shared" si="157"/>
        <v>0</v>
      </c>
      <c r="AV25" s="13">
        <f t="shared" si="158"/>
        <v>0</v>
      </c>
      <c r="AW25" s="13">
        <f t="shared" si="159"/>
        <v>0</v>
      </c>
      <c r="AX25" s="13">
        <f t="shared" si="160"/>
        <v>0</v>
      </c>
      <c r="AY25" s="13">
        <f t="shared" si="161"/>
        <v>0</v>
      </c>
      <c r="AZ25" s="13">
        <f t="shared" si="162"/>
        <v>0</v>
      </c>
      <c r="BA25" s="13">
        <f t="shared" si="163"/>
        <v>0</v>
      </c>
      <c r="BB25" s="13">
        <f t="shared" si="164"/>
        <v>0</v>
      </c>
      <c r="BC25" s="13">
        <f t="shared" si="165"/>
        <v>0</v>
      </c>
      <c r="BD25" s="13">
        <f t="shared" si="166"/>
        <v>0</v>
      </c>
      <c r="BE25" s="13">
        <f t="shared" si="167"/>
        <v>0</v>
      </c>
      <c r="BF25" s="13">
        <f t="shared" si="168"/>
        <v>0</v>
      </c>
      <c r="BG25" s="13">
        <f t="shared" si="169"/>
        <v>0</v>
      </c>
      <c r="BH25" s="13">
        <f t="shared" si="170"/>
        <v>0</v>
      </c>
      <c r="BI25" s="13">
        <f t="shared" si="171"/>
        <v>0</v>
      </c>
      <c r="BJ25" s="13">
        <f t="shared" si="172"/>
        <v>0</v>
      </c>
      <c r="BK25" s="13">
        <f t="shared" si="173"/>
        <v>0</v>
      </c>
      <c r="BL25" s="13">
        <f t="shared" si="174"/>
        <v>0</v>
      </c>
      <c r="BM25" s="13">
        <f t="shared" si="175"/>
        <v>0</v>
      </c>
      <c r="BN25" s="13">
        <f t="shared" si="176"/>
        <v>0</v>
      </c>
      <c r="BO25" s="13">
        <f t="shared" si="177"/>
        <v>0</v>
      </c>
      <c r="BP25" s="13">
        <f t="shared" si="178"/>
        <v>0</v>
      </c>
      <c r="BQ25" s="13">
        <f t="shared" si="179"/>
        <v>0</v>
      </c>
      <c r="BT25" s="88" t="s">
        <v>92</v>
      </c>
      <c r="BU25" s="13">
        <f t="shared" si="180"/>
        <v>0</v>
      </c>
      <c r="BV25" s="13">
        <f t="shared" si="181"/>
        <v>0</v>
      </c>
      <c r="BW25" s="13">
        <f t="shared" si="182"/>
        <v>0</v>
      </c>
      <c r="BX25" s="13">
        <f t="shared" si="183"/>
        <v>0</v>
      </c>
      <c r="BY25" s="13">
        <f t="shared" si="184"/>
        <v>0</v>
      </c>
      <c r="BZ25" s="13">
        <f t="shared" si="185"/>
        <v>0</v>
      </c>
      <c r="CA25" s="13">
        <f t="shared" si="186"/>
        <v>0</v>
      </c>
      <c r="CB25" s="89" t="s">
        <v>75</v>
      </c>
      <c r="CC25" s="74">
        <f>RANK(CA25,CA22:CA25)</f>
        <v>1</v>
      </c>
      <c r="CD25" s="13">
        <f>SUMPRODUCT((CA22:CA25=CA25)*(BZ22:BZ25&gt;BZ25))</f>
        <v>0</v>
      </c>
      <c r="CF25" s="88" t="str">
        <f>IF(CC25=1,BT25,)</f>
        <v>Skottland</v>
      </c>
      <c r="CG25" s="13">
        <f t="shared" si="187"/>
        <v>0</v>
      </c>
      <c r="CH25" s="13">
        <f t="shared" si="188"/>
        <v>0</v>
      </c>
      <c r="CI25" s="13">
        <f t="shared" si="189"/>
        <v>0</v>
      </c>
      <c r="CJ25" s="13">
        <f t="shared" si="190"/>
        <v>0</v>
      </c>
      <c r="CK25" s="13" t="str">
        <f t="shared" si="192"/>
        <v>C</v>
      </c>
      <c r="CL25" s="13">
        <f>IF(CF25&gt;0,RANK(CJ25,CJ22:CJ25),)</f>
        <v>1</v>
      </c>
      <c r="CM25" s="13">
        <f>IF(AND(CF25&gt;0,COUNTIF(CL22:CL25,CL25)&gt;1),SUMIFS($AI$4:$AI$108,$AF$4:$AF$108,$BT25,$M$4:$M$108,1)+SUMIFS($AK$4:$AK$108,$AH$4:$AH$108,$BT25,$M$4:$M$108,1)-SUMIFS($AK$4:$AK$108,$AF$4:$AF$108,$BT25,$M$4:$M$108,1)-SUMIFS($AI$4:$AI$108,$AH$4:$AH$108,$BT25,$M$4:$M$108,1),)</f>
        <v>0</v>
      </c>
      <c r="CN25" s="13">
        <f>IF(AND(CF25&gt;0,COUNTIF(CL22:CL25,CL25)&gt;1),CL25+RANK(CM25,CM22:CM25)-1,CL25)</f>
        <v>1</v>
      </c>
      <c r="CO25" s="13">
        <f>IF(AND(CF25&gt;0,COUNTIF(CN22:CN25,CN25)&gt;1),SUMIFS($AI$4:$AI$108,$AF$4:$AF$108,$BT25,$M$4:$M$108,1)+SUMIFS($AK$4:$AK$108,$AH$4:$AH$108,$BT25,$M$4:$M$108,1),)</f>
        <v>0</v>
      </c>
      <c r="CP25" s="13">
        <f>IF(AND(CF25&gt;0,COUNTIF(CN22:CN25,CN25)&gt;1),CN25+RANK(CO25,CO22:CO25)-1,CN25)</f>
        <v>1</v>
      </c>
      <c r="CQ25" s="13">
        <f t="shared" si="193"/>
        <v>1</v>
      </c>
      <c r="CR25" s="13">
        <f>IF(OR(CQ25="",COUNTIF(CQ22:CQ25,CQ25)=1),"",$BZ25)</f>
        <v>0</v>
      </c>
      <c r="CS25" s="13">
        <f>IF(CQ25="","",IF(COUNTIF(CQ22:CQ25,CQ25)=1,CQ25,CQ25+RANK(CR25,CR22:CR25,0)-1))</f>
        <v>1</v>
      </c>
      <c r="CT25" s="13">
        <f>IF(OR(CS25="",COUNTIF(CS22:CS25,CS25)=1),"",$BX25)</f>
        <v>0</v>
      </c>
      <c r="CU25" s="13">
        <f>IF(CQ25="","",IF(COUNTIF(CS22:CS25,CS25)=1,CS25,CS25+RANK(CT25,CT22:CT25,0)-1))</f>
        <v>1</v>
      </c>
      <c r="CV25" s="13">
        <f>IF(OR(CU25="",COUNTIF(CU22:CU25,CU25)=1),"",$BU25)</f>
        <v>0</v>
      </c>
      <c r="CW25" s="13">
        <f>IF(CQ25="","",IF(COUNTIF(CU22:CU25,CU25)=1,CU25,CU25+RANK(CV25,CV22:CV25,0)-1))</f>
        <v>1</v>
      </c>
      <c r="CX25" s="13">
        <f>IF(CF25&gt;0,BM20+RANK(CW25,CW22:CW25,1),)</f>
        <v>1</v>
      </c>
      <c r="CZ25" s="88">
        <f>IF(CC25=2,BT25,)</f>
        <v>0</v>
      </c>
      <c r="DA25" s="13">
        <f>(SUMIF($AF$4:$AF$108,$BT25,$AZ$4:$AZ$108)+SUMIF($AH$4:$AH$108,$BT25,$BA$4:$BA$108))</f>
        <v>0</v>
      </c>
      <c r="DB25" s="13">
        <f t="shared" si="194"/>
        <v>0</v>
      </c>
      <c r="DC25" s="13">
        <f t="shared" si="195"/>
        <v>0</v>
      </c>
      <c r="DD25" s="13">
        <f t="shared" si="196"/>
        <v>0</v>
      </c>
      <c r="DE25" s="13" t="str">
        <f t="shared" si="197"/>
        <v>C</v>
      </c>
      <c r="DF25" s="13">
        <f>IF(CZ25&gt;0,RANK(DD25,DD22:DD25)+CG20,)</f>
        <v>0</v>
      </c>
      <c r="DG25" s="13">
        <f>IF(AND(CZ25&gt;0,COUNTIF(DF22:DF25,DF25)&gt;1),SUMIFS($AI$4:$AI$108,$AF$4:$AF$108,$BT25,$M$4:$M$108,2)+SUMIFS($AK$4:$AK$108,$AH$4:$AH108,$BT25,$M$4:$M$108,2)-SUMIFS($AK$4:$AK$108,$AF$4:$AF$108,$BT25,$M$4:$M$108,2)-SUMIFS($AI$4:$AI$108,$AH$4:$AH$108,$BT25,$M$4:$M$108,2),)</f>
        <v>0</v>
      </c>
      <c r="DH25" s="13">
        <f>IF(AND(CZ25&gt;0,COUNTIF(DF22:DF25,DF25)&gt;1),DF25+RANK(DG25,DG22:DG25)-1,DF25)</f>
        <v>0</v>
      </c>
      <c r="DI25" s="13">
        <f>IF(AND(CZ25&gt;0,COUNTIF(DH22:DH25,DH25)&gt;1),SUMIFS($AI$4:$AI$108,$AF$4:$AF$108,$BT25,$M$4:$M$108,2)+SUMIFS($AK$4:$AK$108,$AH$4:$AH$108,$BT25,$M$4:$M$108,2),)</f>
        <v>0</v>
      </c>
      <c r="DJ25" s="13">
        <f>IF(AND(CZ25&gt;0,COUNTIF(DH22:DH25,DH25)&gt;1),DH25+RANK(DI25,DI22:DI25)-1,DH25)</f>
        <v>0</v>
      </c>
      <c r="DK25" s="75" t="str">
        <f t="shared" si="198"/>
        <v/>
      </c>
      <c r="DL25" s="75" t="str">
        <f>IF(OR(DK25="",COUNTIF(DK22:DK25,DK25)=1),"",$BZ25)</f>
        <v/>
      </c>
      <c r="DM25" s="75" t="str">
        <f>IF(DK25="","",IF(COUNTIF(DK22:DK25,DK25)=1,DK25,DK25+RANK(DL25,DL22:DL25,0)-1))</f>
        <v/>
      </c>
      <c r="DN25" s="75" t="str">
        <f>IF(OR(DM25="",COUNTIF(DM22:DM25,DM25)=1),"",$BX25)</f>
        <v/>
      </c>
      <c r="DO25" s="75" t="str">
        <f>IF(DK25="","",IF(COUNTIF(DM22:DM25,DM25)=1,DM25,DM25+RANK(DN25,DN22:DN25,0)-1))</f>
        <v/>
      </c>
      <c r="DP25" s="75" t="str">
        <f>IF(OR(DO25="",COUNTIF(DO22:DO25,DO25)=1),"",$BU25)</f>
        <v/>
      </c>
      <c r="DQ25" s="75" t="str">
        <f>IF(DK25="","",IF(COUNTIF(DO22:DO25,DO25)=1,DO25,DO25+RANK(DP25,DP22:DP25,0)-1))</f>
        <v/>
      </c>
      <c r="DR25" s="13">
        <f>IF(CZ25&gt;0,CG20+RANK(DQ25,DQ22:DQ25,1),)</f>
        <v>0</v>
      </c>
      <c r="DT25" s="89">
        <f>IF(CC25=3,BT25,)</f>
        <v>0</v>
      </c>
      <c r="DU25" s="13">
        <f t="shared" si="199"/>
        <v>0</v>
      </c>
      <c r="DV25" s="13">
        <f t="shared" si="200"/>
        <v>0</v>
      </c>
      <c r="DW25" s="13">
        <f t="shared" si="201"/>
        <v>0</v>
      </c>
      <c r="DX25" s="13">
        <f>IFERROR(DU25*3+DV25*1,0)</f>
        <v>0</v>
      </c>
      <c r="DY25" s="13" t="str">
        <f t="shared" si="202"/>
        <v>C</v>
      </c>
      <c r="DZ25" s="13">
        <f>IF(DT25&gt;0,RANK(DX25,DX22:DX25)+CG20+DA20,)</f>
        <v>0</v>
      </c>
      <c r="EA25" s="13">
        <f>IF(AND(DT25&gt;0,COUNTIF(DZ22:DZ25,DZ25)&gt;1),SUMIFS($AI$4:$AI$108,$AF$4:$AF$108,$BT25,$M$4:$M$108,3)+SUMIFS($AK$4:$AK$108,$AH$4:$AH$108,$BT25,$M$4:$M$108,3)-SUMIFS($AK$4:$AK$108,$AF$4:$AF$108,$BT25,$M$4:$M$108,3)-SUMIFS($AI$4:$AI$108,$AH$4:$AH$108,$BT25,$M$4:$M$108,3),)</f>
        <v>0</v>
      </c>
      <c r="EB25" s="13">
        <f>IF(AND(DT25&gt;0,COUNTIF(DZ22:DZ25,DZ25)&gt;1),DZ25+RANK(EA25,EA22:EA25)-1,DZ25)</f>
        <v>0</v>
      </c>
      <c r="EC25" s="13">
        <f>IF(AND(DT25&gt;0,COUNTIF(EB22:EB25,EB25)&gt;1),SUMIFS($AI$4:$AI$108,$AF$4:$AF$108,$BT25,$M$4:$M$108,3)+SUMIFS($AK$4:$AK$108,$AH$4:$AH$108,$BT25,$M$4:$M$108,3),)</f>
        <v>0</v>
      </c>
      <c r="ED25" s="13">
        <f>IF(AND(DT25&gt;0,COUNTIF(EB22:EB25,EB25)&gt;1),EB25+RANK(EC25,EC22:EC25)-1,EB25)</f>
        <v>0</v>
      </c>
      <c r="EE25" s="13" t="str">
        <f t="shared" si="203"/>
        <v/>
      </c>
      <c r="EF25" s="13" t="str">
        <f>IF(OR(EE25="",COUNTIF(EE22:EE25,EE25)=1),"",$BZ25)</f>
        <v/>
      </c>
      <c r="EG25" s="13" t="str">
        <f>IF(EE25="","",IF(COUNTIF(EE22:EE25,EE25)=1,EE25,EE25+RANK(EF25,EF22:EF25,0)-1))</f>
        <v/>
      </c>
      <c r="EH25" s="13" t="str">
        <f>IF(OR(EG25="",COUNTIF(EG22:EG25,EG25)=1),"",$BX25)</f>
        <v/>
      </c>
      <c r="EI25" s="13" t="str">
        <f>IF(EE25="","",IF(COUNTIF(EG22:EG25,EG25)=1,EG25,EG25+RANK(EH25,EH22:EH25,0)-1))</f>
        <v/>
      </c>
      <c r="EJ25" s="13" t="str">
        <f>IF(OR(EI25="",COUNTIF(EI22:EI25,EI25)=1),"",$BU25)</f>
        <v/>
      </c>
      <c r="EK25" s="13" t="str">
        <f>IF(EE25="","",IF(COUNTIF(EI22:EI25,EI25)=1,EI25,EI25+RANK(EJ25,EJ22:EJ25,0)-1))</f>
        <v/>
      </c>
      <c r="EL25" s="13">
        <f>IF(DT25&gt;0,CG20+DA20+RANK(EK25,EK22:EK25,1),)</f>
        <v>0</v>
      </c>
      <c r="EN25" s="13">
        <f>IF(CC25=4,BT25,)</f>
        <v>0</v>
      </c>
      <c r="EO25" s="13">
        <f t="shared" si="204"/>
        <v>0</v>
      </c>
      <c r="EP25" s="13">
        <f t="shared" si="205"/>
        <v>0</v>
      </c>
      <c r="EQ25" s="13">
        <f t="shared" si="206"/>
        <v>0</v>
      </c>
      <c r="ER25" s="13">
        <f t="shared" si="207"/>
        <v>0</v>
      </c>
      <c r="ES25" s="13" t="str">
        <f t="shared" si="208"/>
        <v>C</v>
      </c>
      <c r="ET25" s="13">
        <f>IF(EN25&gt;0,RANK(ER25,ER22:ER25)+CG20+DA20+DU20,)</f>
        <v>0</v>
      </c>
      <c r="EU25" s="13">
        <f>IF(AND(EN25&gt;0,COUNTIF(ET22:ET25,ET25)&gt;1),SUMIFS($AI$4:$AI$108,$AF$4:$AF$108,$BT25,$M$4:$M$108,4)+SUMIFS($AK$4:$AK$108,$AH$4:$AH$108,$BT25,$M$4:$M$108,4)-SUMIFS($AK$4:$AK$108,$AF$4:$AF$108,$BT25,$M$4:$M$108,4)-SUMIFS($AI$4:$AI$108,$AH$4:$AH$108,$BT25,$M$4:$M$108,4),)</f>
        <v>0</v>
      </c>
      <c r="EV25" s="13">
        <f>IF(AND(EN25&gt;0,COUNTIF(ET22:ET25,ET25)&gt;1),ET25+RANK(EU25,EU22:EU25)-1,ET25)</f>
        <v>0</v>
      </c>
      <c r="EW25" s="13">
        <f t="shared" si="209"/>
        <v>0</v>
      </c>
      <c r="EX25" s="13">
        <f>IF(AND(EN25&gt;0,COUNTIF(EV22:EV25,EV25)&gt;1),EV25+RANK(EW25,EW22:EW25)-1,EV25)</f>
        <v>0</v>
      </c>
      <c r="EY25" s="13" t="str">
        <f t="shared" si="210"/>
        <v/>
      </c>
      <c r="EZ25" s="13" t="str">
        <f>IF(OR(EY25="",COUNTIF(EY22:EY25,EY25)=1),"",$BZ25)</f>
        <v/>
      </c>
      <c r="FA25" s="13" t="str">
        <f>IF(EY25="","",IF(COUNTIF(EY22:EY25,EY25)=1,EY25,EY25+RANK(EZ25,EZ22:EZ25,0)-1))</f>
        <v/>
      </c>
      <c r="FB25" s="13" t="str">
        <f>IF(OR(FA25="",COUNTIF(FA22:FA25,FA25)=1),"",$BX25)</f>
        <v/>
      </c>
      <c r="FC25" s="13" t="str">
        <f>IF(EY25="","",IF(COUNTIF(FA22:FA25,FA25)=1,FA25,FA25+RANK(FB25,FB22:FB25,0)-1))</f>
        <v/>
      </c>
      <c r="FD25" s="13" t="str">
        <f>IF(OR(FC25="",COUNTIF(FC22:FC25,FC25)=1),"",$BU25)</f>
        <v/>
      </c>
      <c r="FE25" s="13" t="str">
        <f>IF(EY25="","",IF(COUNTIF(FC22:FC25,FC25)=1,FC25,FC25+RANK(FD25,FD22:FD25,0)-1))</f>
        <v/>
      </c>
      <c r="FF25" s="13">
        <f>IF(EN25&gt;0,CG20+DA20+DU20+RANK(FE25,FE22:FE25,1),)</f>
        <v>0</v>
      </c>
      <c r="FH25" s="13">
        <f>IFERROR(VLOOKUP(FJ25,CF21:CX25,19,FALSE),IFERROR(VLOOKUP(FJ25,CZ21:DR25,19,FALSE),IFERROR(VLOOKUP(FJ25,DT21:EL25,19,FALSE),VLOOKUP(FJ25,EN21:FF25,19,FALSE))))</f>
        <v>1</v>
      </c>
      <c r="FI25" s="13">
        <f>RANK(FH25,FH22:FH25,1)+COUNTIF(FH22:FH25,FH25)-1</f>
        <v>4</v>
      </c>
      <c r="FJ25" s="12" t="str">
        <f>BT25</f>
        <v>Skottland</v>
      </c>
      <c r="FZ25" s="79">
        <v>23</v>
      </c>
      <c r="GA25" s="3" t="str">
        <f t="shared" si="72"/>
        <v>CGIDHFLK</v>
      </c>
      <c r="GB25" s="3" t="s">
        <v>75</v>
      </c>
      <c r="GC25" s="3" t="s">
        <v>60</v>
      </c>
      <c r="GD25" s="3" t="s">
        <v>61</v>
      </c>
      <c r="GE25" s="3" t="s">
        <v>58</v>
      </c>
      <c r="GF25" s="3" t="s">
        <v>70</v>
      </c>
      <c r="GG25" s="3" t="s">
        <v>21</v>
      </c>
      <c r="GH25" s="3" t="s">
        <v>63</v>
      </c>
      <c r="GI25" s="3" t="s">
        <v>62</v>
      </c>
      <c r="GJ25" s="9" t="str">
        <f t="shared" si="73"/>
        <v>Haiti</v>
      </c>
      <c r="GK25" s="9" t="str">
        <f t="shared" si="73"/>
        <v>Iran</v>
      </c>
      <c r="GL25" s="9" t="str">
        <f t="shared" si="73"/>
        <v>Irak</v>
      </c>
      <c r="GM25" s="9" t="str">
        <f t="shared" si="73"/>
        <v>Australien</v>
      </c>
      <c r="GN25" s="9" t="str">
        <f t="shared" si="73"/>
        <v>Saudiarabien</v>
      </c>
      <c r="GO25" s="9" t="str">
        <f t="shared" si="73"/>
        <v>Sverige</v>
      </c>
      <c r="GP25" s="9" t="str">
        <f t="shared" si="73"/>
        <v>Ghana</v>
      </c>
      <c r="GQ25" s="9" t="str">
        <f t="shared" si="73"/>
        <v>Uzbekistan</v>
      </c>
      <c r="GR25" s="9" t="str">
        <f t="shared" si="75"/>
        <v/>
      </c>
      <c r="GX25" s="79"/>
    </row>
    <row r="26" spans="2:206" ht="14.25" customHeight="1" x14ac:dyDescent="0.25">
      <c r="B26" s="58">
        <v>49</v>
      </c>
      <c r="C26" s="59">
        <v>46198</v>
      </c>
      <c r="D26" s="60" t="s">
        <v>92</v>
      </c>
      <c r="E26" s="61" t="s">
        <v>66</v>
      </c>
      <c r="F26" s="62" t="s">
        <v>88</v>
      </c>
      <c r="G26" s="63"/>
      <c r="H26" s="64" t="s">
        <v>66</v>
      </c>
      <c r="I26" s="63"/>
      <c r="J26" s="65" t="str">
        <f t="shared" si="191"/>
        <v/>
      </c>
      <c r="K26" s="66">
        <f>IF(OR(G26="",I26="",'[1]Resultat &amp; tabell'!G26="",'[1]Resultat &amp; tabell'!I26=""),0,IF(G26='[1]Resultat &amp; tabell'!G26,2,0)+IF(I26='[1]Resultat &amp; tabell'!I26,2,0)+IF(J26='[1]Resultat &amp; tabell'!J26,2,0))</f>
        <v>0</v>
      </c>
      <c r="L26" s="67"/>
      <c r="M26" s="29">
        <f t="shared" si="144"/>
        <v>1</v>
      </c>
      <c r="O26" s="91" t="str">
        <f>IF(COUNTBLANK(G22:G27)+COUNTBLANK(I22:I27)=0,"Resultat OK","Fyll i resultat")</f>
        <v>Fyll i resultat</v>
      </c>
      <c r="P26" s="92"/>
      <c r="Q26" s="92"/>
      <c r="R26" s="92"/>
      <c r="S26" s="92"/>
      <c r="T26" s="92"/>
      <c r="U26" s="92"/>
      <c r="V26" s="3"/>
      <c r="X26" s="122" t="s">
        <v>96</v>
      </c>
      <c r="Y26" s="124">
        <f>SUM(K149:K150)</f>
        <v>0</v>
      </c>
      <c r="Z26" s="3">
        <f>R149</f>
        <v>0</v>
      </c>
      <c r="AA26" s="123">
        <f t="shared" si="211"/>
        <v>0</v>
      </c>
      <c r="AB26" s="9"/>
      <c r="AC26" s="108"/>
      <c r="AE26" s="72">
        <f t="shared" si="145"/>
        <v>46198</v>
      </c>
      <c r="AF26" s="72" t="str">
        <f t="shared" si="145"/>
        <v>Skottland</v>
      </c>
      <c r="AG26" s="72" t="str">
        <f t="shared" si="145"/>
        <v>-</v>
      </c>
      <c r="AH26" s="72" t="str">
        <f t="shared" si="145"/>
        <v>Brasilien</v>
      </c>
      <c r="AI26" s="63" t="str">
        <f t="shared" si="146"/>
        <v/>
      </c>
      <c r="AJ26" s="58" t="str">
        <f t="shared" si="147"/>
        <v>-</v>
      </c>
      <c r="AK26" s="63" t="str">
        <f t="shared" si="148"/>
        <v/>
      </c>
      <c r="AL26" s="65" t="str">
        <f t="shared" si="149"/>
        <v/>
      </c>
      <c r="AM26" s="73"/>
      <c r="AN26" s="13">
        <f t="shared" si="150"/>
        <v>0</v>
      </c>
      <c r="AO26" s="13">
        <f t="shared" si="151"/>
        <v>0</v>
      </c>
      <c r="AP26" s="13">
        <f t="shared" si="152"/>
        <v>0</v>
      </c>
      <c r="AQ26" s="13">
        <f t="shared" si="153"/>
        <v>0</v>
      </c>
      <c r="AR26" s="13">
        <f t="shared" si="154"/>
        <v>0</v>
      </c>
      <c r="AS26" s="13">
        <f t="shared" si="155"/>
        <v>0</v>
      </c>
      <c r="AT26" s="13">
        <f t="shared" si="156"/>
        <v>0</v>
      </c>
      <c r="AU26" s="13">
        <f t="shared" si="157"/>
        <v>0</v>
      </c>
      <c r="AV26" s="13">
        <f t="shared" si="158"/>
        <v>0</v>
      </c>
      <c r="AW26" s="13">
        <f t="shared" si="159"/>
        <v>0</v>
      </c>
      <c r="AX26" s="13">
        <f t="shared" si="160"/>
        <v>0</v>
      </c>
      <c r="AY26" s="13">
        <f t="shared" si="161"/>
        <v>0</v>
      </c>
      <c r="AZ26" s="13">
        <f t="shared" si="162"/>
        <v>0</v>
      </c>
      <c r="BA26" s="13">
        <f t="shared" si="163"/>
        <v>0</v>
      </c>
      <c r="BB26" s="13">
        <f t="shared" si="164"/>
        <v>0</v>
      </c>
      <c r="BC26" s="13">
        <f t="shared" si="165"/>
        <v>0</v>
      </c>
      <c r="BD26" s="13">
        <f t="shared" si="166"/>
        <v>0</v>
      </c>
      <c r="BE26" s="13">
        <f t="shared" si="167"/>
        <v>0</v>
      </c>
      <c r="BF26" s="13">
        <f t="shared" si="168"/>
        <v>0</v>
      </c>
      <c r="BG26" s="13">
        <f t="shared" si="169"/>
        <v>0</v>
      </c>
      <c r="BH26" s="13">
        <f t="shared" si="170"/>
        <v>0</v>
      </c>
      <c r="BI26" s="13">
        <f t="shared" si="171"/>
        <v>0</v>
      </c>
      <c r="BJ26" s="13">
        <f t="shared" si="172"/>
        <v>0</v>
      </c>
      <c r="BK26" s="13">
        <f t="shared" si="173"/>
        <v>0</v>
      </c>
      <c r="BL26" s="13">
        <f t="shared" si="174"/>
        <v>0</v>
      </c>
      <c r="BM26" s="13">
        <f t="shared" si="175"/>
        <v>0</v>
      </c>
      <c r="BN26" s="13">
        <f t="shared" si="176"/>
        <v>0</v>
      </c>
      <c r="BO26" s="13">
        <f t="shared" si="177"/>
        <v>0</v>
      </c>
      <c r="BP26" s="13">
        <f t="shared" si="178"/>
        <v>0</v>
      </c>
      <c r="BQ26" s="13">
        <f t="shared" si="179"/>
        <v>0</v>
      </c>
      <c r="FZ26" s="79">
        <v>24</v>
      </c>
      <c r="GA26" s="3" t="str">
        <f t="shared" si="72"/>
        <v>CGJDHFLI</v>
      </c>
      <c r="GB26" s="3" t="s">
        <v>75</v>
      </c>
      <c r="GC26" s="3" t="s">
        <v>60</v>
      </c>
      <c r="GD26" s="3" t="s">
        <v>69</v>
      </c>
      <c r="GE26" s="3" t="s">
        <v>58</v>
      </c>
      <c r="GF26" s="3" t="s">
        <v>70</v>
      </c>
      <c r="GG26" s="3" t="s">
        <v>21</v>
      </c>
      <c r="GH26" s="3" t="s">
        <v>63</v>
      </c>
      <c r="GI26" s="3" t="s">
        <v>61</v>
      </c>
      <c r="GJ26" s="9" t="str">
        <f t="shared" si="73"/>
        <v>Haiti</v>
      </c>
      <c r="GK26" s="9" t="str">
        <f t="shared" si="73"/>
        <v>Iran</v>
      </c>
      <c r="GL26" s="9" t="str">
        <f t="shared" si="73"/>
        <v>Österrike</v>
      </c>
      <c r="GM26" s="9" t="str">
        <f t="shared" si="73"/>
        <v>Australien</v>
      </c>
      <c r="GN26" s="9" t="str">
        <f t="shared" si="73"/>
        <v>Saudiarabien</v>
      </c>
      <c r="GO26" s="9" t="str">
        <f t="shared" si="73"/>
        <v>Sverige</v>
      </c>
      <c r="GP26" s="9" t="str">
        <f t="shared" si="73"/>
        <v>Ghana</v>
      </c>
      <c r="GQ26" s="9" t="str">
        <f t="shared" si="73"/>
        <v>Irak</v>
      </c>
      <c r="GR26" s="9" t="str">
        <f t="shared" si="75"/>
        <v/>
      </c>
      <c r="GX26" s="79"/>
    </row>
    <row r="27" spans="2:206" ht="14.25" customHeight="1" x14ac:dyDescent="0.25">
      <c r="B27" s="58">
        <v>50</v>
      </c>
      <c r="C27" s="59">
        <v>46198</v>
      </c>
      <c r="D27" s="60" t="s">
        <v>89</v>
      </c>
      <c r="E27" s="61" t="s">
        <v>66</v>
      </c>
      <c r="F27" s="62" t="s">
        <v>91</v>
      </c>
      <c r="G27" s="63"/>
      <c r="H27" s="64" t="s">
        <v>66</v>
      </c>
      <c r="I27" s="63"/>
      <c r="J27" s="65" t="str">
        <f t="shared" si="191"/>
        <v/>
      </c>
      <c r="K27" s="66">
        <f>IF(OR(G27="",I27="",'[1]Resultat &amp; tabell'!G27="",'[1]Resultat &amp; tabell'!I27=""),0,IF(G27='[1]Resultat &amp; tabell'!G27,2,0)+IF(I27='[1]Resultat &amp; tabell'!I27,2,0)+IF(J27='[1]Resultat &amp; tabell'!J27,2,0))</f>
        <v>0</v>
      </c>
      <c r="L27" s="67"/>
      <c r="M27" s="29">
        <f t="shared" si="144"/>
        <v>1</v>
      </c>
      <c r="V27" s="3"/>
      <c r="X27" s="122" t="s">
        <v>97</v>
      </c>
      <c r="Y27" s="3">
        <f>SUM(K154)</f>
        <v>0</v>
      </c>
      <c r="Z27" s="124">
        <f>R154</f>
        <v>0</v>
      </c>
      <c r="AA27" s="123">
        <f t="shared" si="211"/>
        <v>0</v>
      </c>
      <c r="AB27" s="9"/>
      <c r="AC27" s="108"/>
      <c r="AE27" s="72">
        <f t="shared" si="145"/>
        <v>46198</v>
      </c>
      <c r="AF27" s="72" t="str">
        <f t="shared" si="145"/>
        <v>Marocko</v>
      </c>
      <c r="AG27" s="72" t="str">
        <f t="shared" si="145"/>
        <v>-</v>
      </c>
      <c r="AH27" s="72" t="str">
        <f t="shared" si="145"/>
        <v>Haiti</v>
      </c>
      <c r="AI27" s="63" t="str">
        <f t="shared" si="146"/>
        <v/>
      </c>
      <c r="AJ27" s="58" t="str">
        <f t="shared" si="147"/>
        <v>-</v>
      </c>
      <c r="AK27" s="63" t="str">
        <f t="shared" si="148"/>
        <v/>
      </c>
      <c r="AL27" s="65" t="str">
        <f t="shared" si="149"/>
        <v/>
      </c>
      <c r="AM27" s="73"/>
      <c r="AN27" s="13">
        <f t="shared" si="150"/>
        <v>0</v>
      </c>
      <c r="AO27" s="13">
        <f t="shared" si="151"/>
        <v>0</v>
      </c>
      <c r="AP27" s="13">
        <f t="shared" si="152"/>
        <v>0</v>
      </c>
      <c r="AQ27" s="13">
        <f t="shared" si="153"/>
        <v>0</v>
      </c>
      <c r="AR27" s="13">
        <f t="shared" si="154"/>
        <v>0</v>
      </c>
      <c r="AS27" s="13">
        <f t="shared" si="155"/>
        <v>0</v>
      </c>
      <c r="AT27" s="13">
        <f t="shared" si="156"/>
        <v>0</v>
      </c>
      <c r="AU27" s="13">
        <f t="shared" si="157"/>
        <v>0</v>
      </c>
      <c r="AV27" s="13">
        <f t="shared" si="158"/>
        <v>0</v>
      </c>
      <c r="AW27" s="13">
        <f t="shared" si="159"/>
        <v>0</v>
      </c>
      <c r="AX27" s="13">
        <f t="shared" si="160"/>
        <v>0</v>
      </c>
      <c r="AY27" s="13">
        <f t="shared" si="161"/>
        <v>0</v>
      </c>
      <c r="AZ27" s="13">
        <f t="shared" si="162"/>
        <v>0</v>
      </c>
      <c r="BA27" s="13">
        <f t="shared" si="163"/>
        <v>0</v>
      </c>
      <c r="BB27" s="13">
        <f t="shared" si="164"/>
        <v>0</v>
      </c>
      <c r="BC27" s="13">
        <f t="shared" si="165"/>
        <v>0</v>
      </c>
      <c r="BD27" s="13">
        <f t="shared" si="166"/>
        <v>0</v>
      </c>
      <c r="BE27" s="13">
        <f t="shared" si="167"/>
        <v>0</v>
      </c>
      <c r="BF27" s="13">
        <f t="shared" si="168"/>
        <v>0</v>
      </c>
      <c r="BG27" s="13">
        <f t="shared" si="169"/>
        <v>0</v>
      </c>
      <c r="BH27" s="13">
        <f t="shared" si="170"/>
        <v>0</v>
      </c>
      <c r="BI27" s="13">
        <f t="shared" si="171"/>
        <v>0</v>
      </c>
      <c r="BJ27" s="13">
        <f t="shared" si="172"/>
        <v>0</v>
      </c>
      <c r="BK27" s="13">
        <f t="shared" si="173"/>
        <v>0</v>
      </c>
      <c r="BL27" s="13">
        <f t="shared" si="174"/>
        <v>0</v>
      </c>
      <c r="BM27" s="13">
        <f t="shared" si="175"/>
        <v>0</v>
      </c>
      <c r="BN27" s="13">
        <f t="shared" si="176"/>
        <v>0</v>
      </c>
      <c r="BO27" s="13">
        <f t="shared" si="177"/>
        <v>0</v>
      </c>
      <c r="BP27" s="13">
        <f t="shared" si="178"/>
        <v>0</v>
      </c>
      <c r="BQ27" s="13">
        <f t="shared" si="179"/>
        <v>0</v>
      </c>
      <c r="FZ27" s="79">
        <v>25</v>
      </c>
      <c r="GA27" s="3" t="str">
        <f t="shared" si="72"/>
        <v>CGJDHFIK</v>
      </c>
      <c r="GB27" s="3" t="s">
        <v>75</v>
      </c>
      <c r="GC27" s="3" t="s">
        <v>60</v>
      </c>
      <c r="GD27" s="3" t="s">
        <v>69</v>
      </c>
      <c r="GE27" s="3" t="s">
        <v>58</v>
      </c>
      <c r="GF27" s="3" t="s">
        <v>70</v>
      </c>
      <c r="GG27" s="3" t="s">
        <v>21</v>
      </c>
      <c r="GH27" s="3" t="s">
        <v>61</v>
      </c>
      <c r="GI27" s="3" t="s">
        <v>62</v>
      </c>
      <c r="GJ27" s="9" t="str">
        <f t="shared" si="73"/>
        <v>Haiti</v>
      </c>
      <c r="GK27" s="9" t="str">
        <f t="shared" si="73"/>
        <v>Iran</v>
      </c>
      <c r="GL27" s="9" t="str">
        <f t="shared" si="73"/>
        <v>Österrike</v>
      </c>
      <c r="GM27" s="9" t="str">
        <f t="shared" si="73"/>
        <v>Australien</v>
      </c>
      <c r="GN27" s="9" t="str">
        <f t="shared" si="73"/>
        <v>Saudiarabien</v>
      </c>
      <c r="GO27" s="9" t="str">
        <f t="shared" si="73"/>
        <v>Sverige</v>
      </c>
      <c r="GP27" s="9" t="str">
        <f t="shared" si="73"/>
        <v>Irak</v>
      </c>
      <c r="GQ27" s="9" t="str">
        <f t="shared" si="73"/>
        <v>Uzbekistan</v>
      </c>
      <c r="GR27" s="9" t="str">
        <f t="shared" si="75"/>
        <v/>
      </c>
      <c r="GX27" s="79"/>
    </row>
    <row r="28" spans="2:206" ht="14.25" customHeight="1" x14ac:dyDescent="0.25">
      <c r="C28" s="94"/>
      <c r="J28" s="23"/>
      <c r="K28" s="16"/>
      <c r="L28" s="49"/>
      <c r="V28" s="3"/>
      <c r="X28" s="122" t="s">
        <v>98</v>
      </c>
      <c r="Y28" s="3">
        <f>SUM(K158)</f>
        <v>0</v>
      </c>
      <c r="Z28" s="3">
        <f>R158</f>
        <v>0</v>
      </c>
      <c r="AA28" s="123">
        <f t="shared" si="211"/>
        <v>0</v>
      </c>
      <c r="AB28" s="9"/>
      <c r="AC28" s="108"/>
      <c r="AE28" s="194"/>
      <c r="AF28" s="194"/>
      <c r="AG28" s="125"/>
      <c r="AH28" s="125"/>
      <c r="AI28" s="3" t="str">
        <f>IF(B28="","",B28)</f>
        <v/>
      </c>
      <c r="AL28" s="23"/>
      <c r="AM28" s="16"/>
      <c r="FZ28" s="79">
        <v>26</v>
      </c>
      <c r="GA28" s="3" t="str">
        <f t="shared" si="72"/>
        <v>EJICHDLK</v>
      </c>
      <c r="GB28" s="3" t="s">
        <v>59</v>
      </c>
      <c r="GC28" s="3" t="s">
        <v>69</v>
      </c>
      <c r="GD28" s="3" t="s">
        <v>61</v>
      </c>
      <c r="GE28" s="3" t="s">
        <v>75</v>
      </c>
      <c r="GF28" s="3" t="s">
        <v>70</v>
      </c>
      <c r="GG28" s="3" t="s">
        <v>58</v>
      </c>
      <c r="GH28" s="3" t="s">
        <v>63</v>
      </c>
      <c r="GI28" s="3" t="s">
        <v>62</v>
      </c>
      <c r="GJ28" s="9" t="str">
        <f t="shared" si="73"/>
        <v>Elfenbenskusten</v>
      </c>
      <c r="GK28" s="9" t="str">
        <f t="shared" si="73"/>
        <v>Österrike</v>
      </c>
      <c r="GL28" s="9" t="str">
        <f t="shared" si="73"/>
        <v>Irak</v>
      </c>
      <c r="GM28" s="9" t="str">
        <f t="shared" si="73"/>
        <v>Haiti</v>
      </c>
      <c r="GN28" s="9" t="str">
        <f t="shared" si="73"/>
        <v>Saudiarabien</v>
      </c>
      <c r="GO28" s="9" t="str">
        <f t="shared" si="73"/>
        <v>Australien</v>
      </c>
      <c r="GP28" s="9" t="str">
        <f t="shared" si="73"/>
        <v>Ghana</v>
      </c>
      <c r="GQ28" s="9" t="str">
        <f t="shared" si="73"/>
        <v>Uzbekistan</v>
      </c>
      <c r="GR28" s="9" t="str">
        <f t="shared" si="75"/>
        <v/>
      </c>
      <c r="GX28" s="79"/>
    </row>
    <row r="29" spans="2:206" s="104" customFormat="1" ht="14.25" customHeight="1" x14ac:dyDescent="0.25">
      <c r="B29" s="19" t="s">
        <v>99</v>
      </c>
      <c r="C29" s="97"/>
      <c r="D29" s="126"/>
      <c r="E29" s="33"/>
      <c r="F29" s="126"/>
      <c r="G29" s="25"/>
      <c r="H29" s="25"/>
      <c r="I29" s="25"/>
      <c r="J29" s="23"/>
      <c r="K29" s="16"/>
      <c r="L29" s="49"/>
      <c r="M29" s="103"/>
      <c r="N29" s="103"/>
      <c r="O29" s="19" t="s">
        <v>99</v>
      </c>
      <c r="V29" s="33"/>
      <c r="X29" s="86" t="s">
        <v>3</v>
      </c>
      <c r="Y29" s="81">
        <v>0</v>
      </c>
      <c r="Z29" s="81">
        <f>SUM(AC4:AC10)</f>
        <v>0</v>
      </c>
      <c r="AA29" s="82">
        <f>Y29+Z29</f>
        <v>0</v>
      </c>
      <c r="AC29" s="43"/>
      <c r="AE29" s="32" t="s">
        <v>99</v>
      </c>
      <c r="AF29" s="9"/>
      <c r="AG29" s="9"/>
      <c r="AH29" s="9"/>
      <c r="AI29" s="33"/>
      <c r="AJ29" s="33"/>
      <c r="AK29" s="33"/>
      <c r="AL29" s="23"/>
      <c r="AM29" s="16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2"/>
      <c r="BS29" s="12"/>
      <c r="BT29" s="39" t="s">
        <v>4</v>
      </c>
      <c r="BU29" s="34"/>
      <c r="BV29" s="34"/>
      <c r="BW29" s="34"/>
      <c r="BX29" s="34"/>
      <c r="BY29" s="34"/>
      <c r="BZ29" s="34"/>
      <c r="CA29" s="34"/>
      <c r="CB29" s="39"/>
      <c r="CC29" s="34"/>
      <c r="CD29" s="34"/>
      <c r="CE29" s="12"/>
      <c r="CF29" s="40" t="s">
        <v>5</v>
      </c>
      <c r="CG29" s="35">
        <f>COUNTIF(CC31:CC34,1)</f>
        <v>4</v>
      </c>
      <c r="CH29" s="35"/>
      <c r="CI29" s="35"/>
      <c r="CJ29" s="35"/>
      <c r="CK29" s="35"/>
      <c r="CL29" s="35"/>
      <c r="CM29" s="35"/>
      <c r="CN29" s="35"/>
      <c r="CO29" s="35"/>
      <c r="CP29" s="35"/>
      <c r="CQ29" s="13"/>
      <c r="CR29" s="13"/>
      <c r="CS29" s="13"/>
      <c r="CT29" s="13"/>
      <c r="CU29" s="13"/>
      <c r="CV29" s="13"/>
      <c r="CW29" s="13"/>
      <c r="CX29" s="13"/>
      <c r="CY29" s="12"/>
      <c r="CZ29" s="41" t="s">
        <v>8</v>
      </c>
      <c r="DA29" s="36">
        <f>COUNTIF(CC31:CC34,2)</f>
        <v>0</v>
      </c>
      <c r="DB29" s="36"/>
      <c r="DC29" s="36"/>
      <c r="DD29" s="36"/>
      <c r="DE29" s="36"/>
      <c r="DF29" s="36"/>
      <c r="DG29" s="36"/>
      <c r="DH29" s="36"/>
      <c r="DI29" s="36"/>
      <c r="DJ29" s="41"/>
      <c r="DK29" s="12"/>
      <c r="DL29" s="12"/>
      <c r="DM29" s="12"/>
      <c r="DN29" s="12"/>
      <c r="DO29" s="12"/>
      <c r="DP29" s="12"/>
      <c r="DQ29" s="12"/>
      <c r="DR29" s="12"/>
      <c r="DS29" s="12"/>
      <c r="DT29" s="37" t="s">
        <v>6</v>
      </c>
      <c r="DU29" s="37">
        <f>COUNTIF(CC31:CC34,3)</f>
        <v>0</v>
      </c>
      <c r="DV29" s="37"/>
      <c r="DW29" s="37"/>
      <c r="DX29" s="37"/>
      <c r="DY29" s="37"/>
      <c r="DZ29" s="37"/>
      <c r="EA29" s="37"/>
      <c r="EB29" s="37"/>
      <c r="EC29" s="37"/>
      <c r="ED29" s="37"/>
      <c r="EE29" s="13"/>
      <c r="EF29" s="13"/>
      <c r="EG29" s="13"/>
      <c r="EH29" s="13"/>
      <c r="EI29" s="13"/>
      <c r="EJ29" s="13"/>
      <c r="EK29" s="13"/>
      <c r="EL29" s="13"/>
      <c r="EM29" s="12"/>
      <c r="EN29" s="38" t="s">
        <v>7</v>
      </c>
      <c r="EO29" s="38">
        <f>COUNTIF(CC31:CC34,4)</f>
        <v>0</v>
      </c>
      <c r="EP29" s="38"/>
      <c r="EQ29" s="38"/>
      <c r="ER29" s="38"/>
      <c r="ES29" s="38"/>
      <c r="ET29" s="38"/>
      <c r="EU29" s="38"/>
      <c r="EV29" s="38"/>
      <c r="EW29" s="38"/>
      <c r="EX29" s="38"/>
      <c r="EY29" s="13"/>
      <c r="EZ29" s="13"/>
      <c r="FA29" s="13"/>
      <c r="FB29" s="13"/>
      <c r="FC29" s="13"/>
      <c r="FD29" s="13"/>
      <c r="FE29" s="13"/>
      <c r="FF29" s="13"/>
      <c r="FG29" s="12"/>
      <c r="FH29" s="13"/>
      <c r="FI29" s="13"/>
      <c r="FJ29" s="12"/>
      <c r="FZ29" s="79">
        <v>27</v>
      </c>
      <c r="GA29" s="3" t="str">
        <f t="shared" si="72"/>
        <v>EGICJDLK</v>
      </c>
      <c r="GB29" s="3" t="s">
        <v>59</v>
      </c>
      <c r="GC29" s="3" t="s">
        <v>60</v>
      </c>
      <c r="GD29" s="3" t="s">
        <v>61</v>
      </c>
      <c r="GE29" s="3" t="s">
        <v>75</v>
      </c>
      <c r="GF29" s="3" t="s">
        <v>69</v>
      </c>
      <c r="GG29" s="3" t="s">
        <v>58</v>
      </c>
      <c r="GH29" s="3" t="s">
        <v>63</v>
      </c>
      <c r="GI29" s="3" t="s">
        <v>62</v>
      </c>
      <c r="GJ29" s="9" t="str">
        <f t="shared" si="73"/>
        <v>Elfenbenskusten</v>
      </c>
      <c r="GK29" s="9" t="str">
        <f t="shared" si="73"/>
        <v>Iran</v>
      </c>
      <c r="GL29" s="9" t="str">
        <f t="shared" si="73"/>
        <v>Irak</v>
      </c>
      <c r="GM29" s="9" t="str">
        <f t="shared" si="73"/>
        <v>Haiti</v>
      </c>
      <c r="GN29" s="9" t="str">
        <f t="shared" si="73"/>
        <v>Österrike</v>
      </c>
      <c r="GO29" s="9" t="str">
        <f t="shared" si="73"/>
        <v>Australien</v>
      </c>
      <c r="GP29" s="9" t="str">
        <f t="shared" si="73"/>
        <v>Ghana</v>
      </c>
      <c r="GQ29" s="9" t="str">
        <f t="shared" si="73"/>
        <v>Uzbekistan</v>
      </c>
      <c r="GR29" s="9" t="str">
        <f t="shared" si="75"/>
        <v/>
      </c>
      <c r="GX29" s="23"/>
    </row>
    <row r="30" spans="2:206" s="104" customFormat="1" ht="14.25" customHeight="1" x14ac:dyDescent="0.3">
      <c r="B30" s="117" t="s">
        <v>12</v>
      </c>
      <c r="C30" s="107" t="s">
        <v>13</v>
      </c>
      <c r="D30" s="181" t="s">
        <v>12</v>
      </c>
      <c r="E30" s="182"/>
      <c r="F30" s="183"/>
      <c r="G30" s="184" t="s">
        <v>14</v>
      </c>
      <c r="H30" s="184"/>
      <c r="I30" s="184"/>
      <c r="J30" s="47" t="s">
        <v>15</v>
      </c>
      <c r="K30" s="48" t="s">
        <v>16</v>
      </c>
      <c r="L30" s="49"/>
      <c r="M30" s="103"/>
      <c r="N30" s="103"/>
      <c r="O30" s="51" t="s">
        <v>18</v>
      </c>
      <c r="P30" s="52" t="s">
        <v>19</v>
      </c>
      <c r="Q30" s="52" t="s">
        <v>20</v>
      </c>
      <c r="R30" s="52" t="s">
        <v>21</v>
      </c>
      <c r="S30" s="52" t="s">
        <v>22</v>
      </c>
      <c r="T30" s="52" t="s">
        <v>23</v>
      </c>
      <c r="U30" s="52" t="s">
        <v>24</v>
      </c>
      <c r="V30" s="53" t="s">
        <v>25</v>
      </c>
      <c r="X30" s="127" t="s">
        <v>87</v>
      </c>
      <c r="Y30" s="127"/>
      <c r="Z30" s="128"/>
      <c r="AA30" s="129">
        <f>SUM(AA22:AA29)</f>
        <v>0</v>
      </c>
      <c r="AC30" s="43"/>
      <c r="AE30" s="51" t="s">
        <v>13</v>
      </c>
      <c r="AF30" s="193" t="s">
        <v>12</v>
      </c>
      <c r="AG30" s="193"/>
      <c r="AH30" s="193"/>
      <c r="AI30" s="182" t="s">
        <v>14</v>
      </c>
      <c r="AJ30" s="182"/>
      <c r="AK30" s="182"/>
      <c r="AL30" s="47" t="s">
        <v>28</v>
      </c>
      <c r="AM30" s="16"/>
      <c r="AN30" s="34" t="s">
        <v>29</v>
      </c>
      <c r="AO30" s="34" t="s">
        <v>30</v>
      </c>
      <c r="AP30" s="34" t="s">
        <v>31</v>
      </c>
      <c r="AQ30" s="34" t="s">
        <v>32</v>
      </c>
      <c r="AR30" s="34" t="s">
        <v>33</v>
      </c>
      <c r="AS30" s="34" t="s">
        <v>34</v>
      </c>
      <c r="AT30" s="35" t="s">
        <v>29</v>
      </c>
      <c r="AU30" s="35" t="s">
        <v>30</v>
      </c>
      <c r="AV30" s="35" t="s">
        <v>31</v>
      </c>
      <c r="AW30" s="35" t="s">
        <v>32</v>
      </c>
      <c r="AX30" s="35" t="s">
        <v>33</v>
      </c>
      <c r="AY30" s="35" t="s">
        <v>34</v>
      </c>
      <c r="AZ30" s="36" t="s">
        <v>29</v>
      </c>
      <c r="BA30" s="36" t="s">
        <v>30</v>
      </c>
      <c r="BB30" s="36" t="s">
        <v>31</v>
      </c>
      <c r="BC30" s="36" t="s">
        <v>32</v>
      </c>
      <c r="BD30" s="36" t="s">
        <v>33</v>
      </c>
      <c r="BE30" s="36" t="s">
        <v>34</v>
      </c>
      <c r="BF30" s="37" t="s">
        <v>29</v>
      </c>
      <c r="BG30" s="37" t="s">
        <v>30</v>
      </c>
      <c r="BH30" s="37" t="s">
        <v>31</v>
      </c>
      <c r="BI30" s="37" t="s">
        <v>32</v>
      </c>
      <c r="BJ30" s="37" t="s">
        <v>33</v>
      </c>
      <c r="BK30" s="37" t="s">
        <v>34</v>
      </c>
      <c r="BL30" s="38" t="s">
        <v>29</v>
      </c>
      <c r="BM30" s="38" t="s">
        <v>30</v>
      </c>
      <c r="BN30" s="38" t="s">
        <v>31</v>
      </c>
      <c r="BO30" s="38" t="s">
        <v>32</v>
      </c>
      <c r="BP30" s="38" t="s">
        <v>33</v>
      </c>
      <c r="BQ30" s="38" t="s">
        <v>34</v>
      </c>
      <c r="BR30" s="12"/>
      <c r="BS30" s="12"/>
      <c r="BT30" s="39" t="s">
        <v>18</v>
      </c>
      <c r="BU30" s="34" t="s">
        <v>19</v>
      </c>
      <c r="BV30" s="34" t="s">
        <v>20</v>
      </c>
      <c r="BW30" s="34" t="s">
        <v>21</v>
      </c>
      <c r="BX30" s="34" t="s">
        <v>22</v>
      </c>
      <c r="BY30" s="34" t="s">
        <v>23</v>
      </c>
      <c r="BZ30" s="34" t="s">
        <v>24</v>
      </c>
      <c r="CA30" s="34" t="s">
        <v>25</v>
      </c>
      <c r="CB30" s="39" t="s">
        <v>35</v>
      </c>
      <c r="CC30" s="34" t="s">
        <v>36</v>
      </c>
      <c r="CD30" s="34" t="s">
        <v>37</v>
      </c>
      <c r="CE30" s="12"/>
      <c r="CF30" s="40" t="s">
        <v>18</v>
      </c>
      <c r="CG30" s="35" t="s">
        <v>19</v>
      </c>
      <c r="CH30" s="35" t="s">
        <v>20</v>
      </c>
      <c r="CI30" s="35" t="s">
        <v>21</v>
      </c>
      <c r="CJ30" s="35" t="s">
        <v>25</v>
      </c>
      <c r="CK30" s="35" t="s">
        <v>35</v>
      </c>
      <c r="CL30" s="35" t="s">
        <v>36</v>
      </c>
      <c r="CM30" s="56" t="s">
        <v>24</v>
      </c>
      <c r="CN30" s="56" t="s">
        <v>38</v>
      </c>
      <c r="CO30" s="56" t="s">
        <v>22</v>
      </c>
      <c r="CP30" s="56" t="s">
        <v>39</v>
      </c>
      <c r="CQ30" s="35" t="s">
        <v>40</v>
      </c>
      <c r="CR30" s="56" t="s">
        <v>41</v>
      </c>
      <c r="CS30" s="56" t="s">
        <v>42</v>
      </c>
      <c r="CT30" s="56" t="s">
        <v>43</v>
      </c>
      <c r="CU30" s="56" t="s">
        <v>44</v>
      </c>
      <c r="CV30" s="56" t="s">
        <v>45</v>
      </c>
      <c r="CW30" s="56" t="s">
        <v>46</v>
      </c>
      <c r="CX30" s="35" t="s">
        <v>47</v>
      </c>
      <c r="CY30" s="12"/>
      <c r="CZ30" s="41" t="s">
        <v>18</v>
      </c>
      <c r="DA30" s="36" t="s">
        <v>19</v>
      </c>
      <c r="DB30" s="36" t="s">
        <v>20</v>
      </c>
      <c r="DC30" s="36" t="s">
        <v>21</v>
      </c>
      <c r="DD30" s="36" t="s">
        <v>25</v>
      </c>
      <c r="DE30" s="36" t="s">
        <v>35</v>
      </c>
      <c r="DF30" s="36" t="s">
        <v>36</v>
      </c>
      <c r="DG30" s="36" t="s">
        <v>24</v>
      </c>
      <c r="DH30" s="36" t="s">
        <v>38</v>
      </c>
      <c r="DI30" s="36" t="s">
        <v>22</v>
      </c>
      <c r="DJ30" s="41" t="s">
        <v>39</v>
      </c>
      <c r="DK30" s="41" t="s">
        <v>40</v>
      </c>
      <c r="DL30" s="41" t="s">
        <v>41</v>
      </c>
      <c r="DM30" s="41" t="s">
        <v>42</v>
      </c>
      <c r="DN30" s="41" t="s">
        <v>43</v>
      </c>
      <c r="DO30" s="41" t="s">
        <v>44</v>
      </c>
      <c r="DP30" s="41" t="s">
        <v>45</v>
      </c>
      <c r="DQ30" s="41" t="s">
        <v>46</v>
      </c>
      <c r="DR30" s="41" t="s">
        <v>47</v>
      </c>
      <c r="DS30" s="12"/>
      <c r="DT30" s="37" t="s">
        <v>18</v>
      </c>
      <c r="DU30" s="37" t="s">
        <v>19</v>
      </c>
      <c r="DV30" s="37" t="s">
        <v>20</v>
      </c>
      <c r="DW30" s="37" t="s">
        <v>21</v>
      </c>
      <c r="DX30" s="37" t="s">
        <v>25</v>
      </c>
      <c r="DY30" s="37" t="s">
        <v>35</v>
      </c>
      <c r="DZ30" s="37" t="s">
        <v>36</v>
      </c>
      <c r="EA30" s="37" t="s">
        <v>24</v>
      </c>
      <c r="EB30" s="37" t="s">
        <v>38</v>
      </c>
      <c r="EC30" s="37" t="s">
        <v>22</v>
      </c>
      <c r="ED30" s="37" t="s">
        <v>39</v>
      </c>
      <c r="EE30" s="37" t="s">
        <v>40</v>
      </c>
      <c r="EF30" s="37" t="s">
        <v>41</v>
      </c>
      <c r="EG30" s="37" t="s">
        <v>42</v>
      </c>
      <c r="EH30" s="37" t="s">
        <v>43</v>
      </c>
      <c r="EI30" s="37" t="s">
        <v>44</v>
      </c>
      <c r="EJ30" s="37" t="s">
        <v>45</v>
      </c>
      <c r="EK30" s="37" t="s">
        <v>46</v>
      </c>
      <c r="EL30" s="37" t="s">
        <v>47</v>
      </c>
      <c r="EM30" s="12"/>
      <c r="EN30" s="38" t="s">
        <v>18</v>
      </c>
      <c r="EO30" s="38" t="s">
        <v>19</v>
      </c>
      <c r="EP30" s="38" t="s">
        <v>20</v>
      </c>
      <c r="EQ30" s="38" t="s">
        <v>21</v>
      </c>
      <c r="ER30" s="38" t="s">
        <v>25</v>
      </c>
      <c r="ES30" s="38" t="s">
        <v>35</v>
      </c>
      <c r="ET30" s="38" t="s">
        <v>36</v>
      </c>
      <c r="EU30" s="38" t="s">
        <v>24</v>
      </c>
      <c r="EV30" s="38" t="s">
        <v>38</v>
      </c>
      <c r="EW30" s="38" t="s">
        <v>22</v>
      </c>
      <c r="EX30" s="38" t="s">
        <v>39</v>
      </c>
      <c r="EY30" s="38" t="s">
        <v>40</v>
      </c>
      <c r="EZ30" s="38" t="s">
        <v>41</v>
      </c>
      <c r="FA30" s="38" t="s">
        <v>42</v>
      </c>
      <c r="FB30" s="38" t="s">
        <v>43</v>
      </c>
      <c r="FC30" s="38" t="s">
        <v>44</v>
      </c>
      <c r="FD30" s="38" t="s">
        <v>45</v>
      </c>
      <c r="FE30" s="38" t="s">
        <v>46</v>
      </c>
      <c r="FF30" s="38" t="s">
        <v>47</v>
      </c>
      <c r="FG30" s="12"/>
      <c r="FH30" s="38" t="s">
        <v>48</v>
      </c>
      <c r="FI30" s="38" t="s">
        <v>49</v>
      </c>
      <c r="FJ30" s="12"/>
      <c r="FZ30" s="79">
        <v>28</v>
      </c>
      <c r="GA30" s="3" t="str">
        <f t="shared" si="72"/>
        <v>EGJCHDLK</v>
      </c>
      <c r="GB30" s="3" t="s">
        <v>59</v>
      </c>
      <c r="GC30" s="3" t="s">
        <v>60</v>
      </c>
      <c r="GD30" s="3" t="s">
        <v>69</v>
      </c>
      <c r="GE30" s="3" t="s">
        <v>75</v>
      </c>
      <c r="GF30" s="3" t="s">
        <v>70</v>
      </c>
      <c r="GG30" s="3" t="s">
        <v>58</v>
      </c>
      <c r="GH30" s="3" t="s">
        <v>63</v>
      </c>
      <c r="GI30" s="3" t="s">
        <v>62</v>
      </c>
      <c r="GJ30" s="9" t="str">
        <f t="shared" si="73"/>
        <v>Elfenbenskusten</v>
      </c>
      <c r="GK30" s="9" t="str">
        <f t="shared" si="73"/>
        <v>Iran</v>
      </c>
      <c r="GL30" s="9" t="str">
        <f t="shared" si="73"/>
        <v>Österrike</v>
      </c>
      <c r="GM30" s="9" t="str">
        <f t="shared" si="73"/>
        <v>Haiti</v>
      </c>
      <c r="GN30" s="9" t="str">
        <f t="shared" si="73"/>
        <v>Saudiarabien</v>
      </c>
      <c r="GO30" s="9" t="str">
        <f t="shared" si="73"/>
        <v>Australien</v>
      </c>
      <c r="GP30" s="9" t="str">
        <f t="shared" si="73"/>
        <v>Ghana</v>
      </c>
      <c r="GQ30" s="9" t="str">
        <f t="shared" si="73"/>
        <v>Uzbekistan</v>
      </c>
      <c r="GR30" s="9" t="str">
        <f t="shared" si="75"/>
        <v/>
      </c>
      <c r="GX30" s="23"/>
    </row>
    <row r="31" spans="2:206" ht="14.25" customHeight="1" x14ac:dyDescent="0.25">
      <c r="B31" s="58">
        <v>4</v>
      </c>
      <c r="C31" s="59">
        <v>46186</v>
      </c>
      <c r="D31" s="60" t="s">
        <v>100</v>
      </c>
      <c r="E31" s="61" t="s">
        <v>66</v>
      </c>
      <c r="F31" s="62" t="s">
        <v>101</v>
      </c>
      <c r="G31" s="63"/>
      <c r="H31" s="64" t="s">
        <v>66</v>
      </c>
      <c r="I31" s="63"/>
      <c r="J31" s="65" t="str">
        <f>IF(OR(ISBLANK(G31),ISBLANK(I31)),"",IF(G31&gt;I31,1,IF(G31&lt;I31,2,"X")))</f>
        <v/>
      </c>
      <c r="K31" s="66">
        <f>IF(OR(G31="",I31="",'[1]Resultat &amp; tabell'!G31="",'[1]Resultat &amp; tabell'!I31=""),0,IF(G31='[1]Resultat &amp; tabell'!G31,2,0)+IF(I31='[1]Resultat &amp; tabell'!I31,2,0)+IF(J31='[1]Resultat &amp; tabell'!J31,2,0))</f>
        <v>0</v>
      </c>
      <c r="L31" s="67"/>
      <c r="M31" s="29">
        <f t="shared" ref="M31:M36" si="212">IF(VLOOKUP(D31,$BT$30:$CC$34,10,FALSE)=VLOOKUP(F31,$BT$30:$CC$34,10,FALSE),VLOOKUP(D31,$BT$30:$CC$34,10,FALSE),"-")</f>
        <v>1</v>
      </c>
      <c r="N31" s="30">
        <v>1</v>
      </c>
      <c r="O31" s="68" t="str">
        <f>VLOOKUP(N31,FI31:FJ34,2,FALSE)</f>
        <v>USA</v>
      </c>
      <c r="P31" s="69">
        <f>VLOOKUP($O31,$BT$31:$CA$34,2,FALSE)</f>
        <v>0</v>
      </c>
      <c r="Q31" s="69">
        <f>VLOOKUP($O31,$BT$31:$CA$34,3,FALSE)</f>
        <v>0</v>
      </c>
      <c r="R31" s="69">
        <f>VLOOKUP($O31,$BT$31:$CA$34,4,FALSE)</f>
        <v>0</v>
      </c>
      <c r="S31" s="69">
        <f>VLOOKUP($O31,$BT$31:$CA$34,5,FALSE)</f>
        <v>0</v>
      </c>
      <c r="T31" s="69">
        <f>VLOOKUP($O31,$BT$31:$CA$34,6,FALSE)</f>
        <v>0</v>
      </c>
      <c r="U31" s="69">
        <f>VLOOKUP($O31,$BT$31:$CA$34,7,FALSE)</f>
        <v>0</v>
      </c>
      <c r="V31" s="70">
        <f>VLOOKUP($O31,$BT$31:$CA$34,8,FALSE)</f>
        <v>0</v>
      </c>
      <c r="X31"/>
      <c r="Y31" s="9"/>
      <c r="Z31"/>
      <c r="AA31" s="9"/>
      <c r="AB31" s="9"/>
      <c r="AC31" s="108"/>
      <c r="AE31" s="72">
        <f t="shared" ref="AE31:AH36" si="213">C31</f>
        <v>46186</v>
      </c>
      <c r="AF31" s="72" t="str">
        <f t="shared" si="213"/>
        <v>USA</v>
      </c>
      <c r="AG31" s="72" t="str">
        <f t="shared" si="213"/>
        <v>-</v>
      </c>
      <c r="AH31" s="72" t="str">
        <f t="shared" si="213"/>
        <v>Paraguay</v>
      </c>
      <c r="AI31" s="63" t="str">
        <f t="shared" ref="AI31:AI36" si="214">IF(G31="","",G31)</f>
        <v/>
      </c>
      <c r="AJ31" s="58" t="str">
        <f t="shared" ref="AJ31:AJ36" si="215">H31</f>
        <v>-</v>
      </c>
      <c r="AK31" s="63" t="str">
        <f t="shared" ref="AK31:AK36" si="216">IF(I31="","",I31)</f>
        <v/>
      </c>
      <c r="AL31" s="65" t="str">
        <f t="shared" ref="AL31:AL36" si="217">J31</f>
        <v/>
      </c>
      <c r="AM31" s="73"/>
      <c r="AN31" s="13">
        <f t="shared" ref="AN31:AN36" si="218">IF(AI31&gt;AK31,1,0)</f>
        <v>0</v>
      </c>
      <c r="AO31" s="13">
        <f t="shared" ref="AO31:AO36" si="219">IF(AK31&gt;AI31,1,0)</f>
        <v>0</v>
      </c>
      <c r="AP31" s="13">
        <f t="shared" ref="AP31:AP36" si="220">IF(AND(AI31=AK31,AI31&lt;&gt;""),1,0)</f>
        <v>0</v>
      </c>
      <c r="AQ31" s="13">
        <f t="shared" ref="AQ31:AQ36" si="221">IF(AND(AI31=AK31,AI31&lt;&gt;""),1,0)</f>
        <v>0</v>
      </c>
      <c r="AR31" s="13">
        <f t="shared" ref="AR31:AR36" si="222">IF(AI31&lt;AK31,1,0)</f>
        <v>0</v>
      </c>
      <c r="AS31" s="13">
        <f t="shared" ref="AS31:AS36" si="223">IF(AK31&lt;AI31,1,)</f>
        <v>0</v>
      </c>
      <c r="AT31" s="13">
        <f t="shared" ref="AT31:AT36" si="224">IF(ISERROR(VLOOKUP(AF31,CF:CF,1,FALSE)),0,1)*IF(ISERROR(VLOOKUP(AH31,CF:CF,1,FALSE)),0,1)*AN31</f>
        <v>0</v>
      </c>
      <c r="AU31" s="13">
        <f t="shared" ref="AU31:AU36" si="225">IF(ISERROR(VLOOKUP(AF31,CF:CF,1,FALSE)),0,1)*IF(ISERROR(VLOOKUP(AH31,CF:CF,1,FALSE)),0,1)*AO31</f>
        <v>0</v>
      </c>
      <c r="AV31" s="13">
        <f t="shared" ref="AV31:AV36" si="226">IF(ISERROR(VLOOKUP(AF31,CF:CF,1,FALSE)),0,1)*IF(ISERROR(VLOOKUP(AH31,CF:CF,1,FALSE)),0,1)*AP31</f>
        <v>0</v>
      </c>
      <c r="AW31" s="13">
        <f t="shared" ref="AW31:AW36" si="227">IF(ISERROR(VLOOKUP(AF31,CF:CF,1,FALSE)),0,1)*IF(ISERROR(VLOOKUP(AH31,CF:CF,1,FALSE)),0,1)*AQ31</f>
        <v>0</v>
      </c>
      <c r="AX31" s="13">
        <f t="shared" ref="AX31:AX36" si="228">IF(ISERROR(VLOOKUP(AF31,CF:CF,1,FALSE)),0,1)*IF(ISERROR(VLOOKUP(AH31,CF:CF,1,FALSE)),0,1)*AR31</f>
        <v>0</v>
      </c>
      <c r="AY31" s="13">
        <f t="shared" ref="AY31:AY36" si="229">IF(ISERROR(VLOOKUP(AF31,CF:CF,1,FALSE)),0,1)*IF(ISERROR(VLOOKUP(AH31,CF:CF,1,FALSE)),0,1)*AS31</f>
        <v>0</v>
      </c>
      <c r="AZ31" s="13">
        <f t="shared" ref="AZ31:AZ36" si="230">IF(ISERROR(VLOOKUP(AF31,CZ:CZ,1,FALSE)),0,1)*IF(ISERROR(VLOOKUP(AH31,CZ:CZ,1,FALSE)),0,1)*AN31</f>
        <v>0</v>
      </c>
      <c r="BA31" s="13">
        <f t="shared" ref="BA31:BA36" si="231">IF(ISERROR(VLOOKUP(AF31,CZ:CZ,1,FALSE)),0,1)*IF(ISERROR(VLOOKUP(AH31,CZ:CZ,1,FALSE)),0,1)*AO31</f>
        <v>0</v>
      </c>
      <c r="BB31" s="13">
        <f t="shared" ref="BB31:BB36" si="232">IF(ISERROR(VLOOKUP(AF31,CZ:CZ,1,FALSE)),0,1)*IF(ISERROR(VLOOKUP(AH31,CZ:CZ,1,FALSE)),0,1)*AP31</f>
        <v>0</v>
      </c>
      <c r="BC31" s="13">
        <f t="shared" ref="BC31:BC36" si="233">IF(ISERROR(VLOOKUP(AF31,CZ:CZ,1,FALSE)),0,1)*IF(ISERROR(VLOOKUP(AH31,CZ:CZ,1,FALSE)),0,1)*AQ31</f>
        <v>0</v>
      </c>
      <c r="BD31" s="13">
        <f t="shared" ref="BD31:BD36" si="234">IF(ISERROR(VLOOKUP(AF31,CZ:CZ,1,FALSE)),0,1)*IF(ISERROR(VLOOKUP(AH31,CZ:CZ,1,FALSE)),0,1)*AR31</f>
        <v>0</v>
      </c>
      <c r="BE31" s="13">
        <f t="shared" ref="BE31:BE36" si="235">IF(ISERROR(VLOOKUP(AF31,CZ:CZ,1,FALSE)),0,1)*IF(ISERROR(VLOOKUP(AH31,CZ:CZ,1,FALSE)),0,1)*AS31</f>
        <v>0</v>
      </c>
      <c r="BF31" s="13">
        <f t="shared" ref="BF31:BF36" si="236">IF(ISERROR(VLOOKUP(AF31,DT:DT,1,FALSE)),0,1)*IF(ISERROR(VLOOKUP(AH31,DT:DT,1,FALSE)),0,1)*AN31</f>
        <v>0</v>
      </c>
      <c r="BG31" s="13">
        <f t="shared" ref="BG31:BG36" si="237">IF(ISERROR(VLOOKUP(AF31,DT:DT,1,FALSE)),0,1)*IF(ISERROR(VLOOKUP(AH31,DT:DT,1,FALSE)),0,1)*AO31</f>
        <v>0</v>
      </c>
      <c r="BH31" s="13">
        <f t="shared" ref="BH31:BH36" si="238">IF(ISERROR(VLOOKUP(AF31,DT:DT,1,FALSE)),0,1)*IF(ISERROR(VLOOKUP(AH31,DT:DT,1,FALSE)),0,1)*AP31</f>
        <v>0</v>
      </c>
      <c r="BI31" s="13">
        <f t="shared" ref="BI31:BI36" si="239">IF(ISERROR(VLOOKUP(AF31,DT:DT,1,FALSE)),0,1)*IF(ISERROR(VLOOKUP(AH31,DT:DT,1,FALSE)),0,1)*AQ31</f>
        <v>0</v>
      </c>
      <c r="BJ31" s="13">
        <f t="shared" ref="BJ31:BJ36" si="240">IF(ISERROR(VLOOKUP(AF31,DT:DT,1,FALSE)),0,1)*IF(ISERROR(VLOOKUP(AH31,DT:DT,1,FALSE)),0,1)*AR31</f>
        <v>0</v>
      </c>
      <c r="BK31" s="13">
        <f t="shared" ref="BK31:BK36" si="241">IF(ISERROR(VLOOKUP(AF31,DT:DT,1,FALSE)),0,1)*IF(ISERROR(VLOOKUP(AH31,DT:DT,1,FALSE)),0,1)*AS31</f>
        <v>0</v>
      </c>
      <c r="BL31" s="13">
        <f t="shared" ref="BL31:BL36" si="242">IF(ISERROR(VLOOKUP(AF31,EN:EN,1,FALSE)),0,1)*IF(ISERROR(VLOOKUP(AH31,EN:EN,1,FALSE)),0,1)*AN31</f>
        <v>0</v>
      </c>
      <c r="BM31" s="13">
        <f t="shared" ref="BM31:BM36" si="243">IF(ISERROR(VLOOKUP(AF31,EN:EN,1,FALSE)),0,1)*IF(ISERROR(VLOOKUP(AH31,EN:EN,1,FALSE)),0,1)*AO31</f>
        <v>0</v>
      </c>
      <c r="BN31" s="13">
        <f t="shared" ref="BN31:BN36" si="244">IF(ISERROR(VLOOKUP(AF31,EN:EN,1,FALSE)),0,1)*IF(ISERROR(VLOOKUP(AH31,EN:EN,1,FALSE)),0,1)*AP31</f>
        <v>0</v>
      </c>
      <c r="BO31" s="13">
        <f t="shared" ref="BO31:BO36" si="245">IF(ISERROR(VLOOKUP(AF31,EN:EN,1,FALSE)),0,1)*IF(ISERROR(VLOOKUP(AH31,EN:EN,1,FALSE)),0,1)*AQ31</f>
        <v>0</v>
      </c>
      <c r="BP31" s="13">
        <f t="shared" ref="BP31:BP36" si="246">IF(ISERROR(VLOOKUP(AF31,EN:EN,1,FALSE)),0,1)*IF(ISERROR(VLOOKUP(AH31,EN:EN,1,FALSE)),0,1)*AR31</f>
        <v>0</v>
      </c>
      <c r="BQ31" s="13">
        <f t="shared" ref="BQ31:BQ36" si="247">IF(ISERROR(VLOOKUP(AF31,EN:EN,1,FALSE)),0,1)*IF(ISERROR(VLOOKUP(AH31,EN:EN,1,FALSE)),0,1)*AS31</f>
        <v>0</v>
      </c>
      <c r="BT31" s="12" t="s">
        <v>100</v>
      </c>
      <c r="BU31" s="13">
        <f t="shared" ref="BU31:BU34" si="248">(SUMIF(AF$4:AF$108,BT31,AN$4:AN$108)+SUMIF(AH$4:AH$108,BT31,AO$4:AO$108))</f>
        <v>0</v>
      </c>
      <c r="BV31" s="13">
        <f t="shared" ref="BV31:BV34" si="249">(SUMIF(AF$4:AF$108,BT31,AP$4:AP$108)+SUMIF(AH$4:AH$108,BT31,AQ$4:AQ$108))</f>
        <v>0</v>
      </c>
      <c r="BW31" s="13">
        <f t="shared" ref="BW31:BW34" si="250">(SUMIF(AF$4:AF$108,BT31,AR$4:AR$108)+SUMIF(AH$4:AH$108,BT31,AS$4:AS$108))</f>
        <v>0</v>
      </c>
      <c r="BX31" s="13">
        <f t="shared" ref="BX31:BX34" si="251">SUMIF($AF$4:$AF$108,BT31,$AI$4:$AI$108)+SUMIF($AH$4:$AH$108,BT31,$AK$4:$AK$108)</f>
        <v>0</v>
      </c>
      <c r="BY31" s="13">
        <f t="shared" ref="BY31:BY34" si="252">SUMIF($AF$4:$AF$108,BT31,$AK$4:$AK$108)+SUMIF($AH$4:$AH$108,BT31,$AI$4:$AI$108)</f>
        <v>0</v>
      </c>
      <c r="BZ31" s="13">
        <f t="shared" ref="BZ31:BZ34" si="253">BX31-BY31</f>
        <v>0</v>
      </c>
      <c r="CA31" s="13">
        <f t="shared" ref="CA31:CA34" si="254">IFERROR(BU31*3+BV31*1,0)</f>
        <v>0</v>
      </c>
      <c r="CB31" s="13" t="s">
        <v>58</v>
      </c>
      <c r="CC31" s="74">
        <f>RANK(CA31,CA31:CA34)</f>
        <v>1</v>
      </c>
      <c r="CD31" s="13">
        <f>SUMPRODUCT((CA31:CA34=CA31)*(BZ31:BZ34&gt;BZ31))</f>
        <v>0</v>
      </c>
      <c r="CF31" s="12" t="str">
        <f>IF(CC31=1,BT31,)</f>
        <v>USA</v>
      </c>
      <c r="CG31" s="13">
        <f t="shared" ref="CG31:CG34" si="255">(SUMIF($AF$4:$AF$108,$BT31,$AT$4:$AT$108)+SUMIF($AH$4:$AH$108,$BT31,$AU$4:$AU$108))</f>
        <v>0</v>
      </c>
      <c r="CH31" s="13">
        <f t="shared" ref="CH31:CH34" si="256">(SUMIF($AF$4:$AF$108,$BT31,$AV$4:$AV$108)+SUMIF($AH$4:$AH$108,$BT31,$AW$4:$AW$108))</f>
        <v>0</v>
      </c>
      <c r="CI31" s="13">
        <f t="shared" ref="CI31:CI34" si="257">(SUMIF($AF$4:$AF$108,$BT31,$AX$4:$AX$108)+SUMIF($AH$4:$AH$108,$BT31,$AY$4:$AY$108))</f>
        <v>0</v>
      </c>
      <c r="CJ31" s="13">
        <f t="shared" ref="CJ31:CJ34" si="258">IFERROR(CG31*3+CH31*1,0)</f>
        <v>0</v>
      </c>
      <c r="CK31" s="13" t="str">
        <f>CB31</f>
        <v>D</v>
      </c>
      <c r="CL31" s="13">
        <f>IF(CF31&gt;0,RANK(CJ31,CJ31:CJ34),)</f>
        <v>1</v>
      </c>
      <c r="CM31" s="13">
        <f>IF(AND(CF31&gt;0,COUNTIF(CL31:CL34,CL31)&gt;1),SUMIFS($AI$4:$AI$108,$AF$4:$AF$108,$BT31,$M$4:$M$108,1)+SUMIFS($AK$4:$AK$108,$AH$4:$AH$108,$BT31,$M$4:$M$108,1)-SUMIFS($AK$4:$AK$108,$AF$4:$AF$108,$BT31,$M$4:$M$108,1)-SUMIFS($AI$4:$AI$108,$AH$4:$AH$108,$BT31,$M$4:$M$108,1),)</f>
        <v>0</v>
      </c>
      <c r="CN31" s="13">
        <f>IF(AND(CF31&gt;0,COUNTIF(CL31:CL34,CL31)&gt;1),CL31+RANK(CM31,CM31:CM34)-1,CL31)</f>
        <v>1</v>
      </c>
      <c r="CO31" s="13">
        <f>IF(AND(CF31&gt;0,COUNTIF(CN31:CN34,CN31)&gt;1),SUMIFS($AI$4:$AI$108,$AF$4:$AF$108,$BT31,$M$4:$M$108,1)+SUMIFS($AK$4:$AK$108,$AH$4:$AH$108,$BT31,$M$4:$M$108,1),)</f>
        <v>0</v>
      </c>
      <c r="CP31" s="13">
        <f>IF(AND(CF31&gt;0,COUNTIF(CN31:CN34,CN31)&gt;1),CN31+RANK(CO31,CO31:CO34)-1,CN31)</f>
        <v>1</v>
      </c>
      <c r="CQ31" s="13">
        <f>IF(CP31=0,"",CP31)</f>
        <v>1</v>
      </c>
      <c r="CR31" s="13">
        <f>IF(OR(CQ31="",COUNTIF(CQ31:CQ34,CQ31)=1),"",$BZ31)</f>
        <v>0</v>
      </c>
      <c r="CS31" s="13">
        <f>IF(CQ31="","",IF(COUNTIF(CQ31:CQ34,CQ31)=1,CQ31,CQ31+RANK(CR31,CR31:CR34,0)-1))</f>
        <v>1</v>
      </c>
      <c r="CT31" s="13">
        <f>IF(OR(CS31="",COUNTIF(CS31:CS34,CS31)=1),"",$BX31)</f>
        <v>0</v>
      </c>
      <c r="CU31" s="13">
        <f>IF(CQ31="","",IF(COUNTIF(CS31:CS34,CS31)=1,CS31,CS31+RANK(CT31,CT31:CT34,0)-1))</f>
        <v>1</v>
      </c>
      <c r="CV31" s="13">
        <f>IF(OR(CU31="",COUNTIF(CU31:CU34,CU31)=1),"",$BU31)</f>
        <v>0</v>
      </c>
      <c r="CW31" s="13">
        <f>IF(CQ31="","",IF(COUNTIF(CU31:CU34,CU31)=1,CU31,CU31+RANK(CV31,CV31:CV34,0)-1))</f>
        <v>1</v>
      </c>
      <c r="CX31" s="13">
        <f>IF(CF31&gt;0,BM29+RANK(CW31,CW31:CW34,1),)</f>
        <v>1</v>
      </c>
      <c r="CZ31" s="12">
        <f>IF(CC31=2,BT31,)</f>
        <v>0</v>
      </c>
      <c r="DA31" s="13">
        <f>(SUMIF($AF$4:$AF$108,$BT31,$AZ$4:$AZ$108)+SUMIF($AH$4:$AH$108,$BT31,$BA$4:$BA$108))</f>
        <v>0</v>
      </c>
      <c r="DB31" s="13">
        <f>(SUMIF($AF$4:$AF$108,$BT31,$BB$4:$BB$108)+SUMIF($AH$4:$AH$108,$BT31,$BC$4:$BC$108))</f>
        <v>0</v>
      </c>
      <c r="DC31" s="13">
        <f>(SUMIF($AF$4:$AF$108,$BT31,$BD$4:$BD$108)+SUMIF($AH$4:$AH$108,$BT31,$BE$4:$BE$108))</f>
        <v>0</v>
      </c>
      <c r="DD31" s="13">
        <f>IFERROR(DA31*3+DB31*1,0)</f>
        <v>0</v>
      </c>
      <c r="DE31" s="13" t="str">
        <f>$CB31</f>
        <v>D</v>
      </c>
      <c r="DF31" s="13">
        <f>IF(CZ31&gt;0,RANK(DD31,DD31:DD34)+CG29,)</f>
        <v>0</v>
      </c>
      <c r="DG31" s="13">
        <f>IF(AND(CZ31&gt;0,COUNTIF(DF31:DF34,DF31)&gt;1),SUMIFS($AI$4:$AI$108,$AF$4:$AF$108,$BT31,$M$4:$M$108,2)+SUMIFS($AK$4:$AK$108,$AH$4:$AH108,$BT31,$M$4:$M$108,2)-SUMIFS($AK$4:$AK$108,$AF$4:$AF$108,$BT31,$M$4:$M$108,2)-SUMIFS($AI$4:$AI$108,$AH$4:$AH$108,$BT31,$M$4:$M$108,2),)</f>
        <v>0</v>
      </c>
      <c r="DH31" s="13">
        <f>IF(AND(CZ31&gt;0,COUNTIF(DF31:DF34,DF31)&gt;1),DF31+RANK(DG31,DG31:DG34)-1,DF31)</f>
        <v>0</v>
      </c>
      <c r="DI31" s="13">
        <f>IF(AND(CZ31&gt;0,COUNTIF(DH31:DH34,DH31)&gt;1),SUMIFS($AI$4:$AI$108,$AF$4:$AF$108,$BT31,$M$4:$M$108,2)+SUMIFS($AK$4:$AK$108,$AH$4:$AH$108,$BT31,$M$4:$M$108,2),)</f>
        <v>0</v>
      </c>
      <c r="DJ31" s="13">
        <f>IF(AND(CZ31&gt;0,COUNTIF(DH31:DH34,DH31)&gt;1),DH31+RANK(DI31,DI31:DI34)-1,DH31)</f>
        <v>0</v>
      </c>
      <c r="DK31" s="75" t="str">
        <f>IF(DJ31=0,"",DJ31)</f>
        <v/>
      </c>
      <c r="DL31" s="75" t="str">
        <f>IF(OR(DK31="",COUNTIF(DK31:DK34,DK31)=1),"",$BZ31)</f>
        <v/>
      </c>
      <c r="DM31" s="75" t="str">
        <f>IF(DK31="","",IF(COUNTIF(DK31:DK34,DK31)=1,DK31,DK31+RANK(DL31,DL31:DL34,0)-1))</f>
        <v/>
      </c>
      <c r="DN31" s="75" t="str">
        <f>IF(OR(DM31="",COUNTIF(DM31:DM34,DM31)=1),"",$BX31)</f>
        <v/>
      </c>
      <c r="DO31" s="75" t="str">
        <f>IF(DK31="","",IF(COUNTIF(DM31:DM34,DM31)=1,DM31,DM31+RANK(DN31,DN31:DN34,0)-1))</f>
        <v/>
      </c>
      <c r="DP31" s="75" t="str">
        <f>IF(OR(DO31="",COUNTIF(DO31:DO34,DO31)=1),"",$BU31)</f>
        <v/>
      </c>
      <c r="DQ31" s="75" t="str">
        <f>IF(DK31="","",IF(COUNTIF(DO31:DO34,DO31)=1,DO31,DO31+RANK(DP31,DP31:DP34,0)-1))</f>
        <v/>
      </c>
      <c r="DR31" s="13">
        <f>IF(CZ31&gt;0,CG29+RANK(DQ31,DQ31:DQ34,1),)</f>
        <v>0</v>
      </c>
      <c r="DT31" s="13">
        <f>IF(CC31=3,BT31,)</f>
        <v>0</v>
      </c>
      <c r="DU31" s="13">
        <f>(SUMIF($AF$4:$AF$108,BT31,$BF$4:$BF$108)+SUMIF($AH$4:$AH$108,BT31,$BG$4:$BG$108))</f>
        <v>0</v>
      </c>
      <c r="DV31" s="13">
        <f>(SUMIF($AF$4:$AF$108,BT31,$BH$4:$BH$108)+SUMIF($AH$4:$AH$108,BT31,$BI$4:$BI$108))</f>
        <v>0</v>
      </c>
      <c r="DW31" s="13">
        <f>(SUMIF($AF$4:$AF$108,BT31,$BJ$4:$BJ$108)+SUMIF($AH$4:$AH$108,BT31,$BK$4:$BK$108))</f>
        <v>0</v>
      </c>
      <c r="DX31" s="13">
        <f>IFERROR(DU31*3+DV31*1,0)</f>
        <v>0</v>
      </c>
      <c r="DY31" s="13" t="str">
        <f>CB31</f>
        <v>D</v>
      </c>
      <c r="DZ31" s="13">
        <f>IF(DT31&gt;0,RANK(DX31,DX31:DX34)+CG29+DA29,)</f>
        <v>0</v>
      </c>
      <c r="EA31" s="13">
        <f>IF(AND(DT31&gt;0,COUNTIF(DZ31:DZ34,DZ31)&gt;1),SUMIFS($AI$4:$AI$108,$AF$4:$AF$108,$BT31,$M$4:$M$108,3)+SUMIFS($AK$4:$AK$108,$AH$4:$AH$108,$BT31,$M$4:$M$108,3)-SUMIFS($AK$4:$AK$108,$AF$4:$AF$108,$BT31,$M$4:$M$108,3)-SUMIFS($AI$4:$AI$108,$AH$4:$AH$108,$BT31,$M$4:$M$108,3),)</f>
        <v>0</v>
      </c>
      <c r="EB31" s="13">
        <f>IF(AND(DT31&gt;0,COUNTIF(DZ31:DZ34,DZ31)&gt;1),DZ31+RANK(EA31,EA31:EA34)-1,DZ31)</f>
        <v>0</v>
      </c>
      <c r="EC31" s="13">
        <f>IF(AND(DT31&gt;0,COUNTIF(EB31:EB34,EB31)&gt;1),SUMIFS($AI$4:$AI$108,$AF$4:$AF$108,$BT31,$M$4:$M$108,3)+SUMIFS($AK$4:$AK$108,$AH$4:$AH$108,$BT31,$M$4:$M$108,3),)</f>
        <v>0</v>
      </c>
      <c r="ED31" s="13">
        <f>IF(AND(DT31&gt;0,COUNTIF(EB31:EB34,EB31)&gt;1),EB31+RANK(EC31,EC31:EC34)-1,EB31)</f>
        <v>0</v>
      </c>
      <c r="EE31" s="13" t="str">
        <f>IF(ED31=0,"",ED31)</f>
        <v/>
      </c>
      <c r="EF31" s="13" t="str">
        <f>IF(OR(EE31="",COUNTIF(EE31:EE34,EE31)=1),"",$BZ31)</f>
        <v/>
      </c>
      <c r="EG31" s="13" t="str">
        <f>IF(EE31="","",IF(COUNTIF(EE31:EE34,EE31)=1,EE31,EE31+RANK(EF31,EF31:EF34,0)-1))</f>
        <v/>
      </c>
      <c r="EH31" s="13" t="str">
        <f>IF(OR(EG31="",COUNTIF(EG31:EG34,EG31)=1),"",$BX31)</f>
        <v/>
      </c>
      <c r="EI31" s="13" t="str">
        <f>IF(EE31="","",IF(COUNTIF(EG31:EG34,EG31)=1,EG31,EG31+RANK(EH31,EH31:EH34,0)-1))</f>
        <v/>
      </c>
      <c r="EJ31" s="13" t="str">
        <f>IF(OR(EI31="",COUNTIF(EI31:EI34,EI31)=1),"",$BU31)</f>
        <v/>
      </c>
      <c r="EK31" s="13" t="str">
        <f>IF(EE31="","",IF(COUNTIF(EI31:EI34,EI31)=1,EI31,EI31+RANK(EJ31,EJ31:EJ34,0)-1))</f>
        <v/>
      </c>
      <c r="EL31" s="13">
        <f>IF(DT31&gt;0,CG29+DA29+RANK(EK31,EK31:EK34,1),)</f>
        <v>0</v>
      </c>
      <c r="EN31" s="13">
        <f>IF(CC31=4,BT31,)</f>
        <v>0</v>
      </c>
      <c r="EO31" s="13">
        <f>(SUMIF($AF$4:$AF$108,$BT31,$BL$4:$BL$108)+SUMIF($AH$4:$AH$108,$BT31,$BM$4:$BM$108))</f>
        <v>0</v>
      </c>
      <c r="EP31" s="13">
        <f>(SUMIF($AF$4:$AF$108,$BT31,$BN$4:$BN$108)+SUMIF($AH$4:$AH$108,$BT31,$BO$4:$BO$108))</f>
        <v>0</v>
      </c>
      <c r="EQ31" s="13">
        <f>(SUMIF($AF$4:$AF$108,$BT31,$BP$4:$BP$108)+SUMIF($AH$4:$AH$108,$BT31,$BQ$4:$BQ$108))</f>
        <v>0</v>
      </c>
      <c r="ER31" s="13">
        <f>IFERROR(EO31*3+EP31*1,0)</f>
        <v>0</v>
      </c>
      <c r="ES31" s="13" t="str">
        <f>$CB31</f>
        <v>D</v>
      </c>
      <c r="ET31" s="13">
        <f>IF(EN31&gt;0,RANK(ER31,ER31:ER34)+CG29+DA29+DU29,)</f>
        <v>0</v>
      </c>
      <c r="EU31" s="13">
        <f>IF(AND(EN31&gt;0,COUNTIF(ET31:ET34,ET31)&gt;1),SUMIFS($AI$4:$AI$108,$AF$4:$AF$108,$BT31,$M$4:$M$108,4)+SUMIFS($AK$4:$AK$108,$AH$4:$AH$108,$BT31,$M$4:$M$108,4)-SUMIFS($AK$4:$AK$108,$AF$4:$AF$108,$BT31,$M$4:$M$108,4)-SUMIFS($AI$4:$AI$108,$AH$4:$AH$108,$BT31,$M$4:$M$108,4),)</f>
        <v>0</v>
      </c>
      <c r="EV31" s="13">
        <f>IF(AND(EN31&gt;0,COUNTIF(ET31:ET34,ET31)&gt;1),ET31+RANK(EU31,EU31:EU34)-1,ET31)</f>
        <v>0</v>
      </c>
      <c r="EW31" s="13">
        <f>IF(AND(EN31&gt;0,COUNTIF(EV31:EV34,EV31)&gt;1),SUMIFS($AI$4:$AI$108,$AF$4:$AF$108,$BT31,$M$4:$M$108,4)+SUMIFS($AK$4:$AK$108,$AH$4:$AH$108,$BT31,$M$4:$M$108,4),)</f>
        <v>0</v>
      </c>
      <c r="EX31" s="13">
        <f>IF(AND(EN31&gt;0,COUNTIF(EV31:EV34,EV31)&gt;1),EV31+RANK(EW31,EW31:EW34)-1,EV31)</f>
        <v>0</v>
      </c>
      <c r="EY31" s="13" t="str">
        <f>IF(EX31=0,"",EX31)</f>
        <v/>
      </c>
      <c r="EZ31" s="13" t="str">
        <f>IF(OR(EY31="",COUNTIF(EY31:EY34,EY31)=1),"",$BZ31)</f>
        <v/>
      </c>
      <c r="FA31" s="13" t="str">
        <f>IF(EY31="","",IF(COUNTIF(EY31:EY34,EY31)=1,EY31,EY31+RANK(EZ31,EZ31:EZ34,0)-1))</f>
        <v/>
      </c>
      <c r="FB31" s="13" t="str">
        <f>IF(OR(FA31="",COUNTIF(FA31:FA34,FA31)=1),"",$BX31)</f>
        <v/>
      </c>
      <c r="FC31" s="13" t="str">
        <f>IF(EY31="","",IF(COUNTIF(FA31:FA34,FA31)=1,FA31,FA31+RANK(FB31,FB31:FB34,0)-1))</f>
        <v/>
      </c>
      <c r="FD31" s="13" t="str">
        <f>IF(OR(FC31="",COUNTIF(FC31:FC34,FC31)=1),"",$BU31)</f>
        <v/>
      </c>
      <c r="FE31" s="13" t="str">
        <f>IF(EY31="","",IF(COUNTIF(FC31:FC34,FC31)=1,FC31,FC31+RANK(FD31,FD31:FD34,0)-1))</f>
        <v/>
      </c>
      <c r="FF31" s="13">
        <f>IF(EN31&gt;0,CG29+DA29+DU29+RANK(FE31,FE31:FE34,1),)</f>
        <v>0</v>
      </c>
      <c r="FH31" s="13">
        <f>IFERROR(VLOOKUP(FJ31,CF30:CX34,19,FALSE),IFERROR(VLOOKUP(FJ31,CZ30:DR34,19,FALSE),IFERROR(VLOOKUP(FJ31,DT30:EL34,19,FALSE),VLOOKUP(FJ31,EN30:FF34,19,FALSE))))</f>
        <v>1</v>
      </c>
      <c r="FI31" s="13">
        <f>RANK(FH31,FH31:FH34,1)+COUNTIF(FH31:FH31,FH31)-1</f>
        <v>1</v>
      </c>
      <c r="FJ31" s="12" t="str">
        <f>BT31</f>
        <v>USA</v>
      </c>
      <c r="FZ31" s="79">
        <v>29</v>
      </c>
      <c r="GA31" s="3" t="str">
        <f t="shared" si="72"/>
        <v>EGICHDLK</v>
      </c>
      <c r="GB31" s="3" t="s">
        <v>59</v>
      </c>
      <c r="GC31" s="3" t="s">
        <v>60</v>
      </c>
      <c r="GD31" s="3" t="s">
        <v>61</v>
      </c>
      <c r="GE31" s="3" t="s">
        <v>75</v>
      </c>
      <c r="GF31" s="3" t="s">
        <v>70</v>
      </c>
      <c r="GG31" s="3" t="s">
        <v>58</v>
      </c>
      <c r="GH31" s="3" t="s">
        <v>63</v>
      </c>
      <c r="GI31" s="3" t="s">
        <v>62</v>
      </c>
      <c r="GJ31" s="9" t="str">
        <f t="shared" si="73"/>
        <v>Elfenbenskusten</v>
      </c>
      <c r="GK31" s="9" t="str">
        <f t="shared" si="73"/>
        <v>Iran</v>
      </c>
      <c r="GL31" s="9" t="str">
        <f t="shared" si="73"/>
        <v>Irak</v>
      </c>
      <c r="GM31" s="9" t="str">
        <f t="shared" si="73"/>
        <v>Haiti</v>
      </c>
      <c r="GN31" s="9" t="str">
        <f t="shared" si="73"/>
        <v>Saudiarabien</v>
      </c>
      <c r="GO31" s="9" t="str">
        <f t="shared" si="73"/>
        <v>Australien</v>
      </c>
      <c r="GP31" s="9" t="str">
        <f t="shared" si="73"/>
        <v>Ghana</v>
      </c>
      <c r="GQ31" s="9" t="str">
        <f t="shared" si="73"/>
        <v>Uzbekistan</v>
      </c>
      <c r="GR31" s="9" t="str">
        <f t="shared" si="75"/>
        <v/>
      </c>
      <c r="GX31" s="79"/>
    </row>
    <row r="32" spans="2:206" ht="14.25" customHeight="1" x14ac:dyDescent="0.25">
      <c r="B32" s="58">
        <v>6</v>
      </c>
      <c r="C32" s="59">
        <v>46187</v>
      </c>
      <c r="D32" s="60" t="s">
        <v>102</v>
      </c>
      <c r="E32" s="61" t="s">
        <v>66</v>
      </c>
      <c r="F32" s="62" t="s">
        <v>103</v>
      </c>
      <c r="G32" s="63"/>
      <c r="H32" s="64" t="s">
        <v>66</v>
      </c>
      <c r="I32" s="63"/>
      <c r="J32" s="65" t="str">
        <f t="shared" ref="J32:J36" si="259">IF(OR(ISBLANK(G32),ISBLANK(I32)),"",IF(G32&gt;I32,1,IF(G32&lt;I32,2,"X")))</f>
        <v/>
      </c>
      <c r="K32" s="66">
        <f>IF(OR(G32="",I32="",'[1]Resultat &amp; tabell'!G32="",'[1]Resultat &amp; tabell'!I32=""),0,IF(G32='[1]Resultat &amp; tabell'!G32,2,0)+IF(I32='[1]Resultat &amp; tabell'!I32,2,0)+IF(J32='[1]Resultat &amp; tabell'!J32,2,0))</f>
        <v>0</v>
      </c>
      <c r="L32" s="67"/>
      <c r="M32" s="29">
        <f t="shared" si="212"/>
        <v>1</v>
      </c>
      <c r="N32" s="30">
        <v>2</v>
      </c>
      <c r="O32" s="80" t="str">
        <f>VLOOKUP(N32,FI31:FJ34,2,FALSE)</f>
        <v>Paraguay</v>
      </c>
      <c r="P32" s="81">
        <f>VLOOKUP($O32,$BT$31:$CA$34,2,FALSE)</f>
        <v>0</v>
      </c>
      <c r="Q32" s="81">
        <f>VLOOKUP($O32,$BT$31:$CA$34,3,FALSE)</f>
        <v>0</v>
      </c>
      <c r="R32" s="81">
        <f>VLOOKUP($O32,$BT$31:$CA$34,4,FALSE)</f>
        <v>0</v>
      </c>
      <c r="S32" s="81">
        <f>VLOOKUP($O32,$BT$31:$CA$34,5,FALSE)</f>
        <v>0</v>
      </c>
      <c r="T32" s="81">
        <f>VLOOKUP($O32,$BT$31:$CA$34,6,FALSE)</f>
        <v>0</v>
      </c>
      <c r="U32" s="81">
        <f>VLOOKUP($O32,$BT$31:$CA$34,7,FALSE)</f>
        <v>0</v>
      </c>
      <c r="V32" s="82">
        <f>VLOOKUP($O32,$BT$31:$CA$34,8,FALSE)</f>
        <v>0</v>
      </c>
      <c r="X32" s="9"/>
      <c r="Y32"/>
      <c r="Z32"/>
      <c r="AA32"/>
      <c r="AB32" s="9"/>
      <c r="AC32" s="108"/>
      <c r="AE32" s="72">
        <f t="shared" si="213"/>
        <v>46187</v>
      </c>
      <c r="AF32" s="72" t="str">
        <f t="shared" si="213"/>
        <v>Australien</v>
      </c>
      <c r="AG32" s="72" t="str">
        <f t="shared" si="213"/>
        <v>-</v>
      </c>
      <c r="AH32" s="72" t="str">
        <f t="shared" si="213"/>
        <v>Turkiet</v>
      </c>
      <c r="AI32" s="63" t="str">
        <f t="shared" si="214"/>
        <v/>
      </c>
      <c r="AJ32" s="58" t="str">
        <f t="shared" si="215"/>
        <v>-</v>
      </c>
      <c r="AK32" s="63" t="str">
        <f t="shared" si="216"/>
        <v/>
      </c>
      <c r="AL32" s="65" t="str">
        <f t="shared" si="217"/>
        <v/>
      </c>
      <c r="AM32" s="73"/>
      <c r="AN32" s="13">
        <f t="shared" si="218"/>
        <v>0</v>
      </c>
      <c r="AO32" s="13">
        <f t="shared" si="219"/>
        <v>0</v>
      </c>
      <c r="AP32" s="13">
        <f t="shared" si="220"/>
        <v>0</v>
      </c>
      <c r="AQ32" s="13">
        <f t="shared" si="221"/>
        <v>0</v>
      </c>
      <c r="AR32" s="13">
        <f t="shared" si="222"/>
        <v>0</v>
      </c>
      <c r="AS32" s="13">
        <f t="shared" si="223"/>
        <v>0</v>
      </c>
      <c r="AT32" s="13">
        <f t="shared" si="224"/>
        <v>0</v>
      </c>
      <c r="AU32" s="13">
        <f t="shared" si="225"/>
        <v>0</v>
      </c>
      <c r="AV32" s="13">
        <f t="shared" si="226"/>
        <v>0</v>
      </c>
      <c r="AW32" s="13">
        <f t="shared" si="227"/>
        <v>0</v>
      </c>
      <c r="AX32" s="13">
        <f t="shared" si="228"/>
        <v>0</v>
      </c>
      <c r="AY32" s="13">
        <f t="shared" si="229"/>
        <v>0</v>
      </c>
      <c r="AZ32" s="13">
        <f t="shared" si="230"/>
        <v>0</v>
      </c>
      <c r="BA32" s="13">
        <f t="shared" si="231"/>
        <v>0</v>
      </c>
      <c r="BB32" s="13">
        <f t="shared" si="232"/>
        <v>0</v>
      </c>
      <c r="BC32" s="13">
        <f t="shared" si="233"/>
        <v>0</v>
      </c>
      <c r="BD32" s="13">
        <f t="shared" si="234"/>
        <v>0</v>
      </c>
      <c r="BE32" s="13">
        <f t="shared" si="235"/>
        <v>0</v>
      </c>
      <c r="BF32" s="13">
        <f t="shared" si="236"/>
        <v>0</v>
      </c>
      <c r="BG32" s="13">
        <f t="shared" si="237"/>
        <v>0</v>
      </c>
      <c r="BH32" s="13">
        <f t="shared" si="238"/>
        <v>0</v>
      </c>
      <c r="BI32" s="13">
        <f t="shared" si="239"/>
        <v>0</v>
      </c>
      <c r="BJ32" s="13">
        <f t="shared" si="240"/>
        <v>0</v>
      </c>
      <c r="BK32" s="13">
        <f t="shared" si="241"/>
        <v>0</v>
      </c>
      <c r="BL32" s="13">
        <f t="shared" si="242"/>
        <v>0</v>
      </c>
      <c r="BM32" s="13">
        <f t="shared" si="243"/>
        <v>0</v>
      </c>
      <c r="BN32" s="13">
        <f t="shared" si="244"/>
        <v>0</v>
      </c>
      <c r="BO32" s="13">
        <f t="shared" si="245"/>
        <v>0</v>
      </c>
      <c r="BP32" s="13">
        <f t="shared" si="246"/>
        <v>0</v>
      </c>
      <c r="BQ32" s="13">
        <f t="shared" si="247"/>
        <v>0</v>
      </c>
      <c r="BT32" s="12" t="s">
        <v>101</v>
      </c>
      <c r="BU32" s="13">
        <f t="shared" si="248"/>
        <v>0</v>
      </c>
      <c r="BV32" s="13">
        <f t="shared" si="249"/>
        <v>0</v>
      </c>
      <c r="BW32" s="13">
        <f t="shared" si="250"/>
        <v>0</v>
      </c>
      <c r="BX32" s="13">
        <f t="shared" si="251"/>
        <v>0</v>
      </c>
      <c r="BY32" s="13">
        <f t="shared" si="252"/>
        <v>0</v>
      </c>
      <c r="BZ32" s="13">
        <f t="shared" si="253"/>
        <v>0</v>
      </c>
      <c r="CA32" s="13">
        <f t="shared" si="254"/>
        <v>0</v>
      </c>
      <c r="CB32" s="13" t="s">
        <v>58</v>
      </c>
      <c r="CC32" s="74">
        <f>RANK(CA32,CA31:CA34)</f>
        <v>1</v>
      </c>
      <c r="CD32" s="13">
        <f>SUMPRODUCT((CA31:CA34=CA32)*(BZ31:BZ34&gt;BZ32))</f>
        <v>0</v>
      </c>
      <c r="CF32" s="12" t="str">
        <f>IF(CC32=1,BT32,)</f>
        <v>Paraguay</v>
      </c>
      <c r="CG32" s="13">
        <f t="shared" si="255"/>
        <v>0</v>
      </c>
      <c r="CH32" s="13">
        <f t="shared" si="256"/>
        <v>0</v>
      </c>
      <c r="CI32" s="13">
        <f t="shared" si="257"/>
        <v>0</v>
      </c>
      <c r="CJ32" s="13">
        <f t="shared" si="258"/>
        <v>0</v>
      </c>
      <c r="CK32" s="13" t="str">
        <f t="shared" ref="CK32:CK34" si="260">CB32</f>
        <v>D</v>
      </c>
      <c r="CL32" s="13">
        <f>IF(CF32&gt;0,RANK(CJ32,CJ31:CJ34),)</f>
        <v>1</v>
      </c>
      <c r="CM32" s="13">
        <f>IF(AND(CF32&gt;0,COUNTIF(CL31:CL34,CL32)&gt;1),SUMIFS($AI$4:$AI$108,$AF$4:$AF$108,$BT32,$M$4:$M$108,1)+SUMIFS($AK$4:$AK$108,$AH$4:$AH$108,$BT32,$M$4:$M$108,1)-SUMIFS($AK$4:$AK$108,$AF$4:$AF$108,$BT32,$M$4:$M$108,1)-SUMIFS($AI$4:$AI$108,$AH$4:$AH$108,$BT32,$M$4:$M$108,1),)</f>
        <v>0</v>
      </c>
      <c r="CN32" s="13">
        <f>IF(AND(CF32&gt;0,COUNTIF(CL31:CL34,CL32)&gt;1),CL32+RANK(CM32,CM31:CM34)-1,CL32)</f>
        <v>1</v>
      </c>
      <c r="CO32" s="13">
        <f>IF(AND(CF32&gt;0,COUNTIF(CN31:CN34,CN32)&gt;1),SUMIFS($AI$4:$AI$108,$AF$4:$AF$108,$BT32,$M$4:$M$108,1)+SUMIFS($AK$4:$AK$108,$AH$4:$AH$108,$BT32,$M$4:$M$108,1),)</f>
        <v>0</v>
      </c>
      <c r="CP32" s="13">
        <f>IF(AND(CF32&gt;0,COUNTIF(CN31:CN34,CN32)&gt;1),CN32+RANK(CO32,CO31:CO34)-1,CN32)</f>
        <v>1</v>
      </c>
      <c r="CQ32" s="13">
        <f t="shared" ref="CQ32:CQ34" si="261">IF(CP32=0,"",CP32)</f>
        <v>1</v>
      </c>
      <c r="CR32" s="13">
        <f>IF(OR(CQ32="",COUNTIF(CQ31:CQ34,CQ32)=1),"",$BZ32)</f>
        <v>0</v>
      </c>
      <c r="CS32" s="13">
        <f>IF(CQ32="","",IF(COUNTIF(CQ31:CQ34,CQ32)=1,CQ32,CQ32+RANK(CR32,CR31:CR34,0)-1))</f>
        <v>1</v>
      </c>
      <c r="CT32" s="13">
        <f>IF(OR(CS32="",COUNTIF(CS31:CS34,CS32)=1),"",$BX32)</f>
        <v>0</v>
      </c>
      <c r="CU32" s="13">
        <f>IF(CQ32="","",IF(COUNTIF(CS31:CS34,CS32)=1,CS32,CS32+RANK(CT32,CT31:CT34,0)-1))</f>
        <v>1</v>
      </c>
      <c r="CV32" s="13">
        <f>IF(OR(CU32="",COUNTIF(CU31:CU34,CU32)=1),"",$BU32)</f>
        <v>0</v>
      </c>
      <c r="CW32" s="13">
        <f>IF(CQ32="","",IF(COUNTIF(CU31:CU34,CU32)=1,CU32,CU32+RANK(CV32,CV31:CV34,0)-1))</f>
        <v>1</v>
      </c>
      <c r="CX32" s="13">
        <f>IF(CF32&gt;0,BM29+RANK(CW32,CW31:CW34,1),)</f>
        <v>1</v>
      </c>
      <c r="CZ32" s="12">
        <f>IF(CC32=2,BT32,)</f>
        <v>0</v>
      </c>
      <c r="DA32" s="13">
        <f>(SUMIF($AF$4:$AF$108,$BT32,$AZ$4:$AZ$108)+SUMIF($AH$4:$AH$108,$BT32,$BA$4:$BA$108))</f>
        <v>0</v>
      </c>
      <c r="DB32" s="13">
        <f t="shared" ref="DB32:DB34" si="262">(SUMIF($AF$4:$AF$108,$BT32,$BB$4:$BB$108)+SUMIF($AH$4:$AH$108,$BT32,$BC$4:$BC$108))</f>
        <v>0</v>
      </c>
      <c r="DC32" s="13">
        <f t="shared" ref="DC32:DC34" si="263">(SUMIF($AF$4:$AF$108,$BT32,$BD$4:$BD$108)+SUMIF($AH$4:$AH$108,$BT32,$BE$4:$BE$108))</f>
        <v>0</v>
      </c>
      <c r="DD32" s="13">
        <f t="shared" ref="DD32:DD34" si="264">IFERROR(DA32*3+DB32*1,0)</f>
        <v>0</v>
      </c>
      <c r="DE32" s="13" t="str">
        <f t="shared" ref="DE32:DE34" si="265">$CB32</f>
        <v>D</v>
      </c>
      <c r="DF32" s="13">
        <f>IF(CZ32&gt;0,RANK(DD32,DD31:DD34)+CG29,)</f>
        <v>0</v>
      </c>
      <c r="DG32" s="13">
        <f>IF(AND(CZ32&gt;0,COUNTIF(DF31:DF34,DF32)&gt;1),SUMIFS($AI$4:$AI$108,$AF$4:$AF$108,$BT32,$M$4:$M$108,2)+SUMIFS($AK$4:$AK$108,$AH$4:$AH108,$BT32,$M$4:$M$108,2)-SUMIFS($AK$4:$AK$108,$AF$4:$AF$108,$BT32,$M$4:$M$108,2)-SUMIFS($AI$4:$AI$108,$AH$4:$AH$108,$BT32,$M$4:$M$108,2),)</f>
        <v>0</v>
      </c>
      <c r="DH32" s="13">
        <f>IF(AND(CZ32&gt;0,COUNTIF(DF31:DF34,DF32)&gt;1),DF32+RANK(DG32,DG31:DG34)-1,DF32)</f>
        <v>0</v>
      </c>
      <c r="DI32" s="13">
        <f>IF(AND(CZ32&gt;0,COUNTIF(DH31:DH34,DH32)&gt;1),SUMIFS($AI$4:$AI$108,$AF$4:$AF$108,$BT32,$M$4:$M$108,2)+SUMIFS($AK$4:$AK$108,$AH$4:$AH$108,$BT32,$M$4:$M$108,2),)</f>
        <v>0</v>
      </c>
      <c r="DJ32" s="13">
        <f>IF(AND(CZ32&gt;0,COUNTIF(DH31:DH34,DH32)&gt;1),DH32+RANK(DI32,DI31:DI34)-1,DH32)</f>
        <v>0</v>
      </c>
      <c r="DK32" s="75" t="str">
        <f t="shared" ref="DK32:DK34" si="266">IF(DJ32=0,"",DJ32)</f>
        <v/>
      </c>
      <c r="DL32" s="75" t="str">
        <f>IF(OR(DK32="",COUNTIF(DK31:DK34,DK32)=1),"",$BZ32)</f>
        <v/>
      </c>
      <c r="DM32" s="75" t="str">
        <f>IF(DK32="","",IF(COUNTIF(DK31:DK34,DK32)=1,DK32,DK32+RANK(DL32,DL31:DL34,0)-1))</f>
        <v/>
      </c>
      <c r="DN32" s="75" t="str">
        <f>IF(OR(DM32="",COUNTIF(DM31:DM34,DM32)=1),"",$BX32)</f>
        <v/>
      </c>
      <c r="DO32" s="75" t="str">
        <f>IF(DK32="","",IF(COUNTIF(DM31:DM34,DM32)=1,DM32,DM32+RANK(DN32,DN31:DN34,0)-1))</f>
        <v/>
      </c>
      <c r="DP32" s="75" t="str">
        <f>IF(OR(DO32="",COUNTIF(DO31:DO34,DO32)=1),"",$BU32)</f>
        <v/>
      </c>
      <c r="DQ32" s="75" t="str">
        <f>IF(DK32="","",IF(COUNTIF(DO31:DO34,DO32)=1,DO32,DO32+RANK(DP32,DP31:DP34,0)-1))</f>
        <v/>
      </c>
      <c r="DR32" s="13">
        <f>IF(CZ32&gt;0,CG29+RANK(DQ32,DQ31:DQ34,1),)</f>
        <v>0</v>
      </c>
      <c r="DT32" s="13">
        <f>IF(CC32=3,BT32,)</f>
        <v>0</v>
      </c>
      <c r="DU32" s="13">
        <f t="shared" ref="DU32:DU34" si="267">(SUMIF($AF$4:$AF$108,BT32,$BF$4:$BF$108)+SUMIF($AH$4:$AH$108,BT32,$BG$4:$BG$108))</f>
        <v>0</v>
      </c>
      <c r="DV32" s="13">
        <f t="shared" ref="DV32:DV34" si="268">(SUMIF($AF$4:$AF$108,BT32,$BH$4:$BH$108)+SUMIF($AH$4:$AH$108,BT32,$BI$4:$BI$108))</f>
        <v>0</v>
      </c>
      <c r="DW32" s="13">
        <f t="shared" ref="DW32:DW34" si="269">(SUMIF($AF$4:$AF$108,BT32,$BJ$4:$BJ$108)+SUMIF($AH$4:$AH$108,BT32,$BK$4:$BK$108))</f>
        <v>0</v>
      </c>
      <c r="DX32" s="13">
        <f>IFERROR(DU32*3+DV32*1,0)</f>
        <v>0</v>
      </c>
      <c r="DY32" s="13" t="str">
        <f t="shared" ref="DY32:DY34" si="270">CB32</f>
        <v>D</v>
      </c>
      <c r="DZ32" s="13">
        <f>IF(DT32&gt;0,RANK(DX32,DX31:DX34)+CG29+DA29,)</f>
        <v>0</v>
      </c>
      <c r="EA32" s="13">
        <f>IF(AND(DT32&gt;0,COUNTIF(DZ31:DZ34,DZ32)&gt;1),SUMIFS($AI$4:$AI$108,$AF$4:$AF$108,$BT32,$M$4:$M$108,3)+SUMIFS($AK$4:$AK$108,$AH$4:$AH$108,$BT32,$M$4:$M$108,3)-SUMIFS($AK$4:$AK$108,$AF$4:$AF$108,$BT32,$M$4:$M$108,3)-SUMIFS($AI$4:$AI$108,$AH$4:$AH$108,$BT32,$M$4:$M$108,3),)</f>
        <v>0</v>
      </c>
      <c r="EB32" s="13">
        <f>IF(AND(DT32&gt;0,COUNTIF(DZ31:DZ34,DZ32)&gt;1),DZ32+RANK(EA32,EA31:EA34)-1,DZ32)</f>
        <v>0</v>
      </c>
      <c r="EC32" s="13">
        <f>IF(AND(DT32&gt;0,COUNTIF(EB31:EB34,EB32)&gt;1),SUMIFS($AI$4:$AI$108,$AF$4:$AF$108,$BT32,$M$4:$M$108,3)+SUMIFS($AK$4:$AK$108,$AH$4:$AH$108,$BT32,$M$4:$M$108,3),)</f>
        <v>0</v>
      </c>
      <c r="ED32" s="13">
        <f>IF(AND(DT32&gt;0,COUNTIF(EB31:EB34,EB32)&gt;1),EB32+RANK(EC32,EC31:EC34)-1,EB32)</f>
        <v>0</v>
      </c>
      <c r="EE32" s="13" t="str">
        <f t="shared" ref="EE32:EE34" si="271">IF(ED32=0,"",ED32)</f>
        <v/>
      </c>
      <c r="EF32" s="13" t="str">
        <f>IF(OR(EE32="",COUNTIF(EE31:EE34,EE32)=1),"",$BZ32)</f>
        <v/>
      </c>
      <c r="EG32" s="13" t="str">
        <f>IF(EE32="","",IF(COUNTIF(EE31:EE34,EE32)=1,EE32,EE32+RANK(EF32,EF31:EF34,0)-1))</f>
        <v/>
      </c>
      <c r="EH32" s="13" t="str">
        <f>IF(OR(EG32="",COUNTIF(EG31:EG34,EG32)=1),"",$BX32)</f>
        <v/>
      </c>
      <c r="EI32" s="13" t="str">
        <f>IF(EE32="","",IF(COUNTIF(EG31:EG34,EG32)=1,EG32,EG32+RANK(EH32,EH31:EH34,0)-1))</f>
        <v/>
      </c>
      <c r="EJ32" s="13" t="str">
        <f>IF(OR(EI32="",COUNTIF(EI31:EI34,EI32)=1),"",$BU32)</f>
        <v/>
      </c>
      <c r="EK32" s="13" t="str">
        <f>IF(EE32="","",IF(COUNTIF(EI31:EI34,EI32)=1,EI32,EI32+RANK(EJ32,EJ31:EJ34,0)-1))</f>
        <v/>
      </c>
      <c r="EL32" s="13">
        <f>IF(DT32&gt;0,CG29+DA29+RANK(EK32,EK31:EK34,1),)</f>
        <v>0</v>
      </c>
      <c r="EN32" s="13">
        <f>IF(CC32=4,BT32,)</f>
        <v>0</v>
      </c>
      <c r="EO32" s="13">
        <f t="shared" ref="EO32:EO34" si="272">(SUMIF($AF$4:$AF$108,$BT32,$BL$4:$BL$108)+SUMIF($AH$4:$AH$108,$BT32,$BM$4:$BM$108))</f>
        <v>0</v>
      </c>
      <c r="EP32" s="13">
        <f t="shared" ref="EP32:EP34" si="273">(SUMIF($AF$4:$AF$108,$BT32,$BN$4:$BN$108)+SUMIF($AH$4:$AH$108,$BT32,$BO$4:$BO$108))</f>
        <v>0</v>
      </c>
      <c r="EQ32" s="13">
        <f t="shared" ref="EQ32:EQ34" si="274">(SUMIF($AF$4:$AF$108,$BT32,$BP$4:$BP$108)+SUMIF($AH$4:$AH$108,$BT32,$BQ$4:$BQ$108))</f>
        <v>0</v>
      </c>
      <c r="ER32" s="13">
        <f t="shared" ref="ER32:ER34" si="275">IFERROR(EO32*3+EP32*1,0)</f>
        <v>0</v>
      </c>
      <c r="ES32" s="13" t="str">
        <f t="shared" ref="ES32:ES34" si="276">$CB32</f>
        <v>D</v>
      </c>
      <c r="ET32" s="13">
        <f>IF(EN32&gt;0,RANK(ER32,ER31:ER34)+CG29+DA29+DU29,)</f>
        <v>0</v>
      </c>
      <c r="EU32" s="13">
        <f>IF(AND(EN32&gt;0,COUNTIF(ET31:ET34,ET32)&gt;1),SUMIFS($AI$4:$AI$108,$AF$4:$AF$108,$BT32,$M$4:$M$108,4)+SUMIFS($AK$4:$AK$108,$AH$4:$AH$108,$BT32,$M$4:$M$108,4)-SUMIFS($AK$4:$AK$108,$AF$4:$AF$108,$BT32,$M$4:$M$108,4)-SUMIFS($AI$4:$AI$108,$AH$4:$AH$108,$BT32,$M$4:$M$108,4),)</f>
        <v>0</v>
      </c>
      <c r="EV32" s="13">
        <f>IF(AND(EN32&gt;0,COUNTIF(ET31:ET34,ET32)&gt;1),ET32+RANK(EU32,EU31:EU34)-1,ET32)</f>
        <v>0</v>
      </c>
      <c r="EW32" s="13">
        <f t="shared" ref="EW32:EW34" si="277">IF(AND(EN32&gt;0,COUNTIF(EV32:EV35,EV32)&gt;1),SUMIFS($AI$4:$AI$108,$AF$4:$AF$108,$BT32,$M$4:$M$108,4)+SUMIFS($AK$4:$AK$108,$AH$4:$AH$108,$BT32,$M$4:$M$108,4),)</f>
        <v>0</v>
      </c>
      <c r="EX32" s="13">
        <f>IF(AND(EN32&gt;0,COUNTIF(EV31:EV34,EV32)&gt;1),EV32+RANK(EW32,EW31:EW34)-1,EV32)</f>
        <v>0</v>
      </c>
      <c r="EY32" s="13" t="str">
        <f t="shared" ref="EY32:EY34" si="278">IF(EX32=0,"",EX32)</f>
        <v/>
      </c>
      <c r="EZ32" s="13" t="str">
        <f>IF(OR(EY32="",COUNTIF(EY31:EY34,EY32)=1),"",$BZ32)</f>
        <v/>
      </c>
      <c r="FA32" s="13" t="str">
        <f>IF(EY32="","",IF(COUNTIF(EY31:EY34,EY32)=1,EY32,EY32+RANK(EZ32,EZ31:EZ34,0)-1))</f>
        <v/>
      </c>
      <c r="FB32" s="13" t="str">
        <f>IF(OR(FA32="",COUNTIF(FA31:FA34,FA32)=1),"",$BX32)</f>
        <v/>
      </c>
      <c r="FC32" s="13" t="str">
        <f>IF(EY32="","",IF(COUNTIF(FA31:FA34,FA32)=1,FA32,FA32+RANK(FB32,FB31:FB34,0)-1))</f>
        <v/>
      </c>
      <c r="FD32" s="13" t="str">
        <f>IF(OR(FC32="",COUNTIF(FC31:FC34,FC32)=1),"",$BU32)</f>
        <v/>
      </c>
      <c r="FE32" s="13" t="str">
        <f>IF(EY32="","",IF(COUNTIF(FC31:FC34,FC32)=1,FC32,FC32+RANK(FD32,FD31:FD34,0)-1))</f>
        <v/>
      </c>
      <c r="FF32" s="13">
        <f>IF(EN32&gt;0,CG29+DA29+DU29+RANK(FE32,FE31:FE34,1),)</f>
        <v>0</v>
      </c>
      <c r="FH32" s="13">
        <f>IFERROR(VLOOKUP(FJ32,CF30:CX34,19,FALSE),IFERROR(VLOOKUP(FJ32,CZ30:DR34,19,FALSE),IFERROR(VLOOKUP(FJ32,DT30:EL34,19,FALSE),VLOOKUP(FJ32,EN30:FF34,19,FALSE))))</f>
        <v>1</v>
      </c>
      <c r="FI32" s="13">
        <f>RANK(FH32,FH31:FH34,1)+COUNTIF(FH31:FH32,FH32)-1</f>
        <v>2</v>
      </c>
      <c r="FJ32" s="12" t="str">
        <f>BT32</f>
        <v>Paraguay</v>
      </c>
      <c r="FZ32" s="79">
        <v>30</v>
      </c>
      <c r="GA32" s="3" t="str">
        <f t="shared" si="72"/>
        <v>EGJCHDLI</v>
      </c>
      <c r="GB32" s="3" t="s">
        <v>59</v>
      </c>
      <c r="GC32" s="3" t="s">
        <v>60</v>
      </c>
      <c r="GD32" s="3" t="s">
        <v>69</v>
      </c>
      <c r="GE32" s="3" t="s">
        <v>75</v>
      </c>
      <c r="GF32" s="3" t="s">
        <v>70</v>
      </c>
      <c r="GG32" s="3" t="s">
        <v>58</v>
      </c>
      <c r="GH32" s="3" t="s">
        <v>63</v>
      </c>
      <c r="GI32" s="3" t="s">
        <v>61</v>
      </c>
      <c r="GJ32" s="9" t="str">
        <f t="shared" si="73"/>
        <v>Elfenbenskusten</v>
      </c>
      <c r="GK32" s="9" t="str">
        <f t="shared" si="73"/>
        <v>Iran</v>
      </c>
      <c r="GL32" s="9" t="str">
        <f t="shared" si="73"/>
        <v>Österrike</v>
      </c>
      <c r="GM32" s="9" t="str">
        <f t="shared" si="73"/>
        <v>Haiti</v>
      </c>
      <c r="GN32" s="9" t="str">
        <f t="shared" si="73"/>
        <v>Saudiarabien</v>
      </c>
      <c r="GO32" s="9" t="str">
        <f t="shared" si="73"/>
        <v>Australien</v>
      </c>
      <c r="GP32" s="9" t="str">
        <f t="shared" si="73"/>
        <v>Ghana</v>
      </c>
      <c r="GQ32" s="9" t="str">
        <f t="shared" si="73"/>
        <v>Irak</v>
      </c>
      <c r="GR32" s="9" t="str">
        <f t="shared" si="75"/>
        <v/>
      </c>
      <c r="GX32" s="79"/>
    </row>
    <row r="33" spans="2:206" ht="14.25" customHeight="1" x14ac:dyDescent="0.25">
      <c r="B33" s="58">
        <v>32</v>
      </c>
      <c r="C33" s="59">
        <v>46192</v>
      </c>
      <c r="D33" s="60" t="s">
        <v>100</v>
      </c>
      <c r="E33" s="61" t="s">
        <v>66</v>
      </c>
      <c r="F33" s="62" t="s">
        <v>102</v>
      </c>
      <c r="G33" s="63"/>
      <c r="H33" s="64" t="s">
        <v>66</v>
      </c>
      <c r="I33" s="63"/>
      <c r="J33" s="65" t="str">
        <f t="shared" si="259"/>
        <v/>
      </c>
      <c r="K33" s="66">
        <f>IF(OR(G33="",I33="",'[1]Resultat &amp; tabell'!G33="",'[1]Resultat &amp; tabell'!I33=""),0,IF(G33='[1]Resultat &amp; tabell'!G33,2,0)+IF(I33='[1]Resultat &amp; tabell'!I33,2,0)+IF(J33='[1]Resultat &amp; tabell'!J33,2,0))</f>
        <v>0</v>
      </c>
      <c r="L33" s="67"/>
      <c r="M33" s="29">
        <f t="shared" si="212"/>
        <v>1</v>
      </c>
      <c r="N33" s="30">
        <v>3</v>
      </c>
      <c r="O33" s="83" t="str">
        <f>VLOOKUP(N33,FI31:FJ34,2,FALSE)</f>
        <v>Australien</v>
      </c>
      <c r="P33" s="84">
        <f>VLOOKUP($O33,$BT$31:$CA$34,2,FALSE)</f>
        <v>0</v>
      </c>
      <c r="Q33" s="84">
        <f>VLOOKUP($O33,$BT$31:$CA$34,3,FALSE)</f>
        <v>0</v>
      </c>
      <c r="R33" s="84">
        <f>VLOOKUP($O33,$BT$31:$CA$34,4,FALSE)</f>
        <v>0</v>
      </c>
      <c r="S33" s="84">
        <f>VLOOKUP($O33,$BT$31:$CA$34,5,FALSE)</f>
        <v>0</v>
      </c>
      <c r="T33" s="84">
        <f>VLOOKUP($O33,$BT$31:$CA$34,6,FALSE)</f>
        <v>0</v>
      </c>
      <c r="U33" s="84">
        <f>VLOOKUP($O33,$BT$31:$CA$34,7,FALSE)</f>
        <v>0</v>
      </c>
      <c r="V33" s="85">
        <f>VLOOKUP($O33,$BT$31:$CA$34,8,FALSE)</f>
        <v>0</v>
      </c>
      <c r="X33" s="9"/>
      <c r="Y33" s="9"/>
      <c r="Z33" s="9"/>
      <c r="AA33" s="9"/>
      <c r="AB33" s="9"/>
      <c r="AC33" s="108"/>
      <c r="AE33" s="72">
        <f t="shared" si="213"/>
        <v>46192</v>
      </c>
      <c r="AF33" s="72" t="str">
        <f t="shared" si="213"/>
        <v>USA</v>
      </c>
      <c r="AG33" s="72" t="str">
        <f t="shared" si="213"/>
        <v>-</v>
      </c>
      <c r="AH33" s="72" t="str">
        <f t="shared" si="213"/>
        <v>Australien</v>
      </c>
      <c r="AI33" s="63" t="str">
        <f t="shared" si="214"/>
        <v/>
      </c>
      <c r="AJ33" s="58" t="str">
        <f t="shared" si="215"/>
        <v>-</v>
      </c>
      <c r="AK33" s="63" t="str">
        <f t="shared" si="216"/>
        <v/>
      </c>
      <c r="AL33" s="65" t="str">
        <f t="shared" si="217"/>
        <v/>
      </c>
      <c r="AM33" s="73"/>
      <c r="AN33" s="13">
        <f t="shared" si="218"/>
        <v>0</v>
      </c>
      <c r="AO33" s="13">
        <f t="shared" si="219"/>
        <v>0</v>
      </c>
      <c r="AP33" s="13">
        <f t="shared" si="220"/>
        <v>0</v>
      </c>
      <c r="AQ33" s="13">
        <f t="shared" si="221"/>
        <v>0</v>
      </c>
      <c r="AR33" s="13">
        <f t="shared" si="222"/>
        <v>0</v>
      </c>
      <c r="AS33" s="13">
        <f t="shared" si="223"/>
        <v>0</v>
      </c>
      <c r="AT33" s="13">
        <f t="shared" si="224"/>
        <v>0</v>
      </c>
      <c r="AU33" s="13">
        <f t="shared" si="225"/>
        <v>0</v>
      </c>
      <c r="AV33" s="13">
        <f t="shared" si="226"/>
        <v>0</v>
      </c>
      <c r="AW33" s="13">
        <f t="shared" si="227"/>
        <v>0</v>
      </c>
      <c r="AX33" s="13">
        <f t="shared" si="228"/>
        <v>0</v>
      </c>
      <c r="AY33" s="13">
        <f t="shared" si="229"/>
        <v>0</v>
      </c>
      <c r="AZ33" s="13">
        <f t="shared" si="230"/>
        <v>0</v>
      </c>
      <c r="BA33" s="13">
        <f t="shared" si="231"/>
        <v>0</v>
      </c>
      <c r="BB33" s="13">
        <f t="shared" si="232"/>
        <v>0</v>
      </c>
      <c r="BC33" s="13">
        <f t="shared" si="233"/>
        <v>0</v>
      </c>
      <c r="BD33" s="13">
        <f t="shared" si="234"/>
        <v>0</v>
      </c>
      <c r="BE33" s="13">
        <f t="shared" si="235"/>
        <v>0</v>
      </c>
      <c r="BF33" s="13">
        <f t="shared" si="236"/>
        <v>0</v>
      </c>
      <c r="BG33" s="13">
        <f t="shared" si="237"/>
        <v>0</v>
      </c>
      <c r="BH33" s="13">
        <f t="shared" si="238"/>
        <v>0</v>
      </c>
      <c r="BI33" s="13">
        <f t="shared" si="239"/>
        <v>0</v>
      </c>
      <c r="BJ33" s="13">
        <f t="shared" si="240"/>
        <v>0</v>
      </c>
      <c r="BK33" s="13">
        <f t="shared" si="241"/>
        <v>0</v>
      </c>
      <c r="BL33" s="13">
        <f t="shared" si="242"/>
        <v>0</v>
      </c>
      <c r="BM33" s="13">
        <f t="shared" si="243"/>
        <v>0</v>
      </c>
      <c r="BN33" s="13">
        <f t="shared" si="244"/>
        <v>0</v>
      </c>
      <c r="BO33" s="13">
        <f t="shared" si="245"/>
        <v>0</v>
      </c>
      <c r="BP33" s="13">
        <f t="shared" si="246"/>
        <v>0</v>
      </c>
      <c r="BQ33" s="13">
        <f t="shared" si="247"/>
        <v>0</v>
      </c>
      <c r="BT33" s="12" t="s">
        <v>102</v>
      </c>
      <c r="BU33" s="13">
        <f t="shared" si="248"/>
        <v>0</v>
      </c>
      <c r="BV33" s="13">
        <f t="shared" si="249"/>
        <v>0</v>
      </c>
      <c r="BW33" s="13">
        <f t="shared" si="250"/>
        <v>0</v>
      </c>
      <c r="BX33" s="13">
        <f t="shared" si="251"/>
        <v>0</v>
      </c>
      <c r="BY33" s="13">
        <f t="shared" si="252"/>
        <v>0</v>
      </c>
      <c r="BZ33" s="13">
        <f t="shared" si="253"/>
        <v>0</v>
      </c>
      <c r="CA33" s="13">
        <f t="shared" si="254"/>
        <v>0</v>
      </c>
      <c r="CB33" s="13" t="s">
        <v>58</v>
      </c>
      <c r="CC33" s="74">
        <f>RANK(CA33,CA31:CA34)</f>
        <v>1</v>
      </c>
      <c r="CD33" s="13">
        <f>SUMPRODUCT((CA31:CA34=CA33)*(BZ31:BZ34&gt;BZ33))</f>
        <v>0</v>
      </c>
      <c r="CF33" s="12" t="str">
        <f>IF(CC33=1,BT33,)</f>
        <v>Australien</v>
      </c>
      <c r="CG33" s="13">
        <f t="shared" si="255"/>
        <v>0</v>
      </c>
      <c r="CH33" s="13">
        <f t="shared" si="256"/>
        <v>0</v>
      </c>
      <c r="CI33" s="13">
        <f t="shared" si="257"/>
        <v>0</v>
      </c>
      <c r="CJ33" s="13">
        <f t="shared" si="258"/>
        <v>0</v>
      </c>
      <c r="CK33" s="13" t="str">
        <f t="shared" si="260"/>
        <v>D</v>
      </c>
      <c r="CL33" s="13">
        <f>IF(CF33&gt;0,RANK(CJ33,CJ31:CJ34),)</f>
        <v>1</v>
      </c>
      <c r="CM33" s="13">
        <f>IF(AND(CF33&gt;0,COUNTIF(CL31:CL34,CL33)&gt;1),SUMIFS($AI$4:$AI$108,$AF$4:$AF$108,$BT33,$M$4:$M$108,1)+SUMIFS($AK$4:$AK$108,$AH$4:$AH$108,$BT33,$M$4:$M$108,1)-SUMIFS($AK$4:$AK$108,$AF$4:$AF$108,$BT33,$M$4:$M$108,1)-SUMIFS($AI$4:$AI$108,$AH$4:$AH$108,$BT33,$M$4:$M$108,1),)</f>
        <v>0</v>
      </c>
      <c r="CN33" s="13">
        <f>IF(AND(CF33&gt;0,COUNTIF(CL31:CL34,CL33)&gt;1),CL33+RANK(CM33,CM31:CM34)-1,CL33)</f>
        <v>1</v>
      </c>
      <c r="CO33" s="13">
        <f>IF(AND(CF33&gt;0,COUNTIF(CN31:CN34,CN33)&gt;1),SUMIFS($AI$4:$AI$108,$AF$4:$AF$108,$BT33,$M$4:$M$108,1)+SUMIFS($AK$4:$AK$108,$AH$4:$AH$108,$BT33,$M$4:$M$108,1),)</f>
        <v>0</v>
      </c>
      <c r="CP33" s="13">
        <f>IF(AND(CF33&gt;0,COUNTIF(CN31:CN34,CN33)&gt;1),CN33+RANK(CO33,CO31:CO34)-1,CN33)</f>
        <v>1</v>
      </c>
      <c r="CQ33" s="13">
        <f t="shared" si="261"/>
        <v>1</v>
      </c>
      <c r="CR33" s="13">
        <f>IF(OR(CQ33="",COUNTIF(CQ31:CQ34,CQ33)=1),"",$BZ33)</f>
        <v>0</v>
      </c>
      <c r="CS33" s="13">
        <f>IF(CQ33="","",IF(COUNTIF(CQ31:CQ34,CQ33)=1,CQ33,CQ33+RANK(CR33,CR31:CR34,0)-1))</f>
        <v>1</v>
      </c>
      <c r="CT33" s="13">
        <f>IF(OR(CS33="",COUNTIF(CS31:CS34,CS33)=1),"",$BX33)</f>
        <v>0</v>
      </c>
      <c r="CU33" s="13">
        <f>IF(CQ33="","",IF(COUNTIF(CS31:CS34,CS33)=1,CS33,CS33+RANK(CT33,CT31:CT34,0)-1))</f>
        <v>1</v>
      </c>
      <c r="CV33" s="13">
        <f>IF(OR(CU33="",COUNTIF(CU31:CU34,CU33)=1),"",$BU33)</f>
        <v>0</v>
      </c>
      <c r="CW33" s="13">
        <f>IF(CQ33="","",IF(COUNTIF(CU31:CU34,CU33)=1,CU33,CU33+RANK(CV33,CV31:CV34,0)-1))</f>
        <v>1</v>
      </c>
      <c r="CX33" s="13">
        <f>IF(CF33&gt;0,BM29+RANK(CW33,CW31:CW34,1),)</f>
        <v>1</v>
      </c>
      <c r="CZ33" s="12">
        <f>IF(CC33=2,BT33,)</f>
        <v>0</v>
      </c>
      <c r="DA33" s="13">
        <f>(SUMIF($AF$4:$AF$108,$BT33,$AZ$4:$AZ$108)+SUMIF($AH$4:$AH$108,$BT33,$BA$4:$BA$108))</f>
        <v>0</v>
      </c>
      <c r="DB33" s="13">
        <f t="shared" si="262"/>
        <v>0</v>
      </c>
      <c r="DC33" s="13">
        <f t="shared" si="263"/>
        <v>0</v>
      </c>
      <c r="DD33" s="13">
        <f t="shared" si="264"/>
        <v>0</v>
      </c>
      <c r="DE33" s="13" t="str">
        <f t="shared" si="265"/>
        <v>D</v>
      </c>
      <c r="DF33" s="13">
        <f>IF(CZ33&gt;0,RANK(DD33,DD31:DD34)+CG29,)</f>
        <v>0</v>
      </c>
      <c r="DG33" s="13">
        <f>IF(AND(CZ33&gt;0,COUNTIF(DF31:DF34,DF33)&gt;1),SUMIFS($AI$4:$AI$108,$AF$4:$AF$108,$BT33,$M$4:$M$108,2)+SUMIFS($AK$4:$AK$108,$AH$4:$AH108,$BT33,$M$4:$M$108,2)-SUMIFS($AK$4:$AK$108,$AF$4:$AF$108,$BT33,$M$4:$M$108,2)-SUMIFS($AI$4:$AI$108,$AH$4:$AH$108,$BT33,$M$4:$M$108,2),)</f>
        <v>0</v>
      </c>
      <c r="DH33" s="13">
        <f>IF(AND(CZ33&gt;0,COUNTIF(DF31:DF34,DF33)&gt;1),DF33+RANK(DG33,DG31:DG34)-1,DF33)</f>
        <v>0</v>
      </c>
      <c r="DI33" s="13">
        <f>IF(AND(CZ33&gt;0,COUNTIF(DH31:DH34,DH33)&gt;1),SUMIFS($AI$4:$AI$108,$AF$4:$AF$108,$BT33,$M$4:$M$108,2)+SUMIFS($AK$4:$AK$108,$AH$4:$AH$108,$BT33,$M$4:$M$108,2),)</f>
        <v>0</v>
      </c>
      <c r="DJ33" s="13">
        <f>IF(AND(CZ33&gt;0,COUNTIF(DH31:DH34,DH33)&gt;1),DH33+RANK(DI33,DI31:DI34)-1,DH33)</f>
        <v>0</v>
      </c>
      <c r="DK33" s="75" t="str">
        <f t="shared" si="266"/>
        <v/>
      </c>
      <c r="DL33" s="75" t="str">
        <f>IF(OR(DK33="",COUNTIF(DK31:DK34,DK33)=1),"",$BZ33)</f>
        <v/>
      </c>
      <c r="DM33" s="75" t="str">
        <f>IF(DK33="","",IF(COUNTIF(DK31:DK34,DK33)=1,DK33,DK33+RANK(DL33,DL31:DL34,0)-1))</f>
        <v/>
      </c>
      <c r="DN33" s="75" t="str">
        <f>IF(OR(DM33="",COUNTIF(DM31:DM34,DM33)=1),"",$BX33)</f>
        <v/>
      </c>
      <c r="DO33" s="75" t="str">
        <f>IF(DK33="","",IF(COUNTIF(DM31:DM34,DM33)=1,DM33,DM33+RANK(DN33,DN31:DN34,0)-1))</f>
        <v/>
      </c>
      <c r="DP33" s="75" t="str">
        <f>IF(OR(DO33="",COUNTIF(DO31:DO34,DO33)=1),"",$BU33)</f>
        <v/>
      </c>
      <c r="DQ33" s="75" t="str">
        <f>IF(DK33="","",IF(COUNTIF(DO31:DO34,DO33)=1,DO33,DO33+RANK(DP33,DP31:DP34,0)-1))</f>
        <v/>
      </c>
      <c r="DR33" s="13">
        <f>IF(CZ33&gt;0,CG29+RANK(DQ33,DQ31:DQ34,1),)</f>
        <v>0</v>
      </c>
      <c r="DT33" s="13">
        <f>IF(CC33=3,BT33,)</f>
        <v>0</v>
      </c>
      <c r="DU33" s="13">
        <f t="shared" si="267"/>
        <v>0</v>
      </c>
      <c r="DV33" s="13">
        <f t="shared" si="268"/>
        <v>0</v>
      </c>
      <c r="DW33" s="13">
        <f t="shared" si="269"/>
        <v>0</v>
      </c>
      <c r="DX33" s="13">
        <f>IFERROR(DU33*3+DV33*1,0)</f>
        <v>0</v>
      </c>
      <c r="DY33" s="13" t="str">
        <f t="shared" si="270"/>
        <v>D</v>
      </c>
      <c r="DZ33" s="13">
        <f>IF(DT33&gt;0,RANK(DX33,DX31:DX34)+CG29+DA29,)</f>
        <v>0</v>
      </c>
      <c r="EA33" s="13">
        <f>IF(AND(DT33&gt;0,COUNTIF(DZ31:DZ34,DZ33)&gt;1),SUMIFS($AI$4:$AI$108,$AF$4:$AF$108,$BT33,$M$4:$M$108,3)+SUMIFS($AK$4:$AK$108,$AH$4:$AH$108,$BT33,$M$4:$M$108,3)-SUMIFS($AK$4:$AK$108,$AF$4:$AF$108,$BT33,$M$4:$M$108,3)-SUMIFS($AI$4:$AI$108,$AH$4:$AH$108,$BT33,$M$4:$M$108,3),)</f>
        <v>0</v>
      </c>
      <c r="EB33" s="13">
        <f>IF(AND(DT33&gt;0,COUNTIF(DZ31:DZ34,DZ33)&gt;1),DZ33+RANK(EA33,EA31:EA34)-1,DZ33)</f>
        <v>0</v>
      </c>
      <c r="EC33" s="13">
        <f>IF(AND(DT33&gt;0,COUNTIF(EB31:EB34,EB33)&gt;1),SUMIFS($AI$4:$AI$108,$AF$4:$AF$108,$BT33,$M$4:$M$108,3)+SUMIFS($AK$4:$AK$108,$AH$4:$AH$108,$BT33,$M$4:$M$108,3),)</f>
        <v>0</v>
      </c>
      <c r="ED33" s="13">
        <f>IF(AND(DT33&gt;0,COUNTIF(EB31:EB34,EB33)&gt;1),EB33+RANK(EC33,EC31:EC34)-1,EB33)</f>
        <v>0</v>
      </c>
      <c r="EE33" s="13" t="str">
        <f t="shared" si="271"/>
        <v/>
      </c>
      <c r="EF33" s="13" t="str">
        <f>IF(OR(EE33="",COUNTIF(EE31:EE34,EE33)=1),"",$BZ33)</f>
        <v/>
      </c>
      <c r="EG33" s="13" t="str">
        <f>IF(EE33="","",IF(COUNTIF(EE31:EE34,EE33)=1,EE33,EE33+RANK(EF33,EF31:EF34,0)-1))</f>
        <v/>
      </c>
      <c r="EH33" s="13" t="str">
        <f>IF(OR(EG33="",COUNTIF(EG31:EG34,EG33)=1),"",$BX33)</f>
        <v/>
      </c>
      <c r="EI33" s="13" t="str">
        <f>IF(EE33="","",IF(COUNTIF(EG31:EG34,EG33)=1,EG33,EG33+RANK(EH33,EH31:EH34,0)-1))</f>
        <v/>
      </c>
      <c r="EJ33" s="13" t="str">
        <f>IF(OR(EI33="",COUNTIF(EI31:EI34,EI33)=1),"",$BU33)</f>
        <v/>
      </c>
      <c r="EK33" s="13" t="str">
        <f>IF(EE33="","",IF(COUNTIF(EI31:EI34,EI33)=1,EI33,EI33+RANK(EJ33,EJ31:EJ34,0)-1))</f>
        <v/>
      </c>
      <c r="EL33" s="13">
        <f>IF(DT33&gt;0,CG29+DA29+RANK(EK33,EK31:EK34,1),)</f>
        <v>0</v>
      </c>
      <c r="EN33" s="13">
        <f>IF(CC33=4,BT33,)</f>
        <v>0</v>
      </c>
      <c r="EO33" s="13">
        <f t="shared" si="272"/>
        <v>0</v>
      </c>
      <c r="EP33" s="13">
        <f t="shared" si="273"/>
        <v>0</v>
      </c>
      <c r="EQ33" s="13">
        <f t="shared" si="274"/>
        <v>0</v>
      </c>
      <c r="ER33" s="13">
        <f t="shared" si="275"/>
        <v>0</v>
      </c>
      <c r="ES33" s="13" t="str">
        <f t="shared" si="276"/>
        <v>D</v>
      </c>
      <c r="ET33" s="13">
        <f>IF(EN33&gt;0,RANK(ER33,ER31:ER34)+CG29+DA29+DU29,)</f>
        <v>0</v>
      </c>
      <c r="EU33" s="13">
        <f>IF(AND(EN33&gt;0,COUNTIF(ET31:ET34,ET33)&gt;1),SUMIFS($AI$4:$AI$108,$AF$4:$AF$108,$BT33,$M$4:$M$108,4)+SUMIFS($AK$4:$AK$108,$AH$4:$AH$108,$BT33,$M$4:$M$108,4)-SUMIFS($AK$4:$AK$108,$AF$4:$AF$108,$BT33,$M$4:$M$108,4)-SUMIFS($AI$4:$AI$108,$AH$4:$AH$108,$BT33,$M$4:$M$108,4),)</f>
        <v>0</v>
      </c>
      <c r="EV33" s="13">
        <f>IF(AND(EN33&gt;0,COUNTIF(ET31:ET34,ET33)&gt;1),ET33+RANK(EU33,EU31:EU34)-1,ET33)</f>
        <v>0</v>
      </c>
      <c r="EW33" s="13">
        <f t="shared" si="277"/>
        <v>0</v>
      </c>
      <c r="EX33" s="13">
        <f>IF(AND(EN33&gt;0,COUNTIF(EV31:EV34,EV33)&gt;1),EV33+RANK(EW33,EW31:EW34)-1,EV33)</f>
        <v>0</v>
      </c>
      <c r="EY33" s="13" t="str">
        <f t="shared" si="278"/>
        <v/>
      </c>
      <c r="EZ33" s="13" t="str">
        <f>IF(OR(EY33="",COUNTIF(EY31:EY34,EY33)=1),"",$BZ33)</f>
        <v/>
      </c>
      <c r="FA33" s="13" t="str">
        <f>IF(EY33="","",IF(COUNTIF(EY31:EY34,EY33)=1,EY33,EY33+RANK(EZ33,EZ31:EZ34,0)-1))</f>
        <v/>
      </c>
      <c r="FB33" s="13" t="str">
        <f>IF(OR(FA33="",COUNTIF(FA31:FA34,FA33)=1),"",$BX33)</f>
        <v/>
      </c>
      <c r="FC33" s="13" t="str">
        <f>IF(EY33="","",IF(COUNTIF(FA31:FA34,FA33)=1,FA33,FA33+RANK(FB33,FB31:FB34,0)-1))</f>
        <v/>
      </c>
      <c r="FD33" s="13" t="str">
        <f>IF(OR(FC33="",COUNTIF(FC31:FC34,FC33)=1),"",$BU33)</f>
        <v/>
      </c>
      <c r="FE33" s="13" t="str">
        <f>IF(EY33="","",IF(COUNTIF(FC31:FC34,FC33)=1,FC33,FC33+RANK(FD33,FD31:FD34,0)-1))</f>
        <v/>
      </c>
      <c r="FF33" s="13">
        <f>IF(EN33&gt;0,CG29+DA29+DU29+RANK(FE33,FE31:FE34,1),)</f>
        <v>0</v>
      </c>
      <c r="FH33" s="13">
        <f>IFERROR(VLOOKUP(FJ33,CF30:CX34,19,FALSE),IFERROR(VLOOKUP(FJ33,CZ30:DR34,19,FALSE),IFERROR(VLOOKUP(FJ33,DT30:EL34,19,FALSE),VLOOKUP(FJ33,EN30:FF34,19,FALSE))))</f>
        <v>1</v>
      </c>
      <c r="FI33" s="13">
        <f>RANK(FH33,FH31:FH34,1)+COUNTIF(FH31:FH33,FH33)-1</f>
        <v>3</v>
      </c>
      <c r="FJ33" s="12" t="str">
        <f>BT33</f>
        <v>Australien</v>
      </c>
      <c r="FZ33" s="79">
        <v>31</v>
      </c>
      <c r="GA33" s="3" t="str">
        <f t="shared" si="72"/>
        <v>EGJCHDIK</v>
      </c>
      <c r="GB33" s="3" t="s">
        <v>59</v>
      </c>
      <c r="GC33" s="3" t="s">
        <v>60</v>
      </c>
      <c r="GD33" s="3" t="s">
        <v>69</v>
      </c>
      <c r="GE33" s="3" t="s">
        <v>75</v>
      </c>
      <c r="GF33" s="3" t="s">
        <v>70</v>
      </c>
      <c r="GG33" s="3" t="s">
        <v>58</v>
      </c>
      <c r="GH33" s="3" t="s">
        <v>61</v>
      </c>
      <c r="GI33" s="3" t="s">
        <v>62</v>
      </c>
      <c r="GJ33" s="9" t="str">
        <f t="shared" si="73"/>
        <v>Elfenbenskusten</v>
      </c>
      <c r="GK33" s="9" t="str">
        <f t="shared" si="73"/>
        <v>Iran</v>
      </c>
      <c r="GL33" s="9" t="str">
        <f t="shared" si="73"/>
        <v>Österrike</v>
      </c>
      <c r="GM33" s="9" t="str">
        <f t="shared" si="73"/>
        <v>Haiti</v>
      </c>
      <c r="GN33" s="9" t="str">
        <f t="shared" si="73"/>
        <v>Saudiarabien</v>
      </c>
      <c r="GO33" s="9" t="str">
        <f t="shared" si="73"/>
        <v>Australien</v>
      </c>
      <c r="GP33" s="9" t="str">
        <f t="shared" si="73"/>
        <v>Irak</v>
      </c>
      <c r="GQ33" s="9" t="str">
        <f t="shared" si="73"/>
        <v>Uzbekistan</v>
      </c>
      <c r="GR33" s="9" t="str">
        <f t="shared" si="75"/>
        <v/>
      </c>
      <c r="GX33" s="79"/>
    </row>
    <row r="34" spans="2:206" ht="14.25" customHeight="1" x14ac:dyDescent="0.25">
      <c r="B34" s="58">
        <v>31</v>
      </c>
      <c r="C34" s="59">
        <v>46193</v>
      </c>
      <c r="D34" s="60" t="s">
        <v>103</v>
      </c>
      <c r="E34" s="61" t="s">
        <v>66</v>
      </c>
      <c r="F34" s="62" t="s">
        <v>101</v>
      </c>
      <c r="G34" s="63"/>
      <c r="H34" s="64" t="s">
        <v>66</v>
      </c>
      <c r="I34" s="63"/>
      <c r="J34" s="65" t="str">
        <f t="shared" si="259"/>
        <v/>
      </c>
      <c r="K34" s="66">
        <f>IF(OR(G34="",I34="",'[1]Resultat &amp; tabell'!G34="",'[1]Resultat &amp; tabell'!I34=""),0,IF(G34='[1]Resultat &amp; tabell'!G34,2,0)+IF(I34='[1]Resultat &amp; tabell'!I34,2,0)+IF(J34='[1]Resultat &amp; tabell'!J34,2,0))</f>
        <v>0</v>
      </c>
      <c r="L34" s="67"/>
      <c r="M34" s="29">
        <f t="shared" si="212"/>
        <v>1</v>
      </c>
      <c r="N34" s="30">
        <v>4</v>
      </c>
      <c r="O34" s="86" t="str">
        <f>VLOOKUP(N34,FI31:FJ34,2,FALSE)</f>
        <v>Turkiet</v>
      </c>
      <c r="P34" s="87">
        <f>VLOOKUP($O34,$BT$31:$CA$34,2,FALSE)</f>
        <v>0</v>
      </c>
      <c r="Q34" s="87">
        <f>VLOOKUP($O34,$BT$31:$CA$34,3,FALSE)</f>
        <v>0</v>
      </c>
      <c r="R34" s="87">
        <f>VLOOKUP($O34,$BT$31:$CA$34,4,FALSE)</f>
        <v>0</v>
      </c>
      <c r="S34" s="87">
        <f>VLOOKUP($O34,$BT$31:$CA$34,5,FALSE)</f>
        <v>0</v>
      </c>
      <c r="T34" s="87">
        <f>VLOOKUP($O34,$BT$31:$CA$34,6,FALSE)</f>
        <v>0</v>
      </c>
      <c r="U34" s="87">
        <f>VLOOKUP($O34,$BT$31:$CA$34,7,FALSE)</f>
        <v>0</v>
      </c>
      <c r="V34" s="82">
        <f>VLOOKUP($O34,$BT$31:$CA$34,8,FALSE)</f>
        <v>0</v>
      </c>
      <c r="X34" s="9"/>
      <c r="Y34" s="9"/>
      <c r="Z34" s="9"/>
      <c r="AA34"/>
      <c r="AB34" s="9"/>
      <c r="AC34" s="108"/>
      <c r="AE34" s="72">
        <f t="shared" si="213"/>
        <v>46193</v>
      </c>
      <c r="AF34" s="72" t="str">
        <f t="shared" si="213"/>
        <v>Turkiet</v>
      </c>
      <c r="AG34" s="72" t="str">
        <f t="shared" si="213"/>
        <v>-</v>
      </c>
      <c r="AH34" s="72" t="str">
        <f t="shared" si="213"/>
        <v>Paraguay</v>
      </c>
      <c r="AI34" s="63" t="str">
        <f t="shared" si="214"/>
        <v/>
      </c>
      <c r="AJ34" s="58" t="str">
        <f t="shared" si="215"/>
        <v>-</v>
      </c>
      <c r="AK34" s="63" t="str">
        <f t="shared" si="216"/>
        <v/>
      </c>
      <c r="AL34" s="65" t="str">
        <f t="shared" si="217"/>
        <v/>
      </c>
      <c r="AM34" s="73"/>
      <c r="AN34" s="13">
        <f t="shared" si="218"/>
        <v>0</v>
      </c>
      <c r="AO34" s="13">
        <f t="shared" si="219"/>
        <v>0</v>
      </c>
      <c r="AP34" s="13">
        <f t="shared" si="220"/>
        <v>0</v>
      </c>
      <c r="AQ34" s="13">
        <f t="shared" si="221"/>
        <v>0</v>
      </c>
      <c r="AR34" s="13">
        <f t="shared" si="222"/>
        <v>0</v>
      </c>
      <c r="AS34" s="13">
        <f t="shared" si="223"/>
        <v>0</v>
      </c>
      <c r="AT34" s="13">
        <f t="shared" si="224"/>
        <v>0</v>
      </c>
      <c r="AU34" s="13">
        <f t="shared" si="225"/>
        <v>0</v>
      </c>
      <c r="AV34" s="13">
        <f t="shared" si="226"/>
        <v>0</v>
      </c>
      <c r="AW34" s="13">
        <f t="shared" si="227"/>
        <v>0</v>
      </c>
      <c r="AX34" s="13">
        <f t="shared" si="228"/>
        <v>0</v>
      </c>
      <c r="AY34" s="13">
        <f t="shared" si="229"/>
        <v>0</v>
      </c>
      <c r="AZ34" s="13">
        <f t="shared" si="230"/>
        <v>0</v>
      </c>
      <c r="BA34" s="13">
        <f t="shared" si="231"/>
        <v>0</v>
      </c>
      <c r="BB34" s="13">
        <f t="shared" si="232"/>
        <v>0</v>
      </c>
      <c r="BC34" s="13">
        <f t="shared" si="233"/>
        <v>0</v>
      </c>
      <c r="BD34" s="13">
        <f t="shared" si="234"/>
        <v>0</v>
      </c>
      <c r="BE34" s="13">
        <f t="shared" si="235"/>
        <v>0</v>
      </c>
      <c r="BF34" s="13">
        <f t="shared" si="236"/>
        <v>0</v>
      </c>
      <c r="BG34" s="13">
        <f t="shared" si="237"/>
        <v>0</v>
      </c>
      <c r="BH34" s="13">
        <f t="shared" si="238"/>
        <v>0</v>
      </c>
      <c r="BI34" s="13">
        <f t="shared" si="239"/>
        <v>0</v>
      </c>
      <c r="BJ34" s="13">
        <f t="shared" si="240"/>
        <v>0</v>
      </c>
      <c r="BK34" s="13">
        <f t="shared" si="241"/>
        <v>0</v>
      </c>
      <c r="BL34" s="13">
        <f t="shared" si="242"/>
        <v>0</v>
      </c>
      <c r="BM34" s="13">
        <f t="shared" si="243"/>
        <v>0</v>
      </c>
      <c r="BN34" s="13">
        <f t="shared" si="244"/>
        <v>0</v>
      </c>
      <c r="BO34" s="13">
        <f t="shared" si="245"/>
        <v>0</v>
      </c>
      <c r="BP34" s="13">
        <f t="shared" si="246"/>
        <v>0</v>
      </c>
      <c r="BQ34" s="13">
        <f t="shared" si="247"/>
        <v>0</v>
      </c>
      <c r="BT34" s="88" t="s">
        <v>103</v>
      </c>
      <c r="BU34" s="13">
        <f t="shared" si="248"/>
        <v>0</v>
      </c>
      <c r="BV34" s="13">
        <f t="shared" si="249"/>
        <v>0</v>
      </c>
      <c r="BW34" s="13">
        <f t="shared" si="250"/>
        <v>0</v>
      </c>
      <c r="BX34" s="13">
        <f t="shared" si="251"/>
        <v>0</v>
      </c>
      <c r="BY34" s="13">
        <f t="shared" si="252"/>
        <v>0</v>
      </c>
      <c r="BZ34" s="13">
        <f t="shared" si="253"/>
        <v>0</v>
      </c>
      <c r="CA34" s="13">
        <f t="shared" si="254"/>
        <v>0</v>
      </c>
      <c r="CB34" s="89" t="s">
        <v>58</v>
      </c>
      <c r="CC34" s="74">
        <f>RANK(CA34,CA31:CA34)</f>
        <v>1</v>
      </c>
      <c r="CD34" s="13">
        <f>SUMPRODUCT((CA31:CA34=CA34)*(BZ31:BZ34&gt;BZ34))</f>
        <v>0</v>
      </c>
      <c r="CF34" s="88" t="str">
        <f>IF(CC34=1,BT34,)</f>
        <v>Turkiet</v>
      </c>
      <c r="CG34" s="13">
        <f t="shared" si="255"/>
        <v>0</v>
      </c>
      <c r="CH34" s="13">
        <f t="shared" si="256"/>
        <v>0</v>
      </c>
      <c r="CI34" s="13">
        <f t="shared" si="257"/>
        <v>0</v>
      </c>
      <c r="CJ34" s="13">
        <f t="shared" si="258"/>
        <v>0</v>
      </c>
      <c r="CK34" s="13" t="str">
        <f t="shared" si="260"/>
        <v>D</v>
      </c>
      <c r="CL34" s="13">
        <f>IF(CF34&gt;0,RANK(CJ34,CJ31:CJ34),)</f>
        <v>1</v>
      </c>
      <c r="CM34" s="13">
        <f>IF(AND(CF34&gt;0,COUNTIF(CL31:CL34,CL34)&gt;1),SUMIFS($AI$4:$AI$108,$AF$4:$AF$108,$BT34,$M$4:$M$108,1)+SUMIFS($AK$4:$AK$108,$AH$4:$AH$108,$BT34,$M$4:$M$108,1)-SUMIFS($AK$4:$AK$108,$AF$4:$AF$108,$BT34,$M$4:$M$108,1)-SUMIFS($AI$4:$AI$108,$AH$4:$AH$108,$BT34,$M$4:$M$108,1),)</f>
        <v>0</v>
      </c>
      <c r="CN34" s="13">
        <f>IF(AND(CF34&gt;0,COUNTIF(CL31:CL34,CL34)&gt;1),CL34+RANK(CM34,CM31:CM34)-1,CL34)</f>
        <v>1</v>
      </c>
      <c r="CO34" s="13">
        <f>IF(AND(CF34&gt;0,COUNTIF(CN31:CN34,CN34)&gt;1),SUMIFS($AI$4:$AI$108,$AF$4:$AF$108,$BT34,$M$4:$M$108,1)+SUMIFS($AK$4:$AK$108,$AH$4:$AH$108,$BT34,$M$4:$M$108,1),)</f>
        <v>0</v>
      </c>
      <c r="CP34" s="13">
        <f>IF(AND(CF34&gt;0,COUNTIF(CN31:CN34,CN34)&gt;1),CN34+RANK(CO34,CO31:CO34)-1,CN34)</f>
        <v>1</v>
      </c>
      <c r="CQ34" s="13">
        <f t="shared" si="261"/>
        <v>1</v>
      </c>
      <c r="CR34" s="13">
        <f>IF(OR(CQ34="",COUNTIF(CQ31:CQ34,CQ34)=1),"",$BZ34)</f>
        <v>0</v>
      </c>
      <c r="CS34" s="13">
        <f>IF(CQ34="","",IF(COUNTIF(CQ31:CQ34,CQ34)=1,CQ34,CQ34+RANK(CR34,CR31:CR34,0)-1))</f>
        <v>1</v>
      </c>
      <c r="CT34" s="13">
        <f>IF(OR(CS34="",COUNTIF(CS31:CS34,CS34)=1),"",$BX34)</f>
        <v>0</v>
      </c>
      <c r="CU34" s="13">
        <f>IF(CQ34="","",IF(COUNTIF(CS31:CS34,CS34)=1,CS34,CS34+RANK(CT34,CT31:CT34,0)-1))</f>
        <v>1</v>
      </c>
      <c r="CV34" s="13">
        <f>IF(OR(CU34="",COUNTIF(CU31:CU34,CU34)=1),"",$BU34)</f>
        <v>0</v>
      </c>
      <c r="CW34" s="13">
        <f>IF(CQ34="","",IF(COUNTIF(CU31:CU34,CU34)=1,CU34,CU34+RANK(CV34,CV31:CV34,0)-1))</f>
        <v>1</v>
      </c>
      <c r="CX34" s="13">
        <f>IF(CF34&gt;0,BM29+RANK(CW34,CW31:CW34,1),)</f>
        <v>1</v>
      </c>
      <c r="CZ34" s="88">
        <f>IF(CC34=2,BT34,)</f>
        <v>0</v>
      </c>
      <c r="DA34" s="13">
        <f>(SUMIF($AF$4:$AF$108,$BT34,$AZ$4:$AZ$108)+SUMIF($AH$4:$AH$108,$BT34,$BA$4:$BA$108))</f>
        <v>0</v>
      </c>
      <c r="DB34" s="13">
        <f t="shared" si="262"/>
        <v>0</v>
      </c>
      <c r="DC34" s="13">
        <f t="shared" si="263"/>
        <v>0</v>
      </c>
      <c r="DD34" s="13">
        <f t="shared" si="264"/>
        <v>0</v>
      </c>
      <c r="DE34" s="13" t="str">
        <f t="shared" si="265"/>
        <v>D</v>
      </c>
      <c r="DF34" s="13">
        <f>IF(CZ34&gt;0,RANK(DD34,DD31:DD34)+CG29,)</f>
        <v>0</v>
      </c>
      <c r="DG34" s="13">
        <f>IF(AND(CZ34&gt;0,COUNTIF(DF31:DF34,DF34)&gt;1),SUMIFS($AI$4:$AI$108,$AF$4:$AF$108,$BT34,$M$4:$M$108,2)+SUMIFS($AK$4:$AK$108,$AH$4:$AH108,$BT34,$M$4:$M$108,2)-SUMIFS($AK$4:$AK$108,$AF$4:$AF$108,$BT34,$M$4:$M$108,2)-SUMIFS($AI$4:$AI$108,$AH$4:$AH$108,$BT34,$M$4:$M$108,2),)</f>
        <v>0</v>
      </c>
      <c r="DH34" s="13">
        <f>IF(AND(CZ34&gt;0,COUNTIF(DF31:DF34,DF34)&gt;1),DF34+RANK(DG34,DG31:DG34)-1,DF34)</f>
        <v>0</v>
      </c>
      <c r="DI34" s="13">
        <f>IF(AND(CZ34&gt;0,COUNTIF(DH31:DH34,DH34)&gt;1),SUMIFS($AI$4:$AI$108,$AF$4:$AF$108,$BT34,$M$4:$M$108,2)+SUMIFS($AK$4:$AK$108,$AH$4:$AH$108,$BT34,$M$4:$M$108,2),)</f>
        <v>0</v>
      </c>
      <c r="DJ34" s="13">
        <f>IF(AND(CZ34&gt;0,COUNTIF(DH31:DH34,DH34)&gt;1),DH34+RANK(DI34,DI31:DI34)-1,DH34)</f>
        <v>0</v>
      </c>
      <c r="DK34" s="75" t="str">
        <f t="shared" si="266"/>
        <v/>
      </c>
      <c r="DL34" s="75" t="str">
        <f>IF(OR(DK34="",COUNTIF(DK31:DK34,DK34)=1),"",$BZ34)</f>
        <v/>
      </c>
      <c r="DM34" s="75" t="str">
        <f>IF(DK34="","",IF(COUNTIF(DK31:DK34,DK34)=1,DK34,DK34+RANK(DL34,DL31:DL34,0)-1))</f>
        <v/>
      </c>
      <c r="DN34" s="75" t="str">
        <f>IF(OR(DM34="",COUNTIF(DM31:DM34,DM34)=1),"",$BX34)</f>
        <v/>
      </c>
      <c r="DO34" s="75" t="str">
        <f>IF(DK34="","",IF(COUNTIF(DM31:DM34,DM34)=1,DM34,DM34+RANK(DN34,DN31:DN34,0)-1))</f>
        <v/>
      </c>
      <c r="DP34" s="75" t="str">
        <f>IF(OR(DO34="",COUNTIF(DO31:DO34,DO34)=1),"",$BU34)</f>
        <v/>
      </c>
      <c r="DQ34" s="75" t="str">
        <f>IF(DK34="","",IF(COUNTIF(DO31:DO34,DO34)=1,DO34,DO34+RANK(DP34,DP31:DP34,0)-1))</f>
        <v/>
      </c>
      <c r="DR34" s="13">
        <f>IF(CZ34&gt;0,CG29+RANK(DQ34,DQ31:DQ34,1),)</f>
        <v>0</v>
      </c>
      <c r="DT34" s="89">
        <f>IF(CC34=3,BT34,)</f>
        <v>0</v>
      </c>
      <c r="DU34" s="13">
        <f t="shared" si="267"/>
        <v>0</v>
      </c>
      <c r="DV34" s="13">
        <f t="shared" si="268"/>
        <v>0</v>
      </c>
      <c r="DW34" s="13">
        <f t="shared" si="269"/>
        <v>0</v>
      </c>
      <c r="DX34" s="13">
        <f>IFERROR(DU34*3+DV34*1,0)</f>
        <v>0</v>
      </c>
      <c r="DY34" s="13" t="str">
        <f t="shared" si="270"/>
        <v>D</v>
      </c>
      <c r="DZ34" s="13">
        <f>IF(DT34&gt;0,RANK(DX34,DX31:DX34)+CG29+DA29,)</f>
        <v>0</v>
      </c>
      <c r="EA34" s="13">
        <f>IF(AND(DT34&gt;0,COUNTIF(DZ31:DZ34,DZ34)&gt;1),SUMIFS($AI$4:$AI$108,$AF$4:$AF$108,$BT34,$M$4:$M$108,3)+SUMIFS($AK$4:$AK$108,$AH$4:$AH$108,$BT34,$M$4:$M$108,3)-SUMIFS($AK$4:$AK$108,$AF$4:$AF$108,$BT34,$M$4:$M$108,3)-SUMIFS($AI$4:$AI$108,$AH$4:$AH$108,$BT34,$M$4:$M$108,3),)</f>
        <v>0</v>
      </c>
      <c r="EB34" s="13">
        <f>IF(AND(DT34&gt;0,COUNTIF(DZ31:DZ34,DZ34)&gt;1),DZ34+RANK(EA34,EA31:EA34)-1,DZ34)</f>
        <v>0</v>
      </c>
      <c r="EC34" s="13">
        <f>IF(AND(DT34&gt;0,COUNTIF(EB31:EB34,EB34)&gt;1),SUMIFS($AI$4:$AI$108,$AF$4:$AF$108,$BT34,$M$4:$M$108,3)+SUMIFS($AK$4:$AK$108,$AH$4:$AH$108,$BT34,$M$4:$M$108,3),)</f>
        <v>0</v>
      </c>
      <c r="ED34" s="13">
        <f>IF(AND(DT34&gt;0,COUNTIF(EB31:EB34,EB34)&gt;1),EB34+RANK(EC34,EC31:EC34)-1,EB34)</f>
        <v>0</v>
      </c>
      <c r="EE34" s="13" t="str">
        <f t="shared" si="271"/>
        <v/>
      </c>
      <c r="EF34" s="13" t="str">
        <f>IF(OR(EE34="",COUNTIF(EE31:EE34,EE34)=1),"",$BZ34)</f>
        <v/>
      </c>
      <c r="EG34" s="13" t="str">
        <f>IF(EE34="","",IF(COUNTIF(EE31:EE34,EE34)=1,EE34,EE34+RANK(EF34,EF31:EF34,0)-1))</f>
        <v/>
      </c>
      <c r="EH34" s="13" t="str">
        <f>IF(OR(EG34="",COUNTIF(EG31:EG34,EG34)=1),"",$BX34)</f>
        <v/>
      </c>
      <c r="EI34" s="13" t="str">
        <f>IF(EE34="","",IF(COUNTIF(EG31:EG34,EG34)=1,EG34,EG34+RANK(EH34,EH31:EH34,0)-1))</f>
        <v/>
      </c>
      <c r="EJ34" s="13" t="str">
        <f>IF(OR(EI34="",COUNTIF(EI31:EI34,EI34)=1),"",$BU34)</f>
        <v/>
      </c>
      <c r="EK34" s="13" t="str">
        <f>IF(EE34="","",IF(COUNTIF(EI31:EI34,EI34)=1,EI34,EI34+RANK(EJ34,EJ31:EJ34,0)-1))</f>
        <v/>
      </c>
      <c r="EL34" s="13">
        <f>IF(DT34&gt;0,CG29+DA29+RANK(EK34,EK31:EK34,1),)</f>
        <v>0</v>
      </c>
      <c r="EN34" s="13">
        <f>IF(CC34=4,BT34,)</f>
        <v>0</v>
      </c>
      <c r="EO34" s="13">
        <f t="shared" si="272"/>
        <v>0</v>
      </c>
      <c r="EP34" s="13">
        <f t="shared" si="273"/>
        <v>0</v>
      </c>
      <c r="EQ34" s="13">
        <f t="shared" si="274"/>
        <v>0</v>
      </c>
      <c r="ER34" s="13">
        <f t="shared" si="275"/>
        <v>0</v>
      </c>
      <c r="ES34" s="13" t="str">
        <f t="shared" si="276"/>
        <v>D</v>
      </c>
      <c r="ET34" s="13">
        <f>IF(EN34&gt;0,RANK(ER34,ER31:ER34)+CG29+DA29+DU29,)</f>
        <v>0</v>
      </c>
      <c r="EU34" s="13">
        <f>IF(AND(EN34&gt;0,COUNTIF(ET31:ET34,ET34)&gt;1),SUMIFS($AI$4:$AI$108,$AF$4:$AF$108,$BT34,$M$4:$M$108,4)+SUMIFS($AK$4:$AK$108,$AH$4:$AH$108,$BT34,$M$4:$M$108,4)-SUMIFS($AK$4:$AK$108,$AF$4:$AF$108,$BT34,$M$4:$M$108,4)-SUMIFS($AI$4:$AI$108,$AH$4:$AH$108,$BT34,$M$4:$M$108,4),)</f>
        <v>0</v>
      </c>
      <c r="EV34" s="13">
        <f>IF(AND(EN34&gt;0,COUNTIF(ET31:ET34,ET34)&gt;1),ET34+RANK(EU34,EU31:EU34)-1,ET34)</f>
        <v>0</v>
      </c>
      <c r="EW34" s="13">
        <f t="shared" si="277"/>
        <v>0</v>
      </c>
      <c r="EX34" s="13">
        <f>IF(AND(EN34&gt;0,COUNTIF(EV31:EV34,EV34)&gt;1),EV34+RANK(EW34,EW31:EW34)-1,EV34)</f>
        <v>0</v>
      </c>
      <c r="EY34" s="13" t="str">
        <f t="shared" si="278"/>
        <v/>
      </c>
      <c r="EZ34" s="13" t="str">
        <f>IF(OR(EY34="",COUNTIF(EY31:EY34,EY34)=1),"",$BZ34)</f>
        <v/>
      </c>
      <c r="FA34" s="13" t="str">
        <f>IF(EY34="","",IF(COUNTIF(EY31:EY34,EY34)=1,EY34,EY34+RANK(EZ34,EZ31:EZ34,0)-1))</f>
        <v/>
      </c>
      <c r="FB34" s="13" t="str">
        <f>IF(OR(FA34="",COUNTIF(FA31:FA34,FA34)=1),"",$BX34)</f>
        <v/>
      </c>
      <c r="FC34" s="13" t="str">
        <f>IF(EY34="","",IF(COUNTIF(FA31:FA34,FA34)=1,FA34,FA34+RANK(FB34,FB31:FB34,0)-1))</f>
        <v/>
      </c>
      <c r="FD34" s="13" t="str">
        <f>IF(OR(FC34="",COUNTIF(FC31:FC34,FC34)=1),"",$BU34)</f>
        <v/>
      </c>
      <c r="FE34" s="13" t="str">
        <f>IF(EY34="","",IF(COUNTIF(FC31:FC34,FC34)=1,FC34,FC34+RANK(FD34,FD31:FD34,0)-1))</f>
        <v/>
      </c>
      <c r="FF34" s="13">
        <f>IF(EN34&gt;0,CG29+DA29+DU29+RANK(FE34,FE31:FE34,1),)</f>
        <v>0</v>
      </c>
      <c r="FH34" s="13">
        <f>IFERROR(VLOOKUP(FJ34,CF30:CX34,19,FALSE),IFERROR(VLOOKUP(FJ34,CZ30:DR34,19,FALSE),IFERROR(VLOOKUP(FJ34,DT30:EL34,19,FALSE),VLOOKUP(FJ34,EN30:FF34,19,FALSE))))</f>
        <v>1</v>
      </c>
      <c r="FI34" s="13">
        <f>RANK(FH34,FH31:FH34,1)+COUNTIF(FH31:FH34,FH34)-1</f>
        <v>4</v>
      </c>
      <c r="FJ34" s="12" t="str">
        <f>BT34</f>
        <v>Turkiet</v>
      </c>
      <c r="FZ34" s="79">
        <v>32</v>
      </c>
      <c r="GA34" s="3" t="str">
        <f t="shared" si="72"/>
        <v>CJEDIFLK</v>
      </c>
      <c r="GB34" s="3" t="s">
        <v>75</v>
      </c>
      <c r="GC34" s="3" t="s">
        <v>69</v>
      </c>
      <c r="GD34" s="3" t="s">
        <v>59</v>
      </c>
      <c r="GE34" s="3" t="s">
        <v>58</v>
      </c>
      <c r="GF34" s="3" t="s">
        <v>61</v>
      </c>
      <c r="GG34" s="3" t="s">
        <v>21</v>
      </c>
      <c r="GH34" s="3" t="s">
        <v>63</v>
      </c>
      <c r="GI34" s="3" t="s">
        <v>62</v>
      </c>
      <c r="GJ34" s="9" t="str">
        <f t="shared" si="73"/>
        <v>Haiti</v>
      </c>
      <c r="GK34" s="9" t="str">
        <f t="shared" si="73"/>
        <v>Österrike</v>
      </c>
      <c r="GL34" s="9" t="str">
        <f t="shared" si="73"/>
        <v>Elfenbenskusten</v>
      </c>
      <c r="GM34" s="9" t="str">
        <f t="shared" si="73"/>
        <v>Australien</v>
      </c>
      <c r="GN34" s="9" t="str">
        <f t="shared" si="73"/>
        <v>Irak</v>
      </c>
      <c r="GO34" s="9" t="str">
        <f t="shared" si="73"/>
        <v>Sverige</v>
      </c>
      <c r="GP34" s="9" t="str">
        <f t="shared" si="73"/>
        <v>Ghana</v>
      </c>
      <c r="GQ34" s="9" t="str">
        <f t="shared" si="73"/>
        <v>Uzbekistan</v>
      </c>
      <c r="GR34" s="9" t="str">
        <f t="shared" si="75"/>
        <v/>
      </c>
      <c r="GX34" s="79"/>
    </row>
    <row r="35" spans="2:206" ht="14.25" customHeight="1" x14ac:dyDescent="0.25">
      <c r="B35" s="58">
        <v>59</v>
      </c>
      <c r="C35" s="59">
        <v>46199</v>
      </c>
      <c r="D35" s="60" t="s">
        <v>103</v>
      </c>
      <c r="E35" s="61" t="s">
        <v>66</v>
      </c>
      <c r="F35" s="62" t="s">
        <v>100</v>
      </c>
      <c r="G35" s="63"/>
      <c r="H35" s="64" t="s">
        <v>66</v>
      </c>
      <c r="I35" s="63"/>
      <c r="J35" s="65" t="str">
        <f t="shared" si="259"/>
        <v/>
      </c>
      <c r="K35" s="66">
        <f>IF(OR(G35="",I35="",'[1]Resultat &amp; tabell'!G35="",'[1]Resultat &amp; tabell'!I35=""),0,IF(G35='[1]Resultat &amp; tabell'!G35,2,0)+IF(I35='[1]Resultat &amp; tabell'!I35,2,0)+IF(J35='[1]Resultat &amp; tabell'!J35,2,0))</f>
        <v>0</v>
      </c>
      <c r="L35" s="67"/>
      <c r="M35" s="29">
        <f t="shared" si="212"/>
        <v>1</v>
      </c>
      <c r="O35" s="91" t="str">
        <f>IF(COUNTBLANK(G31:G36)+COUNTBLANK(I31:I36)=0,"Resultat OK","Fyll i resultat")</f>
        <v>Fyll i resultat</v>
      </c>
      <c r="P35" s="92"/>
      <c r="Q35" s="92"/>
      <c r="R35" s="92"/>
      <c r="S35" s="92"/>
      <c r="T35" s="92"/>
      <c r="U35" s="92"/>
      <c r="V35" s="3"/>
      <c r="X35" s="9"/>
      <c r="Y35" s="9"/>
      <c r="Z35" s="9"/>
      <c r="AA35" s="9"/>
      <c r="AB35" s="9"/>
      <c r="AC35" s="108"/>
      <c r="AE35" s="72">
        <f t="shared" si="213"/>
        <v>46199</v>
      </c>
      <c r="AF35" s="72" t="str">
        <f t="shared" si="213"/>
        <v>Turkiet</v>
      </c>
      <c r="AG35" s="72" t="str">
        <f t="shared" si="213"/>
        <v>-</v>
      </c>
      <c r="AH35" s="72" t="str">
        <f t="shared" si="213"/>
        <v>USA</v>
      </c>
      <c r="AI35" s="63" t="str">
        <f t="shared" si="214"/>
        <v/>
      </c>
      <c r="AJ35" s="58" t="str">
        <f t="shared" si="215"/>
        <v>-</v>
      </c>
      <c r="AK35" s="63" t="str">
        <f t="shared" si="216"/>
        <v/>
      </c>
      <c r="AL35" s="65" t="str">
        <f t="shared" si="217"/>
        <v/>
      </c>
      <c r="AM35" s="73"/>
      <c r="AN35" s="13">
        <f t="shared" si="218"/>
        <v>0</v>
      </c>
      <c r="AO35" s="13">
        <f t="shared" si="219"/>
        <v>0</v>
      </c>
      <c r="AP35" s="13">
        <f t="shared" si="220"/>
        <v>0</v>
      </c>
      <c r="AQ35" s="13">
        <f t="shared" si="221"/>
        <v>0</v>
      </c>
      <c r="AR35" s="13">
        <f t="shared" si="222"/>
        <v>0</v>
      </c>
      <c r="AS35" s="13">
        <f t="shared" si="223"/>
        <v>0</v>
      </c>
      <c r="AT35" s="13">
        <f t="shared" si="224"/>
        <v>0</v>
      </c>
      <c r="AU35" s="13">
        <f t="shared" si="225"/>
        <v>0</v>
      </c>
      <c r="AV35" s="13">
        <f t="shared" si="226"/>
        <v>0</v>
      </c>
      <c r="AW35" s="13">
        <f t="shared" si="227"/>
        <v>0</v>
      </c>
      <c r="AX35" s="13">
        <f t="shared" si="228"/>
        <v>0</v>
      </c>
      <c r="AY35" s="13">
        <f t="shared" si="229"/>
        <v>0</v>
      </c>
      <c r="AZ35" s="13">
        <f t="shared" si="230"/>
        <v>0</v>
      </c>
      <c r="BA35" s="13">
        <f t="shared" si="231"/>
        <v>0</v>
      </c>
      <c r="BB35" s="13">
        <f t="shared" si="232"/>
        <v>0</v>
      </c>
      <c r="BC35" s="13">
        <f t="shared" si="233"/>
        <v>0</v>
      </c>
      <c r="BD35" s="13">
        <f t="shared" si="234"/>
        <v>0</v>
      </c>
      <c r="BE35" s="13">
        <f t="shared" si="235"/>
        <v>0</v>
      </c>
      <c r="BF35" s="13">
        <f t="shared" si="236"/>
        <v>0</v>
      </c>
      <c r="BG35" s="13">
        <f t="shared" si="237"/>
        <v>0</v>
      </c>
      <c r="BH35" s="13">
        <f t="shared" si="238"/>
        <v>0</v>
      </c>
      <c r="BI35" s="13">
        <f t="shared" si="239"/>
        <v>0</v>
      </c>
      <c r="BJ35" s="13">
        <f t="shared" si="240"/>
        <v>0</v>
      </c>
      <c r="BK35" s="13">
        <f t="shared" si="241"/>
        <v>0</v>
      </c>
      <c r="BL35" s="13">
        <f t="shared" si="242"/>
        <v>0</v>
      </c>
      <c r="BM35" s="13">
        <f t="shared" si="243"/>
        <v>0</v>
      </c>
      <c r="BN35" s="13">
        <f t="shared" si="244"/>
        <v>0</v>
      </c>
      <c r="BO35" s="13">
        <f t="shared" si="245"/>
        <v>0</v>
      </c>
      <c r="BP35" s="13">
        <f t="shared" si="246"/>
        <v>0</v>
      </c>
      <c r="BQ35" s="13">
        <f t="shared" si="247"/>
        <v>0</v>
      </c>
      <c r="FZ35" s="79">
        <v>33</v>
      </c>
      <c r="GA35" s="3" t="str">
        <f t="shared" si="72"/>
        <v>CJEDHFLK</v>
      </c>
      <c r="GB35" s="3" t="s">
        <v>75</v>
      </c>
      <c r="GC35" s="3" t="s">
        <v>69</v>
      </c>
      <c r="GD35" s="3" t="s">
        <v>59</v>
      </c>
      <c r="GE35" s="3" t="s">
        <v>58</v>
      </c>
      <c r="GF35" s="3" t="s">
        <v>70</v>
      </c>
      <c r="GG35" s="3" t="s">
        <v>21</v>
      </c>
      <c r="GH35" s="3" t="s">
        <v>63</v>
      </c>
      <c r="GI35" s="3" t="s">
        <v>62</v>
      </c>
      <c r="GJ35" s="9" t="str">
        <f t="shared" si="73"/>
        <v>Haiti</v>
      </c>
      <c r="GK35" s="9" t="str">
        <f t="shared" si="73"/>
        <v>Österrike</v>
      </c>
      <c r="GL35" s="9" t="str">
        <f t="shared" si="73"/>
        <v>Elfenbenskusten</v>
      </c>
      <c r="GM35" s="9" t="str">
        <f t="shared" si="73"/>
        <v>Australien</v>
      </c>
      <c r="GN35" s="9" t="str">
        <f t="shared" si="73"/>
        <v>Saudiarabien</v>
      </c>
      <c r="GO35" s="9" t="str">
        <f t="shared" si="73"/>
        <v>Sverige</v>
      </c>
      <c r="GP35" s="9" t="str">
        <f t="shared" si="73"/>
        <v>Ghana</v>
      </c>
      <c r="GQ35" s="9" t="str">
        <f t="shared" si="73"/>
        <v>Uzbekistan</v>
      </c>
      <c r="GR35" s="9" t="str">
        <f t="shared" si="75"/>
        <v/>
      </c>
      <c r="GX35" s="79"/>
    </row>
    <row r="36" spans="2:206" ht="14.25" customHeight="1" x14ac:dyDescent="0.25">
      <c r="B36" s="58">
        <v>60</v>
      </c>
      <c r="C36" s="59">
        <v>46199</v>
      </c>
      <c r="D36" s="60" t="s">
        <v>101</v>
      </c>
      <c r="E36" s="61" t="s">
        <v>66</v>
      </c>
      <c r="F36" s="62" t="s">
        <v>102</v>
      </c>
      <c r="G36" s="63"/>
      <c r="H36" s="64" t="s">
        <v>66</v>
      </c>
      <c r="I36" s="63"/>
      <c r="J36" s="65" t="str">
        <f t="shared" si="259"/>
        <v/>
      </c>
      <c r="K36" s="66">
        <f>IF(OR(G36="",I36="",'[1]Resultat &amp; tabell'!G36="",'[1]Resultat &amp; tabell'!I36=""),0,IF(G36='[1]Resultat &amp; tabell'!G36,2,0)+IF(I36='[1]Resultat &amp; tabell'!I36,2,0)+IF(J36='[1]Resultat &amp; tabell'!J36,2,0))</f>
        <v>0</v>
      </c>
      <c r="L36" s="67"/>
      <c r="M36" s="29">
        <f t="shared" si="212"/>
        <v>1</v>
      </c>
      <c r="V36" s="3"/>
      <c r="X36" s="9"/>
      <c r="Y36" s="9"/>
      <c r="Z36" s="9"/>
      <c r="AA36" s="9"/>
      <c r="AB36"/>
      <c r="AC36"/>
      <c r="AE36" s="72">
        <f t="shared" si="213"/>
        <v>46199</v>
      </c>
      <c r="AF36" s="72" t="str">
        <f t="shared" si="213"/>
        <v>Paraguay</v>
      </c>
      <c r="AG36" s="72" t="str">
        <f t="shared" si="213"/>
        <v>-</v>
      </c>
      <c r="AH36" s="72" t="str">
        <f t="shared" si="213"/>
        <v>Australien</v>
      </c>
      <c r="AI36" s="63" t="str">
        <f t="shared" si="214"/>
        <v/>
      </c>
      <c r="AJ36" s="58" t="str">
        <f t="shared" si="215"/>
        <v>-</v>
      </c>
      <c r="AK36" s="63" t="str">
        <f t="shared" si="216"/>
        <v/>
      </c>
      <c r="AL36" s="65" t="str">
        <f t="shared" si="217"/>
        <v/>
      </c>
      <c r="AM36" s="73"/>
      <c r="AN36" s="13">
        <f t="shared" si="218"/>
        <v>0</v>
      </c>
      <c r="AO36" s="13">
        <f t="shared" si="219"/>
        <v>0</v>
      </c>
      <c r="AP36" s="13">
        <f t="shared" si="220"/>
        <v>0</v>
      </c>
      <c r="AQ36" s="13">
        <f t="shared" si="221"/>
        <v>0</v>
      </c>
      <c r="AR36" s="13">
        <f t="shared" si="222"/>
        <v>0</v>
      </c>
      <c r="AS36" s="13">
        <f t="shared" si="223"/>
        <v>0</v>
      </c>
      <c r="AT36" s="13">
        <f t="shared" si="224"/>
        <v>0</v>
      </c>
      <c r="AU36" s="13">
        <f t="shared" si="225"/>
        <v>0</v>
      </c>
      <c r="AV36" s="13">
        <f t="shared" si="226"/>
        <v>0</v>
      </c>
      <c r="AW36" s="13">
        <f t="shared" si="227"/>
        <v>0</v>
      </c>
      <c r="AX36" s="13">
        <f t="shared" si="228"/>
        <v>0</v>
      </c>
      <c r="AY36" s="13">
        <f t="shared" si="229"/>
        <v>0</v>
      </c>
      <c r="AZ36" s="13">
        <f t="shared" si="230"/>
        <v>0</v>
      </c>
      <c r="BA36" s="13">
        <f t="shared" si="231"/>
        <v>0</v>
      </c>
      <c r="BB36" s="13">
        <f t="shared" si="232"/>
        <v>0</v>
      </c>
      <c r="BC36" s="13">
        <f t="shared" si="233"/>
        <v>0</v>
      </c>
      <c r="BD36" s="13">
        <f t="shared" si="234"/>
        <v>0</v>
      </c>
      <c r="BE36" s="13">
        <f t="shared" si="235"/>
        <v>0</v>
      </c>
      <c r="BF36" s="13">
        <f t="shared" si="236"/>
        <v>0</v>
      </c>
      <c r="BG36" s="13">
        <f t="shared" si="237"/>
        <v>0</v>
      </c>
      <c r="BH36" s="13">
        <f t="shared" si="238"/>
        <v>0</v>
      </c>
      <c r="BI36" s="13">
        <f t="shared" si="239"/>
        <v>0</v>
      </c>
      <c r="BJ36" s="13">
        <f t="shared" si="240"/>
        <v>0</v>
      </c>
      <c r="BK36" s="13">
        <f t="shared" si="241"/>
        <v>0</v>
      </c>
      <c r="BL36" s="13">
        <f t="shared" si="242"/>
        <v>0</v>
      </c>
      <c r="BM36" s="13">
        <f t="shared" si="243"/>
        <v>0</v>
      </c>
      <c r="BN36" s="13">
        <f t="shared" si="244"/>
        <v>0</v>
      </c>
      <c r="BO36" s="13">
        <f t="shared" si="245"/>
        <v>0</v>
      </c>
      <c r="BP36" s="13">
        <f t="shared" si="246"/>
        <v>0</v>
      </c>
      <c r="BQ36" s="13">
        <f t="shared" si="247"/>
        <v>0</v>
      </c>
      <c r="FZ36" s="79">
        <v>34</v>
      </c>
      <c r="GA36" s="3" t="str">
        <f t="shared" si="72"/>
        <v>CEIDHFLK</v>
      </c>
      <c r="GB36" s="3" t="s">
        <v>75</v>
      </c>
      <c r="GC36" s="3" t="s">
        <v>59</v>
      </c>
      <c r="GD36" s="3" t="s">
        <v>61</v>
      </c>
      <c r="GE36" s="3" t="s">
        <v>58</v>
      </c>
      <c r="GF36" s="3" t="s">
        <v>70</v>
      </c>
      <c r="GG36" s="3" t="s">
        <v>21</v>
      </c>
      <c r="GH36" s="3" t="s">
        <v>63</v>
      </c>
      <c r="GI36" s="3" t="s">
        <v>62</v>
      </c>
      <c r="GJ36" s="9" t="str">
        <f t="shared" si="73"/>
        <v>Haiti</v>
      </c>
      <c r="GK36" s="9" t="str">
        <f t="shared" si="73"/>
        <v>Elfenbenskusten</v>
      </c>
      <c r="GL36" s="9" t="str">
        <f t="shared" si="73"/>
        <v>Irak</v>
      </c>
      <c r="GM36" s="9" t="str">
        <f t="shared" si="73"/>
        <v>Australien</v>
      </c>
      <c r="GN36" s="9" t="str">
        <f t="shared" si="73"/>
        <v>Saudiarabien</v>
      </c>
      <c r="GO36" s="9" t="str">
        <f t="shared" si="73"/>
        <v>Sverige</v>
      </c>
      <c r="GP36" s="9" t="str">
        <f t="shared" si="73"/>
        <v>Ghana</v>
      </c>
      <c r="GQ36" s="9" t="str">
        <f t="shared" si="73"/>
        <v>Uzbekistan</v>
      </c>
      <c r="GR36" s="9" t="str">
        <f t="shared" si="75"/>
        <v/>
      </c>
      <c r="GX36" s="79"/>
    </row>
    <row r="37" spans="2:206" ht="14.25" customHeight="1" x14ac:dyDescent="0.25">
      <c r="C37" s="94"/>
      <c r="J37" s="23"/>
      <c r="K37" s="16"/>
      <c r="L37" s="49"/>
      <c r="V37" s="3"/>
      <c r="X37" s="9"/>
      <c r="Y37" s="9"/>
      <c r="Z37" s="9"/>
      <c r="AA37" s="9"/>
      <c r="AB37" s="9"/>
      <c r="AC37" s="108"/>
      <c r="AE37" s="130"/>
      <c r="AF37" s="131"/>
      <c r="AG37" s="125"/>
      <c r="AI37" s="3" t="str">
        <f>IF(B37="","",B37)</f>
        <v/>
      </c>
      <c r="AL37" s="23"/>
      <c r="AM37" s="16"/>
      <c r="FZ37" s="79">
        <v>35</v>
      </c>
      <c r="GA37" s="3" t="str">
        <f t="shared" si="72"/>
        <v>CJEDHFLI</v>
      </c>
      <c r="GB37" s="3" t="s">
        <v>75</v>
      </c>
      <c r="GC37" s="3" t="s">
        <v>69</v>
      </c>
      <c r="GD37" s="3" t="s">
        <v>59</v>
      </c>
      <c r="GE37" s="3" t="s">
        <v>58</v>
      </c>
      <c r="GF37" s="3" t="s">
        <v>70</v>
      </c>
      <c r="GG37" s="3" t="s">
        <v>21</v>
      </c>
      <c r="GH37" s="3" t="s">
        <v>63</v>
      </c>
      <c r="GI37" s="3" t="s">
        <v>61</v>
      </c>
      <c r="GJ37" s="9" t="str">
        <f t="shared" si="73"/>
        <v>Haiti</v>
      </c>
      <c r="GK37" s="9" t="str">
        <f t="shared" si="73"/>
        <v>Österrike</v>
      </c>
      <c r="GL37" s="9" t="str">
        <f t="shared" si="73"/>
        <v>Elfenbenskusten</v>
      </c>
      <c r="GM37" s="9" t="str">
        <f t="shared" si="73"/>
        <v>Australien</v>
      </c>
      <c r="GN37" s="9" t="str">
        <f t="shared" si="73"/>
        <v>Saudiarabien</v>
      </c>
      <c r="GO37" s="9" t="str">
        <f t="shared" si="73"/>
        <v>Sverige</v>
      </c>
      <c r="GP37" s="9" t="str">
        <f t="shared" si="73"/>
        <v>Ghana</v>
      </c>
      <c r="GQ37" s="9" t="str">
        <f t="shared" si="73"/>
        <v>Irak</v>
      </c>
      <c r="GR37" s="9" t="str">
        <f t="shared" si="75"/>
        <v/>
      </c>
      <c r="GX37" s="79"/>
    </row>
    <row r="38" spans="2:206" s="104" customFormat="1" ht="14.25" customHeight="1" x14ac:dyDescent="0.25">
      <c r="B38" s="19" t="s">
        <v>104</v>
      </c>
      <c r="C38" s="97"/>
      <c r="D38" s="98"/>
      <c r="E38" s="33"/>
      <c r="F38" s="98"/>
      <c r="G38" s="25"/>
      <c r="H38" s="25"/>
      <c r="I38" s="25"/>
      <c r="J38" s="23"/>
      <c r="K38" s="16"/>
      <c r="L38" s="49"/>
      <c r="M38" s="103"/>
      <c r="N38" s="103"/>
      <c r="O38" s="19" t="s">
        <v>104</v>
      </c>
      <c r="V38" s="33"/>
      <c r="X38" s="33"/>
      <c r="Y38" s="33"/>
      <c r="Z38" s="33"/>
      <c r="AA38" s="33"/>
      <c r="AB38" s="132"/>
      <c r="AC38" s="133"/>
      <c r="AE38" s="32" t="s">
        <v>104</v>
      </c>
      <c r="AF38" s="9"/>
      <c r="AG38" s="9"/>
      <c r="AH38" s="9"/>
      <c r="AI38" s="33"/>
      <c r="AJ38" s="33"/>
      <c r="AK38" s="33"/>
      <c r="AL38" s="23"/>
      <c r="AM38" s="16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2"/>
      <c r="BS38" s="12"/>
      <c r="BT38" s="39" t="s">
        <v>4</v>
      </c>
      <c r="BU38" s="34"/>
      <c r="BV38" s="34"/>
      <c r="BW38" s="34"/>
      <c r="BX38" s="34"/>
      <c r="BY38" s="34"/>
      <c r="BZ38" s="34"/>
      <c r="CA38" s="34"/>
      <c r="CB38" s="39"/>
      <c r="CC38" s="34"/>
      <c r="CD38" s="34"/>
      <c r="CE38" s="12"/>
      <c r="CF38" s="40" t="s">
        <v>5</v>
      </c>
      <c r="CG38" s="35">
        <f>COUNTIF(CC40:CC43,1)</f>
        <v>4</v>
      </c>
      <c r="CH38" s="35"/>
      <c r="CI38" s="35"/>
      <c r="CJ38" s="35"/>
      <c r="CK38" s="35"/>
      <c r="CL38" s="35"/>
      <c r="CM38" s="35"/>
      <c r="CN38" s="35"/>
      <c r="CO38" s="35"/>
      <c r="CP38" s="35"/>
      <c r="CQ38" s="13"/>
      <c r="CR38" s="13"/>
      <c r="CS38" s="13"/>
      <c r="CT38" s="13"/>
      <c r="CU38" s="13"/>
      <c r="CV38" s="13"/>
      <c r="CW38" s="13"/>
      <c r="CX38" s="13"/>
      <c r="CY38" s="12"/>
      <c r="CZ38" s="41" t="s">
        <v>8</v>
      </c>
      <c r="DA38" s="36">
        <f>COUNTIF(CC40:CC43,2)</f>
        <v>0</v>
      </c>
      <c r="DB38" s="36"/>
      <c r="DC38" s="36"/>
      <c r="DD38" s="36"/>
      <c r="DE38" s="36"/>
      <c r="DF38" s="36"/>
      <c r="DG38" s="36"/>
      <c r="DH38" s="36"/>
      <c r="DI38" s="36"/>
      <c r="DJ38" s="41"/>
      <c r="DK38" s="12"/>
      <c r="DL38" s="12"/>
      <c r="DM38" s="12"/>
      <c r="DN38" s="12"/>
      <c r="DO38" s="12"/>
      <c r="DP38" s="12"/>
      <c r="DQ38" s="12"/>
      <c r="DR38" s="12"/>
      <c r="DS38" s="12"/>
      <c r="DT38" s="37" t="s">
        <v>6</v>
      </c>
      <c r="DU38" s="37">
        <f>COUNTIF(CC40:CC43,3)</f>
        <v>0</v>
      </c>
      <c r="DV38" s="37"/>
      <c r="DW38" s="37"/>
      <c r="DX38" s="37"/>
      <c r="DY38" s="37"/>
      <c r="DZ38" s="37"/>
      <c r="EA38" s="37"/>
      <c r="EB38" s="37"/>
      <c r="EC38" s="37"/>
      <c r="ED38" s="37"/>
      <c r="EE38" s="13"/>
      <c r="EF38" s="13"/>
      <c r="EG38" s="13"/>
      <c r="EH38" s="13"/>
      <c r="EI38" s="13"/>
      <c r="EJ38" s="13"/>
      <c r="EK38" s="13"/>
      <c r="EL38" s="13"/>
      <c r="EM38" s="12"/>
      <c r="EN38" s="38" t="s">
        <v>7</v>
      </c>
      <c r="EO38" s="38">
        <f>COUNTIF(CC40:CC43,4)</f>
        <v>0</v>
      </c>
      <c r="EP38" s="38"/>
      <c r="EQ38" s="38"/>
      <c r="ER38" s="38"/>
      <c r="ES38" s="38"/>
      <c r="ET38" s="38"/>
      <c r="EU38" s="38"/>
      <c r="EV38" s="38"/>
      <c r="EW38" s="38"/>
      <c r="EX38" s="38"/>
      <c r="EY38" s="13"/>
      <c r="EZ38" s="13"/>
      <c r="FA38" s="13"/>
      <c r="FB38" s="13"/>
      <c r="FC38" s="13"/>
      <c r="FD38" s="13"/>
      <c r="FE38" s="13"/>
      <c r="FF38" s="13"/>
      <c r="FG38" s="12"/>
      <c r="FH38" s="13"/>
      <c r="FI38" s="13"/>
      <c r="FJ38" s="12"/>
      <c r="FZ38" s="79">
        <v>36</v>
      </c>
      <c r="GA38" s="3" t="str">
        <f t="shared" si="72"/>
        <v>CJEDHFIK</v>
      </c>
      <c r="GB38" s="3" t="s">
        <v>75</v>
      </c>
      <c r="GC38" s="3" t="s">
        <v>69</v>
      </c>
      <c r="GD38" s="3" t="s">
        <v>59</v>
      </c>
      <c r="GE38" s="3" t="s">
        <v>58</v>
      </c>
      <c r="GF38" s="3" t="s">
        <v>70</v>
      </c>
      <c r="GG38" s="3" t="s">
        <v>21</v>
      </c>
      <c r="GH38" s="3" t="s">
        <v>61</v>
      </c>
      <c r="GI38" s="3" t="s">
        <v>62</v>
      </c>
      <c r="GJ38" s="9" t="str">
        <f t="shared" si="73"/>
        <v>Haiti</v>
      </c>
      <c r="GK38" s="9" t="str">
        <f t="shared" si="73"/>
        <v>Österrike</v>
      </c>
      <c r="GL38" s="9" t="str">
        <f t="shared" si="73"/>
        <v>Elfenbenskusten</v>
      </c>
      <c r="GM38" s="9" t="str">
        <f t="shared" si="73"/>
        <v>Australien</v>
      </c>
      <c r="GN38" s="9" t="str">
        <f t="shared" si="73"/>
        <v>Saudiarabien</v>
      </c>
      <c r="GO38" s="9" t="str">
        <f t="shared" si="73"/>
        <v>Sverige</v>
      </c>
      <c r="GP38" s="9" t="str">
        <f t="shared" si="73"/>
        <v>Irak</v>
      </c>
      <c r="GQ38" s="9" t="str">
        <f t="shared" si="73"/>
        <v>Uzbekistan</v>
      </c>
      <c r="GR38" s="9" t="str">
        <f t="shared" si="75"/>
        <v/>
      </c>
      <c r="GX38" s="23"/>
    </row>
    <row r="39" spans="2:206" s="104" customFormat="1" ht="14.25" customHeight="1" x14ac:dyDescent="0.25">
      <c r="B39" s="117" t="s">
        <v>12</v>
      </c>
      <c r="C39" s="107" t="s">
        <v>13</v>
      </c>
      <c r="D39" s="181" t="s">
        <v>12</v>
      </c>
      <c r="E39" s="182"/>
      <c r="F39" s="183"/>
      <c r="G39" s="184" t="s">
        <v>14</v>
      </c>
      <c r="H39" s="184"/>
      <c r="I39" s="184"/>
      <c r="J39" s="47" t="s">
        <v>15</v>
      </c>
      <c r="K39" s="48" t="s">
        <v>16</v>
      </c>
      <c r="L39" s="49"/>
      <c r="M39" s="103"/>
      <c r="N39" s="103"/>
      <c r="O39" s="51" t="s">
        <v>18</v>
      </c>
      <c r="P39" s="52" t="s">
        <v>19</v>
      </c>
      <c r="Q39" s="52" t="s">
        <v>20</v>
      </c>
      <c r="R39" s="52" t="s">
        <v>21</v>
      </c>
      <c r="S39" s="52" t="s">
        <v>22</v>
      </c>
      <c r="T39" s="52" t="s">
        <v>23</v>
      </c>
      <c r="U39" s="52" t="s">
        <v>24</v>
      </c>
      <c r="V39" s="53" t="s">
        <v>25</v>
      </c>
      <c r="X39" s="19"/>
      <c r="Y39" s="33"/>
      <c r="Z39" s="33"/>
      <c r="AA39" s="33"/>
      <c r="AB39" s="132"/>
      <c r="AC39" s="133"/>
      <c r="AE39" s="51" t="s">
        <v>13</v>
      </c>
      <c r="AF39" s="193" t="s">
        <v>12</v>
      </c>
      <c r="AG39" s="193"/>
      <c r="AH39" s="193"/>
      <c r="AI39" s="182" t="s">
        <v>14</v>
      </c>
      <c r="AJ39" s="182"/>
      <c r="AK39" s="182"/>
      <c r="AL39" s="47" t="s">
        <v>28</v>
      </c>
      <c r="AM39" s="16"/>
      <c r="AN39" s="34" t="s">
        <v>29</v>
      </c>
      <c r="AO39" s="34" t="s">
        <v>30</v>
      </c>
      <c r="AP39" s="34" t="s">
        <v>31</v>
      </c>
      <c r="AQ39" s="34" t="s">
        <v>32</v>
      </c>
      <c r="AR39" s="34" t="s">
        <v>33</v>
      </c>
      <c r="AS39" s="34" t="s">
        <v>34</v>
      </c>
      <c r="AT39" s="35" t="s">
        <v>29</v>
      </c>
      <c r="AU39" s="35" t="s">
        <v>30</v>
      </c>
      <c r="AV39" s="35" t="s">
        <v>31</v>
      </c>
      <c r="AW39" s="35" t="s">
        <v>32</v>
      </c>
      <c r="AX39" s="35" t="s">
        <v>33</v>
      </c>
      <c r="AY39" s="35" t="s">
        <v>34</v>
      </c>
      <c r="AZ39" s="36" t="s">
        <v>29</v>
      </c>
      <c r="BA39" s="36" t="s">
        <v>30</v>
      </c>
      <c r="BB39" s="36" t="s">
        <v>31</v>
      </c>
      <c r="BC39" s="36" t="s">
        <v>32</v>
      </c>
      <c r="BD39" s="36" t="s">
        <v>33</v>
      </c>
      <c r="BE39" s="36" t="s">
        <v>34</v>
      </c>
      <c r="BF39" s="37" t="s">
        <v>29</v>
      </c>
      <c r="BG39" s="37" t="s">
        <v>30</v>
      </c>
      <c r="BH39" s="37" t="s">
        <v>31</v>
      </c>
      <c r="BI39" s="37" t="s">
        <v>32</v>
      </c>
      <c r="BJ39" s="37" t="s">
        <v>33</v>
      </c>
      <c r="BK39" s="37" t="s">
        <v>34</v>
      </c>
      <c r="BL39" s="38" t="s">
        <v>29</v>
      </c>
      <c r="BM39" s="38" t="s">
        <v>30</v>
      </c>
      <c r="BN39" s="38" t="s">
        <v>31</v>
      </c>
      <c r="BO39" s="38" t="s">
        <v>32</v>
      </c>
      <c r="BP39" s="38" t="s">
        <v>33</v>
      </c>
      <c r="BQ39" s="38" t="s">
        <v>34</v>
      </c>
      <c r="BR39" s="12"/>
      <c r="BS39" s="12"/>
      <c r="BT39" s="39" t="s">
        <v>18</v>
      </c>
      <c r="BU39" s="34" t="s">
        <v>19</v>
      </c>
      <c r="BV39" s="34" t="s">
        <v>20</v>
      </c>
      <c r="BW39" s="34" t="s">
        <v>21</v>
      </c>
      <c r="BX39" s="34" t="s">
        <v>22</v>
      </c>
      <c r="BY39" s="34" t="s">
        <v>23</v>
      </c>
      <c r="BZ39" s="34" t="s">
        <v>24</v>
      </c>
      <c r="CA39" s="34" t="s">
        <v>25</v>
      </c>
      <c r="CB39" s="39" t="s">
        <v>35</v>
      </c>
      <c r="CC39" s="34" t="s">
        <v>36</v>
      </c>
      <c r="CD39" s="34" t="s">
        <v>37</v>
      </c>
      <c r="CE39" s="12"/>
      <c r="CF39" s="40" t="s">
        <v>18</v>
      </c>
      <c r="CG39" s="35" t="s">
        <v>19</v>
      </c>
      <c r="CH39" s="35" t="s">
        <v>20</v>
      </c>
      <c r="CI39" s="35" t="s">
        <v>21</v>
      </c>
      <c r="CJ39" s="35" t="s">
        <v>25</v>
      </c>
      <c r="CK39" s="35" t="s">
        <v>35</v>
      </c>
      <c r="CL39" s="35" t="s">
        <v>36</v>
      </c>
      <c r="CM39" s="56" t="s">
        <v>24</v>
      </c>
      <c r="CN39" s="56" t="s">
        <v>38</v>
      </c>
      <c r="CO39" s="56" t="s">
        <v>22</v>
      </c>
      <c r="CP39" s="56" t="s">
        <v>39</v>
      </c>
      <c r="CQ39" s="35" t="s">
        <v>40</v>
      </c>
      <c r="CR39" s="56" t="s">
        <v>41</v>
      </c>
      <c r="CS39" s="56" t="s">
        <v>42</v>
      </c>
      <c r="CT39" s="56" t="s">
        <v>43</v>
      </c>
      <c r="CU39" s="56" t="s">
        <v>44</v>
      </c>
      <c r="CV39" s="56" t="s">
        <v>45</v>
      </c>
      <c r="CW39" s="56" t="s">
        <v>46</v>
      </c>
      <c r="CX39" s="35" t="s">
        <v>47</v>
      </c>
      <c r="CY39" s="12"/>
      <c r="CZ39" s="41" t="s">
        <v>18</v>
      </c>
      <c r="DA39" s="36" t="s">
        <v>19</v>
      </c>
      <c r="DB39" s="36" t="s">
        <v>20</v>
      </c>
      <c r="DC39" s="36" t="s">
        <v>21</v>
      </c>
      <c r="DD39" s="36" t="s">
        <v>25</v>
      </c>
      <c r="DE39" s="36" t="s">
        <v>35</v>
      </c>
      <c r="DF39" s="36" t="s">
        <v>36</v>
      </c>
      <c r="DG39" s="36" t="s">
        <v>24</v>
      </c>
      <c r="DH39" s="36" t="s">
        <v>38</v>
      </c>
      <c r="DI39" s="36" t="s">
        <v>22</v>
      </c>
      <c r="DJ39" s="41" t="s">
        <v>39</v>
      </c>
      <c r="DK39" s="41" t="s">
        <v>40</v>
      </c>
      <c r="DL39" s="41" t="s">
        <v>41</v>
      </c>
      <c r="DM39" s="41" t="s">
        <v>42</v>
      </c>
      <c r="DN39" s="41" t="s">
        <v>43</v>
      </c>
      <c r="DO39" s="41" t="s">
        <v>44</v>
      </c>
      <c r="DP39" s="41" t="s">
        <v>45</v>
      </c>
      <c r="DQ39" s="41" t="s">
        <v>46</v>
      </c>
      <c r="DR39" s="41" t="s">
        <v>47</v>
      </c>
      <c r="DS39" s="12"/>
      <c r="DT39" s="37" t="s">
        <v>18</v>
      </c>
      <c r="DU39" s="37" t="s">
        <v>19</v>
      </c>
      <c r="DV39" s="37" t="s">
        <v>20</v>
      </c>
      <c r="DW39" s="37" t="s">
        <v>21</v>
      </c>
      <c r="DX39" s="37" t="s">
        <v>25</v>
      </c>
      <c r="DY39" s="37" t="s">
        <v>35</v>
      </c>
      <c r="DZ39" s="37" t="s">
        <v>36</v>
      </c>
      <c r="EA39" s="37" t="s">
        <v>24</v>
      </c>
      <c r="EB39" s="37" t="s">
        <v>38</v>
      </c>
      <c r="EC39" s="37" t="s">
        <v>22</v>
      </c>
      <c r="ED39" s="37" t="s">
        <v>39</v>
      </c>
      <c r="EE39" s="37" t="s">
        <v>40</v>
      </c>
      <c r="EF39" s="37" t="s">
        <v>41</v>
      </c>
      <c r="EG39" s="37" t="s">
        <v>42</v>
      </c>
      <c r="EH39" s="37" t="s">
        <v>43</v>
      </c>
      <c r="EI39" s="37" t="s">
        <v>44</v>
      </c>
      <c r="EJ39" s="37" t="s">
        <v>45</v>
      </c>
      <c r="EK39" s="37" t="s">
        <v>46</v>
      </c>
      <c r="EL39" s="37" t="s">
        <v>47</v>
      </c>
      <c r="EM39" s="12"/>
      <c r="EN39" s="38" t="s">
        <v>18</v>
      </c>
      <c r="EO39" s="38" t="s">
        <v>19</v>
      </c>
      <c r="EP39" s="38" t="s">
        <v>20</v>
      </c>
      <c r="EQ39" s="38" t="s">
        <v>21</v>
      </c>
      <c r="ER39" s="38" t="s">
        <v>25</v>
      </c>
      <c r="ES39" s="38" t="s">
        <v>35</v>
      </c>
      <c r="ET39" s="38" t="s">
        <v>36</v>
      </c>
      <c r="EU39" s="38" t="s">
        <v>24</v>
      </c>
      <c r="EV39" s="38" t="s">
        <v>38</v>
      </c>
      <c r="EW39" s="38" t="s">
        <v>22</v>
      </c>
      <c r="EX39" s="38" t="s">
        <v>39</v>
      </c>
      <c r="EY39" s="38" t="s">
        <v>40</v>
      </c>
      <c r="EZ39" s="38" t="s">
        <v>41</v>
      </c>
      <c r="FA39" s="38" t="s">
        <v>42</v>
      </c>
      <c r="FB39" s="38" t="s">
        <v>43</v>
      </c>
      <c r="FC39" s="38" t="s">
        <v>44</v>
      </c>
      <c r="FD39" s="38" t="s">
        <v>45</v>
      </c>
      <c r="FE39" s="38" t="s">
        <v>46</v>
      </c>
      <c r="FF39" s="38" t="s">
        <v>47</v>
      </c>
      <c r="FG39" s="12"/>
      <c r="FH39" s="38" t="s">
        <v>48</v>
      </c>
      <c r="FI39" s="38" t="s">
        <v>49</v>
      </c>
      <c r="FJ39" s="12"/>
      <c r="FZ39" s="79">
        <v>37</v>
      </c>
      <c r="GA39" s="3" t="str">
        <f t="shared" si="72"/>
        <v>CGEDJFLK</v>
      </c>
      <c r="GB39" s="3" t="s">
        <v>75</v>
      </c>
      <c r="GC39" s="3" t="s">
        <v>60</v>
      </c>
      <c r="GD39" s="3" t="s">
        <v>59</v>
      </c>
      <c r="GE39" s="3" t="s">
        <v>58</v>
      </c>
      <c r="GF39" s="3" t="s">
        <v>69</v>
      </c>
      <c r="GG39" s="3" t="s">
        <v>21</v>
      </c>
      <c r="GH39" s="3" t="s">
        <v>63</v>
      </c>
      <c r="GI39" s="3" t="s">
        <v>62</v>
      </c>
      <c r="GJ39" s="9" t="str">
        <f t="shared" si="73"/>
        <v>Haiti</v>
      </c>
      <c r="GK39" s="9" t="str">
        <f t="shared" si="73"/>
        <v>Iran</v>
      </c>
      <c r="GL39" s="9" t="str">
        <f t="shared" si="73"/>
        <v>Elfenbenskusten</v>
      </c>
      <c r="GM39" s="9" t="str">
        <f t="shared" si="73"/>
        <v>Australien</v>
      </c>
      <c r="GN39" s="9" t="str">
        <f t="shared" si="73"/>
        <v>Österrike</v>
      </c>
      <c r="GO39" s="9" t="str">
        <f t="shared" si="73"/>
        <v>Sverige</v>
      </c>
      <c r="GP39" s="9" t="str">
        <f t="shared" si="73"/>
        <v>Ghana</v>
      </c>
      <c r="GQ39" s="9" t="str">
        <f t="shared" si="73"/>
        <v>Uzbekistan</v>
      </c>
      <c r="GR39" s="9" t="str">
        <f t="shared" si="75"/>
        <v/>
      </c>
      <c r="GX39" s="23"/>
    </row>
    <row r="40" spans="2:206" ht="14.25" customHeight="1" x14ac:dyDescent="0.25">
      <c r="B40" s="58">
        <v>10</v>
      </c>
      <c r="C40" s="59">
        <v>46187</v>
      </c>
      <c r="D40" s="60" t="s">
        <v>105</v>
      </c>
      <c r="E40" s="61" t="s">
        <v>66</v>
      </c>
      <c r="F40" s="62" t="s">
        <v>106</v>
      </c>
      <c r="G40" s="63"/>
      <c r="H40" s="64" t="s">
        <v>66</v>
      </c>
      <c r="I40" s="63"/>
      <c r="J40" s="65" t="str">
        <f>IF(OR(ISBLANK(G40),ISBLANK(I40)),"",IF(G40&gt;I40,1,IF(G40&lt;I40,2,"X")))</f>
        <v/>
      </c>
      <c r="K40" s="66">
        <f>IF(OR(G40="",I40="",'[1]Resultat &amp; tabell'!G40="",'[1]Resultat &amp; tabell'!I40=""),0,IF(G40='[1]Resultat &amp; tabell'!G40,2,0)+IF(I40='[1]Resultat &amp; tabell'!I40,2,0)+IF(J40='[1]Resultat &amp; tabell'!J40,2,0))</f>
        <v>0</v>
      </c>
      <c r="L40" s="67"/>
      <c r="M40" s="29">
        <f t="shared" ref="M40:M45" si="279">IF(VLOOKUP(D40,$BT$39:$CC$43,10,FALSE)=VLOOKUP(F40,$BT$39:$CC$43,10,FALSE),VLOOKUP(D40,$BT$39:$CC$43,10,FALSE),"-")</f>
        <v>1</v>
      </c>
      <c r="N40" s="30">
        <v>1</v>
      </c>
      <c r="O40" s="68" t="str">
        <f>VLOOKUP(N40,FI40:FJ43,2,FALSE)</f>
        <v>Tyskland</v>
      </c>
      <c r="P40" s="69">
        <f>VLOOKUP($O40,$BT$40:$CA$43,2,FALSE)</f>
        <v>0</v>
      </c>
      <c r="Q40" s="69">
        <f>VLOOKUP($O40,$BT$40:$CA$43,3,FALSE)</f>
        <v>0</v>
      </c>
      <c r="R40" s="69">
        <f>VLOOKUP($O40,$BT$40:$CA$43,4,FALSE)</f>
        <v>0</v>
      </c>
      <c r="S40" s="69">
        <f>VLOOKUP($O40,$BT$40:$CA$43,5,FALSE)</f>
        <v>0</v>
      </c>
      <c r="T40" s="69">
        <f>VLOOKUP($O40,$BT$40:$CA$43,6,FALSE)</f>
        <v>0</v>
      </c>
      <c r="U40" s="69">
        <f>VLOOKUP($O40,$BT$40:$CA$43,7,FALSE)</f>
        <v>0</v>
      </c>
      <c r="V40" s="70">
        <f>VLOOKUP($O40,$BT$40:$CA$43,8,FALSE)</f>
        <v>0</v>
      </c>
      <c r="X40" s="1"/>
      <c r="Z40"/>
      <c r="AE40" s="72">
        <f t="shared" ref="AE40:AH45" si="280">C40</f>
        <v>46187</v>
      </c>
      <c r="AF40" s="72" t="str">
        <f t="shared" si="280"/>
        <v>Tyskland</v>
      </c>
      <c r="AG40" s="72" t="str">
        <f t="shared" si="280"/>
        <v>-</v>
      </c>
      <c r="AH40" s="72" t="str">
        <f t="shared" si="280"/>
        <v>Curaçao</v>
      </c>
      <c r="AI40" s="63" t="str">
        <f t="shared" ref="AI40:AI45" si="281">IF(G40="","",G40)</f>
        <v/>
      </c>
      <c r="AJ40" s="58" t="str">
        <f t="shared" ref="AJ40:AJ45" si="282">H40</f>
        <v>-</v>
      </c>
      <c r="AK40" s="63" t="str">
        <f t="shared" ref="AK40:AK45" si="283">IF(I40="","",I40)</f>
        <v/>
      </c>
      <c r="AL40" s="65" t="str">
        <f t="shared" ref="AL40:AL45" si="284">J40</f>
        <v/>
      </c>
      <c r="AM40" s="73"/>
      <c r="AN40" s="13">
        <f t="shared" ref="AN40:AN45" si="285">IF(AI40&gt;AK40,1,0)</f>
        <v>0</v>
      </c>
      <c r="AO40" s="13">
        <f t="shared" ref="AO40:AO45" si="286">IF(AK40&gt;AI40,1,0)</f>
        <v>0</v>
      </c>
      <c r="AP40" s="13">
        <f t="shared" ref="AP40:AP45" si="287">IF(AND(AI40=AK40,AI40&lt;&gt;""),1,0)</f>
        <v>0</v>
      </c>
      <c r="AQ40" s="13">
        <f t="shared" ref="AQ40:AQ45" si="288">IF(AND(AI40=AK40,AI40&lt;&gt;""),1,0)</f>
        <v>0</v>
      </c>
      <c r="AR40" s="13">
        <f t="shared" ref="AR40:AR45" si="289">IF(AI40&lt;AK40,1,0)</f>
        <v>0</v>
      </c>
      <c r="AS40" s="13">
        <f t="shared" ref="AS40:AS45" si="290">IF(AK40&lt;AI40,1,)</f>
        <v>0</v>
      </c>
      <c r="AT40" s="13">
        <f t="shared" ref="AT40:AT45" si="291">IF(ISERROR(VLOOKUP(AF40,CF:CF,1,FALSE)),0,1)*IF(ISERROR(VLOOKUP(AH40,CF:CF,1,FALSE)),0,1)*AN40</f>
        <v>0</v>
      </c>
      <c r="AU40" s="13">
        <f t="shared" ref="AU40:AU45" si="292">IF(ISERROR(VLOOKUP(AF40,CF:CF,1,FALSE)),0,1)*IF(ISERROR(VLOOKUP(AH40,CF:CF,1,FALSE)),0,1)*AO40</f>
        <v>0</v>
      </c>
      <c r="AV40" s="13">
        <f t="shared" ref="AV40:AV45" si="293">IF(ISERROR(VLOOKUP(AF40,CF:CF,1,FALSE)),0,1)*IF(ISERROR(VLOOKUP(AH40,CF:CF,1,FALSE)),0,1)*AP40</f>
        <v>0</v>
      </c>
      <c r="AW40" s="13">
        <f t="shared" ref="AW40:AW45" si="294">IF(ISERROR(VLOOKUP(AF40,CF:CF,1,FALSE)),0,1)*IF(ISERROR(VLOOKUP(AH40,CF:CF,1,FALSE)),0,1)*AQ40</f>
        <v>0</v>
      </c>
      <c r="AX40" s="13">
        <f t="shared" ref="AX40:AX45" si="295">IF(ISERROR(VLOOKUP(AF40,CF:CF,1,FALSE)),0,1)*IF(ISERROR(VLOOKUP(AH40,CF:CF,1,FALSE)),0,1)*AR40</f>
        <v>0</v>
      </c>
      <c r="AY40" s="13">
        <f t="shared" ref="AY40:AY45" si="296">IF(ISERROR(VLOOKUP(AF40,CF:CF,1,FALSE)),0,1)*IF(ISERROR(VLOOKUP(AH40,CF:CF,1,FALSE)),0,1)*AS40</f>
        <v>0</v>
      </c>
      <c r="AZ40" s="13">
        <f t="shared" ref="AZ40:AZ45" si="297">IF(ISERROR(VLOOKUP(AF40,CZ:CZ,1,FALSE)),0,1)*IF(ISERROR(VLOOKUP(AH40,CZ:CZ,1,FALSE)),0,1)*AN40</f>
        <v>0</v>
      </c>
      <c r="BA40" s="13">
        <f t="shared" ref="BA40:BA45" si="298">IF(ISERROR(VLOOKUP(AF40,CZ:CZ,1,FALSE)),0,1)*IF(ISERROR(VLOOKUP(AH40,CZ:CZ,1,FALSE)),0,1)*AO40</f>
        <v>0</v>
      </c>
      <c r="BB40" s="13">
        <f t="shared" ref="BB40:BB45" si="299">IF(ISERROR(VLOOKUP(AF40,CZ:CZ,1,FALSE)),0,1)*IF(ISERROR(VLOOKUP(AH40,CZ:CZ,1,FALSE)),0,1)*AP40</f>
        <v>0</v>
      </c>
      <c r="BC40" s="13">
        <f t="shared" ref="BC40:BC45" si="300">IF(ISERROR(VLOOKUP(AF40,CZ:CZ,1,FALSE)),0,1)*IF(ISERROR(VLOOKUP(AH40,CZ:CZ,1,FALSE)),0,1)*AQ40</f>
        <v>0</v>
      </c>
      <c r="BD40" s="13">
        <f t="shared" ref="BD40:BD45" si="301">IF(ISERROR(VLOOKUP(AF40,CZ:CZ,1,FALSE)),0,1)*IF(ISERROR(VLOOKUP(AH40,CZ:CZ,1,FALSE)),0,1)*AR40</f>
        <v>0</v>
      </c>
      <c r="BE40" s="13">
        <f t="shared" ref="BE40:BE45" si="302">IF(ISERROR(VLOOKUP(AF40,CZ:CZ,1,FALSE)),0,1)*IF(ISERROR(VLOOKUP(AH40,CZ:CZ,1,FALSE)),0,1)*AS40</f>
        <v>0</v>
      </c>
      <c r="BF40" s="13">
        <f t="shared" ref="BF40:BF45" si="303">IF(ISERROR(VLOOKUP(AF40,DT:DT,1,FALSE)),0,1)*IF(ISERROR(VLOOKUP(AH40,DT:DT,1,FALSE)),0,1)*AN40</f>
        <v>0</v>
      </c>
      <c r="BG40" s="13">
        <f t="shared" ref="BG40:BG45" si="304">IF(ISERROR(VLOOKUP(AF40,DT:DT,1,FALSE)),0,1)*IF(ISERROR(VLOOKUP(AH40,DT:DT,1,FALSE)),0,1)*AO40</f>
        <v>0</v>
      </c>
      <c r="BH40" s="13">
        <f t="shared" ref="BH40:BH45" si="305">IF(ISERROR(VLOOKUP(AF40,DT:DT,1,FALSE)),0,1)*IF(ISERROR(VLOOKUP(AH40,DT:DT,1,FALSE)),0,1)*AP40</f>
        <v>0</v>
      </c>
      <c r="BI40" s="13">
        <f t="shared" ref="BI40:BI45" si="306">IF(ISERROR(VLOOKUP(AF40,DT:DT,1,FALSE)),0,1)*IF(ISERROR(VLOOKUP(AH40,DT:DT,1,FALSE)),0,1)*AQ40</f>
        <v>0</v>
      </c>
      <c r="BJ40" s="13">
        <f t="shared" ref="BJ40:BJ45" si="307">IF(ISERROR(VLOOKUP(AF40,DT:DT,1,FALSE)),0,1)*IF(ISERROR(VLOOKUP(AH40,DT:DT,1,FALSE)),0,1)*AR40</f>
        <v>0</v>
      </c>
      <c r="BK40" s="13">
        <f t="shared" ref="BK40:BK45" si="308">IF(ISERROR(VLOOKUP(AF40,DT:DT,1,FALSE)),0,1)*IF(ISERROR(VLOOKUP(AH40,DT:DT,1,FALSE)),0,1)*AS40</f>
        <v>0</v>
      </c>
      <c r="BL40" s="13">
        <f t="shared" ref="BL40:BL45" si="309">IF(ISERROR(VLOOKUP(AF40,EN:EN,1,FALSE)),0,1)*IF(ISERROR(VLOOKUP(AH40,EN:EN,1,FALSE)),0,1)*AN40</f>
        <v>0</v>
      </c>
      <c r="BM40" s="13">
        <f t="shared" ref="BM40:BM45" si="310">IF(ISERROR(VLOOKUP(AF40,EN:EN,1,FALSE)),0,1)*IF(ISERROR(VLOOKUP(AH40,EN:EN,1,FALSE)),0,1)*AO40</f>
        <v>0</v>
      </c>
      <c r="BN40" s="13">
        <f t="shared" ref="BN40:BN45" si="311">IF(ISERROR(VLOOKUP(AF40,EN:EN,1,FALSE)),0,1)*IF(ISERROR(VLOOKUP(AH40,EN:EN,1,FALSE)),0,1)*AP40</f>
        <v>0</v>
      </c>
      <c r="BO40" s="13">
        <f t="shared" ref="BO40:BO45" si="312">IF(ISERROR(VLOOKUP(AF40,EN:EN,1,FALSE)),0,1)*IF(ISERROR(VLOOKUP(AH40,EN:EN,1,FALSE)),0,1)*AQ40</f>
        <v>0</v>
      </c>
      <c r="BP40" s="13">
        <f t="shared" ref="BP40:BP45" si="313">IF(ISERROR(VLOOKUP(AF40,EN:EN,1,FALSE)),0,1)*IF(ISERROR(VLOOKUP(AH40,EN:EN,1,FALSE)),0,1)*AR40</f>
        <v>0</v>
      </c>
      <c r="BQ40" s="13">
        <f t="shared" ref="BQ40:BQ45" si="314">IF(ISERROR(VLOOKUP(AF40,EN:EN,1,FALSE)),0,1)*IF(ISERROR(VLOOKUP(AH40,EN:EN,1,FALSE)),0,1)*AS40</f>
        <v>0</v>
      </c>
      <c r="BT40" s="12" t="s">
        <v>105</v>
      </c>
      <c r="BU40" s="13">
        <f t="shared" ref="BU40:BU43" si="315">(SUMIF(AF$4:AF$108,BT40,AN$4:AN$108)+SUMIF(AH$4:AH$108,BT40,AO$4:AO$108))</f>
        <v>0</v>
      </c>
      <c r="BV40" s="13">
        <f t="shared" ref="BV40:BV43" si="316">(SUMIF(AF$4:AF$108,BT40,AP$4:AP$108)+SUMIF(AH$4:AH$108,BT40,AQ$4:AQ$108))</f>
        <v>0</v>
      </c>
      <c r="BW40" s="13">
        <f t="shared" ref="BW40:BW43" si="317">(SUMIF(AF$4:AF$108,BT40,AR$4:AR$108)+SUMIF(AH$4:AH$108,BT40,AS$4:AS$108))</f>
        <v>0</v>
      </c>
      <c r="BX40" s="13">
        <f t="shared" ref="BX40:BX43" si="318">SUMIF($AF$4:$AF$108,BT40,$AI$4:$AI$108)+SUMIF($AH$4:$AH$108,BT40,$AK$4:$AK$108)</f>
        <v>0</v>
      </c>
      <c r="BY40" s="13">
        <f t="shared" ref="BY40:BY43" si="319">SUMIF($AF$4:$AF$108,BT40,$AK$4:$AK$108)+SUMIF($AH$4:$AH$108,BT40,$AI$4:$AI$108)</f>
        <v>0</v>
      </c>
      <c r="BZ40" s="13">
        <f t="shared" ref="BZ40:BZ43" si="320">BX40-BY40</f>
        <v>0</v>
      </c>
      <c r="CA40" s="13">
        <f t="shared" ref="CA40:CA43" si="321">IFERROR(BU40*3+BV40*1,0)</f>
        <v>0</v>
      </c>
      <c r="CB40" s="13" t="s">
        <v>59</v>
      </c>
      <c r="CC40" s="74">
        <f>RANK(CA40,CA40:CA43)</f>
        <v>1</v>
      </c>
      <c r="CD40" s="13">
        <f>SUMPRODUCT((CA40:CA43=CA40)*(BZ40:BZ43&gt;BZ40))</f>
        <v>0</v>
      </c>
      <c r="CF40" s="12" t="str">
        <f>IF(CC40=1,BT40,)</f>
        <v>Tyskland</v>
      </c>
      <c r="CG40" s="13">
        <f t="shared" ref="CG40:CG43" si="322">(SUMIF($AF$4:$AF$108,$BT40,$AT$4:$AT$108)+SUMIF($AH$4:$AH$108,$BT40,$AU$4:$AU$108))</f>
        <v>0</v>
      </c>
      <c r="CH40" s="13">
        <f t="shared" ref="CH40:CH43" si="323">(SUMIF($AF$4:$AF$108,$BT40,$AV$4:$AV$108)+SUMIF($AH$4:$AH$108,$BT40,$AW$4:$AW$108))</f>
        <v>0</v>
      </c>
      <c r="CI40" s="13">
        <f t="shared" ref="CI40:CI43" si="324">(SUMIF($AF$4:$AF$108,$BT40,$AX$4:$AX$108)+SUMIF($AH$4:$AH$108,$BT40,$AY$4:$AY$108))</f>
        <v>0</v>
      </c>
      <c r="CJ40" s="13">
        <f t="shared" ref="CJ40:CJ43" si="325">IFERROR(CG40*3+CH40*1,0)</f>
        <v>0</v>
      </c>
      <c r="CK40" s="13" t="str">
        <f>CB40</f>
        <v>E</v>
      </c>
      <c r="CL40" s="13">
        <f>IF(CF40&gt;0,RANK(CJ40,CJ40:CJ43),)</f>
        <v>1</v>
      </c>
      <c r="CM40" s="13">
        <f>IF(AND(CF40&gt;0,COUNTIF(CL40:CL43,CL40)&gt;1),SUMIFS($AI$4:$AI$108,$AF$4:$AF$108,$BT40,$M$4:$M$108,1)+SUMIFS($AK$4:$AK$108,$AH$4:$AH$108,$BT40,$M$4:$M$108,1)-SUMIFS($AK$4:$AK$108,$AF$4:$AF$108,$BT40,$M$4:$M$108,1)-SUMIFS($AI$4:$AI$108,$AH$4:$AH$108,$BT40,$M$4:$M$108,1),)</f>
        <v>0</v>
      </c>
      <c r="CN40" s="13">
        <f>IF(AND(CF40&gt;0,COUNTIF(CL40:CL43,CL40)&gt;1),CL40+RANK(CM40,CM40:CM43)-1,CL40)</f>
        <v>1</v>
      </c>
      <c r="CO40" s="13">
        <f>IF(AND(CF40&gt;0,COUNTIF(CN40:CN43,CN40)&gt;1),SUMIFS($AI$4:$AI$108,$AF$4:$AF$108,$BT40,$M$4:$M$108,1)+SUMIFS($AK$4:$AK$108,$AH$4:$AH$108,$BT40,$M$4:$M$108,1),)</f>
        <v>0</v>
      </c>
      <c r="CP40" s="13">
        <f>IF(AND(CF40&gt;0,COUNTIF(CN40:CN43,CN40)&gt;1),CN40+RANK(CO40,CO40:CO43)-1,CN40)</f>
        <v>1</v>
      </c>
      <c r="CQ40" s="13">
        <f>IF(CP40=0,"",CP40)</f>
        <v>1</v>
      </c>
      <c r="CR40" s="13">
        <f>IF(OR(CQ40="",COUNTIF(CQ40:CQ43,CQ40)=1),"",$BZ40)</f>
        <v>0</v>
      </c>
      <c r="CS40" s="13">
        <f>IF(CQ40="","",IF(COUNTIF(CQ40:CQ43,CQ40)=1,CQ40,CQ40+RANK(CR40,CR40:CR43,0)-1))</f>
        <v>1</v>
      </c>
      <c r="CT40" s="13">
        <f>IF(OR(CS40="",COUNTIF(CS40:CS43,CS40)=1),"",$BX40)</f>
        <v>0</v>
      </c>
      <c r="CU40" s="13">
        <f>IF(CQ40="","",IF(COUNTIF(CS40:CS43,CS40)=1,CS40,CS40+RANK(CT40,CT40:CT43,0)-1))</f>
        <v>1</v>
      </c>
      <c r="CV40" s="13">
        <f>IF(OR(CU40="",COUNTIF(CU40:CU43,CU40)=1),"",$BU40)</f>
        <v>0</v>
      </c>
      <c r="CW40" s="13">
        <f>IF(CQ40="","",IF(COUNTIF(CU40:CU43,CU40)=1,CU40,CU40+RANK(CV40,CV40:CV43,0)-1))</f>
        <v>1</v>
      </c>
      <c r="CX40" s="13">
        <f>IF(CF40&gt;0,BM38+RANK(CW40,CW40:CW43,1),)</f>
        <v>1</v>
      </c>
      <c r="CZ40" s="12">
        <f>IF(CC40=2,BT40,)</f>
        <v>0</v>
      </c>
      <c r="DA40" s="13">
        <f>(SUMIF($AF$4:$AF$108,$BT40,$AZ$4:$AZ$108)+SUMIF($AH$4:$AH$108,$BT40,$BA$4:$BA$108))</f>
        <v>0</v>
      </c>
      <c r="DB40" s="13">
        <f>(SUMIF($AF$4:$AF$108,$BT40,$BB$4:$BB$108)+SUMIF($AH$4:$AH$108,$BT40,$BC$4:$BC$108))</f>
        <v>0</v>
      </c>
      <c r="DC40" s="13">
        <f>(SUMIF($AF$4:$AF$108,$BT40,$BD$4:$BD$108)+SUMIF($AH$4:$AH$108,$BT40,$BE$4:$BE$108))</f>
        <v>0</v>
      </c>
      <c r="DD40" s="13">
        <f>IFERROR(DA40*3+DB40*1,0)</f>
        <v>0</v>
      </c>
      <c r="DE40" s="13" t="str">
        <f>$CB40</f>
        <v>E</v>
      </c>
      <c r="DF40" s="13">
        <f>IF(CZ40&gt;0,RANK(DD40,DD40:DD43)+CG38,)</f>
        <v>0</v>
      </c>
      <c r="DG40" s="13">
        <f>IF(AND(CZ40&gt;0,COUNTIF(DF40:DF43,DF40)&gt;1),SUMIFS($AI$4:$AI$108,$AF$4:$AF$108,$BT40,$M$4:$M$108,2)+SUMIFS($AK$4:$AK$108,$AH$4:$AH108,$BT40,$M$4:$M$108,2)-SUMIFS($AK$4:$AK$108,$AF$4:$AF$108,$BT40,$M$4:$M$108,2)-SUMIFS($AI$4:$AI$108,$AH$4:$AH$108,$BT40,$M$4:$M$108,2),)</f>
        <v>0</v>
      </c>
      <c r="DH40" s="13">
        <f>IF(AND(CZ40&gt;0,COUNTIF(DF40:DF43,DF40)&gt;1),DF40+RANK(DG40,DG40:DG43)-1,DF40)</f>
        <v>0</v>
      </c>
      <c r="DI40" s="13">
        <f>IF(AND(CZ40&gt;0,COUNTIF(DH40:DH43,DH40)&gt;1),SUMIFS($AI$4:$AI$108,$AF$4:$AF$108,$BT40,$M$4:$M$108,2)+SUMIFS($AK$4:$AK$108,$AH$4:$AH$108,$BT40,$M$4:$M$108,2),)</f>
        <v>0</v>
      </c>
      <c r="DJ40" s="13">
        <f>IF(AND(CZ40&gt;0,COUNTIF(DH40:DH43,DH40)&gt;1),DH40+RANK(DI40,DI40:DI43)-1,DH40)</f>
        <v>0</v>
      </c>
      <c r="DK40" s="75" t="str">
        <f>IF(DJ40=0,"",DJ40)</f>
        <v/>
      </c>
      <c r="DL40" s="75" t="str">
        <f>IF(OR(DK40="",COUNTIF(DK40:DK43,DK40)=1),"",$BZ40)</f>
        <v/>
      </c>
      <c r="DM40" s="75" t="str">
        <f>IF(DK40="","",IF(COUNTIF(DK40:DK43,DK40)=1,DK40,DK40+RANK(DL40,DL40:DL43,0)-1))</f>
        <v/>
      </c>
      <c r="DN40" s="75" t="str">
        <f>IF(OR(DM40="",COUNTIF(DM40:DM43,DM40)=1),"",$BX40)</f>
        <v/>
      </c>
      <c r="DO40" s="75" t="str">
        <f>IF(DK40="","",IF(COUNTIF(DM40:DM43,DM40)=1,DM40,DM40+RANK(DN40,DN40:DN43,0)-1))</f>
        <v/>
      </c>
      <c r="DP40" s="75" t="str">
        <f>IF(OR(DO40="",COUNTIF(DO40:DO43,DO40)=1),"",$BU40)</f>
        <v/>
      </c>
      <c r="DQ40" s="75" t="str">
        <f>IF(DK40="","",IF(COUNTIF(DO40:DO43,DO40)=1,DO40,DO40+RANK(DP40,DP40:DP43,0)-1))</f>
        <v/>
      </c>
      <c r="DR40" s="13">
        <f>IF(CZ40&gt;0,CG38+RANK(DQ40,DQ40:DQ43,1),)</f>
        <v>0</v>
      </c>
      <c r="DT40" s="13">
        <f>IF(CC40=3,BT40,)</f>
        <v>0</v>
      </c>
      <c r="DU40" s="13">
        <f>(SUMIF($AF$4:$AF$108,BT40,$BF$4:$BF$108)+SUMIF($AH$4:$AH$108,BT40,$BG$4:$BG$108))</f>
        <v>0</v>
      </c>
      <c r="DV40" s="13">
        <f>(SUMIF($AF$4:$AF$108,BT40,$BH$4:$BH$108)+SUMIF($AH$4:$AH$108,BT40,$BI$4:$BI$108))</f>
        <v>0</v>
      </c>
      <c r="DW40" s="13">
        <f>(SUMIF($AF$4:$AF$108,BT40,$BJ$4:$BJ$108)+SUMIF($AH$4:$AH$108,BT40,$BK$4:$BK$108))</f>
        <v>0</v>
      </c>
      <c r="DX40" s="13">
        <f>IFERROR(DU40*3+DV40*1,0)</f>
        <v>0</v>
      </c>
      <c r="DY40" s="13" t="str">
        <f>CB40</f>
        <v>E</v>
      </c>
      <c r="DZ40" s="13">
        <f>IF(DT40&gt;0,RANK(DX40,DX40:DX43)+CG38+DA38,)</f>
        <v>0</v>
      </c>
      <c r="EA40" s="13">
        <f>IF(AND(DT40&gt;0,COUNTIF(DZ40:DZ43,DZ40)&gt;1),SUMIFS($AI$4:$AI$108,$AF$4:$AF$108,$BT40,$M$4:$M$108,3)+SUMIFS($AK$4:$AK$108,$AH$4:$AH$108,$BT40,$M$4:$M$108,3)-SUMIFS($AK$4:$AK$108,$AF$4:$AF$108,$BT40,$M$4:$M$108,3)-SUMIFS($AI$4:$AI$108,$AH$4:$AH$108,$BT40,$M$4:$M$108,3),)</f>
        <v>0</v>
      </c>
      <c r="EB40" s="13">
        <f>IF(AND(DT40&gt;0,COUNTIF(DZ40:DZ43,DZ40)&gt;1),DZ40+RANK(EA40,EA40:EA43)-1,DZ40)</f>
        <v>0</v>
      </c>
      <c r="EC40" s="13">
        <f>IF(AND(DT40&gt;0,COUNTIF(EB40:EB43,EB40)&gt;1),SUMIFS($AI$4:$AI$108,$AF$4:$AF$108,$BT40,$M$4:$M$108,3)+SUMIFS($AK$4:$AK$108,$AH$4:$AH$108,$BT40,$M$4:$M$108,3),)</f>
        <v>0</v>
      </c>
      <c r="ED40" s="13">
        <f>IF(AND(DT40&gt;0,COUNTIF(EB40:EB43,EB40)&gt;1),EB40+RANK(EC40,EC40:EC43)-1,EB40)</f>
        <v>0</v>
      </c>
      <c r="EE40" s="13" t="str">
        <f>IF(ED40=0,"",ED40)</f>
        <v/>
      </c>
      <c r="EF40" s="13" t="str">
        <f>IF(OR(EE40="",COUNTIF(EE40:EE43,EE40)=1),"",$BZ40)</f>
        <v/>
      </c>
      <c r="EG40" s="13" t="str">
        <f>IF(EE40="","",IF(COUNTIF(EE40:EE43,EE40)=1,EE40,EE40+RANK(EF40,EF40:EF43,0)-1))</f>
        <v/>
      </c>
      <c r="EH40" s="13" t="str">
        <f>IF(OR(EG40="",COUNTIF(EG40:EG43,EG40)=1),"",$BX40)</f>
        <v/>
      </c>
      <c r="EI40" s="13" t="str">
        <f>IF(EE40="","",IF(COUNTIF(EG40:EG43,EG40)=1,EG40,EG40+RANK(EH40,EH40:EH43,0)-1))</f>
        <v/>
      </c>
      <c r="EJ40" s="13" t="str">
        <f>IF(OR(EI40="",COUNTIF(EI40:EI43,EI40)=1),"",$BU40)</f>
        <v/>
      </c>
      <c r="EK40" s="13" t="str">
        <f>IF(EE40="","",IF(COUNTIF(EI40:EI43,EI40)=1,EI40,EI40+RANK(EJ40,EJ40:EJ43,0)-1))</f>
        <v/>
      </c>
      <c r="EL40" s="13">
        <f>IF(DT40&gt;0,CG38+DA38+RANK(EK40,EK40:EK43,1),)</f>
        <v>0</v>
      </c>
      <c r="EN40" s="13">
        <f>IF(CC40=4,BT40,)</f>
        <v>0</v>
      </c>
      <c r="EO40" s="13">
        <f>(SUMIF($AF$4:$AF$108,$BT40,$BL$4:$BL$108)+SUMIF($AH$4:$AH$108,$BT40,$BM$4:$BM$108))</f>
        <v>0</v>
      </c>
      <c r="EP40" s="13">
        <f>(SUMIF($AF$4:$AF$108,$BT40,$BN$4:$BN$108)+SUMIF($AH$4:$AH$108,$BT40,$BO$4:$BO$108))</f>
        <v>0</v>
      </c>
      <c r="EQ40" s="13">
        <f>(SUMIF($AF$4:$AF$108,$BT40,$BP$4:$BP$108)+SUMIF($AH$4:$AH$108,$BT40,$BQ$4:$BQ$108))</f>
        <v>0</v>
      </c>
      <c r="ER40" s="13">
        <f>IFERROR(EO40*3+EP40*1,0)</f>
        <v>0</v>
      </c>
      <c r="ES40" s="13" t="str">
        <f>$CB40</f>
        <v>E</v>
      </c>
      <c r="ET40" s="13">
        <f>IF(EN40&gt;0,RANK(ER40,ER40:ER43)+CG38+DA38+DU38,)</f>
        <v>0</v>
      </c>
      <c r="EU40" s="13">
        <f>IF(AND(EN40&gt;0,COUNTIF(ET40:ET43,ET40)&gt;1),SUMIFS($AI$4:$AI$108,$AF$4:$AF$108,$BT40,$M$4:$M$108,4)+SUMIFS($AK$4:$AK$108,$AH$4:$AH$108,$BT40,$M$4:$M$108,4)-SUMIFS($AK$4:$AK$108,$AF$4:$AF$108,$BT40,$M$4:$M$108,4)-SUMIFS($AI$4:$AI$108,$AH$4:$AH$108,$BT40,$M$4:$M$108,4),)</f>
        <v>0</v>
      </c>
      <c r="EV40" s="13">
        <f>IF(AND(EN40&gt;0,COUNTIF(ET40:ET43,ET40)&gt;1),ET40+RANK(EU40,EU40:EU43)-1,ET40)</f>
        <v>0</v>
      </c>
      <c r="EW40" s="13">
        <f>IF(AND(EN40&gt;0,COUNTIF(EV40:EV43,EV40)&gt;1),SUMIFS($AI$4:$AI$108,$AF$4:$AF$108,$BT40,$M$4:$M$108,4)+SUMIFS($AK$4:$AK$108,$AH$4:$AH$108,$BT40,$M$4:$M$108,4),)</f>
        <v>0</v>
      </c>
      <c r="EX40" s="13">
        <f>IF(AND(EN40&gt;0,COUNTIF(EV40:EV43,EV40)&gt;1),EV40+RANK(EW40,EW40:EW43)-1,EV40)</f>
        <v>0</v>
      </c>
      <c r="EY40" s="13" t="str">
        <f>IF(EX40=0,"",EX40)</f>
        <v/>
      </c>
      <c r="EZ40" s="13" t="str">
        <f>IF(OR(EY40="",COUNTIF(EY40:EY43,EY40)=1),"",$BZ40)</f>
        <v/>
      </c>
      <c r="FA40" s="13" t="str">
        <f>IF(EY40="","",IF(COUNTIF(EY40:EY43,EY40)=1,EY40,EY40+RANK(EZ40,EZ40:EZ43,0)-1))</f>
        <v/>
      </c>
      <c r="FB40" s="13" t="str">
        <f>IF(OR(FA40="",COUNTIF(FA40:FA43,FA40)=1),"",$BX40)</f>
        <v/>
      </c>
      <c r="FC40" s="13" t="str">
        <f>IF(EY40="","",IF(COUNTIF(FA40:FA43,FA40)=1,FA40,FA40+RANK(FB40,FB40:FB43,0)-1))</f>
        <v/>
      </c>
      <c r="FD40" s="13" t="str">
        <f>IF(OR(FC40="",COUNTIF(FC40:FC43,FC40)=1),"",$BU40)</f>
        <v/>
      </c>
      <c r="FE40" s="13" t="str">
        <f>IF(EY40="","",IF(COUNTIF(FC40:FC43,FC40)=1,FC40,FC40+RANK(FD40,FD40:FD43,0)-1))</f>
        <v/>
      </c>
      <c r="FF40" s="13">
        <f>IF(EN40&gt;0,CG38+DA38+DU38+RANK(FE40,FE40:FE43,1),)</f>
        <v>0</v>
      </c>
      <c r="FH40" s="13">
        <f>IFERROR(VLOOKUP(FJ40,CF39:CX43,19,FALSE),IFERROR(VLOOKUP(FJ40,CZ39:DR43,19,FALSE),IFERROR(VLOOKUP(FJ40,DT39:EL43,19,FALSE),VLOOKUP(FJ40,EN39:FF43,19,FALSE))))</f>
        <v>1</v>
      </c>
      <c r="FI40" s="13">
        <f>RANK(FH40,FH40:FH43,1)+COUNTIF(FH40:FH40,FH40)-1</f>
        <v>1</v>
      </c>
      <c r="FJ40" s="12" t="str">
        <f>BT40</f>
        <v>Tyskland</v>
      </c>
      <c r="FZ40" s="79">
        <v>38</v>
      </c>
      <c r="GA40" s="3" t="str">
        <f t="shared" si="72"/>
        <v>CGEDIFLK</v>
      </c>
      <c r="GB40" s="3" t="s">
        <v>75</v>
      </c>
      <c r="GC40" s="3" t="s">
        <v>60</v>
      </c>
      <c r="GD40" s="3" t="s">
        <v>59</v>
      </c>
      <c r="GE40" s="3" t="s">
        <v>58</v>
      </c>
      <c r="GF40" s="3" t="s">
        <v>61</v>
      </c>
      <c r="GG40" s="3" t="s">
        <v>21</v>
      </c>
      <c r="GH40" s="3" t="s">
        <v>63</v>
      </c>
      <c r="GI40" s="3" t="s">
        <v>62</v>
      </c>
      <c r="GJ40" s="9" t="str">
        <f t="shared" si="73"/>
        <v>Haiti</v>
      </c>
      <c r="GK40" s="9" t="str">
        <f t="shared" si="73"/>
        <v>Iran</v>
      </c>
      <c r="GL40" s="9" t="str">
        <f t="shared" si="73"/>
        <v>Elfenbenskusten</v>
      </c>
      <c r="GM40" s="9" t="str">
        <f t="shared" si="73"/>
        <v>Australien</v>
      </c>
      <c r="GN40" s="9" t="str">
        <f t="shared" si="73"/>
        <v>Irak</v>
      </c>
      <c r="GO40" s="9" t="str">
        <f t="shared" si="73"/>
        <v>Sverige</v>
      </c>
      <c r="GP40" s="9" t="str">
        <f t="shared" si="73"/>
        <v>Ghana</v>
      </c>
      <c r="GQ40" s="9" t="str">
        <f t="shared" si="73"/>
        <v>Uzbekistan</v>
      </c>
      <c r="GR40" s="9" t="str">
        <f t="shared" si="75"/>
        <v/>
      </c>
      <c r="GX40" s="79"/>
    </row>
    <row r="41" spans="2:206" ht="14.25" customHeight="1" x14ac:dyDescent="0.25">
      <c r="B41" s="58">
        <v>9</v>
      </c>
      <c r="C41" s="59">
        <v>46188</v>
      </c>
      <c r="D41" s="60" t="s">
        <v>107</v>
      </c>
      <c r="E41" s="61" t="s">
        <v>66</v>
      </c>
      <c r="F41" s="62" t="s">
        <v>108</v>
      </c>
      <c r="G41" s="63"/>
      <c r="H41" s="64" t="s">
        <v>66</v>
      </c>
      <c r="I41" s="63"/>
      <c r="J41" s="65" t="str">
        <f t="shared" ref="J41:J45" si="326">IF(OR(ISBLANK(G41),ISBLANK(I41)),"",IF(G41&gt;I41,1,IF(G41&lt;I41,2,"X")))</f>
        <v/>
      </c>
      <c r="K41" s="66">
        <f>IF(OR(G41="",I41="",'[1]Resultat &amp; tabell'!G41="",'[1]Resultat &amp; tabell'!I41=""),0,IF(G41='[1]Resultat &amp; tabell'!G41,2,0)+IF(I41='[1]Resultat &amp; tabell'!I41,2,0)+IF(J41='[1]Resultat &amp; tabell'!J41,2,0))</f>
        <v>0</v>
      </c>
      <c r="L41" s="67"/>
      <c r="M41" s="29">
        <f t="shared" si="279"/>
        <v>1</v>
      </c>
      <c r="N41" s="30">
        <v>2</v>
      </c>
      <c r="O41" s="80" t="str">
        <f>VLOOKUP(N41,FI40:FJ43,2,FALSE)</f>
        <v>Curaçao</v>
      </c>
      <c r="P41" s="81">
        <f>VLOOKUP($O41,$BT$40:$CA$43,2,FALSE)</f>
        <v>0</v>
      </c>
      <c r="Q41" s="81">
        <f>VLOOKUP($O41,$BT$40:$CA$43,3,FALSE)</f>
        <v>0</v>
      </c>
      <c r="R41" s="81">
        <f>VLOOKUP($O41,$BT$40:$CA$43,4,FALSE)</f>
        <v>0</v>
      </c>
      <c r="S41" s="81">
        <f>VLOOKUP($O41,$BT$40:$CA$43,5,FALSE)</f>
        <v>0</v>
      </c>
      <c r="T41" s="81">
        <f>VLOOKUP($O41,$BT$40:$CA$43,6,FALSE)</f>
        <v>0</v>
      </c>
      <c r="U41" s="81">
        <f>VLOOKUP($O41,$BT$40:$CA$43,7,FALSE)</f>
        <v>0</v>
      </c>
      <c r="V41" s="82">
        <f>VLOOKUP($O41,$BT$40:$CA$43,8,FALSE)</f>
        <v>0</v>
      </c>
      <c r="X41" s="1"/>
      <c r="AE41" s="72">
        <f t="shared" si="280"/>
        <v>46188</v>
      </c>
      <c r="AF41" s="72" t="str">
        <f t="shared" si="280"/>
        <v>Elfenbenskusten</v>
      </c>
      <c r="AG41" s="72" t="str">
        <f t="shared" si="280"/>
        <v>-</v>
      </c>
      <c r="AH41" s="72" t="str">
        <f t="shared" si="280"/>
        <v>Ecuador</v>
      </c>
      <c r="AI41" s="63" t="str">
        <f t="shared" si="281"/>
        <v/>
      </c>
      <c r="AJ41" s="58" t="str">
        <f t="shared" si="282"/>
        <v>-</v>
      </c>
      <c r="AK41" s="63" t="str">
        <f t="shared" si="283"/>
        <v/>
      </c>
      <c r="AL41" s="65" t="str">
        <f t="shared" si="284"/>
        <v/>
      </c>
      <c r="AM41" s="73"/>
      <c r="AN41" s="13">
        <f t="shared" si="285"/>
        <v>0</v>
      </c>
      <c r="AO41" s="13">
        <f t="shared" si="286"/>
        <v>0</v>
      </c>
      <c r="AP41" s="13">
        <f t="shared" si="287"/>
        <v>0</v>
      </c>
      <c r="AQ41" s="13">
        <f t="shared" si="288"/>
        <v>0</v>
      </c>
      <c r="AR41" s="13">
        <f t="shared" si="289"/>
        <v>0</v>
      </c>
      <c r="AS41" s="13">
        <f t="shared" si="290"/>
        <v>0</v>
      </c>
      <c r="AT41" s="13">
        <f t="shared" si="291"/>
        <v>0</v>
      </c>
      <c r="AU41" s="13">
        <f t="shared" si="292"/>
        <v>0</v>
      </c>
      <c r="AV41" s="13">
        <f t="shared" si="293"/>
        <v>0</v>
      </c>
      <c r="AW41" s="13">
        <f t="shared" si="294"/>
        <v>0</v>
      </c>
      <c r="AX41" s="13">
        <f t="shared" si="295"/>
        <v>0</v>
      </c>
      <c r="AY41" s="13">
        <f t="shared" si="296"/>
        <v>0</v>
      </c>
      <c r="AZ41" s="13">
        <f t="shared" si="297"/>
        <v>0</v>
      </c>
      <c r="BA41" s="13">
        <f t="shared" si="298"/>
        <v>0</v>
      </c>
      <c r="BB41" s="13">
        <f t="shared" si="299"/>
        <v>0</v>
      </c>
      <c r="BC41" s="13">
        <f t="shared" si="300"/>
        <v>0</v>
      </c>
      <c r="BD41" s="13">
        <f t="shared" si="301"/>
        <v>0</v>
      </c>
      <c r="BE41" s="13">
        <f t="shared" si="302"/>
        <v>0</v>
      </c>
      <c r="BF41" s="13">
        <f t="shared" si="303"/>
        <v>0</v>
      </c>
      <c r="BG41" s="13">
        <f t="shared" si="304"/>
        <v>0</v>
      </c>
      <c r="BH41" s="13">
        <f t="shared" si="305"/>
        <v>0</v>
      </c>
      <c r="BI41" s="13">
        <f t="shared" si="306"/>
        <v>0</v>
      </c>
      <c r="BJ41" s="13">
        <f t="shared" si="307"/>
        <v>0</v>
      </c>
      <c r="BK41" s="13">
        <f t="shared" si="308"/>
        <v>0</v>
      </c>
      <c r="BL41" s="13">
        <f t="shared" si="309"/>
        <v>0</v>
      </c>
      <c r="BM41" s="13">
        <f t="shared" si="310"/>
        <v>0</v>
      </c>
      <c r="BN41" s="13">
        <f t="shared" si="311"/>
        <v>0</v>
      </c>
      <c r="BO41" s="13">
        <f t="shared" si="312"/>
        <v>0</v>
      </c>
      <c r="BP41" s="13">
        <f t="shared" si="313"/>
        <v>0</v>
      </c>
      <c r="BQ41" s="13">
        <f t="shared" si="314"/>
        <v>0</v>
      </c>
      <c r="BT41" s="12" t="s">
        <v>106</v>
      </c>
      <c r="BU41" s="13">
        <f t="shared" si="315"/>
        <v>0</v>
      </c>
      <c r="BV41" s="13">
        <f t="shared" si="316"/>
        <v>0</v>
      </c>
      <c r="BW41" s="13">
        <f t="shared" si="317"/>
        <v>0</v>
      </c>
      <c r="BX41" s="13">
        <f t="shared" si="318"/>
        <v>0</v>
      </c>
      <c r="BY41" s="13">
        <f t="shared" si="319"/>
        <v>0</v>
      </c>
      <c r="BZ41" s="13">
        <f t="shared" si="320"/>
        <v>0</v>
      </c>
      <c r="CA41" s="13">
        <f t="shared" si="321"/>
        <v>0</v>
      </c>
      <c r="CB41" s="13" t="s">
        <v>59</v>
      </c>
      <c r="CC41" s="74">
        <f>RANK(CA41,CA40:CA43)</f>
        <v>1</v>
      </c>
      <c r="CD41" s="13">
        <f>SUMPRODUCT((CA40:CA43=CA41)*(BZ40:BZ43&gt;BZ41))</f>
        <v>0</v>
      </c>
      <c r="CF41" s="12" t="str">
        <f>IF(CC41=1,BT41,)</f>
        <v>Curaçao</v>
      </c>
      <c r="CG41" s="13">
        <f t="shared" si="322"/>
        <v>0</v>
      </c>
      <c r="CH41" s="13">
        <f t="shared" si="323"/>
        <v>0</v>
      </c>
      <c r="CI41" s="13">
        <f t="shared" si="324"/>
        <v>0</v>
      </c>
      <c r="CJ41" s="13">
        <f t="shared" si="325"/>
        <v>0</v>
      </c>
      <c r="CK41" s="13" t="str">
        <f t="shared" ref="CK41:CK43" si="327">CB41</f>
        <v>E</v>
      </c>
      <c r="CL41" s="13">
        <f>IF(CF41&gt;0,RANK(CJ41,CJ40:CJ43),)</f>
        <v>1</v>
      </c>
      <c r="CM41" s="13">
        <f>IF(AND(CF41&gt;0,COUNTIF(CL40:CL43,CL41)&gt;1),SUMIFS($AI$4:$AI$108,$AF$4:$AF$108,$BT41,$M$4:$M$108,1)+SUMIFS($AK$4:$AK$108,$AH$4:$AH$108,$BT41,$M$4:$M$108,1)-SUMIFS($AK$4:$AK$108,$AF$4:$AF$108,$BT41,$M$4:$M$108,1)-SUMIFS($AI$4:$AI$108,$AH$4:$AH$108,$BT41,$M$4:$M$108,1),)</f>
        <v>0</v>
      </c>
      <c r="CN41" s="13">
        <f>IF(AND(CF41&gt;0,COUNTIF(CL40:CL43,CL41)&gt;1),CL41+RANK(CM41,CM40:CM43)-1,CL41)</f>
        <v>1</v>
      </c>
      <c r="CO41" s="13">
        <f>IF(AND(CF41&gt;0,COUNTIF(CN40:CN43,CN41)&gt;1),SUMIFS($AI$4:$AI$108,$AF$4:$AF$108,$BT41,$M$4:$M$108,1)+SUMIFS($AK$4:$AK$108,$AH$4:$AH$108,$BT41,$M$4:$M$108,1),)</f>
        <v>0</v>
      </c>
      <c r="CP41" s="13">
        <f>IF(AND(CF41&gt;0,COUNTIF(CN40:CN43,CN41)&gt;1),CN41+RANK(CO41,CO40:CO43)-1,CN41)</f>
        <v>1</v>
      </c>
      <c r="CQ41" s="13">
        <f t="shared" ref="CQ41:CQ43" si="328">IF(CP41=0,"",CP41)</f>
        <v>1</v>
      </c>
      <c r="CR41" s="13">
        <f>IF(OR(CQ41="",COUNTIF(CQ40:CQ43,CQ41)=1),"",$BZ41)</f>
        <v>0</v>
      </c>
      <c r="CS41" s="13">
        <f>IF(CQ41="","",IF(COUNTIF(CQ40:CQ43,CQ41)=1,CQ41,CQ41+RANK(CR41,CR40:CR43,0)-1))</f>
        <v>1</v>
      </c>
      <c r="CT41" s="13">
        <f>IF(OR(CS41="",COUNTIF(CS40:CS43,CS41)=1),"",$BX41)</f>
        <v>0</v>
      </c>
      <c r="CU41" s="13">
        <f>IF(CQ41="","",IF(COUNTIF(CS40:CS43,CS41)=1,CS41,CS41+RANK(CT41,CT40:CT43,0)-1))</f>
        <v>1</v>
      </c>
      <c r="CV41" s="13">
        <f>IF(OR(CU41="",COUNTIF(CU40:CU43,CU41)=1),"",$BU41)</f>
        <v>0</v>
      </c>
      <c r="CW41" s="13">
        <f>IF(CQ41="","",IF(COUNTIF(CU40:CU43,CU41)=1,CU41,CU41+RANK(CV41,CV40:CV43,0)-1))</f>
        <v>1</v>
      </c>
      <c r="CX41" s="13">
        <f>IF(CF41&gt;0,BM38+RANK(CW41,CW40:CW43,1),)</f>
        <v>1</v>
      </c>
      <c r="CZ41" s="12">
        <f>IF(CC41=2,BT41,)</f>
        <v>0</v>
      </c>
      <c r="DA41" s="13">
        <f>(SUMIF($AF$4:$AF$108,$BT41,$AZ$4:$AZ$108)+SUMIF($AH$4:$AH$108,$BT41,$BA$4:$BA$108))</f>
        <v>0</v>
      </c>
      <c r="DB41" s="13">
        <f t="shared" ref="DB41:DB43" si="329">(SUMIF($AF$4:$AF$108,$BT41,$BB$4:$BB$108)+SUMIF($AH$4:$AH$108,$BT41,$BC$4:$BC$108))</f>
        <v>0</v>
      </c>
      <c r="DC41" s="13">
        <f t="shared" ref="DC41:DC43" si="330">(SUMIF($AF$4:$AF$108,$BT41,$BD$4:$BD$108)+SUMIF($AH$4:$AH$108,$BT41,$BE$4:$BE$108))</f>
        <v>0</v>
      </c>
      <c r="DD41" s="13">
        <f t="shared" ref="DD41:DD43" si="331">IFERROR(DA41*3+DB41*1,0)</f>
        <v>0</v>
      </c>
      <c r="DE41" s="13" t="str">
        <f t="shared" ref="DE41:DE43" si="332">$CB41</f>
        <v>E</v>
      </c>
      <c r="DF41" s="13">
        <f>IF(CZ41&gt;0,RANK(DD41,DD40:DD43)+CG38,)</f>
        <v>0</v>
      </c>
      <c r="DG41" s="13">
        <f>IF(AND(CZ41&gt;0,COUNTIF(DF40:DF43,DF41)&gt;1),SUMIFS($AI$4:$AI$108,$AF$4:$AF$108,$BT41,$M$4:$M$108,2)+SUMIFS($AK$4:$AK$108,$AH$4:$AH108,$BT41,$M$4:$M$108,2)-SUMIFS($AK$4:$AK$108,$AF$4:$AF$108,$BT41,$M$4:$M$108,2)-SUMIFS($AI$4:$AI$108,$AH$4:$AH$108,$BT41,$M$4:$M$108,2),)</f>
        <v>0</v>
      </c>
      <c r="DH41" s="13">
        <f>IF(AND(CZ41&gt;0,COUNTIF(DF40:DF43,DF41)&gt;1),DF41+RANK(DG41,DG40:DG43)-1,DF41)</f>
        <v>0</v>
      </c>
      <c r="DI41" s="13">
        <f>IF(AND(CZ41&gt;0,COUNTIF(DH40:DH43,DH41)&gt;1),SUMIFS($AI$4:$AI$108,$AF$4:$AF$108,$BT41,$M$4:$M$108,2)+SUMIFS($AK$4:$AK$108,$AH$4:$AH$108,$BT41,$M$4:$M$108,2),)</f>
        <v>0</v>
      </c>
      <c r="DJ41" s="13">
        <f>IF(AND(CZ41&gt;0,COUNTIF(DH40:DH43,DH41)&gt;1),DH41+RANK(DI41,DI40:DI43)-1,DH41)</f>
        <v>0</v>
      </c>
      <c r="DK41" s="75" t="str">
        <f t="shared" ref="DK41:DK43" si="333">IF(DJ41=0,"",DJ41)</f>
        <v/>
      </c>
      <c r="DL41" s="75" t="str">
        <f>IF(OR(DK41="",COUNTIF(DK40:DK43,DK41)=1),"",$BZ41)</f>
        <v/>
      </c>
      <c r="DM41" s="75" t="str">
        <f>IF(DK41="","",IF(COUNTIF(DK40:DK43,DK41)=1,DK41,DK41+RANK(DL41,DL40:DL43,0)-1))</f>
        <v/>
      </c>
      <c r="DN41" s="75" t="str">
        <f>IF(OR(DM41="",COUNTIF(DM40:DM43,DM41)=1),"",$BX41)</f>
        <v/>
      </c>
      <c r="DO41" s="75" t="str">
        <f>IF(DK41="","",IF(COUNTIF(DM40:DM43,DM41)=1,DM41,DM41+RANK(DN41,DN40:DN43,0)-1))</f>
        <v/>
      </c>
      <c r="DP41" s="75" t="str">
        <f>IF(OR(DO41="",COUNTIF(DO40:DO43,DO41)=1),"",$BU41)</f>
        <v/>
      </c>
      <c r="DQ41" s="75" t="str">
        <f>IF(DK41="","",IF(COUNTIF(DO40:DO43,DO41)=1,DO41,DO41+RANK(DP41,DP40:DP43,0)-1))</f>
        <v/>
      </c>
      <c r="DR41" s="13">
        <f>IF(CZ41&gt;0,CG38+RANK(DQ41,DQ40:DQ43,1),)</f>
        <v>0</v>
      </c>
      <c r="DT41" s="13">
        <f>IF(CC41=3,BT41,)</f>
        <v>0</v>
      </c>
      <c r="DU41" s="13">
        <f t="shared" ref="DU41:DU43" si="334">(SUMIF($AF$4:$AF$108,BT41,$BF$4:$BF$108)+SUMIF($AH$4:$AH$108,BT41,$BG$4:$BG$108))</f>
        <v>0</v>
      </c>
      <c r="DV41" s="13">
        <f t="shared" ref="DV41:DV43" si="335">(SUMIF($AF$4:$AF$108,BT41,$BH$4:$BH$108)+SUMIF($AH$4:$AH$108,BT41,$BI$4:$BI$108))</f>
        <v>0</v>
      </c>
      <c r="DW41" s="13">
        <f t="shared" ref="DW41:DW43" si="336">(SUMIF($AF$4:$AF$108,BT41,$BJ$4:$BJ$108)+SUMIF($AH$4:$AH$108,BT41,$BK$4:$BK$108))</f>
        <v>0</v>
      </c>
      <c r="DX41" s="13">
        <f>IFERROR(DU41*3+DV41*1,0)</f>
        <v>0</v>
      </c>
      <c r="DY41" s="13" t="str">
        <f t="shared" ref="DY41:DY43" si="337">CB41</f>
        <v>E</v>
      </c>
      <c r="DZ41" s="13">
        <f>IF(DT41&gt;0,RANK(DX41,DX40:DX43)+CG38+DA38,)</f>
        <v>0</v>
      </c>
      <c r="EA41" s="13">
        <f>IF(AND(DT41&gt;0,COUNTIF(DZ40:DZ43,DZ41)&gt;1),SUMIFS($AI$4:$AI$108,$AF$4:$AF$108,$BT41,$M$4:$M$108,3)+SUMIFS($AK$4:$AK$108,$AH$4:$AH$108,$BT41,$M$4:$M$108,3)-SUMIFS($AK$4:$AK$108,$AF$4:$AF$108,$BT41,$M$4:$M$108,3)-SUMIFS($AI$4:$AI$108,$AH$4:$AH$108,$BT41,$M$4:$M$108,3),)</f>
        <v>0</v>
      </c>
      <c r="EB41" s="13">
        <f>IF(AND(DT41&gt;0,COUNTIF(DZ40:DZ43,DZ41)&gt;1),DZ41+RANK(EA41,EA40:EA43)-1,DZ41)</f>
        <v>0</v>
      </c>
      <c r="EC41" s="13">
        <f>IF(AND(DT41&gt;0,COUNTIF(EB40:EB43,EB41)&gt;1),SUMIFS($AI$4:$AI$108,$AF$4:$AF$108,$BT41,$M$4:$M$108,3)+SUMIFS($AK$4:$AK$108,$AH$4:$AH$108,$BT41,$M$4:$M$108,3),)</f>
        <v>0</v>
      </c>
      <c r="ED41" s="13">
        <f>IF(AND(DT41&gt;0,COUNTIF(EB40:EB43,EB41)&gt;1),EB41+RANK(EC41,EC40:EC43)-1,EB41)</f>
        <v>0</v>
      </c>
      <c r="EE41" s="13" t="str">
        <f t="shared" ref="EE41:EE43" si="338">IF(ED41=0,"",ED41)</f>
        <v/>
      </c>
      <c r="EF41" s="13" t="str">
        <f>IF(OR(EE41="",COUNTIF(EE40:EE43,EE41)=1),"",$BZ41)</f>
        <v/>
      </c>
      <c r="EG41" s="13" t="str">
        <f>IF(EE41="","",IF(COUNTIF(EE40:EE43,EE41)=1,EE41,EE41+RANK(EF41,EF40:EF43,0)-1))</f>
        <v/>
      </c>
      <c r="EH41" s="13" t="str">
        <f>IF(OR(EG41="",COUNTIF(EG40:EG43,EG41)=1),"",$BX41)</f>
        <v/>
      </c>
      <c r="EI41" s="13" t="str">
        <f>IF(EE41="","",IF(COUNTIF(EG40:EG43,EG41)=1,EG41,EG41+RANK(EH41,EH40:EH43,0)-1))</f>
        <v/>
      </c>
      <c r="EJ41" s="13" t="str">
        <f>IF(OR(EI41="",COUNTIF(EI40:EI43,EI41)=1),"",$BU41)</f>
        <v/>
      </c>
      <c r="EK41" s="13" t="str">
        <f>IF(EE41="","",IF(COUNTIF(EI40:EI43,EI41)=1,EI41,EI41+RANK(EJ41,EJ40:EJ43,0)-1))</f>
        <v/>
      </c>
      <c r="EL41" s="13">
        <f>IF(DT41&gt;0,CG38+DA38+RANK(EK41,EK40:EK43,1),)</f>
        <v>0</v>
      </c>
      <c r="EN41" s="13">
        <f>IF(CC41=4,BT41,)</f>
        <v>0</v>
      </c>
      <c r="EO41" s="13">
        <f t="shared" ref="EO41:EO43" si="339">(SUMIF($AF$4:$AF$108,$BT41,$BL$4:$BL$108)+SUMIF($AH$4:$AH$108,$BT41,$BM$4:$BM$108))</f>
        <v>0</v>
      </c>
      <c r="EP41" s="13">
        <f t="shared" ref="EP41:EP43" si="340">(SUMIF($AF$4:$AF$108,$BT41,$BN$4:$BN$108)+SUMIF($AH$4:$AH$108,$BT41,$BO$4:$BO$108))</f>
        <v>0</v>
      </c>
      <c r="EQ41" s="13">
        <f t="shared" ref="EQ41:EQ43" si="341">(SUMIF($AF$4:$AF$108,$BT41,$BP$4:$BP$108)+SUMIF($AH$4:$AH$108,$BT41,$BQ$4:$BQ$108))</f>
        <v>0</v>
      </c>
      <c r="ER41" s="13">
        <f t="shared" ref="ER41:ER43" si="342">IFERROR(EO41*3+EP41*1,0)</f>
        <v>0</v>
      </c>
      <c r="ES41" s="13" t="str">
        <f t="shared" ref="ES41:ES43" si="343">$CB41</f>
        <v>E</v>
      </c>
      <c r="ET41" s="13">
        <f>IF(EN41&gt;0,RANK(ER41,ER40:ER43)+CG38+DA38+DU38,)</f>
        <v>0</v>
      </c>
      <c r="EU41" s="13">
        <f>IF(AND(EN41&gt;0,COUNTIF(ET40:ET43,ET41)&gt;1),SUMIFS($AI$4:$AI$108,$AF$4:$AF$108,$BT41,$M$4:$M$108,4)+SUMIFS($AK$4:$AK$108,$AH$4:$AH$108,$BT41,$M$4:$M$108,4)-SUMIFS($AK$4:$AK$108,$AF$4:$AF$108,$BT41,$M$4:$M$108,4)-SUMIFS($AI$4:$AI$108,$AH$4:$AH$108,$BT41,$M$4:$M$108,4),)</f>
        <v>0</v>
      </c>
      <c r="EV41" s="13">
        <f>IF(AND(EN41&gt;0,COUNTIF(ET40:ET43,ET41)&gt;1),ET41+RANK(EU41,EU40:EU43)-1,ET41)</f>
        <v>0</v>
      </c>
      <c r="EW41" s="13">
        <f t="shared" ref="EW41:EW43" si="344">IF(AND(EN41&gt;0,COUNTIF(EV41:EV44,EV41)&gt;1),SUMIFS($AI$4:$AI$108,$AF$4:$AF$108,$BT41,$M$4:$M$108,4)+SUMIFS($AK$4:$AK$108,$AH$4:$AH$108,$BT41,$M$4:$M$108,4),)</f>
        <v>0</v>
      </c>
      <c r="EX41" s="13">
        <f>IF(AND(EN41&gt;0,COUNTIF(EV40:EV43,EV41)&gt;1),EV41+RANK(EW41,EW40:EW43)-1,EV41)</f>
        <v>0</v>
      </c>
      <c r="EY41" s="13" t="str">
        <f t="shared" ref="EY41:EY43" si="345">IF(EX41=0,"",EX41)</f>
        <v/>
      </c>
      <c r="EZ41" s="13" t="str">
        <f>IF(OR(EY41="",COUNTIF(EY40:EY43,EY41)=1),"",$BZ41)</f>
        <v/>
      </c>
      <c r="FA41" s="13" t="str">
        <f>IF(EY41="","",IF(COUNTIF(EY40:EY43,EY41)=1,EY41,EY41+RANK(EZ41,EZ40:EZ43,0)-1))</f>
        <v/>
      </c>
      <c r="FB41" s="13" t="str">
        <f>IF(OR(FA41="",COUNTIF(FA40:FA43,FA41)=1),"",$BX41)</f>
        <v/>
      </c>
      <c r="FC41" s="13" t="str">
        <f>IF(EY41="","",IF(COUNTIF(FA40:FA43,FA41)=1,FA41,FA41+RANK(FB41,FB40:FB43,0)-1))</f>
        <v/>
      </c>
      <c r="FD41" s="13" t="str">
        <f>IF(OR(FC41="",COUNTIF(FC40:FC43,FC41)=1),"",$BU41)</f>
        <v/>
      </c>
      <c r="FE41" s="13" t="str">
        <f>IF(EY41="","",IF(COUNTIF(FC40:FC43,FC41)=1,FC41,FC41+RANK(FD41,FD40:FD43,0)-1))</f>
        <v/>
      </c>
      <c r="FF41" s="13">
        <f>IF(EN41&gt;0,CG38+DA38+DU38+RANK(FE41,FE40:FE43,1),)</f>
        <v>0</v>
      </c>
      <c r="FH41" s="13">
        <f>IFERROR(VLOOKUP(FJ41,CF39:CX43,19,FALSE),IFERROR(VLOOKUP(FJ41,CZ39:DR43,19,FALSE),IFERROR(VLOOKUP(FJ41,DT39:EL43,19,FALSE),VLOOKUP(FJ41,EN39:FF43,19,FALSE))))</f>
        <v>1</v>
      </c>
      <c r="FI41" s="13">
        <f>RANK(FH41,FH40:FH43,1)+COUNTIF(FH40:FH41,FH41)-1</f>
        <v>2</v>
      </c>
      <c r="FJ41" s="12" t="str">
        <f>BT41</f>
        <v>Curaçao</v>
      </c>
      <c r="FZ41" s="79">
        <v>39</v>
      </c>
      <c r="GA41" s="3" t="str">
        <f t="shared" si="72"/>
        <v>CGEDJFLI</v>
      </c>
      <c r="GB41" s="3" t="s">
        <v>75</v>
      </c>
      <c r="GC41" s="3" t="s">
        <v>60</v>
      </c>
      <c r="GD41" s="3" t="s">
        <v>59</v>
      </c>
      <c r="GE41" s="3" t="s">
        <v>58</v>
      </c>
      <c r="GF41" s="3" t="s">
        <v>69</v>
      </c>
      <c r="GG41" s="3" t="s">
        <v>21</v>
      </c>
      <c r="GH41" s="3" t="s">
        <v>63</v>
      </c>
      <c r="GI41" s="3" t="s">
        <v>61</v>
      </c>
      <c r="GJ41" s="9" t="str">
        <f t="shared" si="73"/>
        <v>Haiti</v>
      </c>
      <c r="GK41" s="9" t="str">
        <f t="shared" si="73"/>
        <v>Iran</v>
      </c>
      <c r="GL41" s="9" t="str">
        <f t="shared" si="73"/>
        <v>Elfenbenskusten</v>
      </c>
      <c r="GM41" s="9" t="str">
        <f t="shared" si="73"/>
        <v>Australien</v>
      </c>
      <c r="GN41" s="9" t="str">
        <f t="shared" si="73"/>
        <v>Österrike</v>
      </c>
      <c r="GO41" s="9" t="str">
        <f t="shared" si="73"/>
        <v>Sverige</v>
      </c>
      <c r="GP41" s="9" t="str">
        <f t="shared" si="73"/>
        <v>Ghana</v>
      </c>
      <c r="GQ41" s="9" t="str">
        <f t="shared" si="73"/>
        <v>Irak</v>
      </c>
      <c r="GR41" s="9" t="str">
        <f t="shared" si="75"/>
        <v/>
      </c>
      <c r="GX41" s="79"/>
    </row>
    <row r="42" spans="2:206" ht="14.25" customHeight="1" x14ac:dyDescent="0.25">
      <c r="B42" s="58">
        <v>33</v>
      </c>
      <c r="C42" s="59">
        <v>46193</v>
      </c>
      <c r="D42" s="60" t="s">
        <v>105</v>
      </c>
      <c r="E42" s="61" t="s">
        <v>66</v>
      </c>
      <c r="F42" s="62" t="s">
        <v>107</v>
      </c>
      <c r="G42" s="63"/>
      <c r="H42" s="64" t="s">
        <v>66</v>
      </c>
      <c r="I42" s="63"/>
      <c r="J42" s="65" t="str">
        <f t="shared" si="326"/>
        <v/>
      </c>
      <c r="K42" s="66">
        <f>IF(OR(G42="",I42="",'[1]Resultat &amp; tabell'!G42="",'[1]Resultat &amp; tabell'!I42=""),0,IF(G42='[1]Resultat &amp; tabell'!G42,2,0)+IF(I42='[1]Resultat &amp; tabell'!I42,2,0)+IF(J42='[1]Resultat &amp; tabell'!J42,2,0))</f>
        <v>0</v>
      </c>
      <c r="L42" s="67"/>
      <c r="M42" s="29">
        <f t="shared" si="279"/>
        <v>1</v>
      </c>
      <c r="N42" s="30">
        <v>3</v>
      </c>
      <c r="O42" s="83" t="str">
        <f>VLOOKUP(N42,FI40:FJ43,2,FALSE)</f>
        <v>Elfenbenskusten</v>
      </c>
      <c r="P42" s="84">
        <f>VLOOKUP($O42,$BT$40:$CA$43,2,FALSE)</f>
        <v>0</v>
      </c>
      <c r="Q42" s="84">
        <f>VLOOKUP($O42,$BT$40:$CA$43,3,FALSE)</f>
        <v>0</v>
      </c>
      <c r="R42" s="84">
        <f>VLOOKUP($O42,$BT$40:$CA$43,4,FALSE)</f>
        <v>0</v>
      </c>
      <c r="S42" s="84">
        <f>VLOOKUP($O42,$BT$40:$CA$43,5,FALSE)</f>
        <v>0</v>
      </c>
      <c r="T42" s="84">
        <f>VLOOKUP($O42,$BT$40:$CA$43,6,FALSE)</f>
        <v>0</v>
      </c>
      <c r="U42" s="84">
        <f>VLOOKUP($O42,$BT$40:$CA$43,7,FALSE)</f>
        <v>0</v>
      </c>
      <c r="V42" s="85">
        <f>VLOOKUP($O42,$BT$40:$CA$43,8,FALSE)</f>
        <v>0</v>
      </c>
      <c r="X42" s="1"/>
      <c r="AE42" s="72">
        <f t="shared" si="280"/>
        <v>46193</v>
      </c>
      <c r="AF42" s="72" t="str">
        <f t="shared" si="280"/>
        <v>Tyskland</v>
      </c>
      <c r="AG42" s="72" t="str">
        <f t="shared" si="280"/>
        <v>-</v>
      </c>
      <c r="AH42" s="72" t="str">
        <f t="shared" si="280"/>
        <v>Elfenbenskusten</v>
      </c>
      <c r="AI42" s="63" t="str">
        <f t="shared" si="281"/>
        <v/>
      </c>
      <c r="AJ42" s="58" t="str">
        <f t="shared" si="282"/>
        <v>-</v>
      </c>
      <c r="AK42" s="63" t="str">
        <f t="shared" si="283"/>
        <v/>
      </c>
      <c r="AL42" s="65" t="str">
        <f t="shared" si="284"/>
        <v/>
      </c>
      <c r="AM42" s="73"/>
      <c r="AN42" s="13">
        <f t="shared" si="285"/>
        <v>0</v>
      </c>
      <c r="AO42" s="13">
        <f t="shared" si="286"/>
        <v>0</v>
      </c>
      <c r="AP42" s="13">
        <f t="shared" si="287"/>
        <v>0</v>
      </c>
      <c r="AQ42" s="13">
        <f t="shared" si="288"/>
        <v>0</v>
      </c>
      <c r="AR42" s="13">
        <f t="shared" si="289"/>
        <v>0</v>
      </c>
      <c r="AS42" s="13">
        <f t="shared" si="290"/>
        <v>0</v>
      </c>
      <c r="AT42" s="13">
        <f t="shared" si="291"/>
        <v>0</v>
      </c>
      <c r="AU42" s="13">
        <f t="shared" si="292"/>
        <v>0</v>
      </c>
      <c r="AV42" s="13">
        <f t="shared" si="293"/>
        <v>0</v>
      </c>
      <c r="AW42" s="13">
        <f t="shared" si="294"/>
        <v>0</v>
      </c>
      <c r="AX42" s="13">
        <f t="shared" si="295"/>
        <v>0</v>
      </c>
      <c r="AY42" s="13">
        <f t="shared" si="296"/>
        <v>0</v>
      </c>
      <c r="AZ42" s="13">
        <f t="shared" si="297"/>
        <v>0</v>
      </c>
      <c r="BA42" s="13">
        <f t="shared" si="298"/>
        <v>0</v>
      </c>
      <c r="BB42" s="13">
        <f t="shared" si="299"/>
        <v>0</v>
      </c>
      <c r="BC42" s="13">
        <f t="shared" si="300"/>
        <v>0</v>
      </c>
      <c r="BD42" s="13">
        <f t="shared" si="301"/>
        <v>0</v>
      </c>
      <c r="BE42" s="13">
        <f t="shared" si="302"/>
        <v>0</v>
      </c>
      <c r="BF42" s="13">
        <f t="shared" si="303"/>
        <v>0</v>
      </c>
      <c r="BG42" s="13">
        <f t="shared" si="304"/>
        <v>0</v>
      </c>
      <c r="BH42" s="13">
        <f t="shared" si="305"/>
        <v>0</v>
      </c>
      <c r="BI42" s="13">
        <f t="shared" si="306"/>
        <v>0</v>
      </c>
      <c r="BJ42" s="13">
        <f t="shared" si="307"/>
        <v>0</v>
      </c>
      <c r="BK42" s="13">
        <f t="shared" si="308"/>
        <v>0</v>
      </c>
      <c r="BL42" s="13">
        <f t="shared" si="309"/>
        <v>0</v>
      </c>
      <c r="BM42" s="13">
        <f t="shared" si="310"/>
        <v>0</v>
      </c>
      <c r="BN42" s="13">
        <f t="shared" si="311"/>
        <v>0</v>
      </c>
      <c r="BO42" s="13">
        <f t="shared" si="312"/>
        <v>0</v>
      </c>
      <c r="BP42" s="13">
        <f t="shared" si="313"/>
        <v>0</v>
      </c>
      <c r="BQ42" s="13">
        <f t="shared" si="314"/>
        <v>0</v>
      </c>
      <c r="BT42" s="12" t="s">
        <v>107</v>
      </c>
      <c r="BU42" s="13">
        <f t="shared" si="315"/>
        <v>0</v>
      </c>
      <c r="BV42" s="13">
        <f t="shared" si="316"/>
        <v>0</v>
      </c>
      <c r="BW42" s="13">
        <f t="shared" si="317"/>
        <v>0</v>
      </c>
      <c r="BX42" s="13">
        <f t="shared" si="318"/>
        <v>0</v>
      </c>
      <c r="BY42" s="13">
        <f t="shared" si="319"/>
        <v>0</v>
      </c>
      <c r="BZ42" s="13">
        <f t="shared" si="320"/>
        <v>0</v>
      </c>
      <c r="CA42" s="13">
        <f t="shared" si="321"/>
        <v>0</v>
      </c>
      <c r="CB42" s="13" t="s">
        <v>59</v>
      </c>
      <c r="CC42" s="74">
        <f>RANK(CA42,CA40:CA43)</f>
        <v>1</v>
      </c>
      <c r="CD42" s="13">
        <f>SUMPRODUCT((CA40:CA43=CA42)*(BZ40:BZ43&gt;BZ42))</f>
        <v>0</v>
      </c>
      <c r="CF42" s="12" t="str">
        <f>IF(CC42=1,BT42,)</f>
        <v>Elfenbenskusten</v>
      </c>
      <c r="CG42" s="13">
        <f t="shared" si="322"/>
        <v>0</v>
      </c>
      <c r="CH42" s="13">
        <f t="shared" si="323"/>
        <v>0</v>
      </c>
      <c r="CI42" s="13">
        <f t="shared" si="324"/>
        <v>0</v>
      </c>
      <c r="CJ42" s="13">
        <f t="shared" si="325"/>
        <v>0</v>
      </c>
      <c r="CK42" s="13" t="str">
        <f t="shared" si="327"/>
        <v>E</v>
      </c>
      <c r="CL42" s="13">
        <f>IF(CF42&gt;0,RANK(CJ42,CJ40:CJ43),)</f>
        <v>1</v>
      </c>
      <c r="CM42" s="13">
        <f>IF(AND(CF42&gt;0,COUNTIF(CL40:CL43,CL42)&gt;1),SUMIFS($AI$4:$AI$108,$AF$4:$AF$108,$BT42,$M$4:$M$108,1)+SUMIFS($AK$4:$AK$108,$AH$4:$AH$108,$BT42,$M$4:$M$108,1)-SUMIFS($AK$4:$AK$108,$AF$4:$AF$108,$BT42,$M$4:$M$108,1)-SUMIFS($AI$4:$AI$108,$AH$4:$AH$108,$BT42,$M$4:$M$108,1),)</f>
        <v>0</v>
      </c>
      <c r="CN42" s="13">
        <f>IF(AND(CF42&gt;0,COUNTIF(CL40:CL43,CL42)&gt;1),CL42+RANK(CM42,CM40:CM43)-1,CL42)</f>
        <v>1</v>
      </c>
      <c r="CO42" s="13">
        <f>IF(AND(CF42&gt;0,COUNTIF(CN40:CN43,CN42)&gt;1),SUMIFS($AI$4:$AI$108,$AF$4:$AF$108,$BT42,$M$4:$M$108,1)+SUMIFS($AK$4:$AK$108,$AH$4:$AH$108,$BT42,$M$4:$M$108,1),)</f>
        <v>0</v>
      </c>
      <c r="CP42" s="13">
        <f>IF(AND(CF42&gt;0,COUNTIF(CN40:CN43,CN42)&gt;1),CN42+RANK(CO42,CO40:CO43)-1,CN42)</f>
        <v>1</v>
      </c>
      <c r="CQ42" s="13">
        <f t="shared" si="328"/>
        <v>1</v>
      </c>
      <c r="CR42" s="13">
        <f>IF(OR(CQ42="",COUNTIF(CQ40:CQ43,CQ42)=1),"",$BZ42)</f>
        <v>0</v>
      </c>
      <c r="CS42" s="13">
        <f>IF(CQ42="","",IF(COUNTIF(CQ40:CQ43,CQ42)=1,CQ42,CQ42+RANK(CR42,CR40:CR43,0)-1))</f>
        <v>1</v>
      </c>
      <c r="CT42" s="13">
        <f>IF(OR(CS42="",COUNTIF(CS40:CS43,CS42)=1),"",$BX42)</f>
        <v>0</v>
      </c>
      <c r="CU42" s="13">
        <f>IF(CQ42="","",IF(COUNTIF(CS40:CS43,CS42)=1,CS42,CS42+RANK(CT42,CT40:CT43,0)-1))</f>
        <v>1</v>
      </c>
      <c r="CV42" s="13">
        <f>IF(OR(CU42="",COUNTIF(CU40:CU43,CU42)=1),"",$BU42)</f>
        <v>0</v>
      </c>
      <c r="CW42" s="13">
        <f>IF(CQ42="","",IF(COUNTIF(CU40:CU43,CU42)=1,CU42,CU42+RANK(CV42,CV40:CV43,0)-1))</f>
        <v>1</v>
      </c>
      <c r="CX42" s="13">
        <f>IF(CF42&gt;0,BM38+RANK(CW42,CW40:CW43,1),)</f>
        <v>1</v>
      </c>
      <c r="CZ42" s="12">
        <f>IF(CC42=2,BT42,)</f>
        <v>0</v>
      </c>
      <c r="DA42" s="13">
        <f>(SUMIF($AF$4:$AF$108,$BT42,$AZ$4:$AZ$108)+SUMIF($AH$4:$AH$108,$BT42,$BA$4:$BA$108))</f>
        <v>0</v>
      </c>
      <c r="DB42" s="13">
        <f t="shared" si="329"/>
        <v>0</v>
      </c>
      <c r="DC42" s="13">
        <f t="shared" si="330"/>
        <v>0</v>
      </c>
      <c r="DD42" s="13">
        <f t="shared" si="331"/>
        <v>0</v>
      </c>
      <c r="DE42" s="13" t="str">
        <f t="shared" si="332"/>
        <v>E</v>
      </c>
      <c r="DF42" s="13">
        <f>IF(CZ42&gt;0,RANK(DD42,DD40:DD43)+CG38,)</f>
        <v>0</v>
      </c>
      <c r="DG42" s="13">
        <f>IF(AND(CZ42&gt;0,COUNTIF(DF40:DF43,DF42)&gt;1),SUMIFS($AI$4:$AI$108,$AF$4:$AF$108,$BT42,$M$4:$M$108,2)+SUMIFS($AK$4:$AK$108,$AH$4:$AH108,$BT42,$M$4:$M$108,2)-SUMIFS($AK$4:$AK$108,$AF$4:$AF$108,$BT42,$M$4:$M$108,2)-SUMIFS($AI$4:$AI$108,$AH$4:$AH$108,$BT42,$M$4:$M$108,2),)</f>
        <v>0</v>
      </c>
      <c r="DH42" s="13">
        <f>IF(AND(CZ42&gt;0,COUNTIF(DF40:DF43,DF42)&gt;1),DF42+RANK(DG42,DG40:DG43)-1,DF42)</f>
        <v>0</v>
      </c>
      <c r="DI42" s="13">
        <f>IF(AND(CZ42&gt;0,COUNTIF(DH40:DH43,DH42)&gt;1),SUMIFS($AI$4:$AI$108,$AF$4:$AF$108,$BT42,$M$4:$M$108,2)+SUMIFS($AK$4:$AK$108,$AH$4:$AH$108,$BT42,$M$4:$M$108,2),)</f>
        <v>0</v>
      </c>
      <c r="DJ42" s="13">
        <f>IF(AND(CZ42&gt;0,COUNTIF(DH40:DH43,DH42)&gt;1),DH42+RANK(DI42,DI40:DI43)-1,DH42)</f>
        <v>0</v>
      </c>
      <c r="DK42" s="75" t="str">
        <f t="shared" si="333"/>
        <v/>
      </c>
      <c r="DL42" s="75" t="str">
        <f>IF(OR(DK42="",COUNTIF(DK40:DK43,DK42)=1),"",$BZ42)</f>
        <v/>
      </c>
      <c r="DM42" s="75" t="str">
        <f>IF(DK42="","",IF(COUNTIF(DK40:DK43,DK42)=1,DK42,DK42+RANK(DL42,DL40:DL43,0)-1))</f>
        <v/>
      </c>
      <c r="DN42" s="75" t="str">
        <f>IF(OR(DM42="",COUNTIF(DM40:DM43,DM42)=1),"",$BX42)</f>
        <v/>
      </c>
      <c r="DO42" s="75" t="str">
        <f>IF(DK42="","",IF(COUNTIF(DM40:DM43,DM42)=1,DM42,DM42+RANK(DN42,DN40:DN43,0)-1))</f>
        <v/>
      </c>
      <c r="DP42" s="75" t="str">
        <f>IF(OR(DO42="",COUNTIF(DO40:DO43,DO42)=1),"",$BU42)</f>
        <v/>
      </c>
      <c r="DQ42" s="75" t="str">
        <f>IF(DK42="","",IF(COUNTIF(DO40:DO43,DO42)=1,DO42,DO42+RANK(DP42,DP40:DP43,0)-1))</f>
        <v/>
      </c>
      <c r="DR42" s="13">
        <f>IF(CZ42&gt;0,CG38+RANK(DQ42,DQ40:DQ43,1),)</f>
        <v>0</v>
      </c>
      <c r="DT42" s="13">
        <f>IF(CC42=3,BT42,)</f>
        <v>0</v>
      </c>
      <c r="DU42" s="13">
        <f t="shared" si="334"/>
        <v>0</v>
      </c>
      <c r="DV42" s="13">
        <f t="shared" si="335"/>
        <v>0</v>
      </c>
      <c r="DW42" s="13">
        <f t="shared" si="336"/>
        <v>0</v>
      </c>
      <c r="DX42" s="13">
        <f>IFERROR(DU42*3+DV42*1,0)</f>
        <v>0</v>
      </c>
      <c r="DY42" s="13" t="str">
        <f t="shared" si="337"/>
        <v>E</v>
      </c>
      <c r="DZ42" s="13">
        <f>IF(DT42&gt;0,RANK(DX42,DX40:DX43)+CG38+DA38,)</f>
        <v>0</v>
      </c>
      <c r="EA42" s="13">
        <f>IF(AND(DT42&gt;0,COUNTIF(DZ40:DZ43,DZ42)&gt;1),SUMIFS($AI$4:$AI$108,$AF$4:$AF$108,$BT42,$M$4:$M$108,3)+SUMIFS($AK$4:$AK$108,$AH$4:$AH$108,$BT42,$M$4:$M$108,3)-SUMIFS($AK$4:$AK$108,$AF$4:$AF$108,$BT42,$M$4:$M$108,3)-SUMIFS($AI$4:$AI$108,$AH$4:$AH$108,$BT42,$M$4:$M$108,3),)</f>
        <v>0</v>
      </c>
      <c r="EB42" s="13">
        <f>IF(AND(DT42&gt;0,COUNTIF(DZ40:DZ43,DZ42)&gt;1),DZ42+RANK(EA42,EA40:EA43)-1,DZ42)</f>
        <v>0</v>
      </c>
      <c r="EC42" s="13">
        <f>IF(AND(DT42&gt;0,COUNTIF(EB40:EB43,EB42)&gt;1),SUMIFS($AI$4:$AI$108,$AF$4:$AF$108,$BT42,$M$4:$M$108,3)+SUMIFS($AK$4:$AK$108,$AH$4:$AH$108,$BT42,$M$4:$M$108,3),)</f>
        <v>0</v>
      </c>
      <c r="ED42" s="13">
        <f>IF(AND(DT42&gt;0,COUNTIF(EB40:EB43,EB42)&gt;1),EB42+RANK(EC42,EC40:EC43)-1,EB42)</f>
        <v>0</v>
      </c>
      <c r="EE42" s="13" t="str">
        <f t="shared" si="338"/>
        <v/>
      </c>
      <c r="EF42" s="13" t="str">
        <f>IF(OR(EE42="",COUNTIF(EE40:EE43,EE42)=1),"",$BZ42)</f>
        <v/>
      </c>
      <c r="EG42" s="13" t="str">
        <f>IF(EE42="","",IF(COUNTIF(EE40:EE43,EE42)=1,EE42,EE42+RANK(EF42,EF40:EF43,0)-1))</f>
        <v/>
      </c>
      <c r="EH42" s="13" t="str">
        <f>IF(OR(EG42="",COUNTIF(EG40:EG43,EG42)=1),"",$BX42)</f>
        <v/>
      </c>
      <c r="EI42" s="13" t="str">
        <f>IF(EE42="","",IF(COUNTIF(EG40:EG43,EG42)=1,EG42,EG42+RANK(EH42,EH40:EH43,0)-1))</f>
        <v/>
      </c>
      <c r="EJ42" s="13" t="str">
        <f>IF(OR(EI42="",COUNTIF(EI40:EI43,EI42)=1),"",$BU42)</f>
        <v/>
      </c>
      <c r="EK42" s="13" t="str">
        <f>IF(EE42="","",IF(COUNTIF(EI40:EI43,EI42)=1,EI42,EI42+RANK(EJ42,EJ40:EJ43,0)-1))</f>
        <v/>
      </c>
      <c r="EL42" s="13">
        <f>IF(DT42&gt;0,CG38+DA38+RANK(EK42,EK40:EK43,1),)</f>
        <v>0</v>
      </c>
      <c r="EN42" s="13">
        <f>IF(CC42=4,BT42,)</f>
        <v>0</v>
      </c>
      <c r="EO42" s="13">
        <f t="shared" si="339"/>
        <v>0</v>
      </c>
      <c r="EP42" s="13">
        <f t="shared" si="340"/>
        <v>0</v>
      </c>
      <c r="EQ42" s="13">
        <f t="shared" si="341"/>
        <v>0</v>
      </c>
      <c r="ER42" s="13">
        <f t="shared" si="342"/>
        <v>0</v>
      </c>
      <c r="ES42" s="13" t="str">
        <f t="shared" si="343"/>
        <v>E</v>
      </c>
      <c r="ET42" s="13">
        <f>IF(EN42&gt;0,RANK(ER42,ER40:ER43)+CG38+DA38+DU38,)</f>
        <v>0</v>
      </c>
      <c r="EU42" s="13">
        <f>IF(AND(EN42&gt;0,COUNTIF(ET40:ET43,ET42)&gt;1),SUMIFS($AI$4:$AI$108,$AF$4:$AF$108,$BT42,$M$4:$M$108,4)+SUMIFS($AK$4:$AK$108,$AH$4:$AH$108,$BT42,$M$4:$M$108,4)-SUMIFS($AK$4:$AK$108,$AF$4:$AF$108,$BT42,$M$4:$M$108,4)-SUMIFS($AI$4:$AI$108,$AH$4:$AH$108,$BT42,$M$4:$M$108,4),)</f>
        <v>0</v>
      </c>
      <c r="EV42" s="13">
        <f>IF(AND(EN42&gt;0,COUNTIF(ET40:ET43,ET42)&gt;1),ET42+RANK(EU42,EU40:EU43)-1,ET42)</f>
        <v>0</v>
      </c>
      <c r="EW42" s="13">
        <f t="shared" si="344"/>
        <v>0</v>
      </c>
      <c r="EX42" s="13">
        <f>IF(AND(EN42&gt;0,COUNTIF(EV40:EV43,EV42)&gt;1),EV42+RANK(EW42,EW40:EW43)-1,EV42)</f>
        <v>0</v>
      </c>
      <c r="EY42" s="13" t="str">
        <f t="shared" si="345"/>
        <v/>
      </c>
      <c r="EZ42" s="13" t="str">
        <f>IF(OR(EY42="",COUNTIF(EY40:EY43,EY42)=1),"",$BZ42)</f>
        <v/>
      </c>
      <c r="FA42" s="13" t="str">
        <f>IF(EY42="","",IF(COUNTIF(EY40:EY43,EY42)=1,EY42,EY42+RANK(EZ42,EZ40:EZ43,0)-1))</f>
        <v/>
      </c>
      <c r="FB42" s="13" t="str">
        <f>IF(OR(FA42="",COUNTIF(FA40:FA43,FA42)=1),"",$BX42)</f>
        <v/>
      </c>
      <c r="FC42" s="13" t="str">
        <f>IF(EY42="","",IF(COUNTIF(FA40:FA43,FA42)=1,FA42,FA42+RANK(FB42,FB40:FB43,0)-1))</f>
        <v/>
      </c>
      <c r="FD42" s="13" t="str">
        <f>IF(OR(FC42="",COUNTIF(FC40:FC43,FC42)=1),"",$BU42)</f>
        <v/>
      </c>
      <c r="FE42" s="13" t="str">
        <f>IF(EY42="","",IF(COUNTIF(FC40:FC43,FC42)=1,FC42,FC42+RANK(FD42,FD40:FD43,0)-1))</f>
        <v/>
      </c>
      <c r="FF42" s="13">
        <f>IF(EN42&gt;0,CG38+DA38+DU38+RANK(FE42,FE40:FE43,1),)</f>
        <v>0</v>
      </c>
      <c r="FH42" s="13">
        <f>IFERROR(VLOOKUP(FJ42,CF39:CX43,19,FALSE),IFERROR(VLOOKUP(FJ42,CZ39:DR43,19,FALSE),IFERROR(VLOOKUP(FJ42,DT39:EL43,19,FALSE),VLOOKUP(FJ42,EN39:FF43,19,FALSE))))</f>
        <v>1</v>
      </c>
      <c r="FI42" s="13">
        <f>RANK(FH42,FH40:FH43,1)+COUNTIF(FH40:FH42,FH42)-1</f>
        <v>3</v>
      </c>
      <c r="FJ42" s="12" t="str">
        <f>BT42</f>
        <v>Elfenbenskusten</v>
      </c>
      <c r="FZ42" s="79">
        <v>40</v>
      </c>
      <c r="GA42" s="3" t="str">
        <f t="shared" si="72"/>
        <v>CGEDJFIK</v>
      </c>
      <c r="GB42" s="3" t="s">
        <v>75</v>
      </c>
      <c r="GC42" s="3" t="s">
        <v>60</v>
      </c>
      <c r="GD42" s="3" t="s">
        <v>59</v>
      </c>
      <c r="GE42" s="3" t="s">
        <v>58</v>
      </c>
      <c r="GF42" s="3" t="s">
        <v>69</v>
      </c>
      <c r="GG42" s="3" t="s">
        <v>21</v>
      </c>
      <c r="GH42" s="3" t="s">
        <v>61</v>
      </c>
      <c r="GI42" s="3" t="s">
        <v>62</v>
      </c>
      <c r="GJ42" s="9" t="str">
        <f t="shared" si="73"/>
        <v>Haiti</v>
      </c>
      <c r="GK42" s="9" t="str">
        <f t="shared" si="73"/>
        <v>Iran</v>
      </c>
      <c r="GL42" s="9" t="str">
        <f t="shared" si="73"/>
        <v>Elfenbenskusten</v>
      </c>
      <c r="GM42" s="9" t="str">
        <f t="shared" si="73"/>
        <v>Australien</v>
      </c>
      <c r="GN42" s="9" t="str">
        <f t="shared" si="73"/>
        <v>Österrike</v>
      </c>
      <c r="GO42" s="9" t="str">
        <f t="shared" si="73"/>
        <v>Sverige</v>
      </c>
      <c r="GP42" s="9" t="str">
        <f t="shared" si="73"/>
        <v>Irak</v>
      </c>
      <c r="GQ42" s="9" t="str">
        <f t="shared" si="73"/>
        <v>Uzbekistan</v>
      </c>
      <c r="GR42" s="9" t="str">
        <f t="shared" si="75"/>
        <v/>
      </c>
      <c r="GX42" s="79"/>
    </row>
    <row r="43" spans="2:206" ht="14.25" customHeight="1" x14ac:dyDescent="0.25">
      <c r="B43" s="58">
        <v>34</v>
      </c>
      <c r="C43" s="59">
        <v>46194</v>
      </c>
      <c r="D43" s="60" t="s">
        <v>108</v>
      </c>
      <c r="E43" s="61" t="s">
        <v>66</v>
      </c>
      <c r="F43" s="62" t="s">
        <v>106</v>
      </c>
      <c r="G43" s="63"/>
      <c r="H43" s="64" t="s">
        <v>66</v>
      </c>
      <c r="I43" s="63"/>
      <c r="J43" s="65" t="str">
        <f t="shared" si="326"/>
        <v/>
      </c>
      <c r="K43" s="66">
        <f>IF(OR(G43="",I43="",'[1]Resultat &amp; tabell'!G43="",'[1]Resultat &amp; tabell'!I43=""),0,IF(G43='[1]Resultat &amp; tabell'!G43,2,0)+IF(I43='[1]Resultat &amp; tabell'!I43,2,0)+IF(J43='[1]Resultat &amp; tabell'!J43,2,0))</f>
        <v>0</v>
      </c>
      <c r="L43" s="67"/>
      <c r="M43" s="29">
        <f t="shared" si="279"/>
        <v>1</v>
      </c>
      <c r="N43" s="30">
        <v>4</v>
      </c>
      <c r="O43" s="86" t="str">
        <f>VLOOKUP(N43,FI40:FJ43,2,FALSE)</f>
        <v>Ecuador</v>
      </c>
      <c r="P43" s="87">
        <f>VLOOKUP($O43,$BT$40:$CA$43,2,FALSE)</f>
        <v>0</v>
      </c>
      <c r="Q43" s="87">
        <f>VLOOKUP($O43,$BT$40:$CA$43,3,FALSE)</f>
        <v>0</v>
      </c>
      <c r="R43" s="87">
        <f>VLOOKUP($O43,$BT$40:$CA$43,4,FALSE)</f>
        <v>0</v>
      </c>
      <c r="S43" s="87">
        <f>VLOOKUP($O43,$BT$40:$CA$43,5,FALSE)</f>
        <v>0</v>
      </c>
      <c r="T43" s="87">
        <f>VLOOKUP($O43,$BT$40:$CA$43,6,FALSE)</f>
        <v>0</v>
      </c>
      <c r="U43" s="87">
        <f>VLOOKUP($O43,$BT$40:$CA$43,7,FALSE)</f>
        <v>0</v>
      </c>
      <c r="V43" s="82">
        <f>VLOOKUP($O43,$BT$40:$CA$43,8,FALSE)</f>
        <v>0</v>
      </c>
      <c r="X43" s="1"/>
      <c r="Y43" s="12"/>
      <c r="AE43" s="72">
        <f t="shared" si="280"/>
        <v>46194</v>
      </c>
      <c r="AF43" s="72" t="str">
        <f t="shared" si="280"/>
        <v>Ecuador</v>
      </c>
      <c r="AG43" s="72" t="str">
        <f t="shared" si="280"/>
        <v>-</v>
      </c>
      <c r="AH43" s="72" t="str">
        <f t="shared" si="280"/>
        <v>Curaçao</v>
      </c>
      <c r="AI43" s="63" t="str">
        <f t="shared" si="281"/>
        <v/>
      </c>
      <c r="AJ43" s="58" t="str">
        <f t="shared" si="282"/>
        <v>-</v>
      </c>
      <c r="AK43" s="63" t="str">
        <f t="shared" si="283"/>
        <v/>
      </c>
      <c r="AL43" s="65" t="str">
        <f t="shared" si="284"/>
        <v/>
      </c>
      <c r="AM43" s="73"/>
      <c r="AN43" s="13">
        <f t="shared" si="285"/>
        <v>0</v>
      </c>
      <c r="AO43" s="13">
        <f t="shared" si="286"/>
        <v>0</v>
      </c>
      <c r="AP43" s="13">
        <f t="shared" si="287"/>
        <v>0</v>
      </c>
      <c r="AQ43" s="13">
        <f t="shared" si="288"/>
        <v>0</v>
      </c>
      <c r="AR43" s="13">
        <f t="shared" si="289"/>
        <v>0</v>
      </c>
      <c r="AS43" s="13">
        <f t="shared" si="290"/>
        <v>0</v>
      </c>
      <c r="AT43" s="13">
        <f t="shared" si="291"/>
        <v>0</v>
      </c>
      <c r="AU43" s="13">
        <f t="shared" si="292"/>
        <v>0</v>
      </c>
      <c r="AV43" s="13">
        <f t="shared" si="293"/>
        <v>0</v>
      </c>
      <c r="AW43" s="13">
        <f t="shared" si="294"/>
        <v>0</v>
      </c>
      <c r="AX43" s="13">
        <f t="shared" si="295"/>
        <v>0</v>
      </c>
      <c r="AY43" s="13">
        <f t="shared" si="296"/>
        <v>0</v>
      </c>
      <c r="AZ43" s="13">
        <f t="shared" si="297"/>
        <v>0</v>
      </c>
      <c r="BA43" s="13">
        <f t="shared" si="298"/>
        <v>0</v>
      </c>
      <c r="BB43" s="13">
        <f t="shared" si="299"/>
        <v>0</v>
      </c>
      <c r="BC43" s="13">
        <f t="shared" si="300"/>
        <v>0</v>
      </c>
      <c r="BD43" s="13">
        <f t="shared" si="301"/>
        <v>0</v>
      </c>
      <c r="BE43" s="13">
        <f t="shared" si="302"/>
        <v>0</v>
      </c>
      <c r="BF43" s="13">
        <f t="shared" si="303"/>
        <v>0</v>
      </c>
      <c r="BG43" s="13">
        <f t="shared" si="304"/>
        <v>0</v>
      </c>
      <c r="BH43" s="13">
        <f t="shared" si="305"/>
        <v>0</v>
      </c>
      <c r="BI43" s="13">
        <f t="shared" si="306"/>
        <v>0</v>
      </c>
      <c r="BJ43" s="13">
        <f t="shared" si="307"/>
        <v>0</v>
      </c>
      <c r="BK43" s="13">
        <f t="shared" si="308"/>
        <v>0</v>
      </c>
      <c r="BL43" s="13">
        <f t="shared" si="309"/>
        <v>0</v>
      </c>
      <c r="BM43" s="13">
        <f t="shared" si="310"/>
        <v>0</v>
      </c>
      <c r="BN43" s="13">
        <f t="shared" si="311"/>
        <v>0</v>
      </c>
      <c r="BO43" s="13">
        <f t="shared" si="312"/>
        <v>0</v>
      </c>
      <c r="BP43" s="13">
        <f t="shared" si="313"/>
        <v>0</v>
      </c>
      <c r="BQ43" s="13">
        <f t="shared" si="314"/>
        <v>0</v>
      </c>
      <c r="BT43" s="88" t="s">
        <v>108</v>
      </c>
      <c r="BU43" s="13">
        <f t="shared" si="315"/>
        <v>0</v>
      </c>
      <c r="BV43" s="13">
        <f t="shared" si="316"/>
        <v>0</v>
      </c>
      <c r="BW43" s="13">
        <f t="shared" si="317"/>
        <v>0</v>
      </c>
      <c r="BX43" s="13">
        <f t="shared" si="318"/>
        <v>0</v>
      </c>
      <c r="BY43" s="13">
        <f t="shared" si="319"/>
        <v>0</v>
      </c>
      <c r="BZ43" s="13">
        <f t="shared" si="320"/>
        <v>0</v>
      </c>
      <c r="CA43" s="13">
        <f t="shared" si="321"/>
        <v>0</v>
      </c>
      <c r="CB43" s="89" t="s">
        <v>59</v>
      </c>
      <c r="CC43" s="74">
        <f>RANK(CA43,CA40:CA43)</f>
        <v>1</v>
      </c>
      <c r="CD43" s="13">
        <f>SUMPRODUCT((CA40:CA43=CA43)*(BZ40:BZ43&gt;BZ43))</f>
        <v>0</v>
      </c>
      <c r="CF43" s="88" t="str">
        <f>IF(CC43=1,BT43,)</f>
        <v>Ecuador</v>
      </c>
      <c r="CG43" s="13">
        <f t="shared" si="322"/>
        <v>0</v>
      </c>
      <c r="CH43" s="13">
        <f t="shared" si="323"/>
        <v>0</v>
      </c>
      <c r="CI43" s="13">
        <f t="shared" si="324"/>
        <v>0</v>
      </c>
      <c r="CJ43" s="13">
        <f t="shared" si="325"/>
        <v>0</v>
      </c>
      <c r="CK43" s="13" t="str">
        <f t="shared" si="327"/>
        <v>E</v>
      </c>
      <c r="CL43" s="13">
        <f>IF(CF43&gt;0,RANK(CJ43,CJ40:CJ43),)</f>
        <v>1</v>
      </c>
      <c r="CM43" s="13">
        <f>IF(AND(CF43&gt;0,COUNTIF(CL40:CL43,CL43)&gt;1),SUMIFS($AI$4:$AI$108,$AF$4:$AF$108,$BT43,$M$4:$M$108,1)+SUMIFS($AK$4:$AK$108,$AH$4:$AH$108,$BT43,$M$4:$M$108,1)-SUMIFS($AK$4:$AK$108,$AF$4:$AF$108,$BT43,$M$4:$M$108,1)-SUMIFS($AI$4:$AI$108,$AH$4:$AH$108,$BT43,$M$4:$M$108,1),)</f>
        <v>0</v>
      </c>
      <c r="CN43" s="13">
        <f>IF(AND(CF43&gt;0,COUNTIF(CL40:CL43,CL43)&gt;1),CL43+RANK(CM43,CM40:CM43)-1,CL43)</f>
        <v>1</v>
      </c>
      <c r="CO43" s="13">
        <f>IF(AND(CF43&gt;0,COUNTIF(CN40:CN43,CN43)&gt;1),SUMIFS($AI$4:$AI$108,$AF$4:$AF$108,$BT43,$M$4:$M$108,1)+SUMIFS($AK$4:$AK$108,$AH$4:$AH$108,$BT43,$M$4:$M$108,1),)</f>
        <v>0</v>
      </c>
      <c r="CP43" s="13">
        <f>IF(AND(CF43&gt;0,COUNTIF(CN40:CN43,CN43)&gt;1),CN43+RANK(CO43,CO40:CO43)-1,CN43)</f>
        <v>1</v>
      </c>
      <c r="CQ43" s="13">
        <f t="shared" si="328"/>
        <v>1</v>
      </c>
      <c r="CR43" s="13">
        <f>IF(OR(CQ43="",COUNTIF(CQ40:CQ43,CQ43)=1),"",$BZ43)</f>
        <v>0</v>
      </c>
      <c r="CS43" s="13">
        <f>IF(CQ43="","",IF(COUNTIF(CQ40:CQ43,CQ43)=1,CQ43,CQ43+RANK(CR43,CR40:CR43,0)-1))</f>
        <v>1</v>
      </c>
      <c r="CT43" s="13">
        <f>IF(OR(CS43="",COUNTIF(CS40:CS43,CS43)=1),"",$BX43)</f>
        <v>0</v>
      </c>
      <c r="CU43" s="13">
        <f>IF(CQ43="","",IF(COUNTIF(CS40:CS43,CS43)=1,CS43,CS43+RANK(CT43,CT40:CT43,0)-1))</f>
        <v>1</v>
      </c>
      <c r="CV43" s="13">
        <f>IF(OR(CU43="",COUNTIF(CU40:CU43,CU43)=1),"",$BU43)</f>
        <v>0</v>
      </c>
      <c r="CW43" s="13">
        <f>IF(CQ43="","",IF(COUNTIF(CU40:CU43,CU43)=1,CU43,CU43+RANK(CV43,CV40:CV43,0)-1))</f>
        <v>1</v>
      </c>
      <c r="CX43" s="13">
        <f>IF(CF43&gt;0,BM38+RANK(CW43,CW40:CW43,1),)</f>
        <v>1</v>
      </c>
      <c r="CZ43" s="88">
        <f>IF(CC43=2,BT43,)</f>
        <v>0</v>
      </c>
      <c r="DA43" s="13">
        <f>(SUMIF($AF$4:$AF$108,$BT43,$AZ$4:$AZ$108)+SUMIF($AH$4:$AH$108,$BT43,$BA$4:$BA$108))</f>
        <v>0</v>
      </c>
      <c r="DB43" s="13">
        <f t="shared" si="329"/>
        <v>0</v>
      </c>
      <c r="DC43" s="13">
        <f t="shared" si="330"/>
        <v>0</v>
      </c>
      <c r="DD43" s="13">
        <f t="shared" si="331"/>
        <v>0</v>
      </c>
      <c r="DE43" s="13" t="str">
        <f t="shared" si="332"/>
        <v>E</v>
      </c>
      <c r="DF43" s="13">
        <f>IF(CZ43&gt;0,RANK(DD43,DD40:DD43)+CG38,)</f>
        <v>0</v>
      </c>
      <c r="DG43" s="13">
        <f>IF(AND(CZ43&gt;0,COUNTIF(DF40:DF43,DF43)&gt;1),SUMIFS($AI$4:$AI$108,$AF$4:$AF$108,$BT43,$M$4:$M$108,2)+SUMIFS($AK$4:$AK$108,$AH$4:$AH108,$BT43,$M$4:$M$108,2)-SUMIFS($AK$4:$AK$108,$AF$4:$AF$108,$BT43,$M$4:$M$108,2)-SUMIFS($AI$4:$AI$108,$AH$4:$AH$108,$BT43,$M$4:$M$108,2),)</f>
        <v>0</v>
      </c>
      <c r="DH43" s="13">
        <f>IF(AND(CZ43&gt;0,COUNTIF(DF40:DF43,DF43)&gt;1),DF43+RANK(DG43,DG40:DG43)-1,DF43)</f>
        <v>0</v>
      </c>
      <c r="DI43" s="13">
        <f>IF(AND(CZ43&gt;0,COUNTIF(DH40:DH43,DH43)&gt;1),SUMIFS($AI$4:$AI$108,$AF$4:$AF$108,$BT43,$M$4:$M$108,2)+SUMIFS($AK$4:$AK$108,$AH$4:$AH$108,$BT43,$M$4:$M$108,2),)</f>
        <v>0</v>
      </c>
      <c r="DJ43" s="13">
        <f>IF(AND(CZ43&gt;0,COUNTIF(DH40:DH43,DH43)&gt;1),DH43+RANK(DI43,DI40:DI43)-1,DH43)</f>
        <v>0</v>
      </c>
      <c r="DK43" s="75" t="str">
        <f t="shared" si="333"/>
        <v/>
      </c>
      <c r="DL43" s="75" t="str">
        <f>IF(OR(DK43="",COUNTIF(DK40:DK43,DK43)=1),"",$BZ43)</f>
        <v/>
      </c>
      <c r="DM43" s="75" t="str">
        <f>IF(DK43="","",IF(COUNTIF(DK40:DK43,DK43)=1,DK43,DK43+RANK(DL43,DL40:DL43,0)-1))</f>
        <v/>
      </c>
      <c r="DN43" s="75" t="str">
        <f>IF(OR(DM43="",COUNTIF(DM40:DM43,DM43)=1),"",$BX43)</f>
        <v/>
      </c>
      <c r="DO43" s="75" t="str">
        <f>IF(DK43="","",IF(COUNTIF(DM40:DM43,DM43)=1,DM43,DM43+RANK(DN43,DN40:DN43,0)-1))</f>
        <v/>
      </c>
      <c r="DP43" s="75" t="str">
        <f>IF(OR(DO43="",COUNTIF(DO40:DO43,DO43)=1),"",$BU43)</f>
        <v/>
      </c>
      <c r="DQ43" s="75" t="str">
        <f>IF(DK43="","",IF(COUNTIF(DO40:DO43,DO43)=1,DO43,DO43+RANK(DP43,DP40:DP43,0)-1))</f>
        <v/>
      </c>
      <c r="DR43" s="13">
        <f>IF(CZ43&gt;0,CG38+RANK(DQ43,DQ40:DQ43,1),)</f>
        <v>0</v>
      </c>
      <c r="DT43" s="89">
        <f>IF(CC43=3,BT43,)</f>
        <v>0</v>
      </c>
      <c r="DU43" s="13">
        <f t="shared" si="334"/>
        <v>0</v>
      </c>
      <c r="DV43" s="13">
        <f t="shared" si="335"/>
        <v>0</v>
      </c>
      <c r="DW43" s="13">
        <f t="shared" si="336"/>
        <v>0</v>
      </c>
      <c r="DX43" s="13">
        <f>IFERROR(DU43*3+DV43*1,0)</f>
        <v>0</v>
      </c>
      <c r="DY43" s="13" t="str">
        <f t="shared" si="337"/>
        <v>E</v>
      </c>
      <c r="DZ43" s="13">
        <f>IF(DT43&gt;0,RANK(DX43,DX40:DX43)+CG38+DA38,)</f>
        <v>0</v>
      </c>
      <c r="EA43" s="13">
        <f>IF(AND(DT43&gt;0,COUNTIF(DZ40:DZ43,DZ43)&gt;1),SUMIFS($AI$4:$AI$108,$AF$4:$AF$108,$BT43,$M$4:$M$108,3)+SUMIFS($AK$4:$AK$108,$AH$4:$AH$108,$BT43,$M$4:$M$108,3)-SUMIFS($AK$4:$AK$108,$AF$4:$AF$108,$BT43,$M$4:$M$108,3)-SUMIFS($AI$4:$AI$108,$AH$4:$AH$108,$BT43,$M$4:$M$108,3),)</f>
        <v>0</v>
      </c>
      <c r="EB43" s="13">
        <f>IF(AND(DT43&gt;0,COUNTIF(DZ40:DZ43,DZ43)&gt;1),DZ43+RANK(EA43,EA40:EA43)-1,DZ43)</f>
        <v>0</v>
      </c>
      <c r="EC43" s="13">
        <f>IF(AND(DT43&gt;0,COUNTIF(EB40:EB43,EB43)&gt;1),SUMIFS($AI$4:$AI$108,$AF$4:$AF$108,$BT43,$M$4:$M$108,3)+SUMIFS($AK$4:$AK$108,$AH$4:$AH$108,$BT43,$M$4:$M$108,3),)</f>
        <v>0</v>
      </c>
      <c r="ED43" s="13">
        <f>IF(AND(DT43&gt;0,COUNTIF(EB40:EB43,EB43)&gt;1),EB43+RANK(EC43,EC40:EC43)-1,EB43)</f>
        <v>0</v>
      </c>
      <c r="EE43" s="13" t="str">
        <f t="shared" si="338"/>
        <v/>
      </c>
      <c r="EF43" s="13" t="str">
        <f>IF(OR(EE43="",COUNTIF(EE40:EE43,EE43)=1),"",$BZ43)</f>
        <v/>
      </c>
      <c r="EG43" s="13" t="str">
        <f>IF(EE43="","",IF(COUNTIF(EE40:EE43,EE43)=1,EE43,EE43+RANK(EF43,EF40:EF43,0)-1))</f>
        <v/>
      </c>
      <c r="EH43" s="13" t="str">
        <f>IF(OR(EG43="",COUNTIF(EG40:EG43,EG43)=1),"",$BX43)</f>
        <v/>
      </c>
      <c r="EI43" s="13" t="str">
        <f>IF(EE43="","",IF(COUNTIF(EG40:EG43,EG43)=1,EG43,EG43+RANK(EH43,EH40:EH43,0)-1))</f>
        <v/>
      </c>
      <c r="EJ43" s="13" t="str">
        <f>IF(OR(EI43="",COUNTIF(EI40:EI43,EI43)=1),"",$BU43)</f>
        <v/>
      </c>
      <c r="EK43" s="13" t="str">
        <f>IF(EE43="","",IF(COUNTIF(EI40:EI43,EI43)=1,EI43,EI43+RANK(EJ43,EJ40:EJ43,0)-1))</f>
        <v/>
      </c>
      <c r="EL43" s="13">
        <f>IF(DT43&gt;0,CG38+DA38+RANK(EK43,EK40:EK43,1),)</f>
        <v>0</v>
      </c>
      <c r="EN43" s="13">
        <f>IF(CC43=4,BT43,)</f>
        <v>0</v>
      </c>
      <c r="EO43" s="13">
        <f t="shared" si="339"/>
        <v>0</v>
      </c>
      <c r="EP43" s="13">
        <f t="shared" si="340"/>
        <v>0</v>
      </c>
      <c r="EQ43" s="13">
        <f t="shared" si="341"/>
        <v>0</v>
      </c>
      <c r="ER43" s="13">
        <f t="shared" si="342"/>
        <v>0</v>
      </c>
      <c r="ES43" s="13" t="str">
        <f t="shared" si="343"/>
        <v>E</v>
      </c>
      <c r="ET43" s="13">
        <f>IF(EN43&gt;0,RANK(ER43,ER40:ER43)+CG38+DA38+DU38,)</f>
        <v>0</v>
      </c>
      <c r="EU43" s="13">
        <f>IF(AND(EN43&gt;0,COUNTIF(ET40:ET43,ET43)&gt;1),SUMIFS($AI$4:$AI$108,$AF$4:$AF$108,$BT43,$M$4:$M$108,4)+SUMIFS($AK$4:$AK$108,$AH$4:$AH$108,$BT43,$M$4:$M$108,4)-SUMIFS($AK$4:$AK$108,$AF$4:$AF$108,$BT43,$M$4:$M$108,4)-SUMIFS($AI$4:$AI$108,$AH$4:$AH$108,$BT43,$M$4:$M$108,4),)</f>
        <v>0</v>
      </c>
      <c r="EV43" s="13">
        <f>IF(AND(EN43&gt;0,COUNTIF(ET40:ET43,ET43)&gt;1),ET43+RANK(EU43,EU40:EU43)-1,ET43)</f>
        <v>0</v>
      </c>
      <c r="EW43" s="13">
        <f t="shared" si="344"/>
        <v>0</v>
      </c>
      <c r="EX43" s="13">
        <f>IF(AND(EN43&gt;0,COUNTIF(EV40:EV43,EV43)&gt;1),EV43+RANK(EW43,EW40:EW43)-1,EV43)</f>
        <v>0</v>
      </c>
      <c r="EY43" s="13" t="str">
        <f t="shared" si="345"/>
        <v/>
      </c>
      <c r="EZ43" s="13" t="str">
        <f>IF(OR(EY43="",COUNTIF(EY40:EY43,EY43)=1),"",$BZ43)</f>
        <v/>
      </c>
      <c r="FA43" s="13" t="str">
        <f>IF(EY43="","",IF(COUNTIF(EY40:EY43,EY43)=1,EY43,EY43+RANK(EZ43,EZ40:EZ43,0)-1))</f>
        <v/>
      </c>
      <c r="FB43" s="13" t="str">
        <f>IF(OR(FA43="",COUNTIF(FA40:FA43,FA43)=1),"",$BX43)</f>
        <v/>
      </c>
      <c r="FC43" s="13" t="str">
        <f>IF(EY43="","",IF(COUNTIF(FA40:FA43,FA43)=1,FA43,FA43+RANK(FB43,FB40:FB43,0)-1))</f>
        <v/>
      </c>
      <c r="FD43" s="13" t="str">
        <f>IF(OR(FC43="",COUNTIF(FC40:FC43,FC43)=1),"",$BU43)</f>
        <v/>
      </c>
      <c r="FE43" s="13" t="str">
        <f>IF(EY43="","",IF(COUNTIF(FC40:FC43,FC43)=1,FC43,FC43+RANK(FD43,FD40:FD43,0)-1))</f>
        <v/>
      </c>
      <c r="FF43" s="13">
        <f>IF(EN43&gt;0,CG38+DA38+DU38+RANK(FE43,FE40:FE43,1),)</f>
        <v>0</v>
      </c>
      <c r="FH43" s="13">
        <f>IFERROR(VLOOKUP(FJ43,CF39:CX43,19,FALSE),IFERROR(VLOOKUP(FJ43,CZ39:DR43,19,FALSE),IFERROR(VLOOKUP(FJ43,DT39:EL43,19,FALSE),VLOOKUP(FJ43,EN39:FF43,19,FALSE))))</f>
        <v>1</v>
      </c>
      <c r="FI43" s="13">
        <f>RANK(FH43,FH40:FH43,1)+COUNTIF(FH40:FH43,FH43)-1</f>
        <v>4</v>
      </c>
      <c r="FJ43" s="12" t="str">
        <f>BT43</f>
        <v>Ecuador</v>
      </c>
      <c r="FZ43" s="79">
        <v>41</v>
      </c>
      <c r="GA43" s="3" t="str">
        <f t="shared" si="72"/>
        <v>CGEDHFLK</v>
      </c>
      <c r="GB43" s="3" t="s">
        <v>75</v>
      </c>
      <c r="GC43" s="3" t="s">
        <v>60</v>
      </c>
      <c r="GD43" s="3" t="s">
        <v>59</v>
      </c>
      <c r="GE43" s="3" t="s">
        <v>58</v>
      </c>
      <c r="GF43" s="3" t="s">
        <v>70</v>
      </c>
      <c r="GG43" s="3" t="s">
        <v>21</v>
      </c>
      <c r="GH43" s="3" t="s">
        <v>63</v>
      </c>
      <c r="GI43" s="3" t="s">
        <v>62</v>
      </c>
      <c r="GJ43" s="9" t="str">
        <f t="shared" si="73"/>
        <v>Haiti</v>
      </c>
      <c r="GK43" s="9" t="str">
        <f t="shared" si="73"/>
        <v>Iran</v>
      </c>
      <c r="GL43" s="9" t="str">
        <f t="shared" si="73"/>
        <v>Elfenbenskusten</v>
      </c>
      <c r="GM43" s="9" t="str">
        <f t="shared" si="73"/>
        <v>Australien</v>
      </c>
      <c r="GN43" s="9" t="str">
        <f t="shared" si="73"/>
        <v>Saudiarabien</v>
      </c>
      <c r="GO43" s="9" t="str">
        <f t="shared" si="73"/>
        <v>Sverige</v>
      </c>
      <c r="GP43" s="9" t="str">
        <f t="shared" si="73"/>
        <v>Ghana</v>
      </c>
      <c r="GQ43" s="9" t="str">
        <f t="shared" si="73"/>
        <v>Uzbekistan</v>
      </c>
      <c r="GR43" s="9" t="str">
        <f t="shared" si="75"/>
        <v/>
      </c>
      <c r="GX43" s="79"/>
    </row>
    <row r="44" spans="2:206" ht="14.25" customHeight="1" x14ac:dyDescent="0.25">
      <c r="B44" s="58">
        <v>55</v>
      </c>
      <c r="C44" s="59">
        <v>46198</v>
      </c>
      <c r="D44" s="60" t="s">
        <v>106</v>
      </c>
      <c r="E44" s="61" t="s">
        <v>66</v>
      </c>
      <c r="F44" s="62" t="s">
        <v>107</v>
      </c>
      <c r="G44" s="63"/>
      <c r="H44" s="64" t="s">
        <v>66</v>
      </c>
      <c r="I44" s="63"/>
      <c r="J44" s="65" t="str">
        <f t="shared" si="326"/>
        <v/>
      </c>
      <c r="K44" s="66">
        <f>IF(OR(G44="",I44="",'[1]Resultat &amp; tabell'!G44="",'[1]Resultat &amp; tabell'!I44=""),0,IF(G44='[1]Resultat &amp; tabell'!G44,2,0)+IF(I44='[1]Resultat &amp; tabell'!I44,2,0)+IF(J44='[1]Resultat &amp; tabell'!J44,2,0))</f>
        <v>0</v>
      </c>
      <c r="L44" s="67"/>
      <c r="M44" s="29">
        <f t="shared" si="279"/>
        <v>1</v>
      </c>
      <c r="O44" s="91" t="str">
        <f>IF(COUNTBLANK(G40:G45)+COUNTBLANK(I40:I45)=0,"Resultat OK","Fyll i resultat")</f>
        <v>Fyll i resultat</v>
      </c>
      <c r="P44" s="92"/>
      <c r="Q44" s="92"/>
      <c r="R44" s="92"/>
      <c r="S44" s="92"/>
      <c r="T44" s="92"/>
      <c r="U44" s="92"/>
      <c r="V44" s="3"/>
      <c r="X44" s="1"/>
      <c r="AE44" s="72">
        <f t="shared" si="280"/>
        <v>46198</v>
      </c>
      <c r="AF44" s="72" t="str">
        <f t="shared" si="280"/>
        <v>Curaçao</v>
      </c>
      <c r="AG44" s="72" t="str">
        <f t="shared" si="280"/>
        <v>-</v>
      </c>
      <c r="AH44" s="72" t="str">
        <f t="shared" si="280"/>
        <v>Elfenbenskusten</v>
      </c>
      <c r="AI44" s="63" t="str">
        <f t="shared" si="281"/>
        <v/>
      </c>
      <c r="AJ44" s="58" t="str">
        <f t="shared" si="282"/>
        <v>-</v>
      </c>
      <c r="AK44" s="63" t="str">
        <f t="shared" si="283"/>
        <v/>
      </c>
      <c r="AL44" s="65" t="str">
        <f t="shared" si="284"/>
        <v/>
      </c>
      <c r="AM44" s="73"/>
      <c r="AN44" s="13">
        <f t="shared" si="285"/>
        <v>0</v>
      </c>
      <c r="AO44" s="13">
        <f t="shared" si="286"/>
        <v>0</v>
      </c>
      <c r="AP44" s="13">
        <f t="shared" si="287"/>
        <v>0</v>
      </c>
      <c r="AQ44" s="13">
        <f t="shared" si="288"/>
        <v>0</v>
      </c>
      <c r="AR44" s="13">
        <f t="shared" si="289"/>
        <v>0</v>
      </c>
      <c r="AS44" s="13">
        <f t="shared" si="290"/>
        <v>0</v>
      </c>
      <c r="AT44" s="13">
        <f t="shared" si="291"/>
        <v>0</v>
      </c>
      <c r="AU44" s="13">
        <f t="shared" si="292"/>
        <v>0</v>
      </c>
      <c r="AV44" s="13">
        <f t="shared" si="293"/>
        <v>0</v>
      </c>
      <c r="AW44" s="13">
        <f t="shared" si="294"/>
        <v>0</v>
      </c>
      <c r="AX44" s="13">
        <f t="shared" si="295"/>
        <v>0</v>
      </c>
      <c r="AY44" s="13">
        <f t="shared" si="296"/>
        <v>0</v>
      </c>
      <c r="AZ44" s="13">
        <f t="shared" si="297"/>
        <v>0</v>
      </c>
      <c r="BA44" s="13">
        <f t="shared" si="298"/>
        <v>0</v>
      </c>
      <c r="BB44" s="13">
        <f t="shared" si="299"/>
        <v>0</v>
      </c>
      <c r="BC44" s="13">
        <f t="shared" si="300"/>
        <v>0</v>
      </c>
      <c r="BD44" s="13">
        <f t="shared" si="301"/>
        <v>0</v>
      </c>
      <c r="BE44" s="13">
        <f t="shared" si="302"/>
        <v>0</v>
      </c>
      <c r="BF44" s="13">
        <f t="shared" si="303"/>
        <v>0</v>
      </c>
      <c r="BG44" s="13">
        <f t="shared" si="304"/>
        <v>0</v>
      </c>
      <c r="BH44" s="13">
        <f t="shared" si="305"/>
        <v>0</v>
      </c>
      <c r="BI44" s="13">
        <f t="shared" si="306"/>
        <v>0</v>
      </c>
      <c r="BJ44" s="13">
        <f t="shared" si="307"/>
        <v>0</v>
      </c>
      <c r="BK44" s="13">
        <f t="shared" si="308"/>
        <v>0</v>
      </c>
      <c r="BL44" s="13">
        <f t="shared" si="309"/>
        <v>0</v>
      </c>
      <c r="BM44" s="13">
        <f t="shared" si="310"/>
        <v>0</v>
      </c>
      <c r="BN44" s="13">
        <f t="shared" si="311"/>
        <v>0</v>
      </c>
      <c r="BO44" s="13">
        <f t="shared" si="312"/>
        <v>0</v>
      </c>
      <c r="BP44" s="13">
        <f t="shared" si="313"/>
        <v>0</v>
      </c>
      <c r="BQ44" s="13">
        <f t="shared" si="314"/>
        <v>0</v>
      </c>
      <c r="FZ44" s="79">
        <v>42</v>
      </c>
      <c r="GA44" s="3" t="str">
        <f t="shared" si="72"/>
        <v>CGJDHFLE</v>
      </c>
      <c r="GB44" s="3" t="s">
        <v>75</v>
      </c>
      <c r="GC44" s="3" t="s">
        <v>60</v>
      </c>
      <c r="GD44" s="3" t="s">
        <v>69</v>
      </c>
      <c r="GE44" s="3" t="s">
        <v>58</v>
      </c>
      <c r="GF44" s="3" t="s">
        <v>70</v>
      </c>
      <c r="GG44" s="3" t="s">
        <v>21</v>
      </c>
      <c r="GH44" s="3" t="s">
        <v>63</v>
      </c>
      <c r="GI44" s="3" t="s">
        <v>59</v>
      </c>
      <c r="GJ44" s="9" t="str">
        <f t="shared" si="73"/>
        <v>Haiti</v>
      </c>
      <c r="GK44" s="9" t="str">
        <f t="shared" si="73"/>
        <v>Iran</v>
      </c>
      <c r="GL44" s="9" t="str">
        <f t="shared" si="73"/>
        <v>Österrike</v>
      </c>
      <c r="GM44" s="9" t="str">
        <f t="shared" si="73"/>
        <v>Australien</v>
      </c>
      <c r="GN44" s="9" t="str">
        <f t="shared" si="73"/>
        <v>Saudiarabien</v>
      </c>
      <c r="GO44" s="9" t="str">
        <f t="shared" si="73"/>
        <v>Sverige</v>
      </c>
      <c r="GP44" s="9" t="str">
        <f t="shared" si="73"/>
        <v>Ghana</v>
      </c>
      <c r="GQ44" s="9" t="str">
        <f t="shared" si="73"/>
        <v>Elfenbenskusten</v>
      </c>
      <c r="GR44" s="9" t="str">
        <f t="shared" si="75"/>
        <v/>
      </c>
      <c r="GX44" s="79"/>
    </row>
    <row r="45" spans="2:206" ht="14.25" customHeight="1" x14ac:dyDescent="0.25">
      <c r="B45" s="58">
        <v>56</v>
      </c>
      <c r="C45" s="59">
        <v>46198</v>
      </c>
      <c r="D45" s="60" t="s">
        <v>108</v>
      </c>
      <c r="E45" s="61" t="s">
        <v>66</v>
      </c>
      <c r="F45" s="62" t="s">
        <v>105</v>
      </c>
      <c r="G45" s="63"/>
      <c r="H45" s="64" t="s">
        <v>66</v>
      </c>
      <c r="I45" s="63"/>
      <c r="J45" s="65" t="str">
        <f t="shared" si="326"/>
        <v/>
      </c>
      <c r="K45" s="66">
        <f>IF(OR(G45="",I45="",'[1]Resultat &amp; tabell'!G45="",'[1]Resultat &amp; tabell'!I45=""),0,IF(G45='[1]Resultat &amp; tabell'!G45,2,0)+IF(I45='[1]Resultat &amp; tabell'!I45,2,0)+IF(J45='[1]Resultat &amp; tabell'!J45,2,0))</f>
        <v>0</v>
      </c>
      <c r="L45" s="67"/>
      <c r="M45" s="29">
        <f t="shared" si="279"/>
        <v>1</v>
      </c>
      <c r="V45" s="3"/>
      <c r="AE45" s="72">
        <f t="shared" si="280"/>
        <v>46198</v>
      </c>
      <c r="AF45" s="72" t="str">
        <f t="shared" si="280"/>
        <v>Ecuador</v>
      </c>
      <c r="AG45" s="72" t="str">
        <f t="shared" si="280"/>
        <v>-</v>
      </c>
      <c r="AH45" s="72" t="str">
        <f t="shared" si="280"/>
        <v>Tyskland</v>
      </c>
      <c r="AI45" s="63" t="str">
        <f t="shared" si="281"/>
        <v/>
      </c>
      <c r="AJ45" s="58" t="str">
        <f t="shared" si="282"/>
        <v>-</v>
      </c>
      <c r="AK45" s="63" t="str">
        <f t="shared" si="283"/>
        <v/>
      </c>
      <c r="AL45" s="65" t="str">
        <f t="shared" si="284"/>
        <v/>
      </c>
      <c r="AM45" s="73"/>
      <c r="AN45" s="13">
        <f t="shared" si="285"/>
        <v>0</v>
      </c>
      <c r="AO45" s="13">
        <f t="shared" si="286"/>
        <v>0</v>
      </c>
      <c r="AP45" s="13">
        <f t="shared" si="287"/>
        <v>0</v>
      </c>
      <c r="AQ45" s="13">
        <f t="shared" si="288"/>
        <v>0</v>
      </c>
      <c r="AR45" s="13">
        <f t="shared" si="289"/>
        <v>0</v>
      </c>
      <c r="AS45" s="13">
        <f t="shared" si="290"/>
        <v>0</v>
      </c>
      <c r="AT45" s="13">
        <f t="shared" si="291"/>
        <v>0</v>
      </c>
      <c r="AU45" s="13">
        <f t="shared" si="292"/>
        <v>0</v>
      </c>
      <c r="AV45" s="13">
        <f t="shared" si="293"/>
        <v>0</v>
      </c>
      <c r="AW45" s="13">
        <f t="shared" si="294"/>
        <v>0</v>
      </c>
      <c r="AX45" s="13">
        <f t="shared" si="295"/>
        <v>0</v>
      </c>
      <c r="AY45" s="13">
        <f t="shared" si="296"/>
        <v>0</v>
      </c>
      <c r="AZ45" s="13">
        <f t="shared" si="297"/>
        <v>0</v>
      </c>
      <c r="BA45" s="13">
        <f t="shared" si="298"/>
        <v>0</v>
      </c>
      <c r="BB45" s="13">
        <f t="shared" si="299"/>
        <v>0</v>
      </c>
      <c r="BC45" s="13">
        <f t="shared" si="300"/>
        <v>0</v>
      </c>
      <c r="BD45" s="13">
        <f t="shared" si="301"/>
        <v>0</v>
      </c>
      <c r="BE45" s="13">
        <f t="shared" si="302"/>
        <v>0</v>
      </c>
      <c r="BF45" s="13">
        <f t="shared" si="303"/>
        <v>0</v>
      </c>
      <c r="BG45" s="13">
        <f t="shared" si="304"/>
        <v>0</v>
      </c>
      <c r="BH45" s="13">
        <f t="shared" si="305"/>
        <v>0</v>
      </c>
      <c r="BI45" s="13">
        <f t="shared" si="306"/>
        <v>0</v>
      </c>
      <c r="BJ45" s="13">
        <f t="shared" si="307"/>
        <v>0</v>
      </c>
      <c r="BK45" s="13">
        <f t="shared" si="308"/>
        <v>0</v>
      </c>
      <c r="BL45" s="13">
        <f t="shared" si="309"/>
        <v>0</v>
      </c>
      <c r="BM45" s="13">
        <f t="shared" si="310"/>
        <v>0</v>
      </c>
      <c r="BN45" s="13">
        <f t="shared" si="311"/>
        <v>0</v>
      </c>
      <c r="BO45" s="13">
        <f t="shared" si="312"/>
        <v>0</v>
      </c>
      <c r="BP45" s="13">
        <f t="shared" si="313"/>
        <v>0</v>
      </c>
      <c r="BQ45" s="13">
        <f t="shared" si="314"/>
        <v>0</v>
      </c>
      <c r="FZ45" s="79">
        <v>43</v>
      </c>
      <c r="GA45" s="3" t="str">
        <f t="shared" si="72"/>
        <v>CGJDHFEK</v>
      </c>
      <c r="GB45" s="3" t="s">
        <v>75</v>
      </c>
      <c r="GC45" s="3" t="s">
        <v>60</v>
      </c>
      <c r="GD45" s="3" t="s">
        <v>69</v>
      </c>
      <c r="GE45" s="3" t="s">
        <v>58</v>
      </c>
      <c r="GF45" s="3" t="s">
        <v>70</v>
      </c>
      <c r="GG45" s="3" t="s">
        <v>21</v>
      </c>
      <c r="GH45" s="3" t="s">
        <v>59</v>
      </c>
      <c r="GI45" s="3" t="s">
        <v>62</v>
      </c>
      <c r="GJ45" s="9" t="str">
        <f t="shared" si="73"/>
        <v>Haiti</v>
      </c>
      <c r="GK45" s="9" t="str">
        <f t="shared" si="73"/>
        <v>Iran</v>
      </c>
      <c r="GL45" s="9" t="str">
        <f t="shared" si="73"/>
        <v>Österrike</v>
      </c>
      <c r="GM45" s="9" t="str">
        <f t="shared" si="73"/>
        <v>Australien</v>
      </c>
      <c r="GN45" s="9" t="str">
        <f t="shared" si="73"/>
        <v>Saudiarabien</v>
      </c>
      <c r="GO45" s="9" t="str">
        <f t="shared" si="73"/>
        <v>Sverige</v>
      </c>
      <c r="GP45" s="9" t="str">
        <f t="shared" si="73"/>
        <v>Elfenbenskusten</v>
      </c>
      <c r="GQ45" s="9" t="str">
        <f t="shared" si="73"/>
        <v>Uzbekistan</v>
      </c>
      <c r="GR45" s="9" t="str">
        <f t="shared" si="75"/>
        <v/>
      </c>
      <c r="GX45" s="79"/>
    </row>
    <row r="46" spans="2:206" ht="14.25" customHeight="1" x14ac:dyDescent="0.25">
      <c r="C46" s="94"/>
      <c r="J46" s="23"/>
      <c r="K46" s="16"/>
      <c r="L46" s="49"/>
      <c r="V46" s="3"/>
      <c r="AE46" s="111"/>
      <c r="AF46" s="112"/>
      <c r="AG46" s="113"/>
      <c r="AH46" s="113"/>
      <c r="AL46" s="23"/>
      <c r="AM46" s="16"/>
      <c r="FZ46" s="79">
        <v>44</v>
      </c>
      <c r="GA46" s="3" t="str">
        <f t="shared" si="72"/>
        <v>CGEDHFLI</v>
      </c>
      <c r="GB46" s="3" t="s">
        <v>75</v>
      </c>
      <c r="GC46" s="3" t="s">
        <v>60</v>
      </c>
      <c r="GD46" s="3" t="s">
        <v>59</v>
      </c>
      <c r="GE46" s="3" t="s">
        <v>58</v>
      </c>
      <c r="GF46" s="3" t="s">
        <v>70</v>
      </c>
      <c r="GG46" s="3" t="s">
        <v>21</v>
      </c>
      <c r="GH46" s="3" t="s">
        <v>63</v>
      </c>
      <c r="GI46" s="3" t="s">
        <v>61</v>
      </c>
      <c r="GJ46" s="9" t="str">
        <f t="shared" si="73"/>
        <v>Haiti</v>
      </c>
      <c r="GK46" s="9" t="str">
        <f t="shared" si="73"/>
        <v>Iran</v>
      </c>
      <c r="GL46" s="9" t="str">
        <f t="shared" si="73"/>
        <v>Elfenbenskusten</v>
      </c>
      <c r="GM46" s="9" t="str">
        <f t="shared" si="73"/>
        <v>Australien</v>
      </c>
      <c r="GN46" s="9" t="str">
        <f t="shared" si="73"/>
        <v>Saudiarabien</v>
      </c>
      <c r="GO46" s="9" t="str">
        <f t="shared" si="73"/>
        <v>Sverige</v>
      </c>
      <c r="GP46" s="9" t="str">
        <f t="shared" si="73"/>
        <v>Ghana</v>
      </c>
      <c r="GQ46" s="9" t="str">
        <f t="shared" si="73"/>
        <v>Irak</v>
      </c>
      <c r="GR46" s="9" t="str">
        <f t="shared" si="75"/>
        <v/>
      </c>
      <c r="GX46" s="79"/>
    </row>
    <row r="47" spans="2:206" s="104" customFormat="1" ht="14.25" customHeight="1" x14ac:dyDescent="0.25">
      <c r="B47" s="19" t="s">
        <v>109</v>
      </c>
      <c r="C47" s="97"/>
      <c r="D47" s="98"/>
      <c r="E47" s="33"/>
      <c r="F47" s="98"/>
      <c r="G47" s="25"/>
      <c r="H47" s="25"/>
      <c r="I47" s="25"/>
      <c r="J47" s="23"/>
      <c r="K47" s="16"/>
      <c r="L47" s="49"/>
      <c r="M47" s="103"/>
      <c r="N47" s="103"/>
      <c r="O47" s="19" t="s">
        <v>109</v>
      </c>
      <c r="V47" s="33"/>
      <c r="X47" s="33"/>
      <c r="Y47" s="33"/>
      <c r="Z47" s="33"/>
      <c r="AA47" s="33"/>
      <c r="AB47" s="132"/>
      <c r="AC47" s="133"/>
      <c r="AE47" s="32" t="s">
        <v>109</v>
      </c>
      <c r="AF47" s="9"/>
      <c r="AG47" s="9"/>
      <c r="AH47" s="9"/>
      <c r="AI47" s="33"/>
      <c r="AJ47" s="33"/>
      <c r="AK47" s="33"/>
      <c r="AL47" s="23"/>
      <c r="AM47" s="16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2"/>
      <c r="BS47" s="12"/>
      <c r="BT47" s="39" t="s">
        <v>4</v>
      </c>
      <c r="BU47" s="34"/>
      <c r="BV47" s="34"/>
      <c r="BW47" s="34"/>
      <c r="BX47" s="34"/>
      <c r="BY47" s="34"/>
      <c r="BZ47" s="34"/>
      <c r="CA47" s="34"/>
      <c r="CB47" s="39"/>
      <c r="CC47" s="34"/>
      <c r="CD47" s="34"/>
      <c r="CE47" s="12"/>
      <c r="CF47" s="40" t="s">
        <v>5</v>
      </c>
      <c r="CG47" s="35">
        <f>COUNTIF(CC49:CC52,1)</f>
        <v>4</v>
      </c>
      <c r="CH47" s="35"/>
      <c r="CI47" s="35"/>
      <c r="CJ47" s="35"/>
      <c r="CK47" s="35"/>
      <c r="CL47" s="35"/>
      <c r="CM47" s="35"/>
      <c r="CN47" s="35"/>
      <c r="CO47" s="35"/>
      <c r="CP47" s="35"/>
      <c r="CQ47" s="13"/>
      <c r="CR47" s="13"/>
      <c r="CS47" s="13"/>
      <c r="CT47" s="13"/>
      <c r="CU47" s="13"/>
      <c r="CV47" s="13"/>
      <c r="CW47" s="13"/>
      <c r="CX47" s="13"/>
      <c r="CY47" s="12"/>
      <c r="CZ47" s="41" t="s">
        <v>8</v>
      </c>
      <c r="DA47" s="36">
        <f>COUNTIF(CC49:CC52,2)</f>
        <v>0</v>
      </c>
      <c r="DB47" s="36"/>
      <c r="DC47" s="36"/>
      <c r="DD47" s="36"/>
      <c r="DE47" s="36"/>
      <c r="DF47" s="36"/>
      <c r="DG47" s="36"/>
      <c r="DH47" s="36"/>
      <c r="DI47" s="36"/>
      <c r="DJ47" s="41"/>
      <c r="DK47" s="12"/>
      <c r="DL47" s="12"/>
      <c r="DM47" s="12"/>
      <c r="DN47" s="12"/>
      <c r="DO47" s="12"/>
      <c r="DP47" s="12"/>
      <c r="DQ47" s="12"/>
      <c r="DR47" s="12"/>
      <c r="DS47" s="12"/>
      <c r="DT47" s="37" t="s">
        <v>6</v>
      </c>
      <c r="DU47" s="37">
        <f>COUNTIF(CC49:CC52,3)</f>
        <v>0</v>
      </c>
      <c r="DV47" s="37"/>
      <c r="DW47" s="37"/>
      <c r="DX47" s="37"/>
      <c r="DY47" s="37"/>
      <c r="DZ47" s="37"/>
      <c r="EA47" s="37"/>
      <c r="EB47" s="37"/>
      <c r="EC47" s="37"/>
      <c r="ED47" s="37"/>
      <c r="EE47" s="13"/>
      <c r="EF47" s="13"/>
      <c r="EG47" s="13"/>
      <c r="EH47" s="13"/>
      <c r="EI47" s="13"/>
      <c r="EJ47" s="13"/>
      <c r="EK47" s="13"/>
      <c r="EL47" s="13"/>
      <c r="EM47" s="12"/>
      <c r="EN47" s="38" t="s">
        <v>7</v>
      </c>
      <c r="EO47" s="38">
        <f>COUNTIF(CC49:CC52,4)</f>
        <v>0</v>
      </c>
      <c r="EP47" s="38"/>
      <c r="EQ47" s="38"/>
      <c r="ER47" s="38"/>
      <c r="ES47" s="38"/>
      <c r="ET47" s="38"/>
      <c r="EU47" s="38"/>
      <c r="EV47" s="38"/>
      <c r="EW47" s="38"/>
      <c r="EX47" s="38"/>
      <c r="EY47" s="13"/>
      <c r="EZ47" s="13"/>
      <c r="FA47" s="13"/>
      <c r="FB47" s="13"/>
      <c r="FC47" s="13"/>
      <c r="FD47" s="13"/>
      <c r="FE47" s="13"/>
      <c r="FF47" s="13"/>
      <c r="FG47" s="12"/>
      <c r="FH47" s="13"/>
      <c r="FI47" s="13"/>
      <c r="FJ47" s="12"/>
      <c r="FZ47" s="79">
        <v>45</v>
      </c>
      <c r="GA47" s="3" t="str">
        <f t="shared" si="72"/>
        <v>CGEDHFIK</v>
      </c>
      <c r="GB47" s="3" t="s">
        <v>75</v>
      </c>
      <c r="GC47" s="3" t="s">
        <v>60</v>
      </c>
      <c r="GD47" s="3" t="s">
        <v>59</v>
      </c>
      <c r="GE47" s="3" t="s">
        <v>58</v>
      </c>
      <c r="GF47" s="3" t="s">
        <v>70</v>
      </c>
      <c r="GG47" s="3" t="s">
        <v>21</v>
      </c>
      <c r="GH47" s="3" t="s">
        <v>61</v>
      </c>
      <c r="GI47" s="3" t="s">
        <v>62</v>
      </c>
      <c r="GJ47" s="9" t="str">
        <f t="shared" si="73"/>
        <v>Haiti</v>
      </c>
      <c r="GK47" s="9" t="str">
        <f t="shared" si="73"/>
        <v>Iran</v>
      </c>
      <c r="GL47" s="9" t="str">
        <f t="shared" si="73"/>
        <v>Elfenbenskusten</v>
      </c>
      <c r="GM47" s="9" t="str">
        <f t="shared" si="73"/>
        <v>Australien</v>
      </c>
      <c r="GN47" s="9" t="str">
        <f t="shared" si="73"/>
        <v>Saudiarabien</v>
      </c>
      <c r="GO47" s="9" t="str">
        <f t="shared" si="73"/>
        <v>Sverige</v>
      </c>
      <c r="GP47" s="9" t="str">
        <f t="shared" si="73"/>
        <v>Irak</v>
      </c>
      <c r="GQ47" s="9" t="str">
        <f t="shared" si="73"/>
        <v>Uzbekistan</v>
      </c>
      <c r="GR47" s="9" t="str">
        <f t="shared" si="75"/>
        <v/>
      </c>
      <c r="GX47" s="23"/>
    </row>
    <row r="48" spans="2:206" s="104" customFormat="1" ht="14.25" customHeight="1" x14ac:dyDescent="0.25">
      <c r="B48" s="117" t="s">
        <v>12</v>
      </c>
      <c r="C48" s="107" t="s">
        <v>13</v>
      </c>
      <c r="D48" s="181" t="s">
        <v>12</v>
      </c>
      <c r="E48" s="182"/>
      <c r="F48" s="183"/>
      <c r="G48" s="184" t="s">
        <v>14</v>
      </c>
      <c r="H48" s="184"/>
      <c r="I48" s="184"/>
      <c r="J48" s="47" t="s">
        <v>15</v>
      </c>
      <c r="K48" s="48" t="s">
        <v>16</v>
      </c>
      <c r="L48" s="49"/>
      <c r="M48" s="103"/>
      <c r="N48" s="103"/>
      <c r="O48" s="51" t="s">
        <v>18</v>
      </c>
      <c r="P48" s="52" t="s">
        <v>19</v>
      </c>
      <c r="Q48" s="52" t="s">
        <v>20</v>
      </c>
      <c r="R48" s="52" t="s">
        <v>21</v>
      </c>
      <c r="S48" s="52" t="s">
        <v>22</v>
      </c>
      <c r="T48" s="52" t="s">
        <v>23</v>
      </c>
      <c r="U48" s="52" t="s">
        <v>24</v>
      </c>
      <c r="V48" s="53" t="s">
        <v>25</v>
      </c>
      <c r="X48" s="19"/>
      <c r="Y48" s="33"/>
      <c r="Z48"/>
      <c r="AA48" s="33"/>
      <c r="AB48" s="132"/>
      <c r="AC48" s="133"/>
      <c r="AE48" s="51" t="s">
        <v>13</v>
      </c>
      <c r="AF48" s="193" t="s">
        <v>12</v>
      </c>
      <c r="AG48" s="193"/>
      <c r="AH48" s="193"/>
      <c r="AI48" s="182" t="s">
        <v>14</v>
      </c>
      <c r="AJ48" s="182"/>
      <c r="AK48" s="182"/>
      <c r="AL48" s="47" t="s">
        <v>28</v>
      </c>
      <c r="AM48" s="16"/>
      <c r="AN48" s="34" t="s">
        <v>29</v>
      </c>
      <c r="AO48" s="34" t="s">
        <v>30</v>
      </c>
      <c r="AP48" s="34" t="s">
        <v>31</v>
      </c>
      <c r="AQ48" s="34" t="s">
        <v>32</v>
      </c>
      <c r="AR48" s="34" t="s">
        <v>33</v>
      </c>
      <c r="AS48" s="34" t="s">
        <v>34</v>
      </c>
      <c r="AT48" s="35" t="s">
        <v>29</v>
      </c>
      <c r="AU48" s="35" t="s">
        <v>30</v>
      </c>
      <c r="AV48" s="35" t="s">
        <v>31</v>
      </c>
      <c r="AW48" s="35" t="s">
        <v>32</v>
      </c>
      <c r="AX48" s="35" t="s">
        <v>33</v>
      </c>
      <c r="AY48" s="35" t="s">
        <v>34</v>
      </c>
      <c r="AZ48" s="36" t="s">
        <v>29</v>
      </c>
      <c r="BA48" s="36" t="s">
        <v>30</v>
      </c>
      <c r="BB48" s="36" t="s">
        <v>31</v>
      </c>
      <c r="BC48" s="36" t="s">
        <v>32</v>
      </c>
      <c r="BD48" s="36" t="s">
        <v>33</v>
      </c>
      <c r="BE48" s="36" t="s">
        <v>34</v>
      </c>
      <c r="BF48" s="37" t="s">
        <v>29</v>
      </c>
      <c r="BG48" s="37" t="s">
        <v>30</v>
      </c>
      <c r="BH48" s="37" t="s">
        <v>31</v>
      </c>
      <c r="BI48" s="37" t="s">
        <v>32</v>
      </c>
      <c r="BJ48" s="37" t="s">
        <v>33</v>
      </c>
      <c r="BK48" s="37" t="s">
        <v>34</v>
      </c>
      <c r="BL48" s="38" t="s">
        <v>29</v>
      </c>
      <c r="BM48" s="38" t="s">
        <v>30</v>
      </c>
      <c r="BN48" s="38" t="s">
        <v>31</v>
      </c>
      <c r="BO48" s="38" t="s">
        <v>32</v>
      </c>
      <c r="BP48" s="38" t="s">
        <v>33</v>
      </c>
      <c r="BQ48" s="38" t="s">
        <v>34</v>
      </c>
      <c r="BR48" s="12"/>
      <c r="BS48" s="12"/>
      <c r="BT48" s="39" t="s">
        <v>18</v>
      </c>
      <c r="BU48" s="34" t="s">
        <v>19</v>
      </c>
      <c r="BV48" s="34" t="s">
        <v>20</v>
      </c>
      <c r="BW48" s="34" t="s">
        <v>21</v>
      </c>
      <c r="BX48" s="34" t="s">
        <v>22</v>
      </c>
      <c r="BY48" s="34" t="s">
        <v>23</v>
      </c>
      <c r="BZ48" s="34" t="s">
        <v>24</v>
      </c>
      <c r="CA48" s="34" t="s">
        <v>25</v>
      </c>
      <c r="CB48" s="39" t="s">
        <v>35</v>
      </c>
      <c r="CC48" s="34" t="s">
        <v>36</v>
      </c>
      <c r="CD48" s="34" t="s">
        <v>37</v>
      </c>
      <c r="CE48" s="12"/>
      <c r="CF48" s="40" t="s">
        <v>18</v>
      </c>
      <c r="CG48" s="35" t="s">
        <v>19</v>
      </c>
      <c r="CH48" s="35" t="s">
        <v>20</v>
      </c>
      <c r="CI48" s="35" t="s">
        <v>21</v>
      </c>
      <c r="CJ48" s="35" t="s">
        <v>25</v>
      </c>
      <c r="CK48" s="35" t="s">
        <v>35</v>
      </c>
      <c r="CL48" s="35" t="s">
        <v>36</v>
      </c>
      <c r="CM48" s="56" t="s">
        <v>24</v>
      </c>
      <c r="CN48" s="56" t="s">
        <v>38</v>
      </c>
      <c r="CO48" s="56" t="s">
        <v>22</v>
      </c>
      <c r="CP48" s="56" t="s">
        <v>39</v>
      </c>
      <c r="CQ48" s="35" t="s">
        <v>40</v>
      </c>
      <c r="CR48" s="56" t="s">
        <v>41</v>
      </c>
      <c r="CS48" s="56" t="s">
        <v>42</v>
      </c>
      <c r="CT48" s="56" t="s">
        <v>43</v>
      </c>
      <c r="CU48" s="56" t="s">
        <v>44</v>
      </c>
      <c r="CV48" s="56" t="s">
        <v>45</v>
      </c>
      <c r="CW48" s="56" t="s">
        <v>46</v>
      </c>
      <c r="CX48" s="35" t="s">
        <v>47</v>
      </c>
      <c r="CY48" s="12"/>
      <c r="CZ48" s="41" t="s">
        <v>18</v>
      </c>
      <c r="DA48" s="36" t="s">
        <v>19</v>
      </c>
      <c r="DB48" s="36" t="s">
        <v>20</v>
      </c>
      <c r="DC48" s="36" t="s">
        <v>21</v>
      </c>
      <c r="DD48" s="36" t="s">
        <v>25</v>
      </c>
      <c r="DE48" s="36" t="s">
        <v>35</v>
      </c>
      <c r="DF48" s="36" t="s">
        <v>36</v>
      </c>
      <c r="DG48" s="36" t="s">
        <v>24</v>
      </c>
      <c r="DH48" s="36" t="s">
        <v>38</v>
      </c>
      <c r="DI48" s="36" t="s">
        <v>22</v>
      </c>
      <c r="DJ48" s="41" t="s">
        <v>39</v>
      </c>
      <c r="DK48" s="41" t="s">
        <v>40</v>
      </c>
      <c r="DL48" s="41" t="s">
        <v>41</v>
      </c>
      <c r="DM48" s="41" t="s">
        <v>42</v>
      </c>
      <c r="DN48" s="41" t="s">
        <v>43</v>
      </c>
      <c r="DO48" s="41" t="s">
        <v>44</v>
      </c>
      <c r="DP48" s="41" t="s">
        <v>45</v>
      </c>
      <c r="DQ48" s="41" t="s">
        <v>46</v>
      </c>
      <c r="DR48" s="41" t="s">
        <v>47</v>
      </c>
      <c r="DS48" s="12"/>
      <c r="DT48" s="37" t="s">
        <v>18</v>
      </c>
      <c r="DU48" s="37" t="s">
        <v>19</v>
      </c>
      <c r="DV48" s="37" t="s">
        <v>20</v>
      </c>
      <c r="DW48" s="37" t="s">
        <v>21</v>
      </c>
      <c r="DX48" s="37" t="s">
        <v>25</v>
      </c>
      <c r="DY48" s="37" t="s">
        <v>35</v>
      </c>
      <c r="DZ48" s="37" t="s">
        <v>36</v>
      </c>
      <c r="EA48" s="37" t="s">
        <v>24</v>
      </c>
      <c r="EB48" s="37" t="s">
        <v>38</v>
      </c>
      <c r="EC48" s="37" t="s">
        <v>22</v>
      </c>
      <c r="ED48" s="37" t="s">
        <v>39</v>
      </c>
      <c r="EE48" s="37" t="s">
        <v>40</v>
      </c>
      <c r="EF48" s="37" t="s">
        <v>41</v>
      </c>
      <c r="EG48" s="37" t="s">
        <v>42</v>
      </c>
      <c r="EH48" s="37" t="s">
        <v>43</v>
      </c>
      <c r="EI48" s="37" t="s">
        <v>44</v>
      </c>
      <c r="EJ48" s="37" t="s">
        <v>45</v>
      </c>
      <c r="EK48" s="37" t="s">
        <v>46</v>
      </c>
      <c r="EL48" s="37" t="s">
        <v>47</v>
      </c>
      <c r="EM48" s="12"/>
      <c r="EN48" s="38" t="s">
        <v>18</v>
      </c>
      <c r="EO48" s="38" t="s">
        <v>19</v>
      </c>
      <c r="EP48" s="38" t="s">
        <v>20</v>
      </c>
      <c r="EQ48" s="38" t="s">
        <v>21</v>
      </c>
      <c r="ER48" s="38" t="s">
        <v>25</v>
      </c>
      <c r="ES48" s="38" t="s">
        <v>35</v>
      </c>
      <c r="ET48" s="38" t="s">
        <v>36</v>
      </c>
      <c r="EU48" s="38" t="s">
        <v>24</v>
      </c>
      <c r="EV48" s="38" t="s">
        <v>38</v>
      </c>
      <c r="EW48" s="38" t="s">
        <v>22</v>
      </c>
      <c r="EX48" s="38" t="s">
        <v>39</v>
      </c>
      <c r="EY48" s="38" t="s">
        <v>40</v>
      </c>
      <c r="EZ48" s="38" t="s">
        <v>41</v>
      </c>
      <c r="FA48" s="38" t="s">
        <v>42</v>
      </c>
      <c r="FB48" s="38" t="s">
        <v>43</v>
      </c>
      <c r="FC48" s="38" t="s">
        <v>44</v>
      </c>
      <c r="FD48" s="38" t="s">
        <v>45</v>
      </c>
      <c r="FE48" s="38" t="s">
        <v>46</v>
      </c>
      <c r="FF48" s="38" t="s">
        <v>47</v>
      </c>
      <c r="FG48" s="12"/>
      <c r="FH48" s="38" t="s">
        <v>48</v>
      </c>
      <c r="FI48" s="38" t="s">
        <v>49</v>
      </c>
      <c r="FJ48" s="12"/>
      <c r="FZ48" s="79">
        <v>46</v>
      </c>
      <c r="GA48" s="3" t="str">
        <f t="shared" si="72"/>
        <v>CGJDHFEI</v>
      </c>
      <c r="GB48" s="3" t="s">
        <v>75</v>
      </c>
      <c r="GC48" s="3" t="s">
        <v>60</v>
      </c>
      <c r="GD48" s="3" t="s">
        <v>69</v>
      </c>
      <c r="GE48" s="3" t="s">
        <v>58</v>
      </c>
      <c r="GF48" s="3" t="s">
        <v>70</v>
      </c>
      <c r="GG48" s="3" t="s">
        <v>21</v>
      </c>
      <c r="GH48" s="3" t="s">
        <v>59</v>
      </c>
      <c r="GI48" s="3" t="s">
        <v>61</v>
      </c>
      <c r="GJ48" s="9" t="str">
        <f t="shared" si="73"/>
        <v>Haiti</v>
      </c>
      <c r="GK48" s="9" t="str">
        <f t="shared" si="73"/>
        <v>Iran</v>
      </c>
      <c r="GL48" s="9" t="str">
        <f t="shared" si="73"/>
        <v>Österrike</v>
      </c>
      <c r="GM48" s="9" t="str">
        <f t="shared" si="73"/>
        <v>Australien</v>
      </c>
      <c r="GN48" s="9" t="str">
        <f t="shared" si="73"/>
        <v>Saudiarabien</v>
      </c>
      <c r="GO48" s="9" t="str">
        <f t="shared" si="73"/>
        <v>Sverige</v>
      </c>
      <c r="GP48" s="9" t="str">
        <f t="shared" si="73"/>
        <v>Elfenbenskusten</v>
      </c>
      <c r="GQ48" s="9" t="str">
        <f t="shared" si="73"/>
        <v>Irak</v>
      </c>
      <c r="GR48" s="9" t="str">
        <f t="shared" si="75"/>
        <v/>
      </c>
      <c r="GX48" s="23"/>
    </row>
    <row r="49" spans="2:206" ht="14.25" customHeight="1" x14ac:dyDescent="0.25">
      <c r="B49" s="58">
        <v>11</v>
      </c>
      <c r="C49" s="59">
        <v>46187</v>
      </c>
      <c r="D49" s="60" t="s">
        <v>110</v>
      </c>
      <c r="E49" s="61" t="s">
        <v>66</v>
      </c>
      <c r="F49" s="62" t="s">
        <v>111</v>
      </c>
      <c r="G49" s="63"/>
      <c r="H49" s="64" t="s">
        <v>66</v>
      </c>
      <c r="I49" s="63"/>
      <c r="J49" s="65" t="str">
        <f>IF(OR(ISBLANK(G49),ISBLANK(I49)),"",IF(G49&gt;I49,1,IF(G49&lt;I49,2,"X")))</f>
        <v/>
      </c>
      <c r="K49" s="66">
        <f>IF(OR(G49="",I49="",'[1]Resultat &amp; tabell'!G49="",'[1]Resultat &amp; tabell'!I49=""),0,IF(G49='[1]Resultat &amp; tabell'!G49,2,0)+IF(I49='[1]Resultat &amp; tabell'!I49,2,0)+IF(J49='[1]Resultat &amp; tabell'!J49,2,0))</f>
        <v>0</v>
      </c>
      <c r="L49" s="67"/>
      <c r="M49" s="29">
        <f t="shared" ref="M49:M54" si="346">IF(VLOOKUP(D49,$BT$48:$CC$52,10,FALSE)=VLOOKUP(F49,$BT$48:$CC$52,10,FALSE),VLOOKUP(D49,$BT$48:$CC$52,10,FALSE),"-")</f>
        <v>1</v>
      </c>
      <c r="N49" s="30">
        <v>1</v>
      </c>
      <c r="O49" s="68" t="str">
        <f>VLOOKUP(N49,FI49:FJ52,2,FALSE)</f>
        <v>Nederländerna</v>
      </c>
      <c r="P49" s="69">
        <f>VLOOKUP($O49,$BT$49:$CA$52,2,FALSE)</f>
        <v>0</v>
      </c>
      <c r="Q49" s="69">
        <f>VLOOKUP($O49,$BT$49:$CA$52,3,FALSE)</f>
        <v>0</v>
      </c>
      <c r="R49" s="69">
        <f>VLOOKUP($O49,$BT$49:$CA$52,4,FALSE)</f>
        <v>0</v>
      </c>
      <c r="S49" s="69">
        <f>VLOOKUP($O49,$BT$49:$CA$52,5,FALSE)</f>
        <v>0</v>
      </c>
      <c r="T49" s="69">
        <f>VLOOKUP($O49,$BT$49:$CA$52,6,FALSE)</f>
        <v>0</v>
      </c>
      <c r="U49" s="69">
        <f>VLOOKUP($O49,$BT$49:$CA$52,7,FALSE)</f>
        <v>0</v>
      </c>
      <c r="V49" s="70">
        <f>VLOOKUP($O49,$BT$49:$CA$52,8,FALSE)</f>
        <v>0</v>
      </c>
      <c r="X49" s="1"/>
      <c r="AE49" s="72">
        <f t="shared" ref="AE49:AH54" si="347">C49</f>
        <v>46187</v>
      </c>
      <c r="AF49" s="72" t="str">
        <f t="shared" si="347"/>
        <v>Nederländerna</v>
      </c>
      <c r="AG49" s="72" t="str">
        <f t="shared" si="347"/>
        <v>-</v>
      </c>
      <c r="AH49" s="72" t="str">
        <f t="shared" si="347"/>
        <v>Japan</v>
      </c>
      <c r="AI49" s="63" t="str">
        <f t="shared" ref="AI49:AI54" si="348">IF(G49="","",G49)</f>
        <v/>
      </c>
      <c r="AJ49" s="58" t="str">
        <f t="shared" ref="AJ49:AJ54" si="349">H49</f>
        <v>-</v>
      </c>
      <c r="AK49" s="63" t="str">
        <f t="shared" ref="AK49:AK54" si="350">IF(I49="","",I49)</f>
        <v/>
      </c>
      <c r="AL49" s="65" t="str">
        <f t="shared" ref="AL49:AL54" si="351">J49</f>
        <v/>
      </c>
      <c r="AM49" s="73"/>
      <c r="AN49" s="13">
        <f t="shared" ref="AN49:AN54" si="352">IF(AI49&gt;AK49,1,0)</f>
        <v>0</v>
      </c>
      <c r="AO49" s="13">
        <f t="shared" ref="AO49:AO54" si="353">IF(AK49&gt;AI49,1,0)</f>
        <v>0</v>
      </c>
      <c r="AP49" s="13">
        <f t="shared" ref="AP49:AP54" si="354">IF(AND(AI49=AK49,AI49&lt;&gt;""),1,0)</f>
        <v>0</v>
      </c>
      <c r="AQ49" s="13">
        <f t="shared" ref="AQ49:AQ54" si="355">IF(AND(AI49=AK49,AI49&lt;&gt;""),1,0)</f>
        <v>0</v>
      </c>
      <c r="AR49" s="13">
        <f t="shared" ref="AR49:AR54" si="356">IF(AI49&lt;AK49,1,0)</f>
        <v>0</v>
      </c>
      <c r="AS49" s="13">
        <f t="shared" ref="AS49:AS54" si="357">IF(AK49&lt;AI49,1,)</f>
        <v>0</v>
      </c>
      <c r="AT49" s="13">
        <f t="shared" ref="AT49:AT54" si="358">IF(ISERROR(VLOOKUP(AF49,CF:CF,1,FALSE)),0,1)*IF(ISERROR(VLOOKUP(AH49,CF:CF,1,FALSE)),0,1)*AN49</f>
        <v>0</v>
      </c>
      <c r="AU49" s="13">
        <f t="shared" ref="AU49:AU54" si="359">IF(ISERROR(VLOOKUP(AF49,CF:CF,1,FALSE)),0,1)*IF(ISERROR(VLOOKUP(AH49,CF:CF,1,FALSE)),0,1)*AO49</f>
        <v>0</v>
      </c>
      <c r="AV49" s="13">
        <f t="shared" ref="AV49:AV54" si="360">IF(ISERROR(VLOOKUP(AF49,CF:CF,1,FALSE)),0,1)*IF(ISERROR(VLOOKUP(AH49,CF:CF,1,FALSE)),0,1)*AP49</f>
        <v>0</v>
      </c>
      <c r="AW49" s="13">
        <f t="shared" ref="AW49:AW54" si="361">IF(ISERROR(VLOOKUP(AF49,CF:CF,1,FALSE)),0,1)*IF(ISERROR(VLOOKUP(AH49,CF:CF,1,FALSE)),0,1)*AQ49</f>
        <v>0</v>
      </c>
      <c r="AX49" s="13">
        <f t="shared" ref="AX49:AX54" si="362">IF(ISERROR(VLOOKUP(AF49,CF:CF,1,FALSE)),0,1)*IF(ISERROR(VLOOKUP(AH49,CF:CF,1,FALSE)),0,1)*AR49</f>
        <v>0</v>
      </c>
      <c r="AY49" s="13">
        <f t="shared" ref="AY49:AY54" si="363">IF(ISERROR(VLOOKUP(AF49,CF:CF,1,FALSE)),0,1)*IF(ISERROR(VLOOKUP(AH49,CF:CF,1,FALSE)),0,1)*AS49</f>
        <v>0</v>
      </c>
      <c r="AZ49" s="13">
        <f t="shared" ref="AZ49:AZ54" si="364">IF(ISERROR(VLOOKUP(AF49,CZ:CZ,1,FALSE)),0,1)*IF(ISERROR(VLOOKUP(AH49,CZ:CZ,1,FALSE)),0,1)*AN49</f>
        <v>0</v>
      </c>
      <c r="BA49" s="13">
        <f t="shared" ref="BA49:BA54" si="365">IF(ISERROR(VLOOKUP(AF49,CZ:CZ,1,FALSE)),0,1)*IF(ISERROR(VLOOKUP(AH49,CZ:CZ,1,FALSE)),0,1)*AO49</f>
        <v>0</v>
      </c>
      <c r="BB49" s="13">
        <f t="shared" ref="BB49:BB54" si="366">IF(ISERROR(VLOOKUP(AF49,CZ:CZ,1,FALSE)),0,1)*IF(ISERROR(VLOOKUP(AH49,CZ:CZ,1,FALSE)),0,1)*AP49</f>
        <v>0</v>
      </c>
      <c r="BC49" s="13">
        <f t="shared" ref="BC49:BC54" si="367">IF(ISERROR(VLOOKUP(AF49,CZ:CZ,1,FALSE)),0,1)*IF(ISERROR(VLOOKUP(AH49,CZ:CZ,1,FALSE)),0,1)*AQ49</f>
        <v>0</v>
      </c>
      <c r="BD49" s="13">
        <f t="shared" ref="BD49:BD54" si="368">IF(ISERROR(VLOOKUP(AF49,CZ:CZ,1,FALSE)),0,1)*IF(ISERROR(VLOOKUP(AH49,CZ:CZ,1,FALSE)),0,1)*AR49</f>
        <v>0</v>
      </c>
      <c r="BE49" s="13">
        <f t="shared" ref="BE49:BE54" si="369">IF(ISERROR(VLOOKUP(AF49,CZ:CZ,1,FALSE)),0,1)*IF(ISERROR(VLOOKUP(AH49,CZ:CZ,1,FALSE)),0,1)*AS49</f>
        <v>0</v>
      </c>
      <c r="BF49" s="13">
        <f t="shared" ref="BF49:BF54" si="370">IF(ISERROR(VLOOKUP(AF49,DT:DT,1,FALSE)),0,1)*IF(ISERROR(VLOOKUP(AH49,DT:DT,1,FALSE)),0,1)*AN49</f>
        <v>0</v>
      </c>
      <c r="BG49" s="13">
        <f t="shared" ref="BG49:BG54" si="371">IF(ISERROR(VLOOKUP(AF49,DT:DT,1,FALSE)),0,1)*IF(ISERROR(VLOOKUP(AH49,DT:DT,1,FALSE)),0,1)*AO49</f>
        <v>0</v>
      </c>
      <c r="BH49" s="13">
        <f t="shared" ref="BH49:BH54" si="372">IF(ISERROR(VLOOKUP(AF49,DT:DT,1,FALSE)),0,1)*IF(ISERROR(VLOOKUP(AH49,DT:DT,1,FALSE)),0,1)*AP49</f>
        <v>0</v>
      </c>
      <c r="BI49" s="13">
        <f t="shared" ref="BI49:BI54" si="373">IF(ISERROR(VLOOKUP(AF49,DT:DT,1,FALSE)),0,1)*IF(ISERROR(VLOOKUP(AH49,DT:DT,1,FALSE)),0,1)*AQ49</f>
        <v>0</v>
      </c>
      <c r="BJ49" s="13">
        <f t="shared" ref="BJ49:BJ54" si="374">IF(ISERROR(VLOOKUP(AF49,DT:DT,1,FALSE)),0,1)*IF(ISERROR(VLOOKUP(AH49,DT:DT,1,FALSE)),0,1)*AR49</f>
        <v>0</v>
      </c>
      <c r="BK49" s="13">
        <f t="shared" ref="BK49:BK54" si="375">IF(ISERROR(VLOOKUP(AF49,DT:DT,1,FALSE)),0,1)*IF(ISERROR(VLOOKUP(AH49,DT:DT,1,FALSE)),0,1)*AS49</f>
        <v>0</v>
      </c>
      <c r="BL49" s="13">
        <f t="shared" ref="BL49:BL54" si="376">IF(ISERROR(VLOOKUP(AF49,EN:EN,1,FALSE)),0,1)*IF(ISERROR(VLOOKUP(AH49,EN:EN,1,FALSE)),0,1)*AN49</f>
        <v>0</v>
      </c>
      <c r="BM49" s="13">
        <f t="shared" ref="BM49:BM54" si="377">IF(ISERROR(VLOOKUP(AF49,EN:EN,1,FALSE)),0,1)*IF(ISERROR(VLOOKUP(AH49,EN:EN,1,FALSE)),0,1)*AO49</f>
        <v>0</v>
      </c>
      <c r="BN49" s="13">
        <f t="shared" ref="BN49:BN54" si="378">IF(ISERROR(VLOOKUP(AF49,EN:EN,1,FALSE)),0,1)*IF(ISERROR(VLOOKUP(AH49,EN:EN,1,FALSE)),0,1)*AP49</f>
        <v>0</v>
      </c>
      <c r="BO49" s="13">
        <f t="shared" ref="BO49:BO54" si="379">IF(ISERROR(VLOOKUP(AF49,EN:EN,1,FALSE)),0,1)*IF(ISERROR(VLOOKUP(AH49,EN:EN,1,FALSE)),0,1)*AQ49</f>
        <v>0</v>
      </c>
      <c r="BP49" s="13">
        <f t="shared" ref="BP49:BP54" si="380">IF(ISERROR(VLOOKUP(AF49,EN:EN,1,FALSE)),0,1)*IF(ISERROR(VLOOKUP(AH49,EN:EN,1,FALSE)),0,1)*AR49</f>
        <v>0</v>
      </c>
      <c r="BQ49" s="13">
        <f t="shared" ref="BQ49:BQ54" si="381">IF(ISERROR(VLOOKUP(AF49,EN:EN,1,FALSE)),0,1)*IF(ISERROR(VLOOKUP(AH49,EN:EN,1,FALSE)),0,1)*AS49</f>
        <v>0</v>
      </c>
      <c r="BT49" s="12" t="s">
        <v>110</v>
      </c>
      <c r="BU49" s="13">
        <f t="shared" ref="BU49:BU52" si="382">(SUMIF(AF$4:AF$108,BT49,AN$4:AN$108)+SUMIF(AH$4:AH$108,BT49,AO$4:AO$108))</f>
        <v>0</v>
      </c>
      <c r="BV49" s="13">
        <f t="shared" ref="BV49:BV52" si="383">(SUMIF(AF$4:AF$108,BT49,AP$4:AP$108)+SUMIF(AH$4:AH$108,BT49,AQ$4:AQ$108))</f>
        <v>0</v>
      </c>
      <c r="BW49" s="13">
        <f t="shared" ref="BW49:BW52" si="384">(SUMIF(AF$4:AF$108,BT49,AR$4:AR$108)+SUMIF(AH$4:AH$108,BT49,AS$4:AS$108))</f>
        <v>0</v>
      </c>
      <c r="BX49" s="13">
        <f t="shared" ref="BX49:BX52" si="385">SUMIF($AF$4:$AF$108,BT49,$AI$4:$AI$108)+SUMIF($AH$4:$AH$108,BT49,$AK$4:$AK$108)</f>
        <v>0</v>
      </c>
      <c r="BY49" s="13">
        <f t="shared" ref="BY49:BY52" si="386">SUMIF($AF$4:$AF$108,BT49,$AK$4:$AK$108)+SUMIF($AH$4:$AH$108,BT49,$AI$4:$AI$108)</f>
        <v>0</v>
      </c>
      <c r="BZ49" s="13">
        <f t="shared" ref="BZ49:BZ52" si="387">BX49-BY49</f>
        <v>0</v>
      </c>
      <c r="CA49" s="13">
        <f t="shared" ref="CA49:CA52" si="388">IFERROR(BU49*3+BV49*1,0)</f>
        <v>0</v>
      </c>
      <c r="CB49" s="13" t="s">
        <v>21</v>
      </c>
      <c r="CC49" s="74">
        <f>RANK(CA49,CA49:CA52)</f>
        <v>1</v>
      </c>
      <c r="CD49" s="13">
        <f>SUMPRODUCT((CA49:CA52=CA49)*(BZ49:BZ52&gt;BZ49))</f>
        <v>0</v>
      </c>
      <c r="CF49" s="12" t="str">
        <f>IF(CC49=1,BT49,)</f>
        <v>Nederländerna</v>
      </c>
      <c r="CG49" s="13">
        <f t="shared" ref="CG49:CG52" si="389">(SUMIF($AF$4:$AF$108,$BT49,$AT$4:$AT$108)+SUMIF($AH$4:$AH$108,$BT49,$AU$4:$AU$108))</f>
        <v>0</v>
      </c>
      <c r="CH49" s="13">
        <f t="shared" ref="CH49:CH52" si="390">(SUMIF($AF$4:$AF$108,$BT49,$AV$4:$AV$108)+SUMIF($AH$4:$AH$108,$BT49,$AW$4:$AW$108))</f>
        <v>0</v>
      </c>
      <c r="CI49" s="13">
        <f t="shared" ref="CI49:CI52" si="391">(SUMIF($AF$4:$AF$108,$BT49,$AX$4:$AX$108)+SUMIF($AH$4:$AH$108,$BT49,$AY$4:$AY$108))</f>
        <v>0</v>
      </c>
      <c r="CJ49" s="13">
        <f t="shared" ref="CJ49:CJ52" si="392">IFERROR(CG49*3+CH49*1,0)</f>
        <v>0</v>
      </c>
      <c r="CK49" s="13" t="str">
        <f>CB49</f>
        <v>F</v>
      </c>
      <c r="CL49" s="13">
        <f>IF(CF49&gt;0,RANK(CJ49,CJ49:CJ52),)</f>
        <v>1</v>
      </c>
      <c r="CM49" s="13">
        <f>IF(AND(CF49&gt;0,COUNTIF(CL49:CL52,CL49)&gt;1),SUMIFS($AI$4:$AI$108,$AF$4:$AF$108,$BT49,$M$4:$M$108,1)+SUMIFS($AK$4:$AK$108,$AH$4:$AH$108,$BT49,$M$4:$M$108,1)-SUMIFS($AK$4:$AK$108,$AF$4:$AF$108,$BT49,$M$4:$M$108,1)-SUMIFS($AI$4:$AI$108,$AH$4:$AH$108,$BT49,$M$4:$M$108,1),)</f>
        <v>0</v>
      </c>
      <c r="CN49" s="13">
        <f>IF(AND(CF49&gt;0,COUNTIF(CL49:CL52,CL49)&gt;1),CL49+RANK(CM49,CM49:CM52)-1,CL49)</f>
        <v>1</v>
      </c>
      <c r="CO49" s="13">
        <f>IF(AND(CF49&gt;0,COUNTIF(CN49:CN52,CN49)&gt;1),SUMIFS($AI$4:$AI$108,$AF$4:$AF$108,$BT49,$M$4:$M$108,1)+SUMIFS($AK$4:$AK$108,$AH$4:$AH$108,$BT49,$M$4:$M$108,1),)</f>
        <v>0</v>
      </c>
      <c r="CP49" s="13">
        <f>IF(AND(CF49&gt;0,COUNTIF(CN49:CN52,CN49)&gt;1),CN49+RANK(CO49,CO49:CO52)-1,CN49)</f>
        <v>1</v>
      </c>
      <c r="CQ49" s="13">
        <f>IF(CP49=0,"",CP49)</f>
        <v>1</v>
      </c>
      <c r="CR49" s="13">
        <f>IF(OR(CQ49="",COUNTIF(CQ49:CQ52,CQ49)=1),"",$BZ49)</f>
        <v>0</v>
      </c>
      <c r="CS49" s="13">
        <f>IF(CQ49="","",IF(COUNTIF(CQ49:CQ52,CQ49)=1,CQ49,CQ49+RANK(CR49,CR49:CR52,0)-1))</f>
        <v>1</v>
      </c>
      <c r="CT49" s="13">
        <f>IF(OR(CS49="",COUNTIF(CS49:CS52,CS49)=1),"",$BX49)</f>
        <v>0</v>
      </c>
      <c r="CU49" s="13">
        <f>IF(CQ49="","",IF(COUNTIF(CS49:CS52,CS49)=1,CS49,CS49+RANK(CT49,CT49:CT52,0)-1))</f>
        <v>1</v>
      </c>
      <c r="CV49" s="13">
        <f>IF(OR(CU49="",COUNTIF(CU49:CU52,CU49)=1),"",$BU49)</f>
        <v>0</v>
      </c>
      <c r="CW49" s="13">
        <f>IF(CQ49="","",IF(COUNTIF(CU49:CU52,CU49)=1,CU49,CU49+RANK(CV49,CV49:CV52,0)-1))</f>
        <v>1</v>
      </c>
      <c r="CX49" s="13">
        <f>IF(CF49&gt;0,BM47+RANK(CW49,CW49:CW52,1),)</f>
        <v>1</v>
      </c>
      <c r="CZ49" s="12">
        <f>IF(CC49=2,BT49,)</f>
        <v>0</v>
      </c>
      <c r="DA49" s="13">
        <f>(SUMIF($AF$4:$AF$108,$BT49,$AZ$4:$AZ$108)+SUMIF($AH$4:$AH$108,$BT49,$BA$4:$BA$108))</f>
        <v>0</v>
      </c>
      <c r="DB49" s="13">
        <f>(SUMIF($AF$4:$AF$108,$BT49,$BB$4:$BB$108)+SUMIF($AH$4:$AH$108,$BT49,$BC$4:$BC$108))</f>
        <v>0</v>
      </c>
      <c r="DC49" s="13">
        <f>(SUMIF($AF$4:$AF$108,$BT49,$BD$4:$BD$108)+SUMIF($AH$4:$AH$108,$BT49,$BE$4:$BE$108))</f>
        <v>0</v>
      </c>
      <c r="DD49" s="13">
        <f>IFERROR(DA49*3+DB49*1,0)</f>
        <v>0</v>
      </c>
      <c r="DE49" s="13" t="str">
        <f>$CB49</f>
        <v>F</v>
      </c>
      <c r="DF49" s="13">
        <f>IF(CZ49&gt;0,RANK(DD49,DD49:DD52)+CG47,)</f>
        <v>0</v>
      </c>
      <c r="DG49" s="13">
        <f>IF(AND(CZ49&gt;0,COUNTIF(DF49:DF52,DF49)&gt;1),SUMIFS($AI$4:$AI$108,$AF$4:$AF$108,$BT49,$M$4:$M$108,2)+SUMIFS($AK$4:$AK$108,$AH$4:$AH108,$BT49,$M$4:$M$108,2)-SUMIFS($AK$4:$AK$108,$AF$4:$AF$108,$BT49,$M$4:$M$108,2)-SUMIFS($AI$4:$AI$108,$AH$4:$AH$108,$BT49,$M$4:$M$108,2),)</f>
        <v>0</v>
      </c>
      <c r="DH49" s="13">
        <f>IF(AND(CZ49&gt;0,COUNTIF(DF49:DF52,DF49)&gt;1),DF49+RANK(DG49,DG49:DG52)-1,DF49)</f>
        <v>0</v>
      </c>
      <c r="DI49" s="13">
        <f>IF(AND(CZ49&gt;0,COUNTIF(DH49:DH52,DH49)&gt;1),SUMIFS($AI$4:$AI$108,$AF$4:$AF$108,$BT49,$M$4:$M$108,2)+SUMIFS($AK$4:$AK$108,$AH$4:$AH$108,$BT49,$M$4:$M$108,2),)</f>
        <v>0</v>
      </c>
      <c r="DJ49" s="13">
        <f>IF(AND(CZ49&gt;0,COUNTIF(DH49:DH52,DH49)&gt;1),DH49+RANK(DI49,DI49:DI52)-1,DH49)</f>
        <v>0</v>
      </c>
      <c r="DK49" s="75" t="str">
        <f>IF(DJ49=0,"",DJ49)</f>
        <v/>
      </c>
      <c r="DL49" s="75" t="str">
        <f>IF(OR(DK49="",COUNTIF(DK49:DK52,DK49)=1),"",$BZ49)</f>
        <v/>
      </c>
      <c r="DM49" s="75" t="str">
        <f>IF(DK49="","",IF(COUNTIF(DK49:DK52,DK49)=1,DK49,DK49+RANK(DL49,DL49:DL52,0)-1))</f>
        <v/>
      </c>
      <c r="DN49" s="75" t="str">
        <f>IF(OR(DM49="",COUNTIF(DM49:DM52,DM49)=1),"",$BX49)</f>
        <v/>
      </c>
      <c r="DO49" s="75" t="str">
        <f>IF(DK49="","",IF(COUNTIF(DM49:DM52,DM49)=1,DM49,DM49+RANK(DN49,DN49:DN52,0)-1))</f>
        <v/>
      </c>
      <c r="DP49" s="75" t="str">
        <f>IF(OR(DO49="",COUNTIF(DO49:DO52,DO49)=1),"",$BU49)</f>
        <v/>
      </c>
      <c r="DQ49" s="75" t="str">
        <f>IF(DK49="","",IF(COUNTIF(DO49:DO52,DO49)=1,DO49,DO49+RANK(DP49,DP49:DP52,0)-1))</f>
        <v/>
      </c>
      <c r="DR49" s="13">
        <f>IF(CZ49&gt;0,CG47+RANK(DQ49,DQ49:DQ52,1),)</f>
        <v>0</v>
      </c>
      <c r="DT49" s="13">
        <f>IF(CC49=3,BT49,)</f>
        <v>0</v>
      </c>
      <c r="DU49" s="13">
        <f>(SUMIF($AF$4:$AF$108,BT49,$BF$4:$BF$108)+SUMIF($AH$4:$AH$108,BT49,$BG$4:$BG$108))</f>
        <v>0</v>
      </c>
      <c r="DV49" s="13">
        <f>(SUMIF($AF$4:$AF$108,BT49,$BH$4:$BH$108)+SUMIF($AH$4:$AH$108,BT49,$BI$4:$BI$108))</f>
        <v>0</v>
      </c>
      <c r="DW49" s="13">
        <f>(SUMIF($AF$4:$AF$108,BT49,$BJ$4:$BJ$108)+SUMIF($AH$4:$AH$108,BT49,$BK$4:$BK$108))</f>
        <v>0</v>
      </c>
      <c r="DX49" s="13">
        <f>IFERROR(DU49*3+DV49*1,0)</f>
        <v>0</v>
      </c>
      <c r="DY49" s="13" t="str">
        <f>CB49</f>
        <v>F</v>
      </c>
      <c r="DZ49" s="13">
        <f>IF(DT49&gt;0,RANK(DX49,DX49:DX52)+CG47+DA47,)</f>
        <v>0</v>
      </c>
      <c r="EA49" s="13">
        <f>IF(AND(DT49&gt;0,COUNTIF(DZ49:DZ52,DZ49)&gt;1),SUMIFS($AI$4:$AI$108,$AF$4:$AF$108,$BT49,$M$4:$M$108,3)+SUMIFS($AK$4:$AK$108,$AH$4:$AH$108,$BT49,$M$4:$M$108,3)-SUMIFS($AK$4:$AK$108,$AF$4:$AF$108,$BT49,$M$4:$M$108,3)-SUMIFS($AI$4:$AI$108,$AH$4:$AH$108,$BT49,$M$4:$M$108,3),)</f>
        <v>0</v>
      </c>
      <c r="EB49" s="13">
        <f>IF(AND(DT49&gt;0,COUNTIF(DZ49:DZ52,DZ49)&gt;1),DZ49+RANK(EA49,EA49:EA52)-1,DZ49)</f>
        <v>0</v>
      </c>
      <c r="EC49" s="13">
        <f>IF(AND(DT49&gt;0,COUNTIF(EB49:EB52,EB49)&gt;1),SUMIFS($AI$4:$AI$108,$AF$4:$AF$108,$BT49,$M$4:$M$108,3)+SUMIFS($AK$4:$AK$108,$AH$4:$AH$108,$BT49,$M$4:$M$108,3),)</f>
        <v>0</v>
      </c>
      <c r="ED49" s="13">
        <f>IF(AND(DT49&gt;0,COUNTIF(EB49:EB52,EB49)&gt;1),EB49+RANK(EC49,EC49:EC52)-1,EB49)</f>
        <v>0</v>
      </c>
      <c r="EE49" s="13" t="str">
        <f>IF(ED49=0,"",ED49)</f>
        <v/>
      </c>
      <c r="EF49" s="13" t="str">
        <f>IF(OR(EE49="",COUNTIF(EE49:EE52,EE49)=1),"",$BZ49)</f>
        <v/>
      </c>
      <c r="EG49" s="13" t="str">
        <f>IF(EE49="","",IF(COUNTIF(EE49:EE52,EE49)=1,EE49,EE49+RANK(EF49,EF49:EF52,0)-1))</f>
        <v/>
      </c>
      <c r="EH49" s="13" t="str">
        <f>IF(OR(EG49="",COUNTIF(EG49:EG52,EG49)=1),"",$BX49)</f>
        <v/>
      </c>
      <c r="EI49" s="13" t="str">
        <f>IF(EE49="","",IF(COUNTIF(EG49:EG52,EG49)=1,EG49,EG49+RANK(EH49,EH49:EH52,0)-1))</f>
        <v/>
      </c>
      <c r="EJ49" s="13" t="str">
        <f>IF(OR(EI49="",COUNTIF(EI49:EI52,EI49)=1),"",$BU49)</f>
        <v/>
      </c>
      <c r="EK49" s="13" t="str">
        <f>IF(EE49="","",IF(COUNTIF(EI49:EI52,EI49)=1,EI49,EI49+RANK(EJ49,EJ49:EJ52,0)-1))</f>
        <v/>
      </c>
      <c r="EL49" s="13">
        <f>IF(DT49&gt;0,CG47+DA47+RANK(EK49,EK49:EK52,1),)</f>
        <v>0</v>
      </c>
      <c r="EN49" s="13">
        <f>IF(CC49=4,BT49,)</f>
        <v>0</v>
      </c>
      <c r="EO49" s="13">
        <f>(SUMIF($AF$4:$AF$108,$BT49,$BL$4:$BL$108)+SUMIF($AH$4:$AH$108,$BT49,$BM$4:$BM$108))</f>
        <v>0</v>
      </c>
      <c r="EP49" s="13">
        <f>(SUMIF($AF$4:$AF$108,$BT49,$BN$4:$BN$108)+SUMIF($AH$4:$AH$108,$BT49,$BO$4:$BO$108))</f>
        <v>0</v>
      </c>
      <c r="EQ49" s="13">
        <f>(SUMIF($AF$4:$AF$108,$BT49,$BP$4:$BP$108)+SUMIF($AH$4:$AH$108,$BT49,$BQ$4:$BQ$108))</f>
        <v>0</v>
      </c>
      <c r="ER49" s="13">
        <f>IFERROR(EO49*3+EP49*1,0)</f>
        <v>0</v>
      </c>
      <c r="ES49" s="13" t="str">
        <f>$CB49</f>
        <v>F</v>
      </c>
      <c r="ET49" s="13">
        <f>IF(EN49&gt;0,RANK(ER49,ER49:ER52)+CG47+DA47+DU47,)</f>
        <v>0</v>
      </c>
      <c r="EU49" s="13">
        <f>IF(AND(EN49&gt;0,COUNTIF(ET49:ET52,ET49)&gt;1),SUMIFS($AI$4:$AI$108,$AF$4:$AF$108,$BT49,$M$4:$M$108,4)+SUMIFS($AK$4:$AK$108,$AH$4:$AH$108,$BT49,$M$4:$M$108,4)-SUMIFS($AK$4:$AK$108,$AF$4:$AF$108,$BT49,$M$4:$M$108,4)-SUMIFS($AI$4:$AI$108,$AH$4:$AH$108,$BT49,$M$4:$M$108,4),)</f>
        <v>0</v>
      </c>
      <c r="EV49" s="13">
        <f>IF(AND(EN49&gt;0,COUNTIF(ET49:ET52,ET49)&gt;1),ET49+RANK(EU49,EU49:EU52)-1,ET49)</f>
        <v>0</v>
      </c>
      <c r="EW49" s="13">
        <f>IF(AND(EN49&gt;0,COUNTIF(EV49:EV52,EV49)&gt;1),SUMIFS($AI$4:$AI$108,$AF$4:$AF$108,$BT49,$M$4:$M$108,4)+SUMIFS($AK$4:$AK$108,$AH$4:$AH$108,$BT49,$M$4:$M$108,4),)</f>
        <v>0</v>
      </c>
      <c r="EX49" s="13">
        <f>IF(AND(EN49&gt;0,COUNTIF(EV49:EV52,EV49)&gt;1),EV49+RANK(EW49,EW49:EW52)-1,EV49)</f>
        <v>0</v>
      </c>
      <c r="EY49" s="13" t="str">
        <f>IF(EX49=0,"",EX49)</f>
        <v/>
      </c>
      <c r="EZ49" s="13" t="str">
        <f>IF(OR(EY49="",COUNTIF(EY49:EY52,EY49)=1),"",$BZ49)</f>
        <v/>
      </c>
      <c r="FA49" s="13" t="str">
        <f>IF(EY49="","",IF(COUNTIF(EY49:EY52,EY49)=1,EY49,EY49+RANK(EZ49,EZ49:EZ52,0)-1))</f>
        <v/>
      </c>
      <c r="FB49" s="13" t="str">
        <f>IF(OR(FA49="",COUNTIF(FA49:FA52,FA49)=1),"",$BX49)</f>
        <v/>
      </c>
      <c r="FC49" s="13" t="str">
        <f>IF(EY49="","",IF(COUNTIF(FA49:FA52,FA49)=1,FA49,FA49+RANK(FB49,FB49:FB52,0)-1))</f>
        <v/>
      </c>
      <c r="FD49" s="13" t="str">
        <f>IF(OR(FC49="",COUNTIF(FC49:FC52,FC49)=1),"",$BU49)</f>
        <v/>
      </c>
      <c r="FE49" s="13" t="str">
        <f>IF(EY49="","",IF(COUNTIF(FC49:FC52,FC49)=1,FC49,FC49+RANK(FD49,FD49:FD52,0)-1))</f>
        <v/>
      </c>
      <c r="FF49" s="13">
        <f>IF(EN49&gt;0,CG47+DA47+DU47+RANK(FE49,FE49:FE52,1),)</f>
        <v>0</v>
      </c>
      <c r="FH49" s="13">
        <f>IFERROR(VLOOKUP(FJ49,CF48:CX52,19,FALSE),IFERROR(VLOOKUP(FJ49,CZ48:DR52,19,FALSE),IFERROR(VLOOKUP(FJ49,DT48:EL52,19,FALSE),VLOOKUP(FJ49,EN48:FF52,19,FALSE))))</f>
        <v>1</v>
      </c>
      <c r="FI49" s="13">
        <f>RANK(FH49,FH49:FH52,1)+COUNTIF(FH49:FH49,FH49)-1</f>
        <v>1</v>
      </c>
      <c r="FJ49" s="12" t="str">
        <f>BT49</f>
        <v>Nederländerna</v>
      </c>
      <c r="FZ49" s="79">
        <v>47</v>
      </c>
      <c r="GA49" s="3" t="str">
        <f t="shared" si="72"/>
        <v>HJBFIGLK</v>
      </c>
      <c r="GB49" s="3" t="s">
        <v>70</v>
      </c>
      <c r="GC49" s="3" t="s">
        <v>69</v>
      </c>
      <c r="GD49" s="3" t="s">
        <v>57</v>
      </c>
      <c r="GE49" s="3" t="s">
        <v>21</v>
      </c>
      <c r="GF49" s="3" t="s">
        <v>61</v>
      </c>
      <c r="GG49" s="3" t="s">
        <v>60</v>
      </c>
      <c r="GH49" s="3" t="s">
        <v>63</v>
      </c>
      <c r="GI49" s="3" t="s">
        <v>62</v>
      </c>
      <c r="GJ49" s="9" t="str">
        <f t="shared" si="73"/>
        <v>Saudiarabien</v>
      </c>
      <c r="GK49" s="9" t="str">
        <f t="shared" si="73"/>
        <v>Österrike</v>
      </c>
      <c r="GL49" s="9" t="str">
        <f t="shared" si="73"/>
        <v>Qatar</v>
      </c>
      <c r="GM49" s="9" t="str">
        <f t="shared" si="73"/>
        <v>Sverige</v>
      </c>
      <c r="GN49" s="9" t="str">
        <f t="shared" si="73"/>
        <v>Irak</v>
      </c>
      <c r="GO49" s="9" t="str">
        <f t="shared" si="73"/>
        <v>Iran</v>
      </c>
      <c r="GP49" s="9" t="str">
        <f t="shared" si="73"/>
        <v>Ghana</v>
      </c>
      <c r="GQ49" s="9" t="str">
        <f t="shared" si="73"/>
        <v>Uzbekistan</v>
      </c>
      <c r="GR49" s="9" t="str">
        <f t="shared" si="75"/>
        <v/>
      </c>
      <c r="GX49" s="79"/>
    </row>
    <row r="50" spans="2:206" ht="14.25" customHeight="1" x14ac:dyDescent="0.25">
      <c r="B50" s="58">
        <v>12</v>
      </c>
      <c r="C50" s="59">
        <v>46188</v>
      </c>
      <c r="D50" s="60" t="s">
        <v>112</v>
      </c>
      <c r="E50" s="61" t="s">
        <v>66</v>
      </c>
      <c r="F50" s="62" t="s">
        <v>113</v>
      </c>
      <c r="G50" s="63"/>
      <c r="H50" s="64" t="s">
        <v>66</v>
      </c>
      <c r="I50" s="63"/>
      <c r="J50" s="65" t="str">
        <f t="shared" ref="J50:J54" si="393">IF(OR(ISBLANK(G50),ISBLANK(I50)),"",IF(G50&gt;I50,1,IF(G50&lt;I50,2,"X")))</f>
        <v/>
      </c>
      <c r="K50" s="66">
        <f>IF(OR(G50="",I50="",'[1]Resultat &amp; tabell'!G50="",'[1]Resultat &amp; tabell'!I50=""),0,IF(G50='[1]Resultat &amp; tabell'!G50,2,0)+IF(I50='[1]Resultat &amp; tabell'!I50,2,0)+IF(J50='[1]Resultat &amp; tabell'!J50,2,0))</f>
        <v>0</v>
      </c>
      <c r="L50" s="67"/>
      <c r="M50" s="29">
        <f t="shared" si="346"/>
        <v>1</v>
      </c>
      <c r="N50" s="30">
        <v>2</v>
      </c>
      <c r="O50" s="80" t="str">
        <f>VLOOKUP(N50,FI49:FJ52,2,FALSE)</f>
        <v>Japan</v>
      </c>
      <c r="P50" s="81">
        <f>VLOOKUP($O50,$BT$49:$CA$52,2,FALSE)</f>
        <v>0</v>
      </c>
      <c r="Q50" s="81">
        <f>VLOOKUP($O50,$BT$49:$CA$52,3,FALSE)</f>
        <v>0</v>
      </c>
      <c r="R50" s="81">
        <f>VLOOKUP($O50,$BT$49:$CA$52,4,FALSE)</f>
        <v>0</v>
      </c>
      <c r="S50" s="81">
        <f>VLOOKUP($O50,$BT$49:$CA$52,5,FALSE)</f>
        <v>0</v>
      </c>
      <c r="T50" s="81">
        <f>VLOOKUP($O50,$BT$49:$CA$52,6,FALSE)</f>
        <v>0</v>
      </c>
      <c r="U50" s="81">
        <f>VLOOKUP($O50,$BT$49:$CA$52,7,FALSE)</f>
        <v>0</v>
      </c>
      <c r="V50" s="82">
        <f>VLOOKUP($O50,$BT$49:$CA$52,8,FALSE)</f>
        <v>0</v>
      </c>
      <c r="X50" s="1"/>
      <c r="AE50" s="72">
        <f t="shared" si="347"/>
        <v>46188</v>
      </c>
      <c r="AF50" s="72" t="str">
        <f t="shared" si="347"/>
        <v>Sverige</v>
      </c>
      <c r="AG50" s="72" t="str">
        <f t="shared" si="347"/>
        <v>-</v>
      </c>
      <c r="AH50" s="72" t="str">
        <f t="shared" si="347"/>
        <v>Tunisien</v>
      </c>
      <c r="AI50" s="63" t="str">
        <f t="shared" si="348"/>
        <v/>
      </c>
      <c r="AJ50" s="58" t="str">
        <f t="shared" si="349"/>
        <v>-</v>
      </c>
      <c r="AK50" s="63" t="str">
        <f t="shared" si="350"/>
        <v/>
      </c>
      <c r="AL50" s="65" t="str">
        <f t="shared" si="351"/>
        <v/>
      </c>
      <c r="AM50" s="73"/>
      <c r="AN50" s="13">
        <f t="shared" si="352"/>
        <v>0</v>
      </c>
      <c r="AO50" s="13">
        <f t="shared" si="353"/>
        <v>0</v>
      </c>
      <c r="AP50" s="13">
        <f t="shared" si="354"/>
        <v>0</v>
      </c>
      <c r="AQ50" s="13">
        <f t="shared" si="355"/>
        <v>0</v>
      </c>
      <c r="AR50" s="13">
        <f t="shared" si="356"/>
        <v>0</v>
      </c>
      <c r="AS50" s="13">
        <f t="shared" si="357"/>
        <v>0</v>
      </c>
      <c r="AT50" s="13">
        <f t="shared" si="358"/>
        <v>0</v>
      </c>
      <c r="AU50" s="13">
        <f t="shared" si="359"/>
        <v>0</v>
      </c>
      <c r="AV50" s="13">
        <f t="shared" si="360"/>
        <v>0</v>
      </c>
      <c r="AW50" s="13">
        <f t="shared" si="361"/>
        <v>0</v>
      </c>
      <c r="AX50" s="13">
        <f t="shared" si="362"/>
        <v>0</v>
      </c>
      <c r="AY50" s="13">
        <f t="shared" si="363"/>
        <v>0</v>
      </c>
      <c r="AZ50" s="13">
        <f t="shared" si="364"/>
        <v>0</v>
      </c>
      <c r="BA50" s="13">
        <f t="shared" si="365"/>
        <v>0</v>
      </c>
      <c r="BB50" s="13">
        <f t="shared" si="366"/>
        <v>0</v>
      </c>
      <c r="BC50" s="13">
        <f t="shared" si="367"/>
        <v>0</v>
      </c>
      <c r="BD50" s="13">
        <f t="shared" si="368"/>
        <v>0</v>
      </c>
      <c r="BE50" s="13">
        <f t="shared" si="369"/>
        <v>0</v>
      </c>
      <c r="BF50" s="13">
        <f t="shared" si="370"/>
        <v>0</v>
      </c>
      <c r="BG50" s="13">
        <f t="shared" si="371"/>
        <v>0</v>
      </c>
      <c r="BH50" s="13">
        <f t="shared" si="372"/>
        <v>0</v>
      </c>
      <c r="BI50" s="13">
        <f t="shared" si="373"/>
        <v>0</v>
      </c>
      <c r="BJ50" s="13">
        <f t="shared" si="374"/>
        <v>0</v>
      </c>
      <c r="BK50" s="13">
        <f t="shared" si="375"/>
        <v>0</v>
      </c>
      <c r="BL50" s="13">
        <f t="shared" si="376"/>
        <v>0</v>
      </c>
      <c r="BM50" s="13">
        <f t="shared" si="377"/>
        <v>0</v>
      </c>
      <c r="BN50" s="13">
        <f t="shared" si="378"/>
        <v>0</v>
      </c>
      <c r="BO50" s="13">
        <f t="shared" si="379"/>
        <v>0</v>
      </c>
      <c r="BP50" s="13">
        <f t="shared" si="380"/>
        <v>0</v>
      </c>
      <c r="BQ50" s="13">
        <f t="shared" si="381"/>
        <v>0</v>
      </c>
      <c r="BT50" s="12" t="s">
        <v>111</v>
      </c>
      <c r="BU50" s="13">
        <f t="shared" si="382"/>
        <v>0</v>
      </c>
      <c r="BV50" s="13">
        <f t="shared" si="383"/>
        <v>0</v>
      </c>
      <c r="BW50" s="13">
        <f t="shared" si="384"/>
        <v>0</v>
      </c>
      <c r="BX50" s="13">
        <f t="shared" si="385"/>
        <v>0</v>
      </c>
      <c r="BY50" s="13">
        <f t="shared" si="386"/>
        <v>0</v>
      </c>
      <c r="BZ50" s="13">
        <f t="shared" si="387"/>
        <v>0</v>
      </c>
      <c r="CA50" s="13">
        <f t="shared" si="388"/>
        <v>0</v>
      </c>
      <c r="CB50" s="13" t="s">
        <v>21</v>
      </c>
      <c r="CC50" s="74">
        <f>RANK(CA50,CA49:CA52)</f>
        <v>1</v>
      </c>
      <c r="CD50" s="13">
        <f>SUMPRODUCT((CA49:CA52=CA50)*(BZ49:BZ52&gt;BZ50))</f>
        <v>0</v>
      </c>
      <c r="CF50" s="12" t="str">
        <f>IF(CC50=1,BT50,)</f>
        <v>Japan</v>
      </c>
      <c r="CG50" s="13">
        <f t="shared" si="389"/>
        <v>0</v>
      </c>
      <c r="CH50" s="13">
        <f t="shared" si="390"/>
        <v>0</v>
      </c>
      <c r="CI50" s="13">
        <f t="shared" si="391"/>
        <v>0</v>
      </c>
      <c r="CJ50" s="13">
        <f t="shared" si="392"/>
        <v>0</v>
      </c>
      <c r="CK50" s="13" t="str">
        <f t="shared" ref="CK50:CK52" si="394">CB50</f>
        <v>F</v>
      </c>
      <c r="CL50" s="13">
        <f>IF(CF50&gt;0,RANK(CJ50,CJ49:CJ52),)</f>
        <v>1</v>
      </c>
      <c r="CM50" s="13">
        <f>IF(AND(CF50&gt;0,COUNTIF(CL49:CL52,CL50)&gt;1),SUMIFS($AI$4:$AI$108,$AF$4:$AF$108,$BT50,$M$4:$M$108,1)+SUMIFS($AK$4:$AK$108,$AH$4:$AH$108,$BT50,$M$4:$M$108,1)-SUMIFS($AK$4:$AK$108,$AF$4:$AF$108,$BT50,$M$4:$M$108,1)-SUMIFS($AI$4:$AI$108,$AH$4:$AH$108,$BT50,$M$4:$M$108,1),)</f>
        <v>0</v>
      </c>
      <c r="CN50" s="13">
        <f>IF(AND(CF50&gt;0,COUNTIF(CL49:CL52,CL50)&gt;1),CL50+RANK(CM50,CM49:CM52)-1,CL50)</f>
        <v>1</v>
      </c>
      <c r="CO50" s="13">
        <f>IF(AND(CF50&gt;0,COUNTIF(CN49:CN52,CN50)&gt;1),SUMIFS($AI$4:$AI$108,$AF$4:$AF$108,$BT50,$M$4:$M$108,1)+SUMIFS($AK$4:$AK$108,$AH$4:$AH$108,$BT50,$M$4:$M$108,1),)</f>
        <v>0</v>
      </c>
      <c r="CP50" s="13">
        <f>IF(AND(CF50&gt;0,COUNTIF(CN49:CN52,CN50)&gt;1),CN50+RANK(CO50,CO49:CO52)-1,CN50)</f>
        <v>1</v>
      </c>
      <c r="CQ50" s="13">
        <f t="shared" ref="CQ50:CQ52" si="395">IF(CP50=0,"",CP50)</f>
        <v>1</v>
      </c>
      <c r="CR50" s="13">
        <f>IF(OR(CQ50="",COUNTIF(CQ49:CQ52,CQ50)=1),"",$BZ50)</f>
        <v>0</v>
      </c>
      <c r="CS50" s="13">
        <f>IF(CQ50="","",IF(COUNTIF(CQ49:CQ52,CQ50)=1,CQ50,CQ50+RANK(CR50,CR49:CR52,0)-1))</f>
        <v>1</v>
      </c>
      <c r="CT50" s="13">
        <f>IF(OR(CS50="",COUNTIF(CS49:CS52,CS50)=1),"",$BX50)</f>
        <v>0</v>
      </c>
      <c r="CU50" s="13">
        <f>IF(CQ50="","",IF(COUNTIF(CS49:CS52,CS50)=1,CS50,CS50+RANK(CT50,CT49:CT52,0)-1))</f>
        <v>1</v>
      </c>
      <c r="CV50" s="13">
        <f>IF(OR(CU50="",COUNTIF(CU49:CU52,CU50)=1),"",$BU50)</f>
        <v>0</v>
      </c>
      <c r="CW50" s="13">
        <f>IF(CQ50="","",IF(COUNTIF(CU49:CU52,CU50)=1,CU50,CU50+RANK(CV50,CV49:CV52,0)-1))</f>
        <v>1</v>
      </c>
      <c r="CX50" s="13">
        <f>IF(CF50&gt;0,BM47+RANK(CW50,CW49:CW52,1),)</f>
        <v>1</v>
      </c>
      <c r="CZ50" s="12">
        <f>IF(CC50=2,BT50,)</f>
        <v>0</v>
      </c>
      <c r="DA50" s="13">
        <f>(SUMIF($AF$4:$AF$108,$BT50,$AZ$4:$AZ$108)+SUMIF($AH$4:$AH$108,$BT50,$BA$4:$BA$108))</f>
        <v>0</v>
      </c>
      <c r="DB50" s="13">
        <f t="shared" ref="DB50:DB52" si="396">(SUMIF($AF$4:$AF$108,$BT50,$BB$4:$BB$108)+SUMIF($AH$4:$AH$108,$BT50,$BC$4:$BC$108))</f>
        <v>0</v>
      </c>
      <c r="DC50" s="13">
        <f t="shared" ref="DC50:DC52" si="397">(SUMIF($AF$4:$AF$108,$BT50,$BD$4:$BD$108)+SUMIF($AH$4:$AH$108,$BT50,$BE$4:$BE$108))</f>
        <v>0</v>
      </c>
      <c r="DD50" s="13">
        <f t="shared" ref="DD50:DD52" si="398">IFERROR(DA50*3+DB50*1,0)</f>
        <v>0</v>
      </c>
      <c r="DE50" s="13" t="str">
        <f t="shared" ref="DE50:DE52" si="399">$CB50</f>
        <v>F</v>
      </c>
      <c r="DF50" s="13">
        <f>IF(CZ50&gt;0,RANK(DD50,DD49:DD52)+CG47,)</f>
        <v>0</v>
      </c>
      <c r="DG50" s="13">
        <f>IF(AND(CZ50&gt;0,COUNTIF(DF49:DF52,DF50)&gt;1),SUMIFS($AI$4:$AI$108,$AF$4:$AF$108,$BT50,$M$4:$M$108,2)+SUMIFS($AK$4:$AK$108,$AH$4:$AH108,$BT50,$M$4:$M$108,2)-SUMIFS($AK$4:$AK$108,$AF$4:$AF$108,$BT50,$M$4:$M$108,2)-SUMIFS($AI$4:$AI$108,$AH$4:$AH$108,$BT50,$M$4:$M$108,2),)</f>
        <v>0</v>
      </c>
      <c r="DH50" s="13">
        <f>IF(AND(CZ50&gt;0,COUNTIF(DF49:DF52,DF50)&gt;1),DF50+RANK(DG50,DG49:DG52)-1,DF50)</f>
        <v>0</v>
      </c>
      <c r="DI50" s="13">
        <f>IF(AND(CZ50&gt;0,COUNTIF(DH49:DH52,DH50)&gt;1),SUMIFS($AI$4:$AI$108,$AF$4:$AF$108,$BT50,$M$4:$M$108,2)+SUMIFS($AK$4:$AK$108,$AH$4:$AH$108,$BT50,$M$4:$M$108,2),)</f>
        <v>0</v>
      </c>
      <c r="DJ50" s="13">
        <f>IF(AND(CZ50&gt;0,COUNTIF(DH49:DH52,DH50)&gt;1),DH50+RANK(DI50,DI49:DI52)-1,DH50)</f>
        <v>0</v>
      </c>
      <c r="DK50" s="75" t="str">
        <f t="shared" ref="DK50:DK52" si="400">IF(DJ50=0,"",DJ50)</f>
        <v/>
      </c>
      <c r="DL50" s="75" t="str">
        <f>IF(OR(DK50="",COUNTIF(DK49:DK52,DK50)=1),"",$BZ50)</f>
        <v/>
      </c>
      <c r="DM50" s="75" t="str">
        <f>IF(DK50="","",IF(COUNTIF(DK49:DK52,DK50)=1,DK50,DK50+RANK(DL50,DL49:DL52,0)-1))</f>
        <v/>
      </c>
      <c r="DN50" s="75" t="str">
        <f>IF(OR(DM50="",COUNTIF(DM49:DM52,DM50)=1),"",$BX50)</f>
        <v/>
      </c>
      <c r="DO50" s="75" t="str">
        <f>IF(DK50="","",IF(COUNTIF(DM49:DM52,DM50)=1,DM50,DM50+RANK(DN50,DN49:DN52,0)-1))</f>
        <v/>
      </c>
      <c r="DP50" s="75" t="str">
        <f>IF(OR(DO50="",COUNTIF(DO49:DO52,DO50)=1),"",$BU50)</f>
        <v/>
      </c>
      <c r="DQ50" s="75" t="str">
        <f>IF(DK50="","",IF(COUNTIF(DO49:DO52,DO50)=1,DO50,DO50+RANK(DP50,DP49:DP52,0)-1))</f>
        <v/>
      </c>
      <c r="DR50" s="13">
        <f>IF(CZ50&gt;0,CG47+RANK(DQ50,DQ49:DQ52,1),)</f>
        <v>0</v>
      </c>
      <c r="DT50" s="13">
        <f>IF(CC50=3,BT50,)</f>
        <v>0</v>
      </c>
      <c r="DU50" s="13">
        <f t="shared" ref="DU50:DU52" si="401">(SUMIF($AF$4:$AF$108,BT50,$BF$4:$BF$108)+SUMIF($AH$4:$AH$108,BT50,$BG$4:$BG$108))</f>
        <v>0</v>
      </c>
      <c r="DV50" s="13">
        <f t="shared" ref="DV50:DV52" si="402">(SUMIF($AF$4:$AF$108,BT50,$BH$4:$BH$108)+SUMIF($AH$4:$AH$108,BT50,$BI$4:$BI$108))</f>
        <v>0</v>
      </c>
      <c r="DW50" s="13">
        <f t="shared" ref="DW50:DW52" si="403">(SUMIF($AF$4:$AF$108,BT50,$BJ$4:$BJ$108)+SUMIF($AH$4:$AH$108,BT50,$BK$4:$BK$108))</f>
        <v>0</v>
      </c>
      <c r="DX50" s="13">
        <f>IFERROR(DU50*3+DV50*1,0)</f>
        <v>0</v>
      </c>
      <c r="DY50" s="13" t="str">
        <f t="shared" ref="DY50:DY52" si="404">CB50</f>
        <v>F</v>
      </c>
      <c r="DZ50" s="13">
        <f>IF(DT50&gt;0,RANK(DX50,DX49:DX52)+CG47+DA47,)</f>
        <v>0</v>
      </c>
      <c r="EA50" s="13">
        <f>IF(AND(DT50&gt;0,COUNTIF(DZ49:DZ52,DZ50)&gt;1),SUMIFS($AI$4:$AI$108,$AF$4:$AF$108,$BT50,$M$4:$M$108,3)+SUMIFS($AK$4:$AK$108,$AH$4:$AH$108,$BT50,$M$4:$M$108,3)-SUMIFS($AK$4:$AK$108,$AF$4:$AF$108,$BT50,$M$4:$M$108,3)-SUMIFS($AI$4:$AI$108,$AH$4:$AH$108,$BT50,$M$4:$M$108,3),)</f>
        <v>0</v>
      </c>
      <c r="EB50" s="13">
        <f>IF(AND(DT50&gt;0,COUNTIF(DZ49:DZ52,DZ50)&gt;1),DZ50+RANK(EA50,EA49:EA52)-1,DZ50)</f>
        <v>0</v>
      </c>
      <c r="EC50" s="13">
        <f>IF(AND(DT50&gt;0,COUNTIF(EB49:EB52,EB50)&gt;1),SUMIFS($AI$4:$AI$108,$AF$4:$AF$108,$BT50,$M$4:$M$108,3)+SUMIFS($AK$4:$AK$108,$AH$4:$AH$108,$BT50,$M$4:$M$108,3),)</f>
        <v>0</v>
      </c>
      <c r="ED50" s="13">
        <f>IF(AND(DT50&gt;0,COUNTIF(EB49:EB52,EB50)&gt;1),EB50+RANK(EC50,EC49:EC52)-1,EB50)</f>
        <v>0</v>
      </c>
      <c r="EE50" s="13" t="str">
        <f t="shared" ref="EE50:EE52" si="405">IF(ED50=0,"",ED50)</f>
        <v/>
      </c>
      <c r="EF50" s="13" t="str">
        <f>IF(OR(EE50="",COUNTIF(EE49:EE52,EE50)=1),"",$BZ50)</f>
        <v/>
      </c>
      <c r="EG50" s="13" t="str">
        <f>IF(EE50="","",IF(COUNTIF(EE49:EE52,EE50)=1,EE50,EE50+RANK(EF50,EF49:EF52,0)-1))</f>
        <v/>
      </c>
      <c r="EH50" s="13" t="str">
        <f>IF(OR(EG50="",COUNTIF(EG49:EG52,EG50)=1),"",$BX50)</f>
        <v/>
      </c>
      <c r="EI50" s="13" t="str">
        <f>IF(EE50="","",IF(COUNTIF(EG49:EG52,EG50)=1,EG50,EG50+RANK(EH50,EH49:EH52,0)-1))</f>
        <v/>
      </c>
      <c r="EJ50" s="13" t="str">
        <f>IF(OR(EI50="",COUNTIF(EI49:EI52,EI50)=1),"",$BU50)</f>
        <v/>
      </c>
      <c r="EK50" s="13" t="str">
        <f>IF(EE50="","",IF(COUNTIF(EI49:EI52,EI50)=1,EI50,EI50+RANK(EJ50,EJ49:EJ52,0)-1))</f>
        <v/>
      </c>
      <c r="EL50" s="13">
        <f>IF(DT50&gt;0,CG47+DA47+RANK(EK50,EK49:EK52,1),)</f>
        <v>0</v>
      </c>
      <c r="EN50" s="13">
        <f>IF(CC50=4,BT50,)</f>
        <v>0</v>
      </c>
      <c r="EO50" s="13">
        <f t="shared" ref="EO50:EO52" si="406">(SUMIF($AF$4:$AF$108,$BT50,$BL$4:$BL$108)+SUMIF($AH$4:$AH$108,$BT50,$BM$4:$BM$108))</f>
        <v>0</v>
      </c>
      <c r="EP50" s="13">
        <f t="shared" ref="EP50:EP52" si="407">(SUMIF($AF$4:$AF$108,$BT50,$BN$4:$BN$108)+SUMIF($AH$4:$AH$108,$BT50,$BO$4:$BO$108))</f>
        <v>0</v>
      </c>
      <c r="EQ50" s="13">
        <f t="shared" ref="EQ50:EQ52" si="408">(SUMIF($AF$4:$AF$108,$BT50,$BP$4:$BP$108)+SUMIF($AH$4:$AH$108,$BT50,$BQ$4:$BQ$108))</f>
        <v>0</v>
      </c>
      <c r="ER50" s="13">
        <f t="shared" ref="ER50:ER52" si="409">IFERROR(EO50*3+EP50*1,0)</f>
        <v>0</v>
      </c>
      <c r="ES50" s="13" t="str">
        <f t="shared" ref="ES50:ES52" si="410">$CB50</f>
        <v>F</v>
      </c>
      <c r="ET50" s="13">
        <f>IF(EN50&gt;0,RANK(ER50,ER49:ER52)+CG47+DA47+DU47,)</f>
        <v>0</v>
      </c>
      <c r="EU50" s="13">
        <f>IF(AND(EN50&gt;0,COUNTIF(ET49:ET52,ET50)&gt;1),SUMIFS($AI$4:$AI$108,$AF$4:$AF$108,$BT50,$M$4:$M$108,4)+SUMIFS($AK$4:$AK$108,$AH$4:$AH$108,$BT50,$M$4:$M$108,4)-SUMIFS($AK$4:$AK$108,$AF$4:$AF$108,$BT50,$M$4:$M$108,4)-SUMIFS($AI$4:$AI$108,$AH$4:$AH$108,$BT50,$M$4:$M$108,4),)</f>
        <v>0</v>
      </c>
      <c r="EV50" s="13">
        <f>IF(AND(EN50&gt;0,COUNTIF(ET49:ET52,ET50)&gt;1),ET50+RANK(EU50,EU49:EU52)-1,ET50)</f>
        <v>0</v>
      </c>
      <c r="EW50" s="13">
        <f t="shared" ref="EW50:EW52" si="411">IF(AND(EN50&gt;0,COUNTIF(EV50:EV53,EV50)&gt;1),SUMIFS($AI$4:$AI$108,$AF$4:$AF$108,$BT50,$M$4:$M$108,4)+SUMIFS($AK$4:$AK$108,$AH$4:$AH$108,$BT50,$M$4:$M$108,4),)</f>
        <v>0</v>
      </c>
      <c r="EX50" s="13">
        <f>IF(AND(EN50&gt;0,COUNTIF(EV49:EV52,EV50)&gt;1),EV50+RANK(EW50,EW49:EW52)-1,EV50)</f>
        <v>0</v>
      </c>
      <c r="EY50" s="13" t="str">
        <f t="shared" ref="EY50:EY52" si="412">IF(EX50=0,"",EX50)</f>
        <v/>
      </c>
      <c r="EZ50" s="13" t="str">
        <f>IF(OR(EY50="",COUNTIF(EY49:EY52,EY50)=1),"",$BZ50)</f>
        <v/>
      </c>
      <c r="FA50" s="13" t="str">
        <f>IF(EY50="","",IF(COUNTIF(EY49:EY52,EY50)=1,EY50,EY50+RANK(EZ50,EZ49:EZ52,0)-1))</f>
        <v/>
      </c>
      <c r="FB50" s="13" t="str">
        <f>IF(OR(FA50="",COUNTIF(FA49:FA52,FA50)=1),"",$BX50)</f>
        <v/>
      </c>
      <c r="FC50" s="13" t="str">
        <f>IF(EY50="","",IF(COUNTIF(FA49:FA52,FA50)=1,FA50,FA50+RANK(FB50,FB49:FB52,0)-1))</f>
        <v/>
      </c>
      <c r="FD50" s="13" t="str">
        <f>IF(OR(FC50="",COUNTIF(FC49:FC52,FC50)=1),"",$BU50)</f>
        <v/>
      </c>
      <c r="FE50" s="13" t="str">
        <f>IF(EY50="","",IF(COUNTIF(FC49:FC52,FC50)=1,FC50,FC50+RANK(FD50,FD49:FD52,0)-1))</f>
        <v/>
      </c>
      <c r="FF50" s="13">
        <f>IF(EN50&gt;0,CG47+DA47+DU47+RANK(FE50,FE49:FE52,1),)</f>
        <v>0</v>
      </c>
      <c r="FH50" s="13">
        <f>IFERROR(VLOOKUP(FJ50,CF48:CX52,19,FALSE),IFERROR(VLOOKUP(FJ50,CZ48:DR52,19,FALSE),IFERROR(VLOOKUP(FJ50,DT48:EL52,19,FALSE),VLOOKUP(FJ50,EN48:FF52,19,FALSE))))</f>
        <v>1</v>
      </c>
      <c r="FI50" s="13">
        <f>RANK(FH50,FH49:FH52,1)+COUNTIF(FH49:FH50,FH50)-1</f>
        <v>2</v>
      </c>
      <c r="FJ50" s="12" t="str">
        <f>BT50</f>
        <v>Japan</v>
      </c>
      <c r="FZ50" s="79">
        <v>48</v>
      </c>
      <c r="GA50" s="3" t="str">
        <f t="shared" si="72"/>
        <v>EJIBHGLK</v>
      </c>
      <c r="GB50" s="3" t="s">
        <v>59</v>
      </c>
      <c r="GC50" s="3" t="s">
        <v>69</v>
      </c>
      <c r="GD50" s="3" t="s">
        <v>61</v>
      </c>
      <c r="GE50" s="3" t="s">
        <v>57</v>
      </c>
      <c r="GF50" s="3" t="s">
        <v>70</v>
      </c>
      <c r="GG50" s="3" t="s">
        <v>60</v>
      </c>
      <c r="GH50" s="3" t="s">
        <v>63</v>
      </c>
      <c r="GI50" s="3" t="s">
        <v>62</v>
      </c>
      <c r="GJ50" s="9" t="str">
        <f t="shared" ref="GJ50:GQ81" si="413">VLOOKUP(GB50,$FM$3:$FN$15,2,FALSE)</f>
        <v>Elfenbenskusten</v>
      </c>
      <c r="GK50" s="9" t="str">
        <f t="shared" si="413"/>
        <v>Österrike</v>
      </c>
      <c r="GL50" s="9" t="str">
        <f t="shared" si="413"/>
        <v>Irak</v>
      </c>
      <c r="GM50" s="9" t="str">
        <f t="shared" si="413"/>
        <v>Qatar</v>
      </c>
      <c r="GN50" s="9" t="str">
        <f t="shared" si="413"/>
        <v>Saudiarabien</v>
      </c>
      <c r="GO50" s="9" t="str">
        <f t="shared" si="413"/>
        <v>Iran</v>
      </c>
      <c r="GP50" s="9" t="str">
        <f t="shared" si="413"/>
        <v>Ghana</v>
      </c>
      <c r="GQ50" s="9" t="str">
        <f t="shared" si="413"/>
        <v>Uzbekistan</v>
      </c>
      <c r="GR50" s="9" t="str">
        <f t="shared" si="75"/>
        <v/>
      </c>
      <c r="GX50" s="79"/>
    </row>
    <row r="51" spans="2:206" ht="14.25" customHeight="1" x14ac:dyDescent="0.25">
      <c r="B51" s="58">
        <v>35</v>
      </c>
      <c r="C51" s="59">
        <v>46193</v>
      </c>
      <c r="D51" s="60" t="s">
        <v>110</v>
      </c>
      <c r="E51" s="61" t="s">
        <v>66</v>
      </c>
      <c r="F51" s="62" t="s">
        <v>112</v>
      </c>
      <c r="G51" s="63"/>
      <c r="H51" s="64" t="s">
        <v>66</v>
      </c>
      <c r="I51" s="63"/>
      <c r="J51" s="65" t="str">
        <f t="shared" si="393"/>
        <v/>
      </c>
      <c r="K51" s="66">
        <f>IF(OR(G51="",I51="",'[1]Resultat &amp; tabell'!G51="",'[1]Resultat &amp; tabell'!I51=""),0,IF(G51='[1]Resultat &amp; tabell'!G51,2,0)+IF(I51='[1]Resultat &amp; tabell'!I51,2,0)+IF(J51='[1]Resultat &amp; tabell'!J51,2,0))</f>
        <v>0</v>
      </c>
      <c r="L51" s="67"/>
      <c r="M51" s="29">
        <f t="shared" si="346"/>
        <v>1</v>
      </c>
      <c r="N51" s="30">
        <v>3</v>
      </c>
      <c r="O51" s="83" t="str">
        <f>VLOOKUP(N51,FI49:FJ52,2,FALSE)</f>
        <v>Sverige</v>
      </c>
      <c r="P51" s="84">
        <f>VLOOKUP($O51,$BT$49:$CA$52,2,FALSE)</f>
        <v>0</v>
      </c>
      <c r="Q51" s="84">
        <f>VLOOKUP($O51,$BT$49:$CA$52,3,FALSE)</f>
        <v>0</v>
      </c>
      <c r="R51" s="84">
        <f>VLOOKUP($O51,$BT$49:$CA$52,4,FALSE)</f>
        <v>0</v>
      </c>
      <c r="S51" s="84">
        <f>VLOOKUP($O51,$BT$49:$CA$52,5,FALSE)</f>
        <v>0</v>
      </c>
      <c r="T51" s="84">
        <f>VLOOKUP($O51,$BT$49:$CA$52,6,FALSE)</f>
        <v>0</v>
      </c>
      <c r="U51" s="84">
        <f>VLOOKUP($O51,$BT$49:$CA$52,7,FALSE)</f>
        <v>0</v>
      </c>
      <c r="V51" s="85">
        <f>VLOOKUP($O51,$BT$49:$CA$52,8,FALSE)</f>
        <v>0</v>
      </c>
      <c r="X51" s="1"/>
      <c r="AE51" s="72">
        <f t="shared" si="347"/>
        <v>46193</v>
      </c>
      <c r="AF51" s="72" t="str">
        <f t="shared" si="347"/>
        <v>Nederländerna</v>
      </c>
      <c r="AG51" s="72" t="str">
        <f t="shared" si="347"/>
        <v>-</v>
      </c>
      <c r="AH51" s="72" t="str">
        <f t="shared" si="347"/>
        <v>Sverige</v>
      </c>
      <c r="AI51" s="63" t="str">
        <f t="shared" si="348"/>
        <v/>
      </c>
      <c r="AJ51" s="58" t="str">
        <f t="shared" si="349"/>
        <v>-</v>
      </c>
      <c r="AK51" s="63" t="str">
        <f t="shared" si="350"/>
        <v/>
      </c>
      <c r="AL51" s="65" t="str">
        <f t="shared" si="351"/>
        <v/>
      </c>
      <c r="AM51" s="73"/>
      <c r="AN51" s="13">
        <f t="shared" si="352"/>
        <v>0</v>
      </c>
      <c r="AO51" s="13">
        <f t="shared" si="353"/>
        <v>0</v>
      </c>
      <c r="AP51" s="13">
        <f t="shared" si="354"/>
        <v>0</v>
      </c>
      <c r="AQ51" s="13">
        <f t="shared" si="355"/>
        <v>0</v>
      </c>
      <c r="AR51" s="13">
        <f t="shared" si="356"/>
        <v>0</v>
      </c>
      <c r="AS51" s="13">
        <f t="shared" si="357"/>
        <v>0</v>
      </c>
      <c r="AT51" s="13">
        <f t="shared" si="358"/>
        <v>0</v>
      </c>
      <c r="AU51" s="13">
        <f t="shared" si="359"/>
        <v>0</v>
      </c>
      <c r="AV51" s="13">
        <f t="shared" si="360"/>
        <v>0</v>
      </c>
      <c r="AW51" s="13">
        <f t="shared" si="361"/>
        <v>0</v>
      </c>
      <c r="AX51" s="13">
        <f t="shared" si="362"/>
        <v>0</v>
      </c>
      <c r="AY51" s="13">
        <f t="shared" si="363"/>
        <v>0</v>
      </c>
      <c r="AZ51" s="13">
        <f t="shared" si="364"/>
        <v>0</v>
      </c>
      <c r="BA51" s="13">
        <f t="shared" si="365"/>
        <v>0</v>
      </c>
      <c r="BB51" s="13">
        <f t="shared" si="366"/>
        <v>0</v>
      </c>
      <c r="BC51" s="13">
        <f t="shared" si="367"/>
        <v>0</v>
      </c>
      <c r="BD51" s="13">
        <f t="shared" si="368"/>
        <v>0</v>
      </c>
      <c r="BE51" s="13">
        <f t="shared" si="369"/>
        <v>0</v>
      </c>
      <c r="BF51" s="13">
        <f t="shared" si="370"/>
        <v>0</v>
      </c>
      <c r="BG51" s="13">
        <f t="shared" si="371"/>
        <v>0</v>
      </c>
      <c r="BH51" s="13">
        <f t="shared" si="372"/>
        <v>0</v>
      </c>
      <c r="BI51" s="13">
        <f t="shared" si="373"/>
        <v>0</v>
      </c>
      <c r="BJ51" s="13">
        <f t="shared" si="374"/>
        <v>0</v>
      </c>
      <c r="BK51" s="13">
        <f t="shared" si="375"/>
        <v>0</v>
      </c>
      <c r="BL51" s="13">
        <f t="shared" si="376"/>
        <v>0</v>
      </c>
      <c r="BM51" s="13">
        <f t="shared" si="377"/>
        <v>0</v>
      </c>
      <c r="BN51" s="13">
        <f t="shared" si="378"/>
        <v>0</v>
      </c>
      <c r="BO51" s="13">
        <f t="shared" si="379"/>
        <v>0</v>
      </c>
      <c r="BP51" s="13">
        <f t="shared" si="380"/>
        <v>0</v>
      </c>
      <c r="BQ51" s="13">
        <f t="shared" si="381"/>
        <v>0</v>
      </c>
      <c r="BT51" s="12" t="s">
        <v>112</v>
      </c>
      <c r="BU51" s="13">
        <f t="shared" si="382"/>
        <v>0</v>
      </c>
      <c r="BV51" s="13">
        <f t="shared" si="383"/>
        <v>0</v>
      </c>
      <c r="BW51" s="13">
        <f t="shared" si="384"/>
        <v>0</v>
      </c>
      <c r="BX51" s="13">
        <f t="shared" si="385"/>
        <v>0</v>
      </c>
      <c r="BY51" s="13">
        <f t="shared" si="386"/>
        <v>0</v>
      </c>
      <c r="BZ51" s="13">
        <f t="shared" si="387"/>
        <v>0</v>
      </c>
      <c r="CA51" s="13">
        <f t="shared" si="388"/>
        <v>0</v>
      </c>
      <c r="CB51" s="13" t="s">
        <v>21</v>
      </c>
      <c r="CC51" s="74">
        <f>RANK(CA51,CA49:CA52)</f>
        <v>1</v>
      </c>
      <c r="CD51" s="13">
        <f>SUMPRODUCT((CA49:CA52=CA51)*(BZ49:BZ52&gt;BZ51))</f>
        <v>0</v>
      </c>
      <c r="CF51" s="12" t="str">
        <f>IF(CC51=1,BT51,)</f>
        <v>Sverige</v>
      </c>
      <c r="CG51" s="13">
        <f t="shared" si="389"/>
        <v>0</v>
      </c>
      <c r="CH51" s="13">
        <f t="shared" si="390"/>
        <v>0</v>
      </c>
      <c r="CI51" s="13">
        <f t="shared" si="391"/>
        <v>0</v>
      </c>
      <c r="CJ51" s="13">
        <f t="shared" si="392"/>
        <v>0</v>
      </c>
      <c r="CK51" s="13" t="str">
        <f t="shared" si="394"/>
        <v>F</v>
      </c>
      <c r="CL51" s="13">
        <f>IF(CF51&gt;0,RANK(CJ51,CJ49:CJ52),)</f>
        <v>1</v>
      </c>
      <c r="CM51" s="13">
        <f>IF(AND(CF51&gt;0,COUNTIF(CL49:CL52,CL51)&gt;1),SUMIFS($AI$4:$AI$108,$AF$4:$AF$108,$BT51,$M$4:$M$108,1)+SUMIFS($AK$4:$AK$108,$AH$4:$AH$108,$BT51,$M$4:$M$108,1)-SUMIFS($AK$4:$AK$108,$AF$4:$AF$108,$BT51,$M$4:$M$108,1)-SUMIFS($AI$4:$AI$108,$AH$4:$AH$108,$BT51,$M$4:$M$108,1),)</f>
        <v>0</v>
      </c>
      <c r="CN51" s="13">
        <f>IF(AND(CF51&gt;0,COUNTIF(CL49:CL52,CL51)&gt;1),CL51+RANK(CM51,CM49:CM52)-1,CL51)</f>
        <v>1</v>
      </c>
      <c r="CO51" s="13">
        <f>IF(AND(CF51&gt;0,COUNTIF(CN49:CN52,CN51)&gt;1),SUMIFS($AI$4:$AI$108,$AF$4:$AF$108,$BT51,$M$4:$M$108,1)+SUMIFS($AK$4:$AK$108,$AH$4:$AH$108,$BT51,$M$4:$M$108,1),)</f>
        <v>0</v>
      </c>
      <c r="CP51" s="13">
        <f>IF(AND(CF51&gt;0,COUNTIF(CN49:CN52,CN51)&gt;1),CN51+RANK(CO51,CO49:CO52)-1,CN51)</f>
        <v>1</v>
      </c>
      <c r="CQ51" s="13">
        <f t="shared" si="395"/>
        <v>1</v>
      </c>
      <c r="CR51" s="13">
        <f>IF(OR(CQ51="",COUNTIF(CQ49:CQ52,CQ51)=1),"",$BZ51)</f>
        <v>0</v>
      </c>
      <c r="CS51" s="13">
        <f>IF(CQ51="","",IF(COUNTIF(CQ49:CQ52,CQ51)=1,CQ51,CQ51+RANK(CR51,CR49:CR52,0)-1))</f>
        <v>1</v>
      </c>
      <c r="CT51" s="13">
        <f>IF(OR(CS51="",COUNTIF(CS49:CS52,CS51)=1),"",$BX51)</f>
        <v>0</v>
      </c>
      <c r="CU51" s="13">
        <f>IF(CQ51="","",IF(COUNTIF(CS49:CS52,CS51)=1,CS51,CS51+RANK(CT51,CT49:CT52,0)-1))</f>
        <v>1</v>
      </c>
      <c r="CV51" s="13">
        <f>IF(OR(CU51="",COUNTIF(CU49:CU52,CU51)=1),"",$BU51)</f>
        <v>0</v>
      </c>
      <c r="CW51" s="13">
        <f>IF(CQ51="","",IF(COUNTIF(CU49:CU52,CU51)=1,CU51,CU51+RANK(CV51,CV49:CV52,0)-1))</f>
        <v>1</v>
      </c>
      <c r="CX51" s="13">
        <f>IF(CF51&gt;0,BM47+RANK(CW51,CW49:CW52,1),)</f>
        <v>1</v>
      </c>
      <c r="CZ51" s="12">
        <f>IF(CC51=2,BT51,)</f>
        <v>0</v>
      </c>
      <c r="DA51" s="13">
        <f>(SUMIF($AF$4:$AF$108,$BT51,$AZ$4:$AZ$108)+SUMIF($AH$4:$AH$108,$BT51,$BA$4:$BA$108))</f>
        <v>0</v>
      </c>
      <c r="DB51" s="13">
        <f t="shared" si="396"/>
        <v>0</v>
      </c>
      <c r="DC51" s="13">
        <f t="shared" si="397"/>
        <v>0</v>
      </c>
      <c r="DD51" s="13">
        <f t="shared" si="398"/>
        <v>0</v>
      </c>
      <c r="DE51" s="13" t="str">
        <f t="shared" si="399"/>
        <v>F</v>
      </c>
      <c r="DF51" s="13">
        <f>IF(CZ51&gt;0,RANK(DD51,DD49:DD52)+CG47,)</f>
        <v>0</v>
      </c>
      <c r="DG51" s="13">
        <f>IF(AND(CZ51&gt;0,COUNTIF(DF49:DF52,DF51)&gt;1),SUMIFS($AI$4:$AI$108,$AF$4:$AF$108,$BT51,$M$4:$M$108,2)+SUMIFS($AK$4:$AK$108,$AH$4:$AH108,$BT51,$M$4:$M$108,2)-SUMIFS($AK$4:$AK$108,$AF$4:$AF$108,$BT51,$M$4:$M$108,2)-SUMIFS($AI$4:$AI$108,$AH$4:$AH$108,$BT51,$M$4:$M$108,2),)</f>
        <v>0</v>
      </c>
      <c r="DH51" s="13">
        <f>IF(AND(CZ51&gt;0,COUNTIF(DF49:DF52,DF51)&gt;1),DF51+RANK(DG51,DG49:DG52)-1,DF51)</f>
        <v>0</v>
      </c>
      <c r="DI51" s="13">
        <f>IF(AND(CZ51&gt;0,COUNTIF(DH49:DH52,DH51)&gt;1),SUMIFS($AI$4:$AI$108,$AF$4:$AF$108,$BT51,$M$4:$M$108,2)+SUMIFS($AK$4:$AK$108,$AH$4:$AH$108,$BT51,$M$4:$M$108,2),)</f>
        <v>0</v>
      </c>
      <c r="DJ51" s="13">
        <f>IF(AND(CZ51&gt;0,COUNTIF(DH49:DH52,DH51)&gt;1),DH51+RANK(DI51,DI49:DI52)-1,DH51)</f>
        <v>0</v>
      </c>
      <c r="DK51" s="75" t="str">
        <f t="shared" si="400"/>
        <v/>
      </c>
      <c r="DL51" s="75" t="str">
        <f>IF(OR(DK51="",COUNTIF(DK49:DK52,DK51)=1),"",$BZ51)</f>
        <v/>
      </c>
      <c r="DM51" s="75" t="str">
        <f>IF(DK51="","",IF(COUNTIF(DK49:DK52,DK51)=1,DK51,DK51+RANK(DL51,DL49:DL52,0)-1))</f>
        <v/>
      </c>
      <c r="DN51" s="75" t="str">
        <f>IF(OR(DM51="",COUNTIF(DM49:DM52,DM51)=1),"",$BX51)</f>
        <v/>
      </c>
      <c r="DO51" s="75" t="str">
        <f>IF(DK51="","",IF(COUNTIF(DM49:DM52,DM51)=1,DM51,DM51+RANK(DN51,DN49:DN52,0)-1))</f>
        <v/>
      </c>
      <c r="DP51" s="75" t="str">
        <f>IF(OR(DO51="",COUNTIF(DO49:DO52,DO51)=1),"",$BU51)</f>
        <v/>
      </c>
      <c r="DQ51" s="75" t="str">
        <f>IF(DK51="","",IF(COUNTIF(DO49:DO52,DO51)=1,DO51,DO51+RANK(DP51,DP49:DP52,0)-1))</f>
        <v/>
      </c>
      <c r="DR51" s="13">
        <f>IF(CZ51&gt;0,CG47+RANK(DQ51,DQ49:DQ52,1),)</f>
        <v>0</v>
      </c>
      <c r="DT51" s="13">
        <f>IF(CC51=3,BT51,)</f>
        <v>0</v>
      </c>
      <c r="DU51" s="13">
        <f t="shared" si="401"/>
        <v>0</v>
      </c>
      <c r="DV51" s="13">
        <f t="shared" si="402"/>
        <v>0</v>
      </c>
      <c r="DW51" s="13">
        <f t="shared" si="403"/>
        <v>0</v>
      </c>
      <c r="DX51" s="13">
        <f>IFERROR(DU51*3+DV51*1,0)</f>
        <v>0</v>
      </c>
      <c r="DY51" s="13" t="str">
        <f t="shared" si="404"/>
        <v>F</v>
      </c>
      <c r="DZ51" s="13">
        <f>IF(DT51&gt;0,RANK(DX51,DX49:DX52)+CG47+DA47,)</f>
        <v>0</v>
      </c>
      <c r="EA51" s="13">
        <f>IF(AND(DT51&gt;0,COUNTIF(DZ49:DZ52,DZ51)&gt;1),SUMIFS($AI$4:$AI$108,$AF$4:$AF$108,$BT51,$M$4:$M$108,3)+SUMIFS($AK$4:$AK$108,$AH$4:$AH$108,$BT51,$M$4:$M$108,3)-SUMIFS($AK$4:$AK$108,$AF$4:$AF$108,$BT51,$M$4:$M$108,3)-SUMIFS($AI$4:$AI$108,$AH$4:$AH$108,$BT51,$M$4:$M$108,3),)</f>
        <v>0</v>
      </c>
      <c r="EB51" s="13">
        <f>IF(AND(DT51&gt;0,COUNTIF(DZ49:DZ52,DZ51)&gt;1),DZ51+RANK(EA51,EA49:EA52)-1,DZ51)</f>
        <v>0</v>
      </c>
      <c r="EC51" s="13">
        <f>IF(AND(DT51&gt;0,COUNTIF(EB49:EB52,EB51)&gt;1),SUMIFS($AI$4:$AI$108,$AF$4:$AF$108,$BT51,$M$4:$M$108,3)+SUMIFS($AK$4:$AK$108,$AH$4:$AH$108,$BT51,$M$4:$M$108,3),)</f>
        <v>0</v>
      </c>
      <c r="ED51" s="13">
        <f>IF(AND(DT51&gt;0,COUNTIF(EB49:EB52,EB51)&gt;1),EB51+RANK(EC51,EC49:EC52)-1,EB51)</f>
        <v>0</v>
      </c>
      <c r="EE51" s="13" t="str">
        <f t="shared" si="405"/>
        <v/>
      </c>
      <c r="EF51" s="13" t="str">
        <f>IF(OR(EE51="",COUNTIF(EE49:EE52,EE51)=1),"",$BZ51)</f>
        <v/>
      </c>
      <c r="EG51" s="13" t="str">
        <f>IF(EE51="","",IF(COUNTIF(EE49:EE52,EE51)=1,EE51,EE51+RANK(EF51,EF49:EF52,0)-1))</f>
        <v/>
      </c>
      <c r="EH51" s="13" t="str">
        <f>IF(OR(EG51="",COUNTIF(EG49:EG52,EG51)=1),"",$BX51)</f>
        <v/>
      </c>
      <c r="EI51" s="13" t="str">
        <f>IF(EE51="","",IF(COUNTIF(EG49:EG52,EG51)=1,EG51,EG51+RANK(EH51,EH49:EH52,0)-1))</f>
        <v/>
      </c>
      <c r="EJ51" s="13" t="str">
        <f>IF(OR(EI51="",COUNTIF(EI49:EI52,EI51)=1),"",$BU51)</f>
        <v/>
      </c>
      <c r="EK51" s="13" t="str">
        <f>IF(EE51="","",IF(COUNTIF(EI49:EI52,EI51)=1,EI51,EI51+RANK(EJ51,EJ49:EJ52,0)-1))</f>
        <v/>
      </c>
      <c r="EL51" s="13">
        <f>IF(DT51&gt;0,CG47+DA47+RANK(EK51,EK49:EK52,1),)</f>
        <v>0</v>
      </c>
      <c r="EN51" s="13">
        <f>IF(CC51=4,BT51,)</f>
        <v>0</v>
      </c>
      <c r="EO51" s="13">
        <f t="shared" si="406"/>
        <v>0</v>
      </c>
      <c r="EP51" s="13">
        <f t="shared" si="407"/>
        <v>0</v>
      </c>
      <c r="EQ51" s="13">
        <f t="shared" si="408"/>
        <v>0</v>
      </c>
      <c r="ER51" s="13">
        <f t="shared" si="409"/>
        <v>0</v>
      </c>
      <c r="ES51" s="13" t="str">
        <f t="shared" si="410"/>
        <v>F</v>
      </c>
      <c r="ET51" s="13">
        <f>IF(EN51&gt;0,RANK(ER51,ER49:ER52)+CG47+DA47+DU47,)</f>
        <v>0</v>
      </c>
      <c r="EU51" s="13">
        <f>IF(AND(EN51&gt;0,COUNTIF(ET49:ET52,ET51)&gt;1),SUMIFS($AI$4:$AI$108,$AF$4:$AF$108,$BT51,$M$4:$M$108,4)+SUMIFS($AK$4:$AK$108,$AH$4:$AH$108,$BT51,$M$4:$M$108,4)-SUMIFS($AK$4:$AK$108,$AF$4:$AF$108,$BT51,$M$4:$M$108,4)-SUMIFS($AI$4:$AI$108,$AH$4:$AH$108,$BT51,$M$4:$M$108,4),)</f>
        <v>0</v>
      </c>
      <c r="EV51" s="13">
        <f>IF(AND(EN51&gt;0,COUNTIF(ET49:ET52,ET51)&gt;1),ET51+RANK(EU51,EU49:EU52)-1,ET51)</f>
        <v>0</v>
      </c>
      <c r="EW51" s="13">
        <f t="shared" si="411"/>
        <v>0</v>
      </c>
      <c r="EX51" s="13">
        <f>IF(AND(EN51&gt;0,COUNTIF(EV49:EV52,EV51)&gt;1),EV51+RANK(EW51,EW49:EW52)-1,EV51)</f>
        <v>0</v>
      </c>
      <c r="EY51" s="13" t="str">
        <f t="shared" si="412"/>
        <v/>
      </c>
      <c r="EZ51" s="13" t="str">
        <f>IF(OR(EY51="",COUNTIF(EY49:EY52,EY51)=1),"",$BZ51)</f>
        <v/>
      </c>
      <c r="FA51" s="13" t="str">
        <f>IF(EY51="","",IF(COUNTIF(EY49:EY52,EY51)=1,EY51,EY51+RANK(EZ51,EZ49:EZ52,0)-1))</f>
        <v/>
      </c>
      <c r="FB51" s="13" t="str">
        <f>IF(OR(FA51="",COUNTIF(FA49:FA52,FA51)=1),"",$BX51)</f>
        <v/>
      </c>
      <c r="FC51" s="13" t="str">
        <f>IF(EY51="","",IF(COUNTIF(FA49:FA52,FA51)=1,FA51,FA51+RANK(FB51,FB49:FB52,0)-1))</f>
        <v/>
      </c>
      <c r="FD51" s="13" t="str">
        <f>IF(OR(FC51="",COUNTIF(FC49:FC52,FC51)=1),"",$BU51)</f>
        <v/>
      </c>
      <c r="FE51" s="13" t="str">
        <f>IF(EY51="","",IF(COUNTIF(FC49:FC52,FC51)=1,FC51,FC51+RANK(FD51,FD49:FD52,0)-1))</f>
        <v/>
      </c>
      <c r="FF51" s="13">
        <f>IF(EN51&gt;0,CG47+DA47+DU47+RANK(FE51,FE49:FE52,1),)</f>
        <v>0</v>
      </c>
      <c r="FH51" s="13">
        <f>IFERROR(VLOOKUP(FJ51,CF48:CX52,19,FALSE),IFERROR(VLOOKUP(FJ51,CZ48:DR52,19,FALSE),IFERROR(VLOOKUP(FJ51,DT48:EL52,19,FALSE),VLOOKUP(FJ51,EN48:FF52,19,FALSE))))</f>
        <v>1</v>
      </c>
      <c r="FI51" s="13">
        <f>RANK(FH51,FH49:FH52,1)+COUNTIF(FH49:FH51,FH51)-1</f>
        <v>3</v>
      </c>
      <c r="FJ51" s="12" t="str">
        <f>BT51</f>
        <v>Sverige</v>
      </c>
      <c r="FZ51" s="79">
        <v>49</v>
      </c>
      <c r="GA51" s="3" t="str">
        <f t="shared" si="72"/>
        <v>EJBFIHLK</v>
      </c>
      <c r="GB51" s="3" t="s">
        <v>59</v>
      </c>
      <c r="GC51" s="3" t="s">
        <v>69</v>
      </c>
      <c r="GD51" s="3" t="s">
        <v>57</v>
      </c>
      <c r="GE51" s="3" t="s">
        <v>21</v>
      </c>
      <c r="GF51" s="3" t="s">
        <v>61</v>
      </c>
      <c r="GG51" s="3" t="s">
        <v>70</v>
      </c>
      <c r="GH51" s="3" t="s">
        <v>63</v>
      </c>
      <c r="GI51" s="3" t="s">
        <v>62</v>
      </c>
      <c r="GJ51" s="9" t="str">
        <f t="shared" si="413"/>
        <v>Elfenbenskusten</v>
      </c>
      <c r="GK51" s="9" t="str">
        <f t="shared" si="413"/>
        <v>Österrike</v>
      </c>
      <c r="GL51" s="9" t="str">
        <f t="shared" si="413"/>
        <v>Qatar</v>
      </c>
      <c r="GM51" s="9" t="str">
        <f t="shared" si="413"/>
        <v>Sverige</v>
      </c>
      <c r="GN51" s="9" t="str">
        <f t="shared" si="413"/>
        <v>Irak</v>
      </c>
      <c r="GO51" s="9" t="str">
        <f t="shared" si="413"/>
        <v>Saudiarabien</v>
      </c>
      <c r="GP51" s="9" t="str">
        <f t="shared" si="413"/>
        <v>Ghana</v>
      </c>
      <c r="GQ51" s="9" t="str">
        <f t="shared" si="413"/>
        <v>Uzbekistan</v>
      </c>
      <c r="GR51" s="9" t="str">
        <f t="shared" si="75"/>
        <v/>
      </c>
      <c r="GX51" s="79"/>
    </row>
    <row r="52" spans="2:206" ht="14.25" customHeight="1" x14ac:dyDescent="0.25">
      <c r="B52" s="58">
        <v>36</v>
      </c>
      <c r="C52" s="59">
        <v>46194</v>
      </c>
      <c r="D52" s="60" t="s">
        <v>113</v>
      </c>
      <c r="E52" s="61" t="s">
        <v>66</v>
      </c>
      <c r="F52" s="62" t="s">
        <v>111</v>
      </c>
      <c r="G52" s="63"/>
      <c r="H52" s="64" t="s">
        <v>66</v>
      </c>
      <c r="I52" s="63"/>
      <c r="J52" s="65" t="str">
        <f t="shared" si="393"/>
        <v/>
      </c>
      <c r="K52" s="66">
        <f>IF(OR(G52="",I52="",'[1]Resultat &amp; tabell'!G52="",'[1]Resultat &amp; tabell'!I52=""),0,IF(G52='[1]Resultat &amp; tabell'!G52,2,0)+IF(I52='[1]Resultat &amp; tabell'!I52,2,0)+IF(J52='[1]Resultat &amp; tabell'!J52,2,0))</f>
        <v>0</v>
      </c>
      <c r="L52" s="67"/>
      <c r="M52" s="29">
        <f t="shared" si="346"/>
        <v>1</v>
      </c>
      <c r="N52" s="30">
        <v>4</v>
      </c>
      <c r="O52" s="86" t="str">
        <f>VLOOKUP(N52,FI49:FJ52,2,FALSE)</f>
        <v>Tunisien</v>
      </c>
      <c r="P52" s="87">
        <f>VLOOKUP($O52,$BT$49:$CA$52,2,FALSE)</f>
        <v>0</v>
      </c>
      <c r="Q52" s="87">
        <f>VLOOKUP($O52,$BT$49:$CA$52,3,FALSE)</f>
        <v>0</v>
      </c>
      <c r="R52" s="87">
        <f>VLOOKUP($O52,$BT$49:$CA$52,4,FALSE)</f>
        <v>0</v>
      </c>
      <c r="S52" s="87">
        <f>VLOOKUP($O52,$BT$49:$CA$52,5,FALSE)</f>
        <v>0</v>
      </c>
      <c r="T52" s="87">
        <f>VLOOKUP($O52,$BT$49:$CA$52,6,FALSE)</f>
        <v>0</v>
      </c>
      <c r="U52" s="87">
        <f>VLOOKUP($O52,$BT$49:$CA$52,7,FALSE)</f>
        <v>0</v>
      </c>
      <c r="V52" s="82">
        <f>VLOOKUP($O52,$BT$49:$CA$52,8,FALSE)</f>
        <v>0</v>
      </c>
      <c r="X52" s="1"/>
      <c r="AE52" s="72">
        <f t="shared" si="347"/>
        <v>46194</v>
      </c>
      <c r="AF52" s="72" t="str">
        <f t="shared" si="347"/>
        <v>Tunisien</v>
      </c>
      <c r="AG52" s="72" t="str">
        <f t="shared" si="347"/>
        <v>-</v>
      </c>
      <c r="AH52" s="72" t="str">
        <f t="shared" si="347"/>
        <v>Japan</v>
      </c>
      <c r="AI52" s="63" t="str">
        <f t="shared" si="348"/>
        <v/>
      </c>
      <c r="AJ52" s="58" t="str">
        <f t="shared" si="349"/>
        <v>-</v>
      </c>
      <c r="AK52" s="63" t="str">
        <f t="shared" si="350"/>
        <v/>
      </c>
      <c r="AL52" s="65" t="str">
        <f t="shared" si="351"/>
        <v/>
      </c>
      <c r="AM52" s="73"/>
      <c r="AN52" s="13">
        <f t="shared" si="352"/>
        <v>0</v>
      </c>
      <c r="AO52" s="13">
        <f t="shared" si="353"/>
        <v>0</v>
      </c>
      <c r="AP52" s="13">
        <f t="shared" si="354"/>
        <v>0</v>
      </c>
      <c r="AQ52" s="13">
        <f t="shared" si="355"/>
        <v>0</v>
      </c>
      <c r="AR52" s="13">
        <f t="shared" si="356"/>
        <v>0</v>
      </c>
      <c r="AS52" s="13">
        <f t="shared" si="357"/>
        <v>0</v>
      </c>
      <c r="AT52" s="13">
        <f t="shared" si="358"/>
        <v>0</v>
      </c>
      <c r="AU52" s="13">
        <f t="shared" si="359"/>
        <v>0</v>
      </c>
      <c r="AV52" s="13">
        <f t="shared" si="360"/>
        <v>0</v>
      </c>
      <c r="AW52" s="13">
        <f t="shared" si="361"/>
        <v>0</v>
      </c>
      <c r="AX52" s="13">
        <f t="shared" si="362"/>
        <v>0</v>
      </c>
      <c r="AY52" s="13">
        <f t="shared" si="363"/>
        <v>0</v>
      </c>
      <c r="AZ52" s="13">
        <f t="shared" si="364"/>
        <v>0</v>
      </c>
      <c r="BA52" s="13">
        <f t="shared" si="365"/>
        <v>0</v>
      </c>
      <c r="BB52" s="13">
        <f t="shared" si="366"/>
        <v>0</v>
      </c>
      <c r="BC52" s="13">
        <f t="shared" si="367"/>
        <v>0</v>
      </c>
      <c r="BD52" s="13">
        <f t="shared" si="368"/>
        <v>0</v>
      </c>
      <c r="BE52" s="13">
        <f t="shared" si="369"/>
        <v>0</v>
      </c>
      <c r="BF52" s="13">
        <f t="shared" si="370"/>
        <v>0</v>
      </c>
      <c r="BG52" s="13">
        <f t="shared" si="371"/>
        <v>0</v>
      </c>
      <c r="BH52" s="13">
        <f t="shared" si="372"/>
        <v>0</v>
      </c>
      <c r="BI52" s="13">
        <f t="shared" si="373"/>
        <v>0</v>
      </c>
      <c r="BJ52" s="13">
        <f t="shared" si="374"/>
        <v>0</v>
      </c>
      <c r="BK52" s="13">
        <f t="shared" si="375"/>
        <v>0</v>
      </c>
      <c r="BL52" s="13">
        <f t="shared" si="376"/>
        <v>0</v>
      </c>
      <c r="BM52" s="13">
        <f t="shared" si="377"/>
        <v>0</v>
      </c>
      <c r="BN52" s="13">
        <f t="shared" si="378"/>
        <v>0</v>
      </c>
      <c r="BO52" s="13">
        <f t="shared" si="379"/>
        <v>0</v>
      </c>
      <c r="BP52" s="13">
        <f t="shared" si="380"/>
        <v>0</v>
      </c>
      <c r="BQ52" s="13">
        <f t="shared" si="381"/>
        <v>0</v>
      </c>
      <c r="BT52" s="88" t="s">
        <v>113</v>
      </c>
      <c r="BU52" s="13">
        <f t="shared" si="382"/>
        <v>0</v>
      </c>
      <c r="BV52" s="13">
        <f t="shared" si="383"/>
        <v>0</v>
      </c>
      <c r="BW52" s="13">
        <f t="shared" si="384"/>
        <v>0</v>
      </c>
      <c r="BX52" s="13">
        <f t="shared" si="385"/>
        <v>0</v>
      </c>
      <c r="BY52" s="13">
        <f t="shared" si="386"/>
        <v>0</v>
      </c>
      <c r="BZ52" s="13">
        <f t="shared" si="387"/>
        <v>0</v>
      </c>
      <c r="CA52" s="13">
        <f t="shared" si="388"/>
        <v>0</v>
      </c>
      <c r="CB52" s="89" t="s">
        <v>21</v>
      </c>
      <c r="CC52" s="74">
        <f>RANK(CA52,CA49:CA52)</f>
        <v>1</v>
      </c>
      <c r="CD52" s="13">
        <f>SUMPRODUCT((CA49:CA52=CA52)*(BZ49:BZ52&gt;BZ52))</f>
        <v>0</v>
      </c>
      <c r="CF52" s="88" t="str">
        <f>IF(CC52=1,BT52,)</f>
        <v>Tunisien</v>
      </c>
      <c r="CG52" s="13">
        <f t="shared" si="389"/>
        <v>0</v>
      </c>
      <c r="CH52" s="13">
        <f t="shared" si="390"/>
        <v>0</v>
      </c>
      <c r="CI52" s="13">
        <f t="shared" si="391"/>
        <v>0</v>
      </c>
      <c r="CJ52" s="13">
        <f t="shared" si="392"/>
        <v>0</v>
      </c>
      <c r="CK52" s="13" t="str">
        <f t="shared" si="394"/>
        <v>F</v>
      </c>
      <c r="CL52" s="13">
        <f>IF(CF52&gt;0,RANK(CJ52,CJ49:CJ52),)</f>
        <v>1</v>
      </c>
      <c r="CM52" s="13">
        <f>IF(AND(CF52&gt;0,COUNTIF(CL49:CL52,CL52)&gt;1),SUMIFS($AI$4:$AI$108,$AF$4:$AF$108,$BT52,$M$4:$M$108,1)+SUMIFS($AK$4:$AK$108,$AH$4:$AH$108,$BT52,$M$4:$M$108,1)-SUMIFS($AK$4:$AK$108,$AF$4:$AF$108,$BT52,$M$4:$M$108,1)-SUMIFS($AI$4:$AI$108,$AH$4:$AH$108,$BT52,$M$4:$M$108,1),)</f>
        <v>0</v>
      </c>
      <c r="CN52" s="13">
        <f>IF(AND(CF52&gt;0,COUNTIF(CL49:CL52,CL52)&gt;1),CL52+RANK(CM52,CM49:CM52)-1,CL52)</f>
        <v>1</v>
      </c>
      <c r="CO52" s="13">
        <f>IF(AND(CF52&gt;0,COUNTIF(CN49:CN52,CN52)&gt;1),SUMIFS($AI$4:$AI$108,$AF$4:$AF$108,$BT52,$M$4:$M$108,1)+SUMIFS($AK$4:$AK$108,$AH$4:$AH$108,$BT52,$M$4:$M$108,1),)</f>
        <v>0</v>
      </c>
      <c r="CP52" s="13">
        <f>IF(AND(CF52&gt;0,COUNTIF(CN49:CN52,CN52)&gt;1),CN52+RANK(CO52,CO49:CO52)-1,CN52)</f>
        <v>1</v>
      </c>
      <c r="CQ52" s="13">
        <f t="shared" si="395"/>
        <v>1</v>
      </c>
      <c r="CR52" s="13">
        <f>IF(OR(CQ52="",COUNTIF(CQ49:CQ52,CQ52)=1),"",$BZ52)</f>
        <v>0</v>
      </c>
      <c r="CS52" s="13">
        <f>IF(CQ52="","",IF(COUNTIF(CQ49:CQ52,CQ52)=1,CQ52,CQ52+RANK(CR52,CR49:CR52,0)-1))</f>
        <v>1</v>
      </c>
      <c r="CT52" s="13">
        <f>IF(OR(CS52="",COUNTIF(CS49:CS52,CS52)=1),"",$BX52)</f>
        <v>0</v>
      </c>
      <c r="CU52" s="13">
        <f>IF(CQ52="","",IF(COUNTIF(CS49:CS52,CS52)=1,CS52,CS52+RANK(CT52,CT49:CT52,0)-1))</f>
        <v>1</v>
      </c>
      <c r="CV52" s="13">
        <f>IF(OR(CU52="",COUNTIF(CU49:CU52,CU52)=1),"",$BU52)</f>
        <v>0</v>
      </c>
      <c r="CW52" s="13">
        <f>IF(CQ52="","",IF(COUNTIF(CU49:CU52,CU52)=1,CU52,CU52+RANK(CV52,CV49:CV52,0)-1))</f>
        <v>1</v>
      </c>
      <c r="CX52" s="13">
        <f>IF(CF52&gt;0,BM47+RANK(CW52,CW49:CW52,1),)</f>
        <v>1</v>
      </c>
      <c r="CZ52" s="88">
        <f>IF(CC52=2,BT52,)</f>
        <v>0</v>
      </c>
      <c r="DA52" s="13">
        <f>(SUMIF($AF$4:$AF$108,$BT52,$AZ$4:$AZ$108)+SUMIF($AH$4:$AH$108,$BT52,$BA$4:$BA$108))</f>
        <v>0</v>
      </c>
      <c r="DB52" s="13">
        <f t="shared" si="396"/>
        <v>0</v>
      </c>
      <c r="DC52" s="13">
        <f t="shared" si="397"/>
        <v>0</v>
      </c>
      <c r="DD52" s="13">
        <f t="shared" si="398"/>
        <v>0</v>
      </c>
      <c r="DE52" s="13" t="str">
        <f t="shared" si="399"/>
        <v>F</v>
      </c>
      <c r="DF52" s="13">
        <f>IF(CZ52&gt;0,RANK(DD52,DD49:DD52)+CG47,)</f>
        <v>0</v>
      </c>
      <c r="DG52" s="13">
        <f>IF(AND(CZ52&gt;0,COUNTIF(DF49:DF52,DF52)&gt;1),SUMIFS($AI$4:$AI$108,$AF$4:$AF$108,$BT52,$M$4:$M$108,2)+SUMIFS($AK$4:$AK$108,$AH$4:$AH108,$BT52,$M$4:$M$108,2)-SUMIFS($AK$4:$AK$108,$AF$4:$AF$108,$BT52,$M$4:$M$108,2)-SUMIFS($AI$4:$AI$108,$AH$4:$AH$108,$BT52,$M$4:$M$108,2),)</f>
        <v>0</v>
      </c>
      <c r="DH52" s="13">
        <f>IF(AND(CZ52&gt;0,COUNTIF(DF49:DF52,DF52)&gt;1),DF52+RANK(DG52,DG49:DG52)-1,DF52)</f>
        <v>0</v>
      </c>
      <c r="DI52" s="13">
        <f>IF(AND(CZ52&gt;0,COUNTIF(DH49:DH52,DH52)&gt;1),SUMIFS($AI$4:$AI$108,$AF$4:$AF$108,$BT52,$M$4:$M$108,2)+SUMIFS($AK$4:$AK$108,$AH$4:$AH$108,$BT52,$M$4:$M$108,2),)</f>
        <v>0</v>
      </c>
      <c r="DJ52" s="13">
        <f>IF(AND(CZ52&gt;0,COUNTIF(DH49:DH52,DH52)&gt;1),DH52+RANK(DI52,DI49:DI52)-1,DH52)</f>
        <v>0</v>
      </c>
      <c r="DK52" s="75" t="str">
        <f t="shared" si="400"/>
        <v/>
      </c>
      <c r="DL52" s="75" t="str">
        <f>IF(OR(DK52="",COUNTIF(DK49:DK52,DK52)=1),"",$BZ52)</f>
        <v/>
      </c>
      <c r="DM52" s="75" t="str">
        <f>IF(DK52="","",IF(COUNTIF(DK49:DK52,DK52)=1,DK52,DK52+RANK(DL52,DL49:DL52,0)-1))</f>
        <v/>
      </c>
      <c r="DN52" s="75" t="str">
        <f>IF(OR(DM52="",COUNTIF(DM49:DM52,DM52)=1),"",$BX52)</f>
        <v/>
      </c>
      <c r="DO52" s="75" t="str">
        <f>IF(DK52="","",IF(COUNTIF(DM49:DM52,DM52)=1,DM52,DM52+RANK(DN52,DN49:DN52,0)-1))</f>
        <v/>
      </c>
      <c r="DP52" s="75" t="str">
        <f>IF(OR(DO52="",COUNTIF(DO49:DO52,DO52)=1),"",$BU52)</f>
        <v/>
      </c>
      <c r="DQ52" s="75" t="str">
        <f>IF(DK52="","",IF(COUNTIF(DO49:DO52,DO52)=1,DO52,DO52+RANK(DP52,DP49:DP52,0)-1))</f>
        <v/>
      </c>
      <c r="DR52" s="13">
        <f>IF(CZ52&gt;0,CG47+RANK(DQ52,DQ49:DQ52,1),)</f>
        <v>0</v>
      </c>
      <c r="DT52" s="89">
        <f>IF(CC52=3,BT52,)</f>
        <v>0</v>
      </c>
      <c r="DU52" s="13">
        <f t="shared" si="401"/>
        <v>0</v>
      </c>
      <c r="DV52" s="13">
        <f t="shared" si="402"/>
        <v>0</v>
      </c>
      <c r="DW52" s="13">
        <f t="shared" si="403"/>
        <v>0</v>
      </c>
      <c r="DX52" s="13">
        <f>IFERROR(DU52*3+DV52*1,0)</f>
        <v>0</v>
      </c>
      <c r="DY52" s="13" t="str">
        <f t="shared" si="404"/>
        <v>F</v>
      </c>
      <c r="DZ52" s="13">
        <f>IF(DT52&gt;0,RANK(DX52,DX49:DX52)+CG47+DA47,)</f>
        <v>0</v>
      </c>
      <c r="EA52" s="13">
        <f>IF(AND(DT52&gt;0,COUNTIF(DZ49:DZ52,DZ52)&gt;1),SUMIFS($AI$4:$AI$108,$AF$4:$AF$108,$BT52,$M$4:$M$108,3)+SUMIFS($AK$4:$AK$108,$AH$4:$AH$108,$BT52,$M$4:$M$108,3)-SUMIFS($AK$4:$AK$108,$AF$4:$AF$108,$BT52,$M$4:$M$108,3)-SUMIFS($AI$4:$AI$108,$AH$4:$AH$108,$BT52,$M$4:$M$108,3),)</f>
        <v>0</v>
      </c>
      <c r="EB52" s="13">
        <f>IF(AND(DT52&gt;0,COUNTIF(DZ49:DZ52,DZ52)&gt;1),DZ52+RANK(EA52,EA49:EA52)-1,DZ52)</f>
        <v>0</v>
      </c>
      <c r="EC52" s="13">
        <f>IF(AND(DT52&gt;0,COUNTIF(EB49:EB52,EB52)&gt;1),SUMIFS($AI$4:$AI$108,$AF$4:$AF$108,$BT52,$M$4:$M$108,3)+SUMIFS($AK$4:$AK$108,$AH$4:$AH$108,$BT52,$M$4:$M$108,3),)</f>
        <v>0</v>
      </c>
      <c r="ED52" s="13">
        <f>IF(AND(DT52&gt;0,COUNTIF(EB49:EB52,EB52)&gt;1),EB52+RANK(EC52,EC49:EC52)-1,EB52)</f>
        <v>0</v>
      </c>
      <c r="EE52" s="13" t="str">
        <f t="shared" si="405"/>
        <v/>
      </c>
      <c r="EF52" s="13" t="str">
        <f>IF(OR(EE52="",COUNTIF(EE49:EE52,EE52)=1),"",$BZ52)</f>
        <v/>
      </c>
      <c r="EG52" s="13" t="str">
        <f>IF(EE52="","",IF(COUNTIF(EE49:EE52,EE52)=1,EE52,EE52+RANK(EF52,EF49:EF52,0)-1))</f>
        <v/>
      </c>
      <c r="EH52" s="13" t="str">
        <f>IF(OR(EG52="",COUNTIF(EG49:EG52,EG52)=1),"",$BX52)</f>
        <v/>
      </c>
      <c r="EI52" s="13" t="str">
        <f>IF(EE52="","",IF(COUNTIF(EG49:EG52,EG52)=1,EG52,EG52+RANK(EH52,EH49:EH52,0)-1))</f>
        <v/>
      </c>
      <c r="EJ52" s="13" t="str">
        <f>IF(OR(EI52="",COUNTIF(EI49:EI52,EI52)=1),"",$BU52)</f>
        <v/>
      </c>
      <c r="EK52" s="13" t="str">
        <f>IF(EE52="","",IF(COUNTIF(EI49:EI52,EI52)=1,EI52,EI52+RANK(EJ52,EJ49:EJ52,0)-1))</f>
        <v/>
      </c>
      <c r="EL52" s="13">
        <f>IF(DT52&gt;0,CG47+DA47+RANK(EK52,EK49:EK52,1),)</f>
        <v>0</v>
      </c>
      <c r="EN52" s="13">
        <f>IF(CC52=4,BT52,)</f>
        <v>0</v>
      </c>
      <c r="EO52" s="13">
        <f t="shared" si="406"/>
        <v>0</v>
      </c>
      <c r="EP52" s="13">
        <f t="shared" si="407"/>
        <v>0</v>
      </c>
      <c r="EQ52" s="13">
        <f t="shared" si="408"/>
        <v>0</v>
      </c>
      <c r="ER52" s="13">
        <f t="shared" si="409"/>
        <v>0</v>
      </c>
      <c r="ES52" s="13" t="str">
        <f t="shared" si="410"/>
        <v>F</v>
      </c>
      <c r="ET52" s="13">
        <f>IF(EN52&gt;0,RANK(ER52,ER49:ER52)+CG47+DA47+DU47,)</f>
        <v>0</v>
      </c>
      <c r="EU52" s="13">
        <f>IF(AND(EN52&gt;0,COUNTIF(ET49:ET52,ET52)&gt;1),SUMIFS($AI$4:$AI$108,$AF$4:$AF$108,$BT52,$M$4:$M$108,4)+SUMIFS($AK$4:$AK$108,$AH$4:$AH$108,$BT52,$M$4:$M$108,4)-SUMIFS($AK$4:$AK$108,$AF$4:$AF$108,$BT52,$M$4:$M$108,4)-SUMIFS($AI$4:$AI$108,$AH$4:$AH$108,$BT52,$M$4:$M$108,4),)</f>
        <v>0</v>
      </c>
      <c r="EV52" s="13">
        <f>IF(AND(EN52&gt;0,COUNTIF(ET49:ET52,ET52)&gt;1),ET52+RANK(EU52,EU49:EU52)-1,ET52)</f>
        <v>0</v>
      </c>
      <c r="EW52" s="13">
        <f t="shared" si="411"/>
        <v>0</v>
      </c>
      <c r="EX52" s="13">
        <f>IF(AND(EN52&gt;0,COUNTIF(EV49:EV52,EV52)&gt;1),EV52+RANK(EW52,EW49:EW52)-1,EV52)</f>
        <v>0</v>
      </c>
      <c r="EY52" s="13" t="str">
        <f t="shared" si="412"/>
        <v/>
      </c>
      <c r="EZ52" s="13" t="str">
        <f>IF(OR(EY52="",COUNTIF(EY49:EY52,EY52)=1),"",$BZ52)</f>
        <v/>
      </c>
      <c r="FA52" s="13" t="str">
        <f>IF(EY52="","",IF(COUNTIF(EY49:EY52,EY52)=1,EY52,EY52+RANK(EZ52,EZ49:EZ52,0)-1))</f>
        <v/>
      </c>
      <c r="FB52" s="13" t="str">
        <f>IF(OR(FA52="",COUNTIF(FA49:FA52,FA52)=1),"",$BX52)</f>
        <v/>
      </c>
      <c r="FC52" s="13" t="str">
        <f>IF(EY52="","",IF(COUNTIF(FA49:FA52,FA52)=1,FA52,FA52+RANK(FB52,FB49:FB52,0)-1))</f>
        <v/>
      </c>
      <c r="FD52" s="13" t="str">
        <f>IF(OR(FC52="",COUNTIF(FC49:FC52,FC52)=1),"",$BU52)</f>
        <v/>
      </c>
      <c r="FE52" s="13" t="str">
        <f>IF(EY52="","",IF(COUNTIF(FC49:FC52,FC52)=1,FC52,FC52+RANK(FD52,FD49:FD52,0)-1))</f>
        <v/>
      </c>
      <c r="FF52" s="13">
        <f>IF(EN52&gt;0,CG47+DA47+DU47+RANK(FE52,FE49:FE52,1),)</f>
        <v>0</v>
      </c>
      <c r="FH52" s="13">
        <f>IFERROR(VLOOKUP(FJ52,CF48:CX52,19,FALSE),IFERROR(VLOOKUP(FJ52,CZ48:DR52,19,FALSE),IFERROR(VLOOKUP(FJ52,DT48:EL52,19,FALSE),VLOOKUP(FJ52,EN48:FF52,19,FALSE))))</f>
        <v>1</v>
      </c>
      <c r="FI52" s="13">
        <f>RANK(FH52,FH49:FH52,1)+COUNTIF(FH49:FH52,FH52)-1</f>
        <v>4</v>
      </c>
      <c r="FJ52" s="12" t="str">
        <f>BT52</f>
        <v>Tunisien</v>
      </c>
      <c r="FZ52" s="79">
        <v>50</v>
      </c>
      <c r="GA52" s="3" t="str">
        <f t="shared" si="72"/>
        <v>EJBFIGLK</v>
      </c>
      <c r="GB52" s="3" t="s">
        <v>59</v>
      </c>
      <c r="GC52" s="3" t="s">
        <v>69</v>
      </c>
      <c r="GD52" s="3" t="s">
        <v>57</v>
      </c>
      <c r="GE52" s="3" t="s">
        <v>21</v>
      </c>
      <c r="GF52" s="3" t="s">
        <v>61</v>
      </c>
      <c r="GG52" s="3" t="s">
        <v>60</v>
      </c>
      <c r="GH52" s="3" t="s">
        <v>63</v>
      </c>
      <c r="GI52" s="3" t="s">
        <v>62</v>
      </c>
      <c r="GJ52" s="9" t="str">
        <f t="shared" si="413"/>
        <v>Elfenbenskusten</v>
      </c>
      <c r="GK52" s="9" t="str">
        <f t="shared" si="413"/>
        <v>Österrike</v>
      </c>
      <c r="GL52" s="9" t="str">
        <f t="shared" si="413"/>
        <v>Qatar</v>
      </c>
      <c r="GM52" s="9" t="str">
        <f t="shared" si="413"/>
        <v>Sverige</v>
      </c>
      <c r="GN52" s="9" t="str">
        <f t="shared" si="413"/>
        <v>Irak</v>
      </c>
      <c r="GO52" s="9" t="str">
        <f t="shared" si="413"/>
        <v>Iran</v>
      </c>
      <c r="GP52" s="9" t="str">
        <f t="shared" si="413"/>
        <v>Ghana</v>
      </c>
      <c r="GQ52" s="9" t="str">
        <f t="shared" si="413"/>
        <v>Uzbekistan</v>
      </c>
      <c r="GR52" s="9" t="str">
        <f t="shared" si="75"/>
        <v/>
      </c>
      <c r="GX52" s="79"/>
    </row>
    <row r="53" spans="2:206" ht="14.25" customHeight="1" x14ac:dyDescent="0.25">
      <c r="B53" s="58">
        <v>57</v>
      </c>
      <c r="C53" s="59">
        <v>46199</v>
      </c>
      <c r="D53" s="60" t="s">
        <v>111</v>
      </c>
      <c r="E53" s="61" t="s">
        <v>66</v>
      </c>
      <c r="F53" s="62" t="s">
        <v>112</v>
      </c>
      <c r="G53" s="63"/>
      <c r="H53" s="64" t="s">
        <v>66</v>
      </c>
      <c r="I53" s="63"/>
      <c r="J53" s="65" t="str">
        <f t="shared" si="393"/>
        <v/>
      </c>
      <c r="K53" s="66">
        <f>IF(OR(G53="",I53="",'[1]Resultat &amp; tabell'!G53="",'[1]Resultat &amp; tabell'!I53=""),0,IF(G53='[1]Resultat &amp; tabell'!G53,2,0)+IF(I53='[1]Resultat &amp; tabell'!I53,2,0)+IF(J53='[1]Resultat &amp; tabell'!J53,2,0))</f>
        <v>0</v>
      </c>
      <c r="L53" s="67"/>
      <c r="M53" s="29">
        <f t="shared" si="346"/>
        <v>1</v>
      </c>
      <c r="O53" s="134" t="str">
        <f>IF(COUNTBLANK(G49:G54)+COUNTBLANK(I49:I54)=0,"Resultat OK","Fyll i resultat")</f>
        <v>Fyll i resultat</v>
      </c>
      <c r="P53" s="92"/>
      <c r="Q53" s="92"/>
      <c r="R53" s="92"/>
      <c r="S53" s="92"/>
      <c r="T53" s="92"/>
      <c r="U53" s="92"/>
      <c r="V53" s="3"/>
      <c r="X53" s="1"/>
      <c r="AE53" s="72">
        <f t="shared" si="347"/>
        <v>46199</v>
      </c>
      <c r="AF53" s="72" t="str">
        <f t="shared" si="347"/>
        <v>Japan</v>
      </c>
      <c r="AG53" s="72" t="str">
        <f t="shared" si="347"/>
        <v>-</v>
      </c>
      <c r="AH53" s="72" t="str">
        <f t="shared" si="347"/>
        <v>Sverige</v>
      </c>
      <c r="AI53" s="63" t="str">
        <f t="shared" si="348"/>
        <v/>
      </c>
      <c r="AJ53" s="58" t="str">
        <f t="shared" si="349"/>
        <v>-</v>
      </c>
      <c r="AK53" s="63" t="str">
        <f t="shared" si="350"/>
        <v/>
      </c>
      <c r="AL53" s="65" t="str">
        <f t="shared" si="351"/>
        <v/>
      </c>
      <c r="AM53" s="73"/>
      <c r="AN53" s="13">
        <f t="shared" si="352"/>
        <v>0</v>
      </c>
      <c r="AO53" s="13">
        <f t="shared" si="353"/>
        <v>0</v>
      </c>
      <c r="AP53" s="13">
        <f t="shared" si="354"/>
        <v>0</v>
      </c>
      <c r="AQ53" s="13">
        <f t="shared" si="355"/>
        <v>0</v>
      </c>
      <c r="AR53" s="13">
        <f t="shared" si="356"/>
        <v>0</v>
      </c>
      <c r="AS53" s="13">
        <f t="shared" si="357"/>
        <v>0</v>
      </c>
      <c r="AT53" s="13">
        <f t="shared" si="358"/>
        <v>0</v>
      </c>
      <c r="AU53" s="13">
        <f t="shared" si="359"/>
        <v>0</v>
      </c>
      <c r="AV53" s="13">
        <f t="shared" si="360"/>
        <v>0</v>
      </c>
      <c r="AW53" s="13">
        <f t="shared" si="361"/>
        <v>0</v>
      </c>
      <c r="AX53" s="13">
        <f t="shared" si="362"/>
        <v>0</v>
      </c>
      <c r="AY53" s="13">
        <f t="shared" si="363"/>
        <v>0</v>
      </c>
      <c r="AZ53" s="13">
        <f t="shared" si="364"/>
        <v>0</v>
      </c>
      <c r="BA53" s="13">
        <f t="shared" si="365"/>
        <v>0</v>
      </c>
      <c r="BB53" s="13">
        <f t="shared" si="366"/>
        <v>0</v>
      </c>
      <c r="BC53" s="13">
        <f t="shared" si="367"/>
        <v>0</v>
      </c>
      <c r="BD53" s="13">
        <f t="shared" si="368"/>
        <v>0</v>
      </c>
      <c r="BE53" s="13">
        <f t="shared" si="369"/>
        <v>0</v>
      </c>
      <c r="BF53" s="13">
        <f t="shared" si="370"/>
        <v>0</v>
      </c>
      <c r="BG53" s="13">
        <f t="shared" si="371"/>
        <v>0</v>
      </c>
      <c r="BH53" s="13">
        <f t="shared" si="372"/>
        <v>0</v>
      </c>
      <c r="BI53" s="13">
        <f t="shared" si="373"/>
        <v>0</v>
      </c>
      <c r="BJ53" s="13">
        <f t="shared" si="374"/>
        <v>0</v>
      </c>
      <c r="BK53" s="13">
        <f t="shared" si="375"/>
        <v>0</v>
      </c>
      <c r="BL53" s="13">
        <f t="shared" si="376"/>
        <v>0</v>
      </c>
      <c r="BM53" s="13">
        <f t="shared" si="377"/>
        <v>0</v>
      </c>
      <c r="BN53" s="13">
        <f t="shared" si="378"/>
        <v>0</v>
      </c>
      <c r="BO53" s="13">
        <f t="shared" si="379"/>
        <v>0</v>
      </c>
      <c r="BP53" s="13">
        <f t="shared" si="380"/>
        <v>0</v>
      </c>
      <c r="BQ53" s="13">
        <f t="shared" si="381"/>
        <v>0</v>
      </c>
      <c r="FZ53" s="79">
        <v>51</v>
      </c>
      <c r="GA53" s="3" t="str">
        <f t="shared" si="72"/>
        <v>EJBFHGLK</v>
      </c>
      <c r="GB53" s="3" t="s">
        <v>59</v>
      </c>
      <c r="GC53" s="3" t="s">
        <v>69</v>
      </c>
      <c r="GD53" s="3" t="s">
        <v>57</v>
      </c>
      <c r="GE53" s="3" t="s">
        <v>21</v>
      </c>
      <c r="GF53" s="3" t="s">
        <v>70</v>
      </c>
      <c r="GG53" s="3" t="s">
        <v>60</v>
      </c>
      <c r="GH53" s="3" t="s">
        <v>63</v>
      </c>
      <c r="GI53" s="3" t="s">
        <v>62</v>
      </c>
      <c r="GJ53" s="9" t="str">
        <f t="shared" si="413"/>
        <v>Elfenbenskusten</v>
      </c>
      <c r="GK53" s="9" t="str">
        <f t="shared" si="413"/>
        <v>Österrike</v>
      </c>
      <c r="GL53" s="9" t="str">
        <f t="shared" si="413"/>
        <v>Qatar</v>
      </c>
      <c r="GM53" s="9" t="str">
        <f t="shared" si="413"/>
        <v>Sverige</v>
      </c>
      <c r="GN53" s="9" t="str">
        <f t="shared" si="413"/>
        <v>Saudiarabien</v>
      </c>
      <c r="GO53" s="9" t="str">
        <f t="shared" si="413"/>
        <v>Iran</v>
      </c>
      <c r="GP53" s="9" t="str">
        <f t="shared" si="413"/>
        <v>Ghana</v>
      </c>
      <c r="GQ53" s="9" t="str">
        <f t="shared" si="413"/>
        <v>Uzbekistan</v>
      </c>
      <c r="GR53" s="9" t="str">
        <f t="shared" si="75"/>
        <v/>
      </c>
      <c r="GX53" s="79"/>
    </row>
    <row r="54" spans="2:206" ht="14.25" customHeight="1" x14ac:dyDescent="0.25">
      <c r="B54" s="58">
        <v>58</v>
      </c>
      <c r="C54" s="59">
        <v>46199</v>
      </c>
      <c r="D54" s="60" t="s">
        <v>113</v>
      </c>
      <c r="E54" s="61" t="s">
        <v>66</v>
      </c>
      <c r="F54" s="62" t="s">
        <v>110</v>
      </c>
      <c r="G54" s="63"/>
      <c r="H54" s="64" t="s">
        <v>66</v>
      </c>
      <c r="I54" s="63"/>
      <c r="J54" s="65" t="str">
        <f t="shared" si="393"/>
        <v/>
      </c>
      <c r="K54" s="66">
        <f>IF(OR(G54="",I54="",'[1]Resultat &amp; tabell'!G54="",'[1]Resultat &amp; tabell'!I54=""),0,IF(G54='[1]Resultat &amp; tabell'!G54,2,0)+IF(I54='[1]Resultat &amp; tabell'!I54,2,0)+IF(J54='[1]Resultat &amp; tabell'!J54,2,0))</f>
        <v>0</v>
      </c>
      <c r="L54" s="67"/>
      <c r="M54" s="29">
        <f t="shared" si="346"/>
        <v>1</v>
      </c>
      <c r="V54" s="3"/>
      <c r="X54" s="1"/>
      <c r="AE54" s="72">
        <f t="shared" si="347"/>
        <v>46199</v>
      </c>
      <c r="AF54" s="72" t="str">
        <f t="shared" si="347"/>
        <v>Tunisien</v>
      </c>
      <c r="AG54" s="72" t="str">
        <f t="shared" si="347"/>
        <v>-</v>
      </c>
      <c r="AH54" s="72" t="str">
        <f t="shared" si="347"/>
        <v>Nederländerna</v>
      </c>
      <c r="AI54" s="63" t="str">
        <f t="shared" si="348"/>
        <v/>
      </c>
      <c r="AJ54" s="58" t="str">
        <f t="shared" si="349"/>
        <v>-</v>
      </c>
      <c r="AK54" s="63" t="str">
        <f t="shared" si="350"/>
        <v/>
      </c>
      <c r="AL54" s="65" t="str">
        <f t="shared" si="351"/>
        <v/>
      </c>
      <c r="AM54" s="73"/>
      <c r="AN54" s="13">
        <f t="shared" si="352"/>
        <v>0</v>
      </c>
      <c r="AO54" s="13">
        <f t="shared" si="353"/>
        <v>0</v>
      </c>
      <c r="AP54" s="13">
        <f t="shared" si="354"/>
        <v>0</v>
      </c>
      <c r="AQ54" s="13">
        <f t="shared" si="355"/>
        <v>0</v>
      </c>
      <c r="AR54" s="13">
        <f t="shared" si="356"/>
        <v>0</v>
      </c>
      <c r="AS54" s="13">
        <f t="shared" si="357"/>
        <v>0</v>
      </c>
      <c r="AT54" s="13">
        <f t="shared" si="358"/>
        <v>0</v>
      </c>
      <c r="AU54" s="13">
        <f t="shared" si="359"/>
        <v>0</v>
      </c>
      <c r="AV54" s="13">
        <f t="shared" si="360"/>
        <v>0</v>
      </c>
      <c r="AW54" s="13">
        <f t="shared" si="361"/>
        <v>0</v>
      </c>
      <c r="AX54" s="13">
        <f t="shared" si="362"/>
        <v>0</v>
      </c>
      <c r="AY54" s="13">
        <f t="shared" si="363"/>
        <v>0</v>
      </c>
      <c r="AZ54" s="13">
        <f t="shared" si="364"/>
        <v>0</v>
      </c>
      <c r="BA54" s="13">
        <f t="shared" si="365"/>
        <v>0</v>
      </c>
      <c r="BB54" s="13">
        <f t="shared" si="366"/>
        <v>0</v>
      </c>
      <c r="BC54" s="13">
        <f t="shared" si="367"/>
        <v>0</v>
      </c>
      <c r="BD54" s="13">
        <f t="shared" si="368"/>
        <v>0</v>
      </c>
      <c r="BE54" s="13">
        <f t="shared" si="369"/>
        <v>0</v>
      </c>
      <c r="BF54" s="13">
        <f t="shared" si="370"/>
        <v>0</v>
      </c>
      <c r="BG54" s="13">
        <f t="shared" si="371"/>
        <v>0</v>
      </c>
      <c r="BH54" s="13">
        <f t="shared" si="372"/>
        <v>0</v>
      </c>
      <c r="BI54" s="13">
        <f t="shared" si="373"/>
        <v>0</v>
      </c>
      <c r="BJ54" s="13">
        <f t="shared" si="374"/>
        <v>0</v>
      </c>
      <c r="BK54" s="13">
        <f t="shared" si="375"/>
        <v>0</v>
      </c>
      <c r="BL54" s="13">
        <f t="shared" si="376"/>
        <v>0</v>
      </c>
      <c r="BM54" s="13">
        <f t="shared" si="377"/>
        <v>0</v>
      </c>
      <c r="BN54" s="13">
        <f t="shared" si="378"/>
        <v>0</v>
      </c>
      <c r="BO54" s="13">
        <f t="shared" si="379"/>
        <v>0</v>
      </c>
      <c r="BP54" s="13">
        <f t="shared" si="380"/>
        <v>0</v>
      </c>
      <c r="BQ54" s="13">
        <f t="shared" si="381"/>
        <v>0</v>
      </c>
      <c r="FZ54" s="79">
        <v>52</v>
      </c>
      <c r="GA54" s="3" t="str">
        <f t="shared" si="72"/>
        <v>EGBFIHLK</v>
      </c>
      <c r="GB54" s="3" t="s">
        <v>59</v>
      </c>
      <c r="GC54" s="3" t="s">
        <v>60</v>
      </c>
      <c r="GD54" s="3" t="s">
        <v>57</v>
      </c>
      <c r="GE54" s="3" t="s">
        <v>21</v>
      </c>
      <c r="GF54" s="3" t="s">
        <v>61</v>
      </c>
      <c r="GG54" s="3" t="s">
        <v>70</v>
      </c>
      <c r="GH54" s="3" t="s">
        <v>63</v>
      </c>
      <c r="GI54" s="3" t="s">
        <v>62</v>
      </c>
      <c r="GJ54" s="9" t="str">
        <f t="shared" si="413"/>
        <v>Elfenbenskusten</v>
      </c>
      <c r="GK54" s="9" t="str">
        <f t="shared" si="413"/>
        <v>Iran</v>
      </c>
      <c r="GL54" s="9" t="str">
        <f t="shared" si="413"/>
        <v>Qatar</v>
      </c>
      <c r="GM54" s="9" t="str">
        <f t="shared" si="413"/>
        <v>Sverige</v>
      </c>
      <c r="GN54" s="9" t="str">
        <f t="shared" si="413"/>
        <v>Irak</v>
      </c>
      <c r="GO54" s="9" t="str">
        <f t="shared" si="413"/>
        <v>Saudiarabien</v>
      </c>
      <c r="GP54" s="9" t="str">
        <f t="shared" si="413"/>
        <v>Ghana</v>
      </c>
      <c r="GQ54" s="9" t="str">
        <f t="shared" si="413"/>
        <v>Uzbekistan</v>
      </c>
      <c r="GR54" s="9" t="str">
        <f t="shared" si="75"/>
        <v/>
      </c>
      <c r="GX54" s="79"/>
    </row>
    <row r="55" spans="2:206" ht="14.25" customHeight="1" x14ac:dyDescent="0.25">
      <c r="C55" s="94"/>
      <c r="J55" s="23"/>
      <c r="K55" s="16"/>
      <c r="L55" s="49"/>
      <c r="V55" s="3"/>
      <c r="X55" s="1"/>
      <c r="AL55" s="23"/>
      <c r="AM55" s="16"/>
      <c r="FZ55" s="79">
        <v>53</v>
      </c>
      <c r="GA55" s="3" t="str">
        <f t="shared" si="72"/>
        <v>EJBFHGLI</v>
      </c>
      <c r="GB55" s="3" t="s">
        <v>59</v>
      </c>
      <c r="GC55" s="3" t="s">
        <v>69</v>
      </c>
      <c r="GD55" s="3" t="s">
        <v>57</v>
      </c>
      <c r="GE55" s="3" t="s">
        <v>21</v>
      </c>
      <c r="GF55" s="3" t="s">
        <v>70</v>
      </c>
      <c r="GG55" s="3" t="s">
        <v>60</v>
      </c>
      <c r="GH55" s="3" t="s">
        <v>63</v>
      </c>
      <c r="GI55" s="3" t="s">
        <v>61</v>
      </c>
      <c r="GJ55" s="9" t="str">
        <f t="shared" si="413"/>
        <v>Elfenbenskusten</v>
      </c>
      <c r="GK55" s="9" t="str">
        <f t="shared" si="413"/>
        <v>Österrike</v>
      </c>
      <c r="GL55" s="9" t="str">
        <f t="shared" si="413"/>
        <v>Qatar</v>
      </c>
      <c r="GM55" s="9" t="str">
        <f t="shared" si="413"/>
        <v>Sverige</v>
      </c>
      <c r="GN55" s="9" t="str">
        <f t="shared" si="413"/>
        <v>Saudiarabien</v>
      </c>
      <c r="GO55" s="9" t="str">
        <f t="shared" si="413"/>
        <v>Iran</v>
      </c>
      <c r="GP55" s="9" t="str">
        <f t="shared" si="413"/>
        <v>Ghana</v>
      </c>
      <c r="GQ55" s="9" t="str">
        <f t="shared" si="413"/>
        <v>Irak</v>
      </c>
      <c r="GR55" s="9" t="str">
        <f t="shared" si="75"/>
        <v/>
      </c>
      <c r="GX55" s="79"/>
    </row>
    <row r="56" spans="2:206" s="104" customFormat="1" ht="14.25" customHeight="1" x14ac:dyDescent="0.25">
      <c r="B56" s="19" t="s">
        <v>114</v>
      </c>
      <c r="C56" s="97"/>
      <c r="D56" s="98"/>
      <c r="E56" s="33"/>
      <c r="F56" s="98"/>
      <c r="G56" s="25"/>
      <c r="H56" s="25"/>
      <c r="I56" s="25"/>
      <c r="J56" s="23"/>
      <c r="K56" s="16"/>
      <c r="L56" s="49"/>
      <c r="M56" s="103"/>
      <c r="N56" s="103"/>
      <c r="O56" s="19" t="s">
        <v>114</v>
      </c>
      <c r="V56" s="33"/>
      <c r="X56" s="19"/>
      <c r="Y56" s="33"/>
      <c r="Z56" s="33"/>
      <c r="AA56" s="33"/>
      <c r="AB56" s="132"/>
      <c r="AC56" s="133"/>
      <c r="AE56" s="19" t="s">
        <v>114</v>
      </c>
      <c r="AF56" s="97"/>
      <c r="AG56" s="98"/>
      <c r="AH56" s="33"/>
      <c r="AI56" s="98"/>
      <c r="AJ56" s="33"/>
      <c r="AK56" s="33"/>
      <c r="AL56" s="33"/>
      <c r="AM56" s="135"/>
      <c r="AN56" s="2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2"/>
      <c r="BS56" s="12"/>
      <c r="BT56" s="39" t="s">
        <v>4</v>
      </c>
      <c r="BU56" s="34"/>
      <c r="BV56" s="34"/>
      <c r="BW56" s="34"/>
      <c r="BX56" s="34"/>
      <c r="BY56" s="34"/>
      <c r="BZ56" s="34"/>
      <c r="CA56" s="34"/>
      <c r="CB56" s="39"/>
      <c r="CC56" s="34"/>
      <c r="CD56" s="34"/>
      <c r="CE56" s="12"/>
      <c r="CF56" s="40" t="s">
        <v>5</v>
      </c>
      <c r="CG56" s="35">
        <f>COUNTIF(CC58:CC61,1)</f>
        <v>4</v>
      </c>
      <c r="CH56" s="35"/>
      <c r="CI56" s="35"/>
      <c r="CJ56" s="35"/>
      <c r="CK56" s="35"/>
      <c r="CL56" s="35"/>
      <c r="CM56" s="35"/>
      <c r="CN56" s="35"/>
      <c r="CO56" s="35"/>
      <c r="CP56" s="35"/>
      <c r="CQ56" s="13"/>
      <c r="CR56" s="13"/>
      <c r="CS56" s="13"/>
      <c r="CT56" s="13"/>
      <c r="CU56" s="13"/>
      <c r="CV56" s="13"/>
      <c r="CW56" s="13"/>
      <c r="CX56" s="13"/>
      <c r="CY56" s="12"/>
      <c r="CZ56" s="41" t="s">
        <v>8</v>
      </c>
      <c r="DA56" s="36">
        <f>COUNTIF(CC58:CC61,2)</f>
        <v>0</v>
      </c>
      <c r="DB56" s="36"/>
      <c r="DC56" s="36"/>
      <c r="DD56" s="36"/>
      <c r="DE56" s="36"/>
      <c r="DF56" s="36"/>
      <c r="DG56" s="36"/>
      <c r="DH56" s="36"/>
      <c r="DI56" s="36"/>
      <c r="DJ56" s="41"/>
      <c r="DK56" s="12"/>
      <c r="DL56" s="12"/>
      <c r="DM56" s="12"/>
      <c r="DN56" s="12"/>
      <c r="DO56" s="12"/>
      <c r="DP56" s="12"/>
      <c r="DQ56" s="12"/>
      <c r="DR56" s="12"/>
      <c r="DS56" s="12"/>
      <c r="DT56" s="37" t="s">
        <v>6</v>
      </c>
      <c r="DU56" s="37">
        <f>COUNTIF(CC58:CC61,3)</f>
        <v>0</v>
      </c>
      <c r="DV56" s="37"/>
      <c r="DW56" s="37"/>
      <c r="DX56" s="37"/>
      <c r="DY56" s="37"/>
      <c r="DZ56" s="37"/>
      <c r="EA56" s="37"/>
      <c r="EB56" s="37"/>
      <c r="EC56" s="37"/>
      <c r="ED56" s="37"/>
      <c r="EE56" s="13"/>
      <c r="EF56" s="13"/>
      <c r="EG56" s="13"/>
      <c r="EH56" s="13"/>
      <c r="EI56" s="13"/>
      <c r="EJ56" s="13"/>
      <c r="EK56" s="13"/>
      <c r="EL56" s="13"/>
      <c r="EM56" s="12"/>
      <c r="EN56" s="38" t="s">
        <v>7</v>
      </c>
      <c r="EO56" s="38">
        <f>COUNTIF(CC58:CC61,4)</f>
        <v>0</v>
      </c>
      <c r="EP56" s="38"/>
      <c r="EQ56" s="38"/>
      <c r="ER56" s="38"/>
      <c r="ES56" s="38"/>
      <c r="ET56" s="38"/>
      <c r="EU56" s="38"/>
      <c r="EV56" s="38"/>
      <c r="EW56" s="38"/>
      <c r="EX56" s="38"/>
      <c r="EY56" s="13"/>
      <c r="EZ56" s="13"/>
      <c r="FA56" s="13"/>
      <c r="FB56" s="13"/>
      <c r="FC56" s="13"/>
      <c r="FD56" s="13"/>
      <c r="FE56" s="13"/>
      <c r="FF56" s="13"/>
      <c r="FG56" s="12"/>
      <c r="FH56" s="13"/>
      <c r="FI56" s="13"/>
      <c r="FJ56" s="12"/>
      <c r="FZ56" s="79">
        <v>54</v>
      </c>
      <c r="GA56" s="3" t="str">
        <f t="shared" si="72"/>
        <v>EJBFHGIK</v>
      </c>
      <c r="GB56" s="3" t="s">
        <v>59</v>
      </c>
      <c r="GC56" s="3" t="s">
        <v>69</v>
      </c>
      <c r="GD56" s="3" t="s">
        <v>57</v>
      </c>
      <c r="GE56" s="3" t="s">
        <v>21</v>
      </c>
      <c r="GF56" s="3" t="s">
        <v>70</v>
      </c>
      <c r="GG56" s="3" t="s">
        <v>60</v>
      </c>
      <c r="GH56" s="3" t="s">
        <v>61</v>
      </c>
      <c r="GI56" s="3" t="s">
        <v>62</v>
      </c>
      <c r="GJ56" s="9" t="str">
        <f t="shared" si="413"/>
        <v>Elfenbenskusten</v>
      </c>
      <c r="GK56" s="9" t="str">
        <f t="shared" si="413"/>
        <v>Österrike</v>
      </c>
      <c r="GL56" s="9" t="str">
        <f t="shared" si="413"/>
        <v>Qatar</v>
      </c>
      <c r="GM56" s="9" t="str">
        <f t="shared" si="413"/>
        <v>Sverige</v>
      </c>
      <c r="GN56" s="9" t="str">
        <f t="shared" si="413"/>
        <v>Saudiarabien</v>
      </c>
      <c r="GO56" s="9" t="str">
        <f t="shared" si="413"/>
        <v>Iran</v>
      </c>
      <c r="GP56" s="9" t="str">
        <f t="shared" si="413"/>
        <v>Irak</v>
      </c>
      <c r="GQ56" s="9" t="str">
        <f t="shared" si="413"/>
        <v>Uzbekistan</v>
      </c>
      <c r="GR56" s="9" t="str">
        <f t="shared" si="75"/>
        <v/>
      </c>
      <c r="GX56" s="23"/>
    </row>
    <row r="57" spans="2:206" s="104" customFormat="1" ht="14.25" customHeight="1" x14ac:dyDescent="0.25">
      <c r="B57" s="117" t="s">
        <v>12</v>
      </c>
      <c r="C57" s="107" t="s">
        <v>13</v>
      </c>
      <c r="D57" s="181" t="s">
        <v>12</v>
      </c>
      <c r="E57" s="182"/>
      <c r="F57" s="183"/>
      <c r="G57" s="184" t="s">
        <v>14</v>
      </c>
      <c r="H57" s="184"/>
      <c r="I57" s="184"/>
      <c r="J57" s="47" t="s">
        <v>15</v>
      </c>
      <c r="K57" s="48" t="s">
        <v>16</v>
      </c>
      <c r="L57" s="49"/>
      <c r="M57" s="103"/>
      <c r="N57" s="103"/>
      <c r="O57" s="51" t="s">
        <v>18</v>
      </c>
      <c r="P57" s="52" t="s">
        <v>19</v>
      </c>
      <c r="Q57" s="52" t="s">
        <v>20</v>
      </c>
      <c r="R57" s="52" t="s">
        <v>21</v>
      </c>
      <c r="S57" s="52" t="s">
        <v>22</v>
      </c>
      <c r="T57" s="52" t="s">
        <v>23</v>
      </c>
      <c r="U57" s="52" t="s">
        <v>24</v>
      </c>
      <c r="V57" s="53" t="s">
        <v>25</v>
      </c>
      <c r="X57" s="19"/>
      <c r="Y57" s="33"/>
      <c r="Z57" s="33"/>
      <c r="AA57" s="33"/>
      <c r="AB57" s="132"/>
      <c r="AC57" s="133"/>
      <c r="AE57" s="107" t="s">
        <v>13</v>
      </c>
      <c r="AF57" s="181" t="s">
        <v>12</v>
      </c>
      <c r="AG57" s="182"/>
      <c r="AH57" s="183"/>
      <c r="AI57" s="182" t="s">
        <v>14</v>
      </c>
      <c r="AJ57" s="182"/>
      <c r="AK57" s="182"/>
      <c r="AL57" s="47" t="s">
        <v>28</v>
      </c>
      <c r="AM57" s="16"/>
      <c r="AN57" s="34" t="s">
        <v>29</v>
      </c>
      <c r="AO57" s="34" t="s">
        <v>30</v>
      </c>
      <c r="AP57" s="34" t="s">
        <v>31</v>
      </c>
      <c r="AQ57" s="34" t="s">
        <v>32</v>
      </c>
      <c r="AR57" s="34" t="s">
        <v>33</v>
      </c>
      <c r="AS57" s="34" t="s">
        <v>34</v>
      </c>
      <c r="AT57" s="35" t="s">
        <v>29</v>
      </c>
      <c r="AU57" s="35" t="s">
        <v>30</v>
      </c>
      <c r="AV57" s="35" t="s">
        <v>31</v>
      </c>
      <c r="AW57" s="35" t="s">
        <v>32</v>
      </c>
      <c r="AX57" s="35" t="s">
        <v>33</v>
      </c>
      <c r="AY57" s="35" t="s">
        <v>34</v>
      </c>
      <c r="AZ57" s="36" t="s">
        <v>29</v>
      </c>
      <c r="BA57" s="36" t="s">
        <v>30</v>
      </c>
      <c r="BB57" s="36" t="s">
        <v>31</v>
      </c>
      <c r="BC57" s="36" t="s">
        <v>32</v>
      </c>
      <c r="BD57" s="36" t="s">
        <v>33</v>
      </c>
      <c r="BE57" s="36" t="s">
        <v>34</v>
      </c>
      <c r="BF57" s="37" t="s">
        <v>29</v>
      </c>
      <c r="BG57" s="37" t="s">
        <v>30</v>
      </c>
      <c r="BH57" s="37" t="s">
        <v>31</v>
      </c>
      <c r="BI57" s="37" t="s">
        <v>32</v>
      </c>
      <c r="BJ57" s="37" t="s">
        <v>33</v>
      </c>
      <c r="BK57" s="37" t="s">
        <v>34</v>
      </c>
      <c r="BL57" s="38" t="s">
        <v>29</v>
      </c>
      <c r="BM57" s="38" t="s">
        <v>30</v>
      </c>
      <c r="BN57" s="38" t="s">
        <v>31</v>
      </c>
      <c r="BO57" s="38" t="s">
        <v>32</v>
      </c>
      <c r="BP57" s="38" t="s">
        <v>33</v>
      </c>
      <c r="BQ57" s="38" t="s">
        <v>34</v>
      </c>
      <c r="BR57" s="12"/>
      <c r="BS57" s="12"/>
      <c r="BT57" s="39" t="s">
        <v>18</v>
      </c>
      <c r="BU57" s="34" t="s">
        <v>19</v>
      </c>
      <c r="BV57" s="34" t="s">
        <v>20</v>
      </c>
      <c r="BW57" s="34" t="s">
        <v>21</v>
      </c>
      <c r="BX57" s="34" t="s">
        <v>22</v>
      </c>
      <c r="BY57" s="34" t="s">
        <v>23</v>
      </c>
      <c r="BZ57" s="34" t="s">
        <v>24</v>
      </c>
      <c r="CA57" s="34" t="s">
        <v>25</v>
      </c>
      <c r="CB57" s="39" t="s">
        <v>35</v>
      </c>
      <c r="CC57" s="34" t="s">
        <v>36</v>
      </c>
      <c r="CD57" s="34" t="s">
        <v>37</v>
      </c>
      <c r="CE57" s="12"/>
      <c r="CF57" s="40" t="s">
        <v>18</v>
      </c>
      <c r="CG57" s="35" t="s">
        <v>19</v>
      </c>
      <c r="CH57" s="35" t="s">
        <v>20</v>
      </c>
      <c r="CI57" s="35" t="s">
        <v>21</v>
      </c>
      <c r="CJ57" s="35" t="s">
        <v>25</v>
      </c>
      <c r="CK57" s="35" t="s">
        <v>35</v>
      </c>
      <c r="CL57" s="35" t="s">
        <v>36</v>
      </c>
      <c r="CM57" s="56" t="s">
        <v>24</v>
      </c>
      <c r="CN57" s="56" t="s">
        <v>38</v>
      </c>
      <c r="CO57" s="56" t="s">
        <v>22</v>
      </c>
      <c r="CP57" s="56" t="s">
        <v>39</v>
      </c>
      <c r="CQ57" s="35" t="s">
        <v>40</v>
      </c>
      <c r="CR57" s="56" t="s">
        <v>41</v>
      </c>
      <c r="CS57" s="56" t="s">
        <v>42</v>
      </c>
      <c r="CT57" s="56" t="s">
        <v>43</v>
      </c>
      <c r="CU57" s="56" t="s">
        <v>44</v>
      </c>
      <c r="CV57" s="56" t="s">
        <v>45</v>
      </c>
      <c r="CW57" s="56" t="s">
        <v>46</v>
      </c>
      <c r="CX57" s="35" t="s">
        <v>47</v>
      </c>
      <c r="CY57" s="12"/>
      <c r="CZ57" s="41" t="s">
        <v>18</v>
      </c>
      <c r="DA57" s="36" t="s">
        <v>19</v>
      </c>
      <c r="DB57" s="36" t="s">
        <v>20</v>
      </c>
      <c r="DC57" s="36" t="s">
        <v>21</v>
      </c>
      <c r="DD57" s="36" t="s">
        <v>25</v>
      </c>
      <c r="DE57" s="36" t="s">
        <v>35</v>
      </c>
      <c r="DF57" s="36" t="s">
        <v>36</v>
      </c>
      <c r="DG57" s="36" t="s">
        <v>24</v>
      </c>
      <c r="DH57" s="36" t="s">
        <v>38</v>
      </c>
      <c r="DI57" s="36" t="s">
        <v>22</v>
      </c>
      <c r="DJ57" s="41" t="s">
        <v>39</v>
      </c>
      <c r="DK57" s="41" t="s">
        <v>40</v>
      </c>
      <c r="DL57" s="41" t="s">
        <v>41</v>
      </c>
      <c r="DM57" s="41" t="s">
        <v>42</v>
      </c>
      <c r="DN57" s="41" t="s">
        <v>43</v>
      </c>
      <c r="DO57" s="41" t="s">
        <v>44</v>
      </c>
      <c r="DP57" s="41" t="s">
        <v>45</v>
      </c>
      <c r="DQ57" s="41" t="s">
        <v>46</v>
      </c>
      <c r="DR57" s="41" t="s">
        <v>47</v>
      </c>
      <c r="DS57" s="12"/>
      <c r="DT57" s="37" t="s">
        <v>18</v>
      </c>
      <c r="DU57" s="37" t="s">
        <v>19</v>
      </c>
      <c r="DV57" s="37" t="s">
        <v>20</v>
      </c>
      <c r="DW57" s="37" t="s">
        <v>21</v>
      </c>
      <c r="DX57" s="37" t="s">
        <v>25</v>
      </c>
      <c r="DY57" s="37" t="s">
        <v>35</v>
      </c>
      <c r="DZ57" s="37" t="s">
        <v>36</v>
      </c>
      <c r="EA57" s="37" t="s">
        <v>24</v>
      </c>
      <c r="EB57" s="37" t="s">
        <v>38</v>
      </c>
      <c r="EC57" s="37" t="s">
        <v>22</v>
      </c>
      <c r="ED57" s="37" t="s">
        <v>39</v>
      </c>
      <c r="EE57" s="37" t="s">
        <v>40</v>
      </c>
      <c r="EF57" s="37" t="s">
        <v>41</v>
      </c>
      <c r="EG57" s="37" t="s">
        <v>42</v>
      </c>
      <c r="EH57" s="37" t="s">
        <v>43</v>
      </c>
      <c r="EI57" s="37" t="s">
        <v>44</v>
      </c>
      <c r="EJ57" s="37" t="s">
        <v>45</v>
      </c>
      <c r="EK57" s="37" t="s">
        <v>46</v>
      </c>
      <c r="EL57" s="37" t="s">
        <v>47</v>
      </c>
      <c r="EM57" s="12"/>
      <c r="EN57" s="38" t="s">
        <v>18</v>
      </c>
      <c r="EO57" s="38" t="s">
        <v>19</v>
      </c>
      <c r="EP57" s="38" t="s">
        <v>20</v>
      </c>
      <c r="EQ57" s="38" t="s">
        <v>21</v>
      </c>
      <c r="ER57" s="38" t="s">
        <v>25</v>
      </c>
      <c r="ES57" s="38" t="s">
        <v>35</v>
      </c>
      <c r="ET57" s="38" t="s">
        <v>36</v>
      </c>
      <c r="EU57" s="38" t="s">
        <v>24</v>
      </c>
      <c r="EV57" s="38" t="s">
        <v>38</v>
      </c>
      <c r="EW57" s="38" t="s">
        <v>22</v>
      </c>
      <c r="EX57" s="38" t="s">
        <v>39</v>
      </c>
      <c r="EY57" s="38" t="s">
        <v>40</v>
      </c>
      <c r="EZ57" s="38" t="s">
        <v>41</v>
      </c>
      <c r="FA57" s="38" t="s">
        <v>42</v>
      </c>
      <c r="FB57" s="38" t="s">
        <v>43</v>
      </c>
      <c r="FC57" s="38" t="s">
        <v>44</v>
      </c>
      <c r="FD57" s="38" t="s">
        <v>45</v>
      </c>
      <c r="FE57" s="38" t="s">
        <v>46</v>
      </c>
      <c r="FF57" s="38" t="s">
        <v>47</v>
      </c>
      <c r="FG57" s="12"/>
      <c r="FH57" s="38" t="s">
        <v>48</v>
      </c>
      <c r="FI57" s="38" t="s">
        <v>49</v>
      </c>
      <c r="FJ57" s="12"/>
      <c r="FZ57" s="79">
        <v>55</v>
      </c>
      <c r="GA57" s="3" t="str">
        <f t="shared" si="72"/>
        <v>HJBDIGLK</v>
      </c>
      <c r="GB57" s="3" t="s">
        <v>70</v>
      </c>
      <c r="GC57" s="3" t="s">
        <v>69</v>
      </c>
      <c r="GD57" s="3" t="s">
        <v>57</v>
      </c>
      <c r="GE57" s="3" t="s">
        <v>58</v>
      </c>
      <c r="GF57" s="3" t="s">
        <v>61</v>
      </c>
      <c r="GG57" s="3" t="s">
        <v>60</v>
      </c>
      <c r="GH57" s="3" t="s">
        <v>63</v>
      </c>
      <c r="GI57" s="3" t="s">
        <v>62</v>
      </c>
      <c r="GJ57" s="9" t="str">
        <f t="shared" si="413"/>
        <v>Saudiarabien</v>
      </c>
      <c r="GK57" s="9" t="str">
        <f t="shared" si="413"/>
        <v>Österrike</v>
      </c>
      <c r="GL57" s="9" t="str">
        <f t="shared" si="413"/>
        <v>Qatar</v>
      </c>
      <c r="GM57" s="9" t="str">
        <f t="shared" si="413"/>
        <v>Australien</v>
      </c>
      <c r="GN57" s="9" t="str">
        <f t="shared" si="413"/>
        <v>Irak</v>
      </c>
      <c r="GO57" s="9" t="str">
        <f t="shared" si="413"/>
        <v>Iran</v>
      </c>
      <c r="GP57" s="9" t="str">
        <f t="shared" si="413"/>
        <v>Ghana</v>
      </c>
      <c r="GQ57" s="9" t="str">
        <f t="shared" si="413"/>
        <v>Uzbekistan</v>
      </c>
      <c r="GR57" s="9" t="str">
        <f t="shared" si="75"/>
        <v/>
      </c>
      <c r="GX57" s="23"/>
    </row>
    <row r="58" spans="2:206" ht="14.25" customHeight="1" x14ac:dyDescent="0.25">
      <c r="B58" s="58">
        <v>16</v>
      </c>
      <c r="C58" s="59">
        <v>46188</v>
      </c>
      <c r="D58" s="60" t="s">
        <v>115</v>
      </c>
      <c r="E58" s="61" t="s">
        <v>66</v>
      </c>
      <c r="F58" s="62" t="s">
        <v>116</v>
      </c>
      <c r="G58" s="63"/>
      <c r="H58" s="64" t="s">
        <v>66</v>
      </c>
      <c r="I58" s="63"/>
      <c r="J58" s="65" t="str">
        <f>IF(OR(ISBLANK(G58),ISBLANK(I58)),"",IF(G58&gt;I58,1,IF(G58&lt;I58,2,"X")))</f>
        <v/>
      </c>
      <c r="K58" s="66">
        <f>IF(OR(G58="",I58="",'[1]Resultat &amp; tabell'!G58="",'[1]Resultat &amp; tabell'!I58=""),0,IF(G58='[1]Resultat &amp; tabell'!G58,2,0)+IF(I58='[1]Resultat &amp; tabell'!I58,2,0)+IF(J58='[1]Resultat &amp; tabell'!J58,2,0))</f>
        <v>0</v>
      </c>
      <c r="L58" s="67"/>
      <c r="M58" s="29">
        <f t="shared" ref="M58:M63" si="414">IF(VLOOKUP(D58,$BT$57:$CC$61,10,FALSE)=VLOOKUP(F58,$BT$57:$CC$61,10,FALSE),VLOOKUP(D58,$BT$57:$CC$61,10,FALSE),"-")</f>
        <v>1</v>
      </c>
      <c r="N58" s="30">
        <v>1</v>
      </c>
      <c r="O58" s="68" t="str">
        <f>VLOOKUP(N58,FI58:FJ61,2,FALSE)</f>
        <v>Belgien</v>
      </c>
      <c r="P58" s="69">
        <f>VLOOKUP($O58,$BT$58:$CA$61,2,FALSE)</f>
        <v>0</v>
      </c>
      <c r="Q58" s="69">
        <f>VLOOKUP($O58,$BT$58:$CA$61,3,FALSE)</f>
        <v>0</v>
      </c>
      <c r="R58" s="69">
        <f>VLOOKUP($O58,$BT$58:$CA$61,4,FALSE)</f>
        <v>0</v>
      </c>
      <c r="S58" s="69">
        <f>VLOOKUP($O58,$BT$58:$CA$61,5,FALSE)</f>
        <v>0</v>
      </c>
      <c r="T58" s="69">
        <f>VLOOKUP($O58,$BT$58:$CA$61,6,FALSE)</f>
        <v>0</v>
      </c>
      <c r="U58" s="69">
        <f>VLOOKUP($O58,$BT$58:$CA$61,7,FALSE)</f>
        <v>0</v>
      </c>
      <c r="V58" s="70">
        <f>VLOOKUP($O58,$BT$58:$CA$61,8,FALSE)</f>
        <v>0</v>
      </c>
      <c r="X58" s="1"/>
      <c r="AE58" s="72">
        <f t="shared" ref="AE58:AH63" si="415">C58</f>
        <v>46188</v>
      </c>
      <c r="AF58" s="72" t="str">
        <f t="shared" si="415"/>
        <v>Belgien</v>
      </c>
      <c r="AG58" s="72" t="str">
        <f t="shared" si="415"/>
        <v>-</v>
      </c>
      <c r="AH58" s="72" t="str">
        <f t="shared" si="415"/>
        <v>Egypten</v>
      </c>
      <c r="AI58" s="63" t="str">
        <f t="shared" ref="AI58:AI63" si="416">IF(G58="","",G58)</f>
        <v/>
      </c>
      <c r="AJ58" s="58" t="str">
        <f t="shared" ref="AJ58:AJ63" si="417">H58</f>
        <v>-</v>
      </c>
      <c r="AK58" s="63" t="str">
        <f t="shared" ref="AK58:AK63" si="418">IF(I58="","",I58)</f>
        <v/>
      </c>
      <c r="AL58" s="65" t="str">
        <f t="shared" ref="AL58:AL63" si="419">J58</f>
        <v/>
      </c>
      <c r="AM58" s="73"/>
      <c r="AN58" s="13">
        <f t="shared" ref="AN58:AN63" si="420">IF(AI58&gt;AK58,1,0)</f>
        <v>0</v>
      </c>
      <c r="AO58" s="13">
        <f t="shared" ref="AO58:AO63" si="421">IF(AK58&gt;AI58,1,0)</f>
        <v>0</v>
      </c>
      <c r="AP58" s="13">
        <f t="shared" ref="AP58:AP63" si="422">IF(AND(AI58=AK58,AI58&lt;&gt;""),1,0)</f>
        <v>0</v>
      </c>
      <c r="AQ58" s="13">
        <f t="shared" ref="AQ58:AQ63" si="423">IF(AND(AI58=AK58,AI58&lt;&gt;""),1,0)</f>
        <v>0</v>
      </c>
      <c r="AR58" s="13">
        <f t="shared" ref="AR58:AR63" si="424">IF(AI58&lt;AK58,1,0)</f>
        <v>0</v>
      </c>
      <c r="AS58" s="13">
        <f t="shared" ref="AS58:AS63" si="425">IF(AK58&lt;AI58,1,)</f>
        <v>0</v>
      </c>
      <c r="AT58" s="13">
        <f t="shared" ref="AT58:AT63" si="426">IF(ISERROR(VLOOKUP(AF58,CF:CF,1,FALSE)),0,1)*IF(ISERROR(VLOOKUP(AH58,CF:CF,1,FALSE)),0,1)*AN58</f>
        <v>0</v>
      </c>
      <c r="AU58" s="13">
        <f t="shared" ref="AU58:AU63" si="427">IF(ISERROR(VLOOKUP(AF58,CF:CF,1,FALSE)),0,1)*IF(ISERROR(VLOOKUP(AH58,CF:CF,1,FALSE)),0,1)*AO58</f>
        <v>0</v>
      </c>
      <c r="AV58" s="13">
        <f t="shared" ref="AV58:AV63" si="428">IF(ISERROR(VLOOKUP(AF58,CF:CF,1,FALSE)),0,1)*IF(ISERROR(VLOOKUP(AH58,CF:CF,1,FALSE)),0,1)*AP58</f>
        <v>0</v>
      </c>
      <c r="AW58" s="13">
        <f t="shared" ref="AW58:AW63" si="429">IF(ISERROR(VLOOKUP(AF58,CF:CF,1,FALSE)),0,1)*IF(ISERROR(VLOOKUP(AH58,CF:CF,1,FALSE)),0,1)*AQ58</f>
        <v>0</v>
      </c>
      <c r="AX58" s="13">
        <f t="shared" ref="AX58:AX63" si="430">IF(ISERROR(VLOOKUP(AF58,CF:CF,1,FALSE)),0,1)*IF(ISERROR(VLOOKUP(AH58,CF:CF,1,FALSE)),0,1)*AR58</f>
        <v>0</v>
      </c>
      <c r="AY58" s="13">
        <f t="shared" ref="AY58:AY63" si="431">IF(ISERROR(VLOOKUP(AF58,CF:CF,1,FALSE)),0,1)*IF(ISERROR(VLOOKUP(AH58,CF:CF,1,FALSE)),0,1)*AS58</f>
        <v>0</v>
      </c>
      <c r="AZ58" s="13">
        <f t="shared" ref="AZ58:AZ63" si="432">IF(ISERROR(VLOOKUP(AF58,CZ:CZ,1,FALSE)),0,1)*IF(ISERROR(VLOOKUP(AH58,CZ:CZ,1,FALSE)),0,1)*AN58</f>
        <v>0</v>
      </c>
      <c r="BA58" s="13">
        <f t="shared" ref="BA58:BA63" si="433">IF(ISERROR(VLOOKUP(AF58,CZ:CZ,1,FALSE)),0,1)*IF(ISERROR(VLOOKUP(AH58,CZ:CZ,1,FALSE)),0,1)*AO58</f>
        <v>0</v>
      </c>
      <c r="BB58" s="13">
        <f t="shared" ref="BB58:BB63" si="434">IF(ISERROR(VLOOKUP(AF58,CZ:CZ,1,FALSE)),0,1)*IF(ISERROR(VLOOKUP(AH58,CZ:CZ,1,FALSE)),0,1)*AP58</f>
        <v>0</v>
      </c>
      <c r="BC58" s="13">
        <f t="shared" ref="BC58:BC63" si="435">IF(ISERROR(VLOOKUP(AF58,CZ:CZ,1,FALSE)),0,1)*IF(ISERROR(VLOOKUP(AH58,CZ:CZ,1,FALSE)),0,1)*AQ58</f>
        <v>0</v>
      </c>
      <c r="BD58" s="13">
        <f t="shared" ref="BD58:BD63" si="436">IF(ISERROR(VLOOKUP(AF58,CZ:CZ,1,FALSE)),0,1)*IF(ISERROR(VLOOKUP(AH58,CZ:CZ,1,FALSE)),0,1)*AR58</f>
        <v>0</v>
      </c>
      <c r="BE58" s="13">
        <f t="shared" ref="BE58:BE63" si="437">IF(ISERROR(VLOOKUP(AF58,CZ:CZ,1,FALSE)),0,1)*IF(ISERROR(VLOOKUP(AH58,CZ:CZ,1,FALSE)),0,1)*AS58</f>
        <v>0</v>
      </c>
      <c r="BF58" s="13">
        <f t="shared" ref="BF58:BF63" si="438">IF(ISERROR(VLOOKUP(AF58,DT:DT,1,FALSE)),0,1)*IF(ISERROR(VLOOKUP(AH58,DT:DT,1,FALSE)),0,1)*AN58</f>
        <v>0</v>
      </c>
      <c r="BG58" s="13">
        <f t="shared" ref="BG58:BG63" si="439">IF(ISERROR(VLOOKUP(AF58,DT:DT,1,FALSE)),0,1)*IF(ISERROR(VLOOKUP(AH58,DT:DT,1,FALSE)),0,1)*AO58</f>
        <v>0</v>
      </c>
      <c r="BH58" s="13">
        <f t="shared" ref="BH58:BH63" si="440">IF(ISERROR(VLOOKUP(AF58,DT:DT,1,FALSE)),0,1)*IF(ISERROR(VLOOKUP(AH58,DT:DT,1,FALSE)),0,1)*AP58</f>
        <v>0</v>
      </c>
      <c r="BI58" s="13">
        <f t="shared" ref="BI58:BI63" si="441">IF(ISERROR(VLOOKUP(AF58,DT:DT,1,FALSE)),0,1)*IF(ISERROR(VLOOKUP(AH58,DT:DT,1,FALSE)),0,1)*AQ58</f>
        <v>0</v>
      </c>
      <c r="BJ58" s="13">
        <f t="shared" ref="BJ58:BJ63" si="442">IF(ISERROR(VLOOKUP(AF58,DT:DT,1,FALSE)),0,1)*IF(ISERROR(VLOOKUP(AH58,DT:DT,1,FALSE)),0,1)*AR58</f>
        <v>0</v>
      </c>
      <c r="BK58" s="13">
        <f t="shared" ref="BK58:BK63" si="443">IF(ISERROR(VLOOKUP(AF58,DT:DT,1,FALSE)),0,1)*IF(ISERROR(VLOOKUP(AH58,DT:DT,1,FALSE)),0,1)*AS58</f>
        <v>0</v>
      </c>
      <c r="BL58" s="13">
        <f t="shared" ref="BL58:BL63" si="444">IF(ISERROR(VLOOKUP(AF58,EN:EN,1,FALSE)),0,1)*IF(ISERROR(VLOOKUP(AH58,EN:EN,1,FALSE)),0,1)*AN58</f>
        <v>0</v>
      </c>
      <c r="BM58" s="13">
        <f t="shared" ref="BM58:BM63" si="445">IF(ISERROR(VLOOKUP(AF58,EN:EN,1,FALSE)),0,1)*IF(ISERROR(VLOOKUP(AH58,EN:EN,1,FALSE)),0,1)*AO58</f>
        <v>0</v>
      </c>
      <c r="BN58" s="13">
        <f t="shared" ref="BN58:BN63" si="446">IF(ISERROR(VLOOKUP(AF58,EN:EN,1,FALSE)),0,1)*IF(ISERROR(VLOOKUP(AH58,EN:EN,1,FALSE)),0,1)*AP58</f>
        <v>0</v>
      </c>
      <c r="BO58" s="13">
        <f t="shared" ref="BO58:BO63" si="447">IF(ISERROR(VLOOKUP(AF58,EN:EN,1,FALSE)),0,1)*IF(ISERROR(VLOOKUP(AH58,EN:EN,1,FALSE)),0,1)*AQ58</f>
        <v>0</v>
      </c>
      <c r="BP58" s="13">
        <f t="shared" ref="BP58:BP63" si="448">IF(ISERROR(VLOOKUP(AF58,EN:EN,1,FALSE)),0,1)*IF(ISERROR(VLOOKUP(AH58,EN:EN,1,FALSE)),0,1)*AR58</f>
        <v>0</v>
      </c>
      <c r="BQ58" s="13">
        <f t="shared" ref="BQ58:BQ63" si="449">IF(ISERROR(VLOOKUP(AF58,EN:EN,1,FALSE)),0,1)*IF(ISERROR(VLOOKUP(AH58,EN:EN,1,FALSE)),0,1)*AS58</f>
        <v>0</v>
      </c>
      <c r="BT58" s="12" t="s">
        <v>115</v>
      </c>
      <c r="BU58" s="13">
        <f t="shared" ref="BU58:BU61" si="450">(SUMIF(AF$4:AF$108,BT58,AN$4:AN$108)+SUMIF(AH$4:AH$108,BT58,AO$4:AO$108))</f>
        <v>0</v>
      </c>
      <c r="BV58" s="13">
        <f t="shared" ref="BV58:BV61" si="451">(SUMIF(AF$4:AF$108,BT58,AP$4:AP$108)+SUMIF(AH$4:AH$108,BT58,AQ$4:AQ$108))</f>
        <v>0</v>
      </c>
      <c r="BW58" s="13">
        <f t="shared" ref="BW58:BW61" si="452">(SUMIF(AF$4:AF$108,BT58,AR$4:AR$108)+SUMIF(AH$4:AH$108,BT58,AS$4:AS$108))</f>
        <v>0</v>
      </c>
      <c r="BX58" s="13">
        <f t="shared" ref="BX58:BX61" si="453">SUMIF($AF$4:$AF$108,BT58,$AI$4:$AI$108)+SUMIF($AH$4:$AH$108,BT58,$AK$4:$AK$108)</f>
        <v>0</v>
      </c>
      <c r="BY58" s="13">
        <f t="shared" ref="BY58:BY61" si="454">SUMIF($AF$4:$AF$108,BT58,$AK$4:$AK$108)+SUMIF($AH$4:$AH$108,BT58,$AI$4:$AI$108)</f>
        <v>0</v>
      </c>
      <c r="BZ58" s="13">
        <f t="shared" ref="BZ58:BZ61" si="455">BX58-BY58</f>
        <v>0</v>
      </c>
      <c r="CA58" s="13">
        <f t="shared" ref="CA58:CA61" si="456">IFERROR(BU58*3+BV58*1,0)</f>
        <v>0</v>
      </c>
      <c r="CB58" s="13" t="s">
        <v>60</v>
      </c>
      <c r="CC58" s="74">
        <f>RANK(CA58,CA58:CA61)</f>
        <v>1</v>
      </c>
      <c r="CD58" s="13">
        <f>SUMPRODUCT((CA58:CA61=CA58)*(BZ58:BZ61&gt;BZ58))</f>
        <v>0</v>
      </c>
      <c r="CF58" s="12" t="str">
        <f>IF(CC58=1,BT58,)</f>
        <v>Belgien</v>
      </c>
      <c r="CG58" s="13">
        <f t="shared" ref="CG58:CG61" si="457">(SUMIF($AF$4:$AF$108,$BT58,$AT$4:$AT$108)+SUMIF($AH$4:$AH$108,$BT58,$AU$4:$AU$108))</f>
        <v>0</v>
      </c>
      <c r="CH58" s="13">
        <f t="shared" ref="CH58:CH61" si="458">(SUMIF($AF$4:$AF$108,$BT58,$AV$4:$AV$108)+SUMIF($AH$4:$AH$108,$BT58,$AW$4:$AW$108))</f>
        <v>0</v>
      </c>
      <c r="CI58" s="13">
        <f t="shared" ref="CI58:CI61" si="459">(SUMIF($AF$4:$AF$108,$BT58,$AX$4:$AX$108)+SUMIF($AH$4:$AH$108,$BT58,$AY$4:$AY$108))</f>
        <v>0</v>
      </c>
      <c r="CJ58" s="13">
        <f t="shared" ref="CJ58:CJ61" si="460">IFERROR(CG58*3+CH58*1,0)</f>
        <v>0</v>
      </c>
      <c r="CK58" s="13" t="str">
        <f>CB58</f>
        <v>G</v>
      </c>
      <c r="CL58" s="13">
        <f>IF(CF58&gt;0,RANK(CJ58,CJ58:CJ61),)</f>
        <v>1</v>
      </c>
      <c r="CM58" s="13">
        <f>IF(AND(CF58&gt;0,COUNTIF(CL58:CL61,CL58)&gt;1),SUMIFS($AI$4:$AI$108,$AF$4:$AF$108,$BT58,$M$4:$M$108,1)+SUMIFS($AK$4:$AK$108,$AH$4:$AH$108,$BT58,$M$4:$M$108,1)-SUMIFS($AK$4:$AK$108,$AF$4:$AF$108,$BT58,$M$4:$M$108,1)-SUMIFS($AI$4:$AI$108,$AH$4:$AH$108,$BT58,$M$4:$M$108,1),)</f>
        <v>0</v>
      </c>
      <c r="CN58" s="13">
        <f>IF(AND(CF58&gt;0,COUNTIF(CL58:CL61,CL58)&gt;1),CL58+RANK(CM58,CM58:CM61)-1,CL58)</f>
        <v>1</v>
      </c>
      <c r="CO58" s="13">
        <f>IF(AND(CF58&gt;0,COUNTIF(CN58:CN61,CN58)&gt;1),SUMIFS($AI$4:$AI$108,$AF$4:$AF$108,$BT58,$M$4:$M$108,1)+SUMIFS($AK$4:$AK$108,$AH$4:$AH$108,$BT58,$M$4:$M$108,1),)</f>
        <v>0</v>
      </c>
      <c r="CP58" s="13">
        <f>IF(AND(CF58&gt;0,COUNTIF(CN58:CN61,CN58)&gt;1),CN58+RANK(CO58,CO58:CO61)-1,CN58)</f>
        <v>1</v>
      </c>
      <c r="CQ58" s="13">
        <f>IF(CP58=0,"",CP58)</f>
        <v>1</v>
      </c>
      <c r="CR58" s="13">
        <f>IF(OR(CQ58="",COUNTIF(CQ58:CQ61,CQ58)=1),"",$BZ58)</f>
        <v>0</v>
      </c>
      <c r="CS58" s="13">
        <f>IF(CQ58="","",IF(COUNTIF(CQ58:CQ61,CQ58)=1,CQ58,CQ58+RANK(CR58,CR58:CR61,0)-1))</f>
        <v>1</v>
      </c>
      <c r="CT58" s="13">
        <f>IF(OR(CS58="",COUNTIF(CS58:CS61,CS58)=1),"",$BX58)</f>
        <v>0</v>
      </c>
      <c r="CU58" s="13">
        <f>IF(CQ58="","",IF(COUNTIF(CS58:CS61,CS58)=1,CS58,CS58+RANK(CT58,CT58:CT61,0)-1))</f>
        <v>1</v>
      </c>
      <c r="CV58" s="13">
        <f>IF(OR(CU58="",COUNTIF(CU58:CU61,CU58)=1),"",$BU58)</f>
        <v>0</v>
      </c>
      <c r="CW58" s="13">
        <f>IF(CQ58="","",IF(COUNTIF(CU58:CU61,CU58)=1,CU58,CU58+RANK(CV58,CV58:CV61,0)-1))</f>
        <v>1</v>
      </c>
      <c r="CX58" s="13">
        <f>IF(CF58&gt;0,BM56+RANK(CW58,CW58:CW61,1),)</f>
        <v>1</v>
      </c>
      <c r="CZ58" s="12">
        <f>IF(CC58=2,BT58,)</f>
        <v>0</v>
      </c>
      <c r="DA58" s="13">
        <f>(SUMIF($AF$4:$AF$108,$BT58,$AZ$4:$AZ$108)+SUMIF($AH$4:$AH$108,$BT58,$BA$4:$BA$108))</f>
        <v>0</v>
      </c>
      <c r="DB58" s="13">
        <f>(SUMIF($AF$4:$AF$108,$BT58,$BB$4:$BB$108)+SUMIF($AH$4:$AH$108,$BT58,$BC$4:$BC$108))</f>
        <v>0</v>
      </c>
      <c r="DC58" s="13">
        <f>(SUMIF($AF$4:$AF$108,$BT58,$BD$4:$BD$108)+SUMIF($AH$4:$AH$108,$BT58,$BE$4:$BE$108))</f>
        <v>0</v>
      </c>
      <c r="DD58" s="13">
        <f>IFERROR(DA58*3+DB58*1,0)</f>
        <v>0</v>
      </c>
      <c r="DE58" s="13" t="str">
        <f>$CB58</f>
        <v>G</v>
      </c>
      <c r="DF58" s="13">
        <f>IF(CZ58&gt;0,RANK(DD58,DD58:DD61)+CG56,)</f>
        <v>0</v>
      </c>
      <c r="DG58" s="13">
        <f>IF(AND(CZ58&gt;0,COUNTIF(DF58:DF61,DF58)&gt;1),SUMIFS($AI$4:$AI$108,$AF$4:$AF$108,$BT58,$M$4:$M$108,2)+SUMIFS($AK$4:$AK$108,$AH$4:$AH108,$BT58,$M$4:$M$108,2)-SUMIFS($AK$4:$AK$108,$AF$4:$AF$108,$BT58,$M$4:$M$108,2)-SUMIFS($AI$4:$AI$108,$AH$4:$AH$108,$BT58,$M$4:$M$108,2),)</f>
        <v>0</v>
      </c>
      <c r="DH58" s="13">
        <f>IF(AND(CZ58&gt;0,COUNTIF(DF58:DF61,DF58)&gt;1),DF58+RANK(DG58,DG58:DG61)-1,DF58)</f>
        <v>0</v>
      </c>
      <c r="DI58" s="13">
        <f>IF(AND(CZ58&gt;0,COUNTIF(DH58:DH61,DH58)&gt;1),SUMIFS($AI$4:$AI$108,$AF$4:$AF$108,$BT58,$M$4:$M$108,2)+SUMIFS($AK$4:$AK$108,$AH$4:$AH$108,$BT58,$M$4:$M$108,2),)</f>
        <v>0</v>
      </c>
      <c r="DJ58" s="13">
        <f>IF(AND(CZ58&gt;0,COUNTIF(DH58:DH61,DH58)&gt;1),DH58+RANK(DI58,DI58:DI61)-1,DH58)</f>
        <v>0</v>
      </c>
      <c r="DK58" s="75" t="str">
        <f>IF(DJ58=0,"",DJ58)</f>
        <v/>
      </c>
      <c r="DL58" s="75" t="str">
        <f>IF(OR(DK58="",COUNTIF(DK58:DK61,DK58)=1),"",$BZ58)</f>
        <v/>
      </c>
      <c r="DM58" s="75" t="str">
        <f>IF(DK58="","",IF(COUNTIF(DK58:DK61,DK58)=1,DK58,DK58+RANK(DL58,DL58:DL61,0)-1))</f>
        <v/>
      </c>
      <c r="DN58" s="75" t="str">
        <f>IF(OR(DM58="",COUNTIF(DM58:DM61,DM58)=1),"",$BX58)</f>
        <v/>
      </c>
      <c r="DO58" s="75" t="str">
        <f>IF(DK58="","",IF(COUNTIF(DM58:DM61,DM58)=1,DM58,DM58+RANK(DN58,DN58:DN61,0)-1))</f>
        <v/>
      </c>
      <c r="DP58" s="75" t="str">
        <f>IF(OR(DO58="",COUNTIF(DO58:DO61,DO58)=1),"",$BU58)</f>
        <v/>
      </c>
      <c r="DQ58" s="75" t="str">
        <f>IF(DK58="","",IF(COUNTIF(DO58:DO61,DO58)=1,DO58,DO58+RANK(DP58,DP58:DP61,0)-1))</f>
        <v/>
      </c>
      <c r="DR58" s="13">
        <f>IF(CZ58&gt;0,CG56+RANK(DQ58,DQ58:DQ61,1),)</f>
        <v>0</v>
      </c>
      <c r="DT58" s="13">
        <f>IF(CC58=3,BT58,)</f>
        <v>0</v>
      </c>
      <c r="DU58" s="13">
        <f>(SUMIF($AF$4:$AF$108,BT58,$BF$4:$BF$108)+SUMIF($AH$4:$AH$108,BT58,$BG$4:$BG$108))</f>
        <v>0</v>
      </c>
      <c r="DV58" s="13">
        <f>(SUMIF($AF$4:$AF$108,BT58,$BH$4:$BH$108)+SUMIF($AH$4:$AH$108,BT58,$BI$4:$BI$108))</f>
        <v>0</v>
      </c>
      <c r="DW58" s="13">
        <f>(SUMIF($AF$4:$AF$108,BT58,$BJ$4:$BJ$108)+SUMIF($AH$4:$AH$108,BT58,$BK$4:$BK$108))</f>
        <v>0</v>
      </c>
      <c r="DX58" s="13">
        <f>IFERROR(DU58*3+DV58*1,0)</f>
        <v>0</v>
      </c>
      <c r="DY58" s="13" t="str">
        <f>CB58</f>
        <v>G</v>
      </c>
      <c r="DZ58" s="13">
        <f>IF(DT58&gt;0,RANK(DX58,DX58:DX61)+CG56+DA56,)</f>
        <v>0</v>
      </c>
      <c r="EA58" s="13">
        <f>IF(AND(DT58&gt;0,COUNTIF(DZ58:DZ61,DZ58)&gt;1),SUMIFS($AI$4:$AI$108,$AF$4:$AF$108,$BT58,$M$4:$M$108,3)+SUMIFS($AK$4:$AK$108,$AH$4:$AH$108,$BT58,$M$4:$M$108,3)-SUMIFS($AK$4:$AK$108,$AF$4:$AF$108,$BT58,$M$4:$M$108,3)-SUMIFS($AI$4:$AI$108,$AH$4:$AH$108,$BT58,$M$4:$M$108,3),)</f>
        <v>0</v>
      </c>
      <c r="EB58" s="13">
        <f>IF(AND(DT58&gt;0,COUNTIF(DZ58:DZ61,DZ58)&gt;1),DZ58+RANK(EA58,EA58:EA61)-1,DZ58)</f>
        <v>0</v>
      </c>
      <c r="EC58" s="13">
        <f>IF(AND(DT58&gt;0,COUNTIF(EB58:EB61,EB58)&gt;1),SUMIFS($AI$4:$AI$108,$AF$4:$AF$108,$BT58,$M$4:$M$108,3)+SUMIFS($AK$4:$AK$108,$AH$4:$AH$108,$BT58,$M$4:$M$108,3),)</f>
        <v>0</v>
      </c>
      <c r="ED58" s="13">
        <f>IF(AND(DT58&gt;0,COUNTIF(EB58:EB61,EB58)&gt;1),EB58+RANK(EC58,EC58:EC61)-1,EB58)</f>
        <v>0</v>
      </c>
      <c r="EE58" s="13" t="str">
        <f>IF(ED58=0,"",ED58)</f>
        <v/>
      </c>
      <c r="EF58" s="13" t="str">
        <f>IF(OR(EE58="",COUNTIF(EE58:EE61,EE58)=1),"",$BZ58)</f>
        <v/>
      </c>
      <c r="EG58" s="13" t="str">
        <f>IF(EE58="","",IF(COUNTIF(EE58:EE61,EE58)=1,EE58,EE58+RANK(EF58,EF58:EF61,0)-1))</f>
        <v/>
      </c>
      <c r="EH58" s="13" t="str">
        <f>IF(OR(EG58="",COUNTIF(EG58:EG61,EG58)=1),"",$BX58)</f>
        <v/>
      </c>
      <c r="EI58" s="13" t="str">
        <f>IF(EE58="","",IF(COUNTIF(EG58:EG61,EG58)=1,EG58,EG58+RANK(EH58,EH58:EH61,0)-1))</f>
        <v/>
      </c>
      <c r="EJ58" s="13" t="str">
        <f>IF(OR(EI58="",COUNTIF(EI58:EI61,EI58)=1),"",$BU58)</f>
        <v/>
      </c>
      <c r="EK58" s="13" t="str">
        <f>IF(EE58="","",IF(COUNTIF(EI58:EI61,EI58)=1,EI58,EI58+RANK(EJ58,EJ58:EJ61,0)-1))</f>
        <v/>
      </c>
      <c r="EL58" s="13">
        <f>IF(DT58&gt;0,CG56+DA56+RANK(EK58,EK58:EK61,1),)</f>
        <v>0</v>
      </c>
      <c r="EN58" s="13">
        <f>IF(CC58=4,BT58,)</f>
        <v>0</v>
      </c>
      <c r="EO58" s="13">
        <f>(SUMIF($AF$4:$AF$108,$BT58,$BL$4:$BL$108)+SUMIF($AH$4:$AH$108,$BT58,$BM$4:$BM$108))</f>
        <v>0</v>
      </c>
      <c r="EP58" s="13">
        <f>(SUMIF($AF$4:$AF$108,$BT58,$BN$4:$BN$108)+SUMIF($AH$4:$AH$108,$BT58,$BO$4:$BO$108))</f>
        <v>0</v>
      </c>
      <c r="EQ58" s="13">
        <f>(SUMIF($AF$4:$AF$108,$BT58,$BP$4:$BP$108)+SUMIF($AH$4:$AH$108,$BT58,$BQ$4:$BQ$108))</f>
        <v>0</v>
      </c>
      <c r="ER58" s="13">
        <f>IFERROR(EO58*3+EP58*1,0)</f>
        <v>0</v>
      </c>
      <c r="ES58" s="13" t="str">
        <f>$CB58</f>
        <v>G</v>
      </c>
      <c r="ET58" s="13">
        <f>IF(EN58&gt;0,RANK(ER58,ER58:ER61)+CG56+DA56+DU56,)</f>
        <v>0</v>
      </c>
      <c r="EU58" s="13">
        <f>IF(AND(EN58&gt;0,COUNTIF(ET58:ET61,ET58)&gt;1),SUMIFS($AI$4:$AI$108,$AF$4:$AF$108,$BT58,$M$4:$M$108,4)+SUMIFS($AK$4:$AK$108,$AH$4:$AH$108,$BT58,$M$4:$M$108,4)-SUMIFS($AK$4:$AK$108,$AF$4:$AF$108,$BT58,$M$4:$M$108,4)-SUMIFS($AI$4:$AI$108,$AH$4:$AH$108,$BT58,$M$4:$M$108,4),)</f>
        <v>0</v>
      </c>
      <c r="EV58" s="13">
        <f>IF(AND(EN58&gt;0,COUNTIF(ET58:ET61,ET58)&gt;1),ET58+RANK(EU58,EU58:EU61)-1,ET58)</f>
        <v>0</v>
      </c>
      <c r="EW58" s="13">
        <f>IF(AND(EN58&gt;0,COUNTIF(EV58:EV61,EV58)&gt;1),SUMIFS($AI$4:$AI$108,$AF$4:$AF$108,$BT58,$M$4:$M$108,4)+SUMIFS($AK$4:$AK$108,$AH$4:$AH$108,$BT58,$M$4:$M$108,4),)</f>
        <v>0</v>
      </c>
      <c r="EX58" s="13">
        <f>IF(AND(EN58&gt;0,COUNTIF(EV58:EV61,EV58)&gt;1),EV58+RANK(EW58,EW58:EW61)-1,EV58)</f>
        <v>0</v>
      </c>
      <c r="EY58" s="13" t="str">
        <f>IF(EX58=0,"",EX58)</f>
        <v/>
      </c>
      <c r="EZ58" s="13" t="str">
        <f>IF(OR(EY58="",COUNTIF(EY58:EY61,EY58)=1),"",$BZ58)</f>
        <v/>
      </c>
      <c r="FA58" s="13" t="str">
        <f>IF(EY58="","",IF(COUNTIF(EY58:EY61,EY58)=1,EY58,EY58+RANK(EZ58,EZ58:EZ61,0)-1))</f>
        <v/>
      </c>
      <c r="FB58" s="13" t="str">
        <f>IF(OR(FA58="",COUNTIF(FA58:FA61,FA58)=1),"",$BX58)</f>
        <v/>
      </c>
      <c r="FC58" s="13" t="str">
        <f>IF(EY58="","",IF(COUNTIF(FA58:FA61,FA58)=1,FA58,FA58+RANK(FB58,FB58:FB61,0)-1))</f>
        <v/>
      </c>
      <c r="FD58" s="13" t="str">
        <f>IF(OR(FC58="",COUNTIF(FC58:FC61,FC58)=1),"",$BU58)</f>
        <v/>
      </c>
      <c r="FE58" s="13" t="str">
        <f>IF(EY58="","",IF(COUNTIF(FC58:FC61,FC58)=1,FC58,FC58+RANK(FD58,FD58:FD61,0)-1))</f>
        <v/>
      </c>
      <c r="FF58" s="13">
        <f>IF(EN58&gt;0,CG56+DA56+DU56+RANK(FE58,FE58:FE61,1),)</f>
        <v>0</v>
      </c>
      <c r="FH58" s="13">
        <f>IFERROR(VLOOKUP(FJ58,CF57:CX61,19,FALSE),IFERROR(VLOOKUP(FJ58,CZ57:DR61,19,FALSE),IFERROR(VLOOKUP(FJ58,DT57:EL61,19,FALSE),VLOOKUP(FJ58,EN57:FF61,19,FALSE))))</f>
        <v>1</v>
      </c>
      <c r="FI58" s="13">
        <f>RANK(FH58,FH58:FH61,1)+COUNTIF(FH58:FH58,FH58)-1</f>
        <v>1</v>
      </c>
      <c r="FJ58" s="12" t="str">
        <f>BT58</f>
        <v>Belgien</v>
      </c>
      <c r="FZ58" s="79">
        <v>56</v>
      </c>
      <c r="GA58" s="3" t="str">
        <f t="shared" si="72"/>
        <v>HJBDIFLK</v>
      </c>
      <c r="GB58" s="3" t="s">
        <v>70</v>
      </c>
      <c r="GC58" s="3" t="s">
        <v>69</v>
      </c>
      <c r="GD58" s="3" t="s">
        <v>57</v>
      </c>
      <c r="GE58" s="3" t="s">
        <v>58</v>
      </c>
      <c r="GF58" s="3" t="s">
        <v>61</v>
      </c>
      <c r="GG58" s="3" t="s">
        <v>21</v>
      </c>
      <c r="GH58" s="3" t="s">
        <v>63</v>
      </c>
      <c r="GI58" s="3" t="s">
        <v>62</v>
      </c>
      <c r="GJ58" s="9" t="str">
        <f t="shared" si="413"/>
        <v>Saudiarabien</v>
      </c>
      <c r="GK58" s="9" t="str">
        <f t="shared" si="413"/>
        <v>Österrike</v>
      </c>
      <c r="GL58" s="9" t="str">
        <f t="shared" si="413"/>
        <v>Qatar</v>
      </c>
      <c r="GM58" s="9" t="str">
        <f t="shared" si="413"/>
        <v>Australien</v>
      </c>
      <c r="GN58" s="9" t="str">
        <f t="shared" si="413"/>
        <v>Irak</v>
      </c>
      <c r="GO58" s="9" t="str">
        <f t="shared" si="413"/>
        <v>Sverige</v>
      </c>
      <c r="GP58" s="9" t="str">
        <f t="shared" si="413"/>
        <v>Ghana</v>
      </c>
      <c r="GQ58" s="9" t="str">
        <f t="shared" si="413"/>
        <v>Uzbekistan</v>
      </c>
      <c r="GR58" s="9" t="str">
        <f t="shared" si="75"/>
        <v/>
      </c>
      <c r="GX58" s="79"/>
    </row>
    <row r="59" spans="2:206" ht="14.25" customHeight="1" x14ac:dyDescent="0.25">
      <c r="B59" s="58">
        <v>15</v>
      </c>
      <c r="C59" s="59">
        <v>46189</v>
      </c>
      <c r="D59" s="60" t="s">
        <v>117</v>
      </c>
      <c r="E59" s="61" t="s">
        <v>66</v>
      </c>
      <c r="F59" s="62" t="s">
        <v>118</v>
      </c>
      <c r="G59" s="63"/>
      <c r="H59" s="64" t="s">
        <v>66</v>
      </c>
      <c r="I59" s="63"/>
      <c r="J59" s="65" t="str">
        <f t="shared" ref="J59:J63" si="461">IF(OR(ISBLANK(G59),ISBLANK(I59)),"",IF(G59&gt;I59,1,IF(G59&lt;I59,2,"X")))</f>
        <v/>
      </c>
      <c r="K59" s="66">
        <f>IF(OR(G59="",I59="",'[1]Resultat &amp; tabell'!G59="",'[1]Resultat &amp; tabell'!I59=""),0,IF(G59='[1]Resultat &amp; tabell'!G59,2,0)+IF(I59='[1]Resultat &amp; tabell'!I59,2,0)+IF(J59='[1]Resultat &amp; tabell'!J59,2,0))</f>
        <v>0</v>
      </c>
      <c r="L59" s="67"/>
      <c r="M59" s="29">
        <f t="shared" si="414"/>
        <v>1</v>
      </c>
      <c r="N59" s="30">
        <v>2</v>
      </c>
      <c r="O59" s="80" t="str">
        <f>VLOOKUP(N59,FI58:FJ61,2,FALSE)</f>
        <v>Egypten</v>
      </c>
      <c r="P59" s="81">
        <f t="shared" ref="P59:P61" si="462">VLOOKUP($O59,$BT$58:$CA$61,2,FALSE)</f>
        <v>0</v>
      </c>
      <c r="Q59" s="81">
        <f t="shared" ref="Q59:Q61" si="463">VLOOKUP($O59,$BT$58:$CA$61,3,FALSE)</f>
        <v>0</v>
      </c>
      <c r="R59" s="81">
        <f t="shared" ref="R59:R61" si="464">VLOOKUP($O59,$BT$58:$CA$61,4,FALSE)</f>
        <v>0</v>
      </c>
      <c r="S59" s="81">
        <f t="shared" ref="S59:S61" si="465">VLOOKUP($O59,$BT$58:$CA$61,5,FALSE)</f>
        <v>0</v>
      </c>
      <c r="T59" s="81">
        <f t="shared" ref="T59:T61" si="466">VLOOKUP($O59,$BT$58:$CA$61,6,FALSE)</f>
        <v>0</v>
      </c>
      <c r="U59" s="81">
        <f t="shared" ref="U59:U61" si="467">VLOOKUP($O59,$BT$58:$CA$61,7,FALSE)</f>
        <v>0</v>
      </c>
      <c r="V59" s="82">
        <f t="shared" ref="V59:V61" si="468">VLOOKUP($O59,$BT$58:$CA$61,8,FALSE)</f>
        <v>0</v>
      </c>
      <c r="X59" s="136"/>
      <c r="Z59"/>
      <c r="AE59" s="72">
        <f t="shared" si="415"/>
        <v>46189</v>
      </c>
      <c r="AF59" s="72" t="str">
        <f t="shared" si="415"/>
        <v>Iran</v>
      </c>
      <c r="AG59" s="72" t="str">
        <f t="shared" si="415"/>
        <v>-</v>
      </c>
      <c r="AH59" s="72" t="str">
        <f t="shared" si="415"/>
        <v>Nya Zeeland</v>
      </c>
      <c r="AI59" s="63" t="str">
        <f t="shared" si="416"/>
        <v/>
      </c>
      <c r="AJ59" s="58" t="str">
        <f t="shared" si="417"/>
        <v>-</v>
      </c>
      <c r="AK59" s="63" t="str">
        <f t="shared" si="418"/>
        <v/>
      </c>
      <c r="AL59" s="65" t="str">
        <f t="shared" si="419"/>
        <v/>
      </c>
      <c r="AM59" s="73"/>
      <c r="AN59" s="13">
        <f t="shared" si="420"/>
        <v>0</v>
      </c>
      <c r="AO59" s="13">
        <f t="shared" si="421"/>
        <v>0</v>
      </c>
      <c r="AP59" s="13">
        <f t="shared" si="422"/>
        <v>0</v>
      </c>
      <c r="AQ59" s="13">
        <f t="shared" si="423"/>
        <v>0</v>
      </c>
      <c r="AR59" s="13">
        <f t="shared" si="424"/>
        <v>0</v>
      </c>
      <c r="AS59" s="13">
        <f t="shared" si="425"/>
        <v>0</v>
      </c>
      <c r="AT59" s="13">
        <f t="shared" si="426"/>
        <v>0</v>
      </c>
      <c r="AU59" s="13">
        <f t="shared" si="427"/>
        <v>0</v>
      </c>
      <c r="AV59" s="13">
        <f t="shared" si="428"/>
        <v>0</v>
      </c>
      <c r="AW59" s="13">
        <f t="shared" si="429"/>
        <v>0</v>
      </c>
      <c r="AX59" s="13">
        <f t="shared" si="430"/>
        <v>0</v>
      </c>
      <c r="AY59" s="13">
        <f t="shared" si="431"/>
        <v>0</v>
      </c>
      <c r="AZ59" s="13">
        <f t="shared" si="432"/>
        <v>0</v>
      </c>
      <c r="BA59" s="13">
        <f t="shared" si="433"/>
        <v>0</v>
      </c>
      <c r="BB59" s="13">
        <f t="shared" si="434"/>
        <v>0</v>
      </c>
      <c r="BC59" s="13">
        <f t="shared" si="435"/>
        <v>0</v>
      </c>
      <c r="BD59" s="13">
        <f t="shared" si="436"/>
        <v>0</v>
      </c>
      <c r="BE59" s="13">
        <f t="shared" si="437"/>
        <v>0</v>
      </c>
      <c r="BF59" s="13">
        <f t="shared" si="438"/>
        <v>0</v>
      </c>
      <c r="BG59" s="13">
        <f t="shared" si="439"/>
        <v>0</v>
      </c>
      <c r="BH59" s="13">
        <f t="shared" si="440"/>
        <v>0</v>
      </c>
      <c r="BI59" s="13">
        <f t="shared" si="441"/>
        <v>0</v>
      </c>
      <c r="BJ59" s="13">
        <f t="shared" si="442"/>
        <v>0</v>
      </c>
      <c r="BK59" s="13">
        <f t="shared" si="443"/>
        <v>0</v>
      </c>
      <c r="BL59" s="13">
        <f t="shared" si="444"/>
        <v>0</v>
      </c>
      <c r="BM59" s="13">
        <f t="shared" si="445"/>
        <v>0</v>
      </c>
      <c r="BN59" s="13">
        <f t="shared" si="446"/>
        <v>0</v>
      </c>
      <c r="BO59" s="13">
        <f t="shared" si="447"/>
        <v>0</v>
      </c>
      <c r="BP59" s="13">
        <f t="shared" si="448"/>
        <v>0</v>
      </c>
      <c r="BQ59" s="13">
        <f t="shared" si="449"/>
        <v>0</v>
      </c>
      <c r="BR59" s="27"/>
      <c r="BS59" s="27"/>
      <c r="BT59" s="12" t="s">
        <v>116</v>
      </c>
      <c r="BU59" s="13">
        <f t="shared" si="450"/>
        <v>0</v>
      </c>
      <c r="BV59" s="13">
        <f t="shared" si="451"/>
        <v>0</v>
      </c>
      <c r="BW59" s="13">
        <f t="shared" si="452"/>
        <v>0</v>
      </c>
      <c r="BX59" s="13">
        <f t="shared" si="453"/>
        <v>0</v>
      </c>
      <c r="BY59" s="13">
        <f t="shared" si="454"/>
        <v>0</v>
      </c>
      <c r="BZ59" s="13">
        <f t="shared" si="455"/>
        <v>0</v>
      </c>
      <c r="CA59" s="13">
        <f t="shared" si="456"/>
        <v>0</v>
      </c>
      <c r="CB59" s="13" t="s">
        <v>60</v>
      </c>
      <c r="CC59" s="74">
        <f>RANK(CA59,CA58:CA61)</f>
        <v>1</v>
      </c>
      <c r="CD59" s="13">
        <f>SUMPRODUCT((CA58:CA61=CA59)*(BZ58:BZ61&gt;BZ59))</f>
        <v>0</v>
      </c>
      <c r="CF59" s="12" t="str">
        <f>IF(CC59=1,BT59,)</f>
        <v>Egypten</v>
      </c>
      <c r="CG59" s="13">
        <f t="shared" si="457"/>
        <v>0</v>
      </c>
      <c r="CH59" s="13">
        <f t="shared" si="458"/>
        <v>0</v>
      </c>
      <c r="CI59" s="13">
        <f t="shared" si="459"/>
        <v>0</v>
      </c>
      <c r="CJ59" s="13">
        <f t="shared" si="460"/>
        <v>0</v>
      </c>
      <c r="CK59" s="13" t="str">
        <f t="shared" ref="CK59:CK61" si="469">CB59</f>
        <v>G</v>
      </c>
      <c r="CL59" s="13">
        <f>IF(CF59&gt;0,RANK(CJ59,CJ58:CJ61),)</f>
        <v>1</v>
      </c>
      <c r="CM59" s="13">
        <f>IF(AND(CF59&gt;0,COUNTIF(CL58:CL61,CL59)&gt;1),SUMIFS($AI$4:$AI$108,$AF$4:$AF$108,$BT59,$M$4:$M$108,1)+SUMIFS($AK$4:$AK$108,$AH$4:$AH$108,$BT59,$M$4:$M$108,1)-SUMIFS($AK$4:$AK$108,$AF$4:$AF$108,$BT59,$M$4:$M$108,1)-SUMIFS($AI$4:$AI$108,$AH$4:$AH$108,$BT59,$M$4:$M$108,1),)</f>
        <v>0</v>
      </c>
      <c r="CN59" s="13">
        <f>IF(AND(CF59&gt;0,COUNTIF(CL58:CL61,CL59)&gt;1),CL59+RANK(CM59,CM58:CM61)-1,CL59)</f>
        <v>1</v>
      </c>
      <c r="CO59" s="13">
        <f>IF(AND(CF59&gt;0,COUNTIF(CN58:CN61,CN59)&gt;1),SUMIFS($AI$4:$AI$108,$AF$4:$AF$108,$BT59,$M$4:$M$108,1)+SUMIFS($AK$4:$AK$108,$AH$4:$AH$108,$BT59,$M$4:$M$108,1),)</f>
        <v>0</v>
      </c>
      <c r="CP59" s="13">
        <f>IF(AND(CF59&gt;0,COUNTIF(CN58:CN61,CN59)&gt;1),CN59+RANK(CO59,CO58:CO61)-1,CN59)</f>
        <v>1</v>
      </c>
      <c r="CQ59" s="13">
        <f t="shared" ref="CQ59:CQ61" si="470">IF(CP59=0,"",CP59)</f>
        <v>1</v>
      </c>
      <c r="CR59" s="13">
        <f>IF(OR(CQ59="",COUNTIF(CQ58:CQ61,CQ59)=1),"",$BZ59)</f>
        <v>0</v>
      </c>
      <c r="CS59" s="13">
        <f>IF(CQ59="","",IF(COUNTIF(CQ58:CQ61,CQ59)=1,CQ59,CQ59+RANK(CR59,CR58:CR61,0)-1))</f>
        <v>1</v>
      </c>
      <c r="CT59" s="13">
        <f>IF(OR(CS59="",COUNTIF(CS58:CS61,CS59)=1),"",$BX59)</f>
        <v>0</v>
      </c>
      <c r="CU59" s="13">
        <f>IF(CQ59="","",IF(COUNTIF(CS58:CS61,CS59)=1,CS59,CS59+RANK(CT59,CT58:CT61,0)-1))</f>
        <v>1</v>
      </c>
      <c r="CV59" s="13">
        <f>IF(OR(CU59="",COUNTIF(CU58:CU61,CU59)=1),"",$BU59)</f>
        <v>0</v>
      </c>
      <c r="CW59" s="13">
        <f>IF(CQ59="","",IF(COUNTIF(CU58:CU61,CU59)=1,CU59,CU59+RANK(CV59,CV58:CV61,0)-1))</f>
        <v>1</v>
      </c>
      <c r="CX59" s="13">
        <f>IF(CF59&gt;0,BM56+RANK(CW59,CW58:CW61,1),)</f>
        <v>1</v>
      </c>
      <c r="CZ59" s="12">
        <f>IF(CC59=2,BT59,)</f>
        <v>0</v>
      </c>
      <c r="DA59" s="13">
        <f>(SUMIF($AF$4:$AF$108,$BT59,$AZ$4:$AZ$108)+SUMIF($AH$4:$AH$108,$BT59,$BA$4:$BA$108))</f>
        <v>0</v>
      </c>
      <c r="DB59" s="13">
        <f t="shared" ref="DB59:DB61" si="471">(SUMIF($AF$4:$AF$108,$BT59,$BB$4:$BB$108)+SUMIF($AH$4:$AH$108,$BT59,$BC$4:$BC$108))</f>
        <v>0</v>
      </c>
      <c r="DC59" s="13">
        <f t="shared" ref="DC59:DC61" si="472">(SUMIF($AF$4:$AF$108,$BT59,$BD$4:$BD$108)+SUMIF($AH$4:$AH$108,$BT59,$BE$4:$BE$108))</f>
        <v>0</v>
      </c>
      <c r="DD59" s="13">
        <f t="shared" ref="DD59:DD61" si="473">IFERROR(DA59*3+DB59*1,0)</f>
        <v>0</v>
      </c>
      <c r="DE59" s="13" t="str">
        <f t="shared" ref="DE59:DE61" si="474">$CB59</f>
        <v>G</v>
      </c>
      <c r="DF59" s="13">
        <f>IF(CZ59&gt;0,RANK(DD59,DD58:DD61)+CG56,)</f>
        <v>0</v>
      </c>
      <c r="DG59" s="13">
        <f>IF(AND(CZ59&gt;0,COUNTIF(DF58:DF61,DF59)&gt;1),SUMIFS($AI$4:$AI$108,$AF$4:$AF$108,$BT59,$M$4:$M$108,2)+SUMIFS($AK$4:$AK$108,$AH$4:$AH108,$BT59,$M$4:$M$108,2)-SUMIFS($AK$4:$AK$108,$AF$4:$AF$108,$BT59,$M$4:$M$108,2)-SUMIFS($AI$4:$AI$108,$AH$4:$AH$108,$BT59,$M$4:$M$108,2),)</f>
        <v>0</v>
      </c>
      <c r="DH59" s="13">
        <f>IF(AND(CZ59&gt;0,COUNTIF(DF58:DF61,DF59)&gt;1),DF59+RANK(DG59,DG58:DG61)-1,DF59)</f>
        <v>0</v>
      </c>
      <c r="DI59" s="13">
        <f>IF(AND(CZ59&gt;0,COUNTIF(DH58:DH61,DH59)&gt;1),SUMIFS($AI$4:$AI$108,$AF$4:$AF$108,$BT59,$M$4:$M$108,2)+SUMIFS($AK$4:$AK$108,$AH$4:$AH$108,$BT59,$M$4:$M$108,2),)</f>
        <v>0</v>
      </c>
      <c r="DJ59" s="13">
        <f>IF(AND(CZ59&gt;0,COUNTIF(DH58:DH61,DH59)&gt;1),DH59+RANK(DI59,DI58:DI61)-1,DH59)</f>
        <v>0</v>
      </c>
      <c r="DK59" s="75" t="str">
        <f t="shared" ref="DK59:DK61" si="475">IF(DJ59=0,"",DJ59)</f>
        <v/>
      </c>
      <c r="DL59" s="75" t="str">
        <f>IF(OR(DK59="",COUNTIF(DK58:DK61,DK59)=1),"",$BZ59)</f>
        <v/>
      </c>
      <c r="DM59" s="75" t="str">
        <f>IF(DK59="","",IF(COUNTIF(DK58:DK61,DK59)=1,DK59,DK59+RANK(DL59,DL58:DL61,0)-1))</f>
        <v/>
      </c>
      <c r="DN59" s="75" t="str">
        <f>IF(OR(DM59="",COUNTIF(DM58:DM61,DM59)=1),"",$BX59)</f>
        <v/>
      </c>
      <c r="DO59" s="75" t="str">
        <f>IF(DK59="","",IF(COUNTIF(DM58:DM61,DM59)=1,DM59,DM59+RANK(DN59,DN58:DN61,0)-1))</f>
        <v/>
      </c>
      <c r="DP59" s="75" t="str">
        <f>IF(OR(DO59="",COUNTIF(DO58:DO61,DO59)=1),"",$BU59)</f>
        <v/>
      </c>
      <c r="DQ59" s="75" t="str">
        <f>IF(DK59="","",IF(COUNTIF(DO58:DO61,DO59)=1,DO59,DO59+RANK(DP59,DP58:DP61,0)-1))</f>
        <v/>
      </c>
      <c r="DR59" s="13">
        <f>IF(CZ59&gt;0,CG56+RANK(DQ59,DQ58:DQ61,1),)</f>
        <v>0</v>
      </c>
      <c r="DT59" s="13">
        <f>IF(CC59=3,BT59,)</f>
        <v>0</v>
      </c>
      <c r="DU59" s="13">
        <f t="shared" ref="DU59:DU61" si="476">(SUMIF($AF$4:$AF$108,BT59,$BF$4:$BF$108)+SUMIF($AH$4:$AH$108,BT59,$BG$4:$BG$108))</f>
        <v>0</v>
      </c>
      <c r="DV59" s="13">
        <f t="shared" ref="DV59:DV61" si="477">(SUMIF($AF$4:$AF$108,BT59,$BH$4:$BH$108)+SUMIF($AH$4:$AH$108,BT59,$BI$4:$BI$108))</f>
        <v>0</v>
      </c>
      <c r="DW59" s="13">
        <f t="shared" ref="DW59:DW61" si="478">(SUMIF($AF$4:$AF$108,BT59,$BJ$4:$BJ$108)+SUMIF($AH$4:$AH$108,BT59,$BK$4:$BK$108))</f>
        <v>0</v>
      </c>
      <c r="DX59" s="13">
        <f>IFERROR(DU59*3+DV59*1,0)</f>
        <v>0</v>
      </c>
      <c r="DY59" s="13" t="str">
        <f t="shared" ref="DY59:DY61" si="479">CB59</f>
        <v>G</v>
      </c>
      <c r="DZ59" s="13">
        <f>IF(DT59&gt;0,RANK(DX59,DX58:DX61)+CG56+DA56,)</f>
        <v>0</v>
      </c>
      <c r="EA59" s="13">
        <f>IF(AND(DT59&gt;0,COUNTIF(DZ58:DZ61,DZ59)&gt;1),SUMIFS($AI$4:$AI$108,$AF$4:$AF$108,$BT59,$M$4:$M$108,3)+SUMIFS($AK$4:$AK$108,$AH$4:$AH$108,$BT59,$M$4:$M$108,3)-SUMIFS($AK$4:$AK$108,$AF$4:$AF$108,$BT59,$M$4:$M$108,3)-SUMIFS($AI$4:$AI$108,$AH$4:$AH$108,$BT59,$M$4:$M$108,3),)</f>
        <v>0</v>
      </c>
      <c r="EB59" s="13">
        <f>IF(AND(DT59&gt;0,COUNTIF(DZ58:DZ61,DZ59)&gt;1),DZ59+RANK(EA59,EA58:EA61)-1,DZ59)</f>
        <v>0</v>
      </c>
      <c r="EC59" s="13">
        <f>IF(AND(DT59&gt;0,COUNTIF(EB58:EB61,EB59)&gt;1),SUMIFS($AI$4:$AI$108,$AF$4:$AF$108,$BT59,$M$4:$M$108,3)+SUMIFS($AK$4:$AK$108,$AH$4:$AH$108,$BT59,$M$4:$M$108,3),)</f>
        <v>0</v>
      </c>
      <c r="ED59" s="13">
        <f>IF(AND(DT59&gt;0,COUNTIF(EB58:EB61,EB59)&gt;1),EB59+RANK(EC59,EC58:EC61)-1,EB59)</f>
        <v>0</v>
      </c>
      <c r="EE59" s="13" t="str">
        <f t="shared" ref="EE59:EE61" si="480">IF(ED59=0,"",ED59)</f>
        <v/>
      </c>
      <c r="EF59" s="13" t="str">
        <f>IF(OR(EE59="",COUNTIF(EE58:EE61,EE59)=1),"",$BZ59)</f>
        <v/>
      </c>
      <c r="EG59" s="13" t="str">
        <f>IF(EE59="","",IF(COUNTIF(EE58:EE61,EE59)=1,EE59,EE59+RANK(EF59,EF58:EF61,0)-1))</f>
        <v/>
      </c>
      <c r="EH59" s="13" t="str">
        <f>IF(OR(EG59="",COUNTIF(EG58:EG61,EG59)=1),"",$BX59)</f>
        <v/>
      </c>
      <c r="EI59" s="13" t="str">
        <f>IF(EE59="","",IF(COUNTIF(EG58:EG61,EG59)=1,EG59,EG59+RANK(EH59,EH58:EH61,0)-1))</f>
        <v/>
      </c>
      <c r="EJ59" s="13" t="str">
        <f>IF(OR(EI59="",COUNTIF(EI58:EI61,EI59)=1),"",$BU59)</f>
        <v/>
      </c>
      <c r="EK59" s="13" t="str">
        <f>IF(EE59="","",IF(COUNTIF(EI58:EI61,EI59)=1,EI59,EI59+RANK(EJ59,EJ58:EJ61,0)-1))</f>
        <v/>
      </c>
      <c r="EL59" s="13">
        <f>IF(DT59&gt;0,CG56+DA56+RANK(EK59,EK58:EK61,1),)</f>
        <v>0</v>
      </c>
      <c r="EN59" s="13">
        <f>IF(CC59=4,BT59,)</f>
        <v>0</v>
      </c>
      <c r="EO59" s="13">
        <f t="shared" ref="EO59:EO61" si="481">(SUMIF($AF$4:$AF$108,$BT59,$BL$4:$BL$108)+SUMIF($AH$4:$AH$108,$BT59,$BM$4:$BM$108))</f>
        <v>0</v>
      </c>
      <c r="EP59" s="13">
        <f t="shared" ref="EP59:EP61" si="482">(SUMIF($AF$4:$AF$108,$BT59,$BN$4:$BN$108)+SUMIF($AH$4:$AH$108,$BT59,$BO$4:$BO$108))</f>
        <v>0</v>
      </c>
      <c r="EQ59" s="13">
        <f t="shared" ref="EQ59:EQ61" si="483">(SUMIF($AF$4:$AF$108,$BT59,$BP$4:$BP$108)+SUMIF($AH$4:$AH$108,$BT59,$BQ$4:$BQ$108))</f>
        <v>0</v>
      </c>
      <c r="ER59" s="13">
        <f t="shared" ref="ER59:ER61" si="484">IFERROR(EO59*3+EP59*1,0)</f>
        <v>0</v>
      </c>
      <c r="ES59" s="13" t="str">
        <f t="shared" ref="ES59:ES61" si="485">$CB59</f>
        <v>G</v>
      </c>
      <c r="ET59" s="13">
        <f>IF(EN59&gt;0,RANK(ER59,ER58:ER61)+CG56+DA56+DU56,)</f>
        <v>0</v>
      </c>
      <c r="EU59" s="13">
        <f>IF(AND(EN59&gt;0,COUNTIF(ET58:ET61,ET59)&gt;1),SUMIFS($AI$4:$AI$108,$AF$4:$AF$108,$BT59,$M$4:$M$108,4)+SUMIFS($AK$4:$AK$108,$AH$4:$AH$108,$BT59,$M$4:$M$108,4)-SUMIFS($AK$4:$AK$108,$AF$4:$AF$108,$BT59,$M$4:$M$108,4)-SUMIFS($AI$4:$AI$108,$AH$4:$AH$108,$BT59,$M$4:$M$108,4),)</f>
        <v>0</v>
      </c>
      <c r="EV59" s="13">
        <f>IF(AND(EN59&gt;0,COUNTIF(ET58:ET61,ET59)&gt;1),ET59+RANK(EU59,EU58:EU61)-1,ET59)</f>
        <v>0</v>
      </c>
      <c r="EW59" s="13">
        <f t="shared" ref="EW59:EW61" si="486">IF(AND(EN59&gt;0,COUNTIF(EV59:EV62,EV59)&gt;1),SUMIFS($AI$4:$AI$108,$AF$4:$AF$108,$BT59,$M$4:$M$108,4)+SUMIFS($AK$4:$AK$108,$AH$4:$AH$108,$BT59,$M$4:$M$108,4),)</f>
        <v>0</v>
      </c>
      <c r="EX59" s="13">
        <f>IF(AND(EN59&gt;0,COUNTIF(EV58:EV61,EV59)&gt;1),EV59+RANK(EW59,EW58:EW61)-1,EV59)</f>
        <v>0</v>
      </c>
      <c r="EY59" s="13" t="str">
        <f t="shared" ref="EY59:EY61" si="487">IF(EX59=0,"",EX59)</f>
        <v/>
      </c>
      <c r="EZ59" s="13" t="str">
        <f>IF(OR(EY59="",COUNTIF(EY58:EY61,EY59)=1),"",$BZ59)</f>
        <v/>
      </c>
      <c r="FA59" s="13" t="str">
        <f>IF(EY59="","",IF(COUNTIF(EY58:EY61,EY59)=1,EY59,EY59+RANK(EZ59,EZ58:EZ61,0)-1))</f>
        <v/>
      </c>
      <c r="FB59" s="13" t="str">
        <f>IF(OR(FA59="",COUNTIF(FA58:FA61,FA59)=1),"",$BX59)</f>
        <v/>
      </c>
      <c r="FC59" s="13" t="str">
        <f>IF(EY59="","",IF(COUNTIF(FA58:FA61,FA59)=1,FA59,FA59+RANK(FB59,FB58:FB61,0)-1))</f>
        <v/>
      </c>
      <c r="FD59" s="13" t="str">
        <f>IF(OR(FC59="",COUNTIF(FC58:FC61,FC59)=1),"",$BU59)</f>
        <v/>
      </c>
      <c r="FE59" s="13" t="str">
        <f>IF(EY59="","",IF(COUNTIF(FC58:FC61,FC59)=1,FC59,FC59+RANK(FD59,FD58:FD61,0)-1))</f>
        <v/>
      </c>
      <c r="FF59" s="13">
        <f>IF(EN59&gt;0,CG56+DA56+DU56+RANK(FE59,FE58:FE61,1),)</f>
        <v>0</v>
      </c>
      <c r="FH59" s="13">
        <f>IFERROR(VLOOKUP(FJ59,CF57:CX61,19,FALSE),IFERROR(VLOOKUP(FJ59,CZ57:DR61,19,FALSE),IFERROR(VLOOKUP(FJ59,DT57:EL61,19,FALSE),VLOOKUP(FJ59,EN57:FF61,19,FALSE))))</f>
        <v>1</v>
      </c>
      <c r="FI59" s="13">
        <f>RANK(FH59,FH58:FH61,1)+COUNTIF(FH58:FH59,FH59)-1</f>
        <v>2</v>
      </c>
      <c r="FJ59" s="12" t="str">
        <f>BT59</f>
        <v>Egypten</v>
      </c>
      <c r="FZ59" s="79">
        <v>57</v>
      </c>
      <c r="GA59" s="3" t="str">
        <f t="shared" si="72"/>
        <v>IGBDJFLK</v>
      </c>
      <c r="GB59" s="3" t="s">
        <v>61</v>
      </c>
      <c r="GC59" s="3" t="s">
        <v>60</v>
      </c>
      <c r="GD59" s="3" t="s">
        <v>57</v>
      </c>
      <c r="GE59" s="3" t="s">
        <v>58</v>
      </c>
      <c r="GF59" s="3" t="s">
        <v>69</v>
      </c>
      <c r="GG59" s="3" t="s">
        <v>21</v>
      </c>
      <c r="GH59" s="3" t="s">
        <v>63</v>
      </c>
      <c r="GI59" s="3" t="s">
        <v>62</v>
      </c>
      <c r="GJ59" s="9" t="str">
        <f t="shared" si="413"/>
        <v>Irak</v>
      </c>
      <c r="GK59" s="9" t="str">
        <f t="shared" si="413"/>
        <v>Iran</v>
      </c>
      <c r="GL59" s="9" t="str">
        <f t="shared" si="413"/>
        <v>Qatar</v>
      </c>
      <c r="GM59" s="9" t="str">
        <f t="shared" si="413"/>
        <v>Australien</v>
      </c>
      <c r="GN59" s="9" t="str">
        <f t="shared" si="413"/>
        <v>Österrike</v>
      </c>
      <c r="GO59" s="9" t="str">
        <f t="shared" si="413"/>
        <v>Sverige</v>
      </c>
      <c r="GP59" s="9" t="str">
        <f t="shared" si="413"/>
        <v>Ghana</v>
      </c>
      <c r="GQ59" s="9" t="str">
        <f t="shared" si="413"/>
        <v>Uzbekistan</v>
      </c>
      <c r="GR59" s="9" t="str">
        <f t="shared" si="75"/>
        <v/>
      </c>
      <c r="GX59" s="79"/>
    </row>
    <row r="60" spans="2:206" ht="14.25" customHeight="1" x14ac:dyDescent="0.25">
      <c r="B60" s="58">
        <v>39</v>
      </c>
      <c r="C60" s="59">
        <v>46194</v>
      </c>
      <c r="D60" s="60" t="s">
        <v>115</v>
      </c>
      <c r="E60" s="61" t="s">
        <v>66</v>
      </c>
      <c r="F60" s="62" t="s">
        <v>117</v>
      </c>
      <c r="G60" s="63"/>
      <c r="H60" s="64" t="s">
        <v>66</v>
      </c>
      <c r="I60" s="63"/>
      <c r="J60" s="65" t="str">
        <f t="shared" si="461"/>
        <v/>
      </c>
      <c r="K60" s="66">
        <f>IF(OR(G60="",I60="",'[1]Resultat &amp; tabell'!G60="",'[1]Resultat &amp; tabell'!I60=""),0,IF(G60='[1]Resultat &amp; tabell'!G60,2,0)+IF(I60='[1]Resultat &amp; tabell'!I60,2,0)+IF(J60='[1]Resultat &amp; tabell'!J60,2,0))</f>
        <v>0</v>
      </c>
      <c r="L60" s="67"/>
      <c r="M60" s="29">
        <f t="shared" si="414"/>
        <v>1</v>
      </c>
      <c r="N60" s="30">
        <v>3</v>
      </c>
      <c r="O60" s="83" t="str">
        <f>VLOOKUP(N60,FI58:FJ61,2,FALSE)</f>
        <v>Iran</v>
      </c>
      <c r="P60" s="84">
        <f t="shared" si="462"/>
        <v>0</v>
      </c>
      <c r="Q60" s="84">
        <f t="shared" si="463"/>
        <v>0</v>
      </c>
      <c r="R60" s="84">
        <f t="shared" si="464"/>
        <v>0</v>
      </c>
      <c r="S60" s="84">
        <f t="shared" si="465"/>
        <v>0</v>
      </c>
      <c r="T60" s="84">
        <f t="shared" si="466"/>
        <v>0</v>
      </c>
      <c r="U60" s="84">
        <f t="shared" si="467"/>
        <v>0</v>
      </c>
      <c r="V60" s="85">
        <f t="shared" si="468"/>
        <v>0</v>
      </c>
      <c r="X60" s="1"/>
      <c r="AE60" s="72">
        <f t="shared" si="415"/>
        <v>46194</v>
      </c>
      <c r="AF60" s="72" t="str">
        <f t="shared" si="415"/>
        <v>Belgien</v>
      </c>
      <c r="AG60" s="72" t="str">
        <f t="shared" si="415"/>
        <v>-</v>
      </c>
      <c r="AH60" s="72" t="str">
        <f t="shared" si="415"/>
        <v>Iran</v>
      </c>
      <c r="AI60" s="63" t="str">
        <f t="shared" si="416"/>
        <v/>
      </c>
      <c r="AJ60" s="58" t="str">
        <f t="shared" si="417"/>
        <v>-</v>
      </c>
      <c r="AK60" s="63" t="str">
        <f t="shared" si="418"/>
        <v/>
      </c>
      <c r="AL60" s="65" t="str">
        <f t="shared" si="419"/>
        <v/>
      </c>
      <c r="AM60" s="73"/>
      <c r="AN60" s="13">
        <f t="shared" si="420"/>
        <v>0</v>
      </c>
      <c r="AO60" s="13">
        <f t="shared" si="421"/>
        <v>0</v>
      </c>
      <c r="AP60" s="13">
        <f t="shared" si="422"/>
        <v>0</v>
      </c>
      <c r="AQ60" s="13">
        <f t="shared" si="423"/>
        <v>0</v>
      </c>
      <c r="AR60" s="13">
        <f t="shared" si="424"/>
        <v>0</v>
      </c>
      <c r="AS60" s="13">
        <f t="shared" si="425"/>
        <v>0</v>
      </c>
      <c r="AT60" s="13">
        <f t="shared" si="426"/>
        <v>0</v>
      </c>
      <c r="AU60" s="13">
        <f t="shared" si="427"/>
        <v>0</v>
      </c>
      <c r="AV60" s="13">
        <f t="shared" si="428"/>
        <v>0</v>
      </c>
      <c r="AW60" s="13">
        <f t="shared" si="429"/>
        <v>0</v>
      </c>
      <c r="AX60" s="13">
        <f t="shared" si="430"/>
        <v>0</v>
      </c>
      <c r="AY60" s="13">
        <f t="shared" si="431"/>
        <v>0</v>
      </c>
      <c r="AZ60" s="13">
        <f t="shared" si="432"/>
        <v>0</v>
      </c>
      <c r="BA60" s="13">
        <f t="shared" si="433"/>
        <v>0</v>
      </c>
      <c r="BB60" s="13">
        <f t="shared" si="434"/>
        <v>0</v>
      </c>
      <c r="BC60" s="13">
        <f t="shared" si="435"/>
        <v>0</v>
      </c>
      <c r="BD60" s="13">
        <f t="shared" si="436"/>
        <v>0</v>
      </c>
      <c r="BE60" s="13">
        <f t="shared" si="437"/>
        <v>0</v>
      </c>
      <c r="BF60" s="13">
        <f t="shared" si="438"/>
        <v>0</v>
      </c>
      <c r="BG60" s="13">
        <f t="shared" si="439"/>
        <v>0</v>
      </c>
      <c r="BH60" s="13">
        <f t="shared" si="440"/>
        <v>0</v>
      </c>
      <c r="BI60" s="13">
        <f t="shared" si="441"/>
        <v>0</v>
      </c>
      <c r="BJ60" s="13">
        <f t="shared" si="442"/>
        <v>0</v>
      </c>
      <c r="BK60" s="13">
        <f t="shared" si="443"/>
        <v>0</v>
      </c>
      <c r="BL60" s="13">
        <f t="shared" si="444"/>
        <v>0</v>
      </c>
      <c r="BM60" s="13">
        <f t="shared" si="445"/>
        <v>0</v>
      </c>
      <c r="BN60" s="13">
        <f t="shared" si="446"/>
        <v>0</v>
      </c>
      <c r="BO60" s="13">
        <f t="shared" si="447"/>
        <v>0</v>
      </c>
      <c r="BP60" s="13">
        <f t="shared" si="448"/>
        <v>0</v>
      </c>
      <c r="BQ60" s="13">
        <f t="shared" si="449"/>
        <v>0</v>
      </c>
      <c r="BR60" s="137"/>
      <c r="BS60" s="138"/>
      <c r="BT60" s="12" t="s">
        <v>117</v>
      </c>
      <c r="BU60" s="13">
        <f t="shared" si="450"/>
        <v>0</v>
      </c>
      <c r="BV60" s="13">
        <f t="shared" si="451"/>
        <v>0</v>
      </c>
      <c r="BW60" s="13">
        <f t="shared" si="452"/>
        <v>0</v>
      </c>
      <c r="BX60" s="13">
        <f t="shared" si="453"/>
        <v>0</v>
      </c>
      <c r="BY60" s="13">
        <f t="shared" si="454"/>
        <v>0</v>
      </c>
      <c r="BZ60" s="13">
        <f t="shared" si="455"/>
        <v>0</v>
      </c>
      <c r="CA60" s="13">
        <f t="shared" si="456"/>
        <v>0</v>
      </c>
      <c r="CB60" s="13" t="s">
        <v>60</v>
      </c>
      <c r="CC60" s="74">
        <f>RANK(CA60,CA58:CA61)</f>
        <v>1</v>
      </c>
      <c r="CD60" s="13">
        <f>SUMPRODUCT((CA58:CA61=CA60)*(BZ58:BZ61&gt;BZ60))</f>
        <v>0</v>
      </c>
      <c r="CF60" s="12" t="str">
        <f>IF(CC60=1,BT60,)</f>
        <v>Iran</v>
      </c>
      <c r="CG60" s="13">
        <f t="shared" si="457"/>
        <v>0</v>
      </c>
      <c r="CH60" s="13">
        <f t="shared" si="458"/>
        <v>0</v>
      </c>
      <c r="CI60" s="13">
        <f t="shared" si="459"/>
        <v>0</v>
      </c>
      <c r="CJ60" s="13">
        <f t="shared" si="460"/>
        <v>0</v>
      </c>
      <c r="CK60" s="13" t="str">
        <f t="shared" si="469"/>
        <v>G</v>
      </c>
      <c r="CL60" s="13">
        <f>IF(CF60&gt;0,RANK(CJ60,CJ58:CJ61),)</f>
        <v>1</v>
      </c>
      <c r="CM60" s="13">
        <f>IF(AND(CF60&gt;0,COUNTIF(CL58:CL61,CL60)&gt;1),SUMIFS($AI$4:$AI$108,$AF$4:$AF$108,$BT60,$M$4:$M$108,1)+SUMIFS($AK$4:$AK$108,$AH$4:$AH$108,$BT60,$M$4:$M$108,1)-SUMIFS($AK$4:$AK$108,$AF$4:$AF$108,$BT60,$M$4:$M$108,1)-SUMIFS($AI$4:$AI$108,$AH$4:$AH$108,$BT60,$M$4:$M$108,1),)</f>
        <v>0</v>
      </c>
      <c r="CN60" s="13">
        <f>IF(AND(CF60&gt;0,COUNTIF(CL58:CL61,CL60)&gt;1),CL60+RANK(CM60,CM58:CM61)-1,CL60)</f>
        <v>1</v>
      </c>
      <c r="CO60" s="13">
        <f>IF(AND(CF60&gt;0,COUNTIF(CN58:CN61,CN60)&gt;1),SUMIFS($AI$4:$AI$108,$AF$4:$AF$108,$BT60,$M$4:$M$108,1)+SUMIFS($AK$4:$AK$108,$AH$4:$AH$108,$BT60,$M$4:$M$108,1),)</f>
        <v>0</v>
      </c>
      <c r="CP60" s="13">
        <f>IF(AND(CF60&gt;0,COUNTIF(CN58:CN61,CN60)&gt;1),CN60+RANK(CO60,CO58:CO61)-1,CN60)</f>
        <v>1</v>
      </c>
      <c r="CQ60" s="13">
        <f t="shared" si="470"/>
        <v>1</v>
      </c>
      <c r="CR60" s="13">
        <f>IF(OR(CQ60="",COUNTIF(CQ58:CQ61,CQ60)=1),"",$BZ60)</f>
        <v>0</v>
      </c>
      <c r="CS60" s="13">
        <f>IF(CQ60="","",IF(COUNTIF(CQ58:CQ61,CQ60)=1,CQ60,CQ60+RANK(CR60,CR58:CR61,0)-1))</f>
        <v>1</v>
      </c>
      <c r="CT60" s="13">
        <f>IF(OR(CS60="",COUNTIF(CS58:CS61,CS60)=1),"",$BX60)</f>
        <v>0</v>
      </c>
      <c r="CU60" s="13">
        <f>IF(CQ60="","",IF(COUNTIF(CS58:CS61,CS60)=1,CS60,CS60+RANK(CT60,CT58:CT61,0)-1))</f>
        <v>1</v>
      </c>
      <c r="CV60" s="13">
        <f>IF(OR(CU60="",COUNTIF(CU58:CU61,CU60)=1),"",$BU60)</f>
        <v>0</v>
      </c>
      <c r="CW60" s="13">
        <f>IF(CQ60="","",IF(COUNTIF(CU58:CU61,CU60)=1,CU60,CU60+RANK(CV60,CV58:CV61,0)-1))</f>
        <v>1</v>
      </c>
      <c r="CX60" s="13">
        <f>IF(CF60&gt;0,BM56+RANK(CW60,CW58:CW61,1),)</f>
        <v>1</v>
      </c>
      <c r="CZ60" s="12">
        <f>IF(CC60=2,BT60,)</f>
        <v>0</v>
      </c>
      <c r="DA60" s="13">
        <f>(SUMIF($AF$4:$AF$108,$BT60,$AZ$4:$AZ$108)+SUMIF($AH$4:$AH$108,$BT60,$BA$4:$BA$108))</f>
        <v>0</v>
      </c>
      <c r="DB60" s="13">
        <f t="shared" si="471"/>
        <v>0</v>
      </c>
      <c r="DC60" s="13">
        <f t="shared" si="472"/>
        <v>0</v>
      </c>
      <c r="DD60" s="13">
        <f t="shared" si="473"/>
        <v>0</v>
      </c>
      <c r="DE60" s="13" t="str">
        <f t="shared" si="474"/>
        <v>G</v>
      </c>
      <c r="DF60" s="13">
        <f>IF(CZ60&gt;0,RANK(DD60,DD58:DD61)+CG56,)</f>
        <v>0</v>
      </c>
      <c r="DG60" s="13">
        <f>IF(AND(CZ60&gt;0,COUNTIF(DF58:DF61,DF60)&gt;1),SUMIFS($AI$4:$AI$108,$AF$4:$AF$108,$BT60,$M$4:$M$108,2)+SUMIFS($AK$4:$AK$108,$AH$4:$AH108,$BT60,$M$4:$M$108,2)-SUMIFS($AK$4:$AK$108,$AF$4:$AF$108,$BT60,$M$4:$M$108,2)-SUMIFS($AI$4:$AI$108,$AH$4:$AH$108,$BT60,$M$4:$M$108,2),)</f>
        <v>0</v>
      </c>
      <c r="DH60" s="13">
        <f>IF(AND(CZ60&gt;0,COUNTIF(DF58:DF61,DF60)&gt;1),DF60+RANK(DG60,DG58:DG61)-1,DF60)</f>
        <v>0</v>
      </c>
      <c r="DI60" s="13">
        <f>IF(AND(CZ60&gt;0,COUNTIF(DH58:DH61,DH60)&gt;1),SUMIFS($AI$4:$AI$108,$AF$4:$AF$108,$BT60,$M$4:$M$108,2)+SUMIFS($AK$4:$AK$108,$AH$4:$AH$108,$BT60,$M$4:$M$108,2),)</f>
        <v>0</v>
      </c>
      <c r="DJ60" s="13">
        <f>IF(AND(CZ60&gt;0,COUNTIF(DH58:DH61,DH60)&gt;1),DH60+RANK(DI60,DI58:DI61)-1,DH60)</f>
        <v>0</v>
      </c>
      <c r="DK60" s="75" t="str">
        <f t="shared" si="475"/>
        <v/>
      </c>
      <c r="DL60" s="75" t="str">
        <f>IF(OR(DK60="",COUNTIF(DK58:DK61,DK60)=1),"",$BZ60)</f>
        <v/>
      </c>
      <c r="DM60" s="75" t="str">
        <f>IF(DK60="","",IF(COUNTIF(DK58:DK61,DK60)=1,DK60,DK60+RANK(DL60,DL58:DL61,0)-1))</f>
        <v/>
      </c>
      <c r="DN60" s="75" t="str">
        <f>IF(OR(DM60="",COUNTIF(DM58:DM61,DM60)=1),"",$BX60)</f>
        <v/>
      </c>
      <c r="DO60" s="75" t="str">
        <f>IF(DK60="","",IF(COUNTIF(DM58:DM61,DM60)=1,DM60,DM60+RANK(DN60,DN58:DN61,0)-1))</f>
        <v/>
      </c>
      <c r="DP60" s="75" t="str">
        <f>IF(OR(DO60="",COUNTIF(DO58:DO61,DO60)=1),"",$BU60)</f>
        <v/>
      </c>
      <c r="DQ60" s="75" t="str">
        <f>IF(DK60="","",IF(COUNTIF(DO58:DO61,DO60)=1,DO60,DO60+RANK(DP60,DP58:DP61,0)-1))</f>
        <v/>
      </c>
      <c r="DR60" s="13">
        <f>IF(CZ60&gt;0,CG56+RANK(DQ60,DQ58:DQ61,1),)</f>
        <v>0</v>
      </c>
      <c r="DT60" s="13">
        <f>IF(CC60=3,BT60,)</f>
        <v>0</v>
      </c>
      <c r="DU60" s="13">
        <f t="shared" si="476"/>
        <v>0</v>
      </c>
      <c r="DV60" s="13">
        <f t="shared" si="477"/>
        <v>0</v>
      </c>
      <c r="DW60" s="13">
        <f t="shared" si="478"/>
        <v>0</v>
      </c>
      <c r="DX60" s="13">
        <f>IFERROR(DU60*3+DV60*1,0)</f>
        <v>0</v>
      </c>
      <c r="DY60" s="13" t="str">
        <f t="shared" si="479"/>
        <v>G</v>
      </c>
      <c r="DZ60" s="13">
        <f>IF(DT60&gt;0,RANK(DX60,DX58:DX61)+CG56+DA56,)</f>
        <v>0</v>
      </c>
      <c r="EA60" s="13">
        <f>IF(AND(DT60&gt;0,COUNTIF(DZ58:DZ61,DZ60)&gt;1),SUMIFS($AI$4:$AI$108,$AF$4:$AF$108,$BT60,$M$4:$M$108,3)+SUMIFS($AK$4:$AK$108,$AH$4:$AH$108,$BT60,$M$4:$M$108,3)-SUMIFS($AK$4:$AK$108,$AF$4:$AF$108,$BT60,$M$4:$M$108,3)-SUMIFS($AI$4:$AI$108,$AH$4:$AH$108,$BT60,$M$4:$M$108,3),)</f>
        <v>0</v>
      </c>
      <c r="EB60" s="13">
        <f>IF(AND(DT60&gt;0,COUNTIF(DZ58:DZ61,DZ60)&gt;1),DZ60+RANK(EA60,EA58:EA61)-1,DZ60)</f>
        <v>0</v>
      </c>
      <c r="EC60" s="13">
        <f>IF(AND(DT60&gt;0,COUNTIF(EB58:EB61,EB60)&gt;1),SUMIFS($AI$4:$AI$108,$AF$4:$AF$108,$BT60,$M$4:$M$108,3)+SUMIFS($AK$4:$AK$108,$AH$4:$AH$108,$BT60,$M$4:$M$108,3),)</f>
        <v>0</v>
      </c>
      <c r="ED60" s="13">
        <f>IF(AND(DT60&gt;0,COUNTIF(EB58:EB61,EB60)&gt;1),EB60+RANK(EC60,EC58:EC61)-1,EB60)</f>
        <v>0</v>
      </c>
      <c r="EE60" s="13" t="str">
        <f t="shared" si="480"/>
        <v/>
      </c>
      <c r="EF60" s="13" t="str">
        <f>IF(OR(EE60="",COUNTIF(EE58:EE61,EE60)=1),"",$BZ60)</f>
        <v/>
      </c>
      <c r="EG60" s="13" t="str">
        <f>IF(EE60="","",IF(COUNTIF(EE58:EE61,EE60)=1,EE60,EE60+RANK(EF60,EF58:EF61,0)-1))</f>
        <v/>
      </c>
      <c r="EH60" s="13" t="str">
        <f>IF(OR(EG60="",COUNTIF(EG58:EG61,EG60)=1),"",$BX60)</f>
        <v/>
      </c>
      <c r="EI60" s="13" t="str">
        <f>IF(EE60="","",IF(COUNTIF(EG58:EG61,EG60)=1,EG60,EG60+RANK(EH60,EH58:EH61,0)-1))</f>
        <v/>
      </c>
      <c r="EJ60" s="13" t="str">
        <f>IF(OR(EI60="",COUNTIF(EI58:EI61,EI60)=1),"",$BU60)</f>
        <v/>
      </c>
      <c r="EK60" s="13" t="str">
        <f>IF(EE60="","",IF(COUNTIF(EI58:EI61,EI60)=1,EI60,EI60+RANK(EJ60,EJ58:EJ61,0)-1))</f>
        <v/>
      </c>
      <c r="EL60" s="13">
        <f>IF(DT60&gt;0,CG56+DA56+RANK(EK60,EK58:EK61,1),)</f>
        <v>0</v>
      </c>
      <c r="EN60" s="13">
        <f>IF(CC60=4,BT60,)</f>
        <v>0</v>
      </c>
      <c r="EO60" s="13">
        <f t="shared" si="481"/>
        <v>0</v>
      </c>
      <c r="EP60" s="13">
        <f t="shared" si="482"/>
        <v>0</v>
      </c>
      <c r="EQ60" s="13">
        <f t="shared" si="483"/>
        <v>0</v>
      </c>
      <c r="ER60" s="13">
        <f t="shared" si="484"/>
        <v>0</v>
      </c>
      <c r="ES60" s="13" t="str">
        <f t="shared" si="485"/>
        <v>G</v>
      </c>
      <c r="ET60" s="13">
        <f>IF(EN60&gt;0,RANK(ER60,ER58:ER61)+CG56+DA56+DU56,)</f>
        <v>0</v>
      </c>
      <c r="EU60" s="13">
        <f>IF(AND(EN60&gt;0,COUNTIF(ET58:ET61,ET60)&gt;1),SUMIFS($AI$4:$AI$108,$AF$4:$AF$108,$BT60,$M$4:$M$108,4)+SUMIFS($AK$4:$AK$108,$AH$4:$AH$108,$BT60,$M$4:$M$108,4)-SUMIFS($AK$4:$AK$108,$AF$4:$AF$108,$BT60,$M$4:$M$108,4)-SUMIFS($AI$4:$AI$108,$AH$4:$AH$108,$BT60,$M$4:$M$108,4),)</f>
        <v>0</v>
      </c>
      <c r="EV60" s="13">
        <f>IF(AND(EN60&gt;0,COUNTIF(ET58:ET61,ET60)&gt;1),ET60+RANK(EU60,EU58:EU61)-1,ET60)</f>
        <v>0</v>
      </c>
      <c r="EW60" s="13">
        <f t="shared" si="486"/>
        <v>0</v>
      </c>
      <c r="EX60" s="13">
        <f>IF(AND(EN60&gt;0,COUNTIF(EV58:EV61,EV60)&gt;1),EV60+RANK(EW60,EW58:EW61)-1,EV60)</f>
        <v>0</v>
      </c>
      <c r="EY60" s="13" t="str">
        <f t="shared" si="487"/>
        <v/>
      </c>
      <c r="EZ60" s="13" t="str">
        <f>IF(OR(EY60="",COUNTIF(EY58:EY61,EY60)=1),"",$BZ60)</f>
        <v/>
      </c>
      <c r="FA60" s="13" t="str">
        <f>IF(EY60="","",IF(COUNTIF(EY58:EY61,EY60)=1,EY60,EY60+RANK(EZ60,EZ58:EZ61,0)-1))</f>
        <v/>
      </c>
      <c r="FB60" s="13" t="str">
        <f>IF(OR(FA60="",COUNTIF(FA58:FA61,FA60)=1),"",$BX60)</f>
        <v/>
      </c>
      <c r="FC60" s="13" t="str">
        <f>IF(EY60="","",IF(COUNTIF(FA58:FA61,FA60)=1,FA60,FA60+RANK(FB60,FB58:FB61,0)-1))</f>
        <v/>
      </c>
      <c r="FD60" s="13" t="str">
        <f>IF(OR(FC60="",COUNTIF(FC58:FC61,FC60)=1),"",$BU60)</f>
        <v/>
      </c>
      <c r="FE60" s="13" t="str">
        <f>IF(EY60="","",IF(COUNTIF(FC58:FC61,FC60)=1,FC60,FC60+RANK(FD60,FD58:FD61,0)-1))</f>
        <v/>
      </c>
      <c r="FF60" s="13">
        <f>IF(EN60&gt;0,CG56+DA56+DU56+RANK(FE60,FE58:FE61,1),)</f>
        <v>0</v>
      </c>
      <c r="FH60" s="13">
        <f>IFERROR(VLOOKUP(FJ60,CF57:CX61,19,FALSE),IFERROR(VLOOKUP(FJ60,CZ57:DR61,19,FALSE),IFERROR(VLOOKUP(FJ60,DT57:EL61,19,FALSE),VLOOKUP(FJ60,EN57:FF61,19,FALSE))))</f>
        <v>1</v>
      </c>
      <c r="FI60" s="13">
        <f>RANK(FH60,FH58:FH61,1)+COUNTIF(FH58:FH60,FH60)-1</f>
        <v>3</v>
      </c>
      <c r="FJ60" s="12" t="str">
        <f>BT60</f>
        <v>Iran</v>
      </c>
      <c r="FZ60" s="79">
        <v>58</v>
      </c>
      <c r="GA60" s="3" t="str">
        <f t="shared" si="72"/>
        <v>HGBDJFLK</v>
      </c>
      <c r="GB60" s="3" t="s">
        <v>70</v>
      </c>
      <c r="GC60" s="3" t="s">
        <v>60</v>
      </c>
      <c r="GD60" s="3" t="s">
        <v>57</v>
      </c>
      <c r="GE60" s="3" t="s">
        <v>58</v>
      </c>
      <c r="GF60" s="3" t="s">
        <v>69</v>
      </c>
      <c r="GG60" s="3" t="s">
        <v>21</v>
      </c>
      <c r="GH60" s="3" t="s">
        <v>63</v>
      </c>
      <c r="GI60" s="3" t="s">
        <v>62</v>
      </c>
      <c r="GJ60" s="9" t="str">
        <f t="shared" si="413"/>
        <v>Saudiarabien</v>
      </c>
      <c r="GK60" s="9" t="str">
        <f t="shared" si="413"/>
        <v>Iran</v>
      </c>
      <c r="GL60" s="9" t="str">
        <f t="shared" si="413"/>
        <v>Qatar</v>
      </c>
      <c r="GM60" s="9" t="str">
        <f t="shared" si="413"/>
        <v>Australien</v>
      </c>
      <c r="GN60" s="9" t="str">
        <f t="shared" si="413"/>
        <v>Österrike</v>
      </c>
      <c r="GO60" s="9" t="str">
        <f t="shared" si="413"/>
        <v>Sverige</v>
      </c>
      <c r="GP60" s="9" t="str">
        <f t="shared" si="413"/>
        <v>Ghana</v>
      </c>
      <c r="GQ60" s="9" t="str">
        <f t="shared" si="413"/>
        <v>Uzbekistan</v>
      </c>
      <c r="GR60" s="9" t="str">
        <f t="shared" si="75"/>
        <v/>
      </c>
      <c r="GX60" s="79"/>
    </row>
    <row r="61" spans="2:206" ht="14.25" customHeight="1" x14ac:dyDescent="0.25">
      <c r="B61" s="58">
        <v>40</v>
      </c>
      <c r="C61" s="59">
        <v>46195</v>
      </c>
      <c r="D61" s="60" t="s">
        <v>118</v>
      </c>
      <c r="E61" s="61" t="s">
        <v>66</v>
      </c>
      <c r="F61" s="62" t="s">
        <v>116</v>
      </c>
      <c r="G61" s="63"/>
      <c r="H61" s="64" t="s">
        <v>66</v>
      </c>
      <c r="I61" s="63"/>
      <c r="J61" s="65" t="str">
        <f t="shared" si="461"/>
        <v/>
      </c>
      <c r="K61" s="66">
        <f>IF(OR(G61="",I61="",'[1]Resultat &amp; tabell'!G61="",'[1]Resultat &amp; tabell'!I61=""),0,IF(G61='[1]Resultat &amp; tabell'!G61,2,0)+IF(I61='[1]Resultat &amp; tabell'!I61,2,0)+IF(J61='[1]Resultat &amp; tabell'!J61,2,0))</f>
        <v>0</v>
      </c>
      <c r="L61" s="67"/>
      <c r="M61" s="29">
        <f t="shared" si="414"/>
        <v>1</v>
      </c>
      <c r="N61" s="30">
        <v>4</v>
      </c>
      <c r="O61" s="86" t="str">
        <f>VLOOKUP(N61,FI58:FJ61,2,FALSE)</f>
        <v>Nya Zeeland</v>
      </c>
      <c r="P61" s="87">
        <f t="shared" si="462"/>
        <v>0</v>
      </c>
      <c r="Q61" s="87">
        <f t="shared" si="463"/>
        <v>0</v>
      </c>
      <c r="R61" s="87">
        <f t="shared" si="464"/>
        <v>0</v>
      </c>
      <c r="S61" s="87">
        <f t="shared" si="465"/>
        <v>0</v>
      </c>
      <c r="T61" s="87">
        <f t="shared" si="466"/>
        <v>0</v>
      </c>
      <c r="U61" s="87">
        <f t="shared" si="467"/>
        <v>0</v>
      </c>
      <c r="V61" s="82">
        <f t="shared" si="468"/>
        <v>0</v>
      </c>
      <c r="X61" s="1"/>
      <c r="AE61" s="72">
        <f t="shared" si="415"/>
        <v>46195</v>
      </c>
      <c r="AF61" s="72" t="str">
        <f t="shared" si="415"/>
        <v>Nya Zeeland</v>
      </c>
      <c r="AG61" s="72" t="str">
        <f t="shared" si="415"/>
        <v>-</v>
      </c>
      <c r="AH61" s="72" t="str">
        <f t="shared" si="415"/>
        <v>Egypten</v>
      </c>
      <c r="AI61" s="63" t="str">
        <f t="shared" si="416"/>
        <v/>
      </c>
      <c r="AJ61" s="58" t="str">
        <f t="shared" si="417"/>
        <v>-</v>
      </c>
      <c r="AK61" s="63" t="str">
        <f t="shared" si="418"/>
        <v/>
      </c>
      <c r="AL61" s="65" t="str">
        <f t="shared" si="419"/>
        <v/>
      </c>
      <c r="AM61" s="73"/>
      <c r="AN61" s="13">
        <f t="shared" si="420"/>
        <v>0</v>
      </c>
      <c r="AO61" s="13">
        <f t="shared" si="421"/>
        <v>0</v>
      </c>
      <c r="AP61" s="13">
        <f t="shared" si="422"/>
        <v>0</v>
      </c>
      <c r="AQ61" s="13">
        <f t="shared" si="423"/>
        <v>0</v>
      </c>
      <c r="AR61" s="13">
        <f t="shared" si="424"/>
        <v>0</v>
      </c>
      <c r="AS61" s="13">
        <f t="shared" si="425"/>
        <v>0</v>
      </c>
      <c r="AT61" s="13">
        <f t="shared" si="426"/>
        <v>0</v>
      </c>
      <c r="AU61" s="13">
        <f t="shared" si="427"/>
        <v>0</v>
      </c>
      <c r="AV61" s="13">
        <f t="shared" si="428"/>
        <v>0</v>
      </c>
      <c r="AW61" s="13">
        <f t="shared" si="429"/>
        <v>0</v>
      </c>
      <c r="AX61" s="13">
        <f t="shared" si="430"/>
        <v>0</v>
      </c>
      <c r="AY61" s="13">
        <f t="shared" si="431"/>
        <v>0</v>
      </c>
      <c r="AZ61" s="13">
        <f t="shared" si="432"/>
        <v>0</v>
      </c>
      <c r="BA61" s="13">
        <f t="shared" si="433"/>
        <v>0</v>
      </c>
      <c r="BB61" s="13">
        <f t="shared" si="434"/>
        <v>0</v>
      </c>
      <c r="BC61" s="13">
        <f t="shared" si="435"/>
        <v>0</v>
      </c>
      <c r="BD61" s="13">
        <f t="shared" si="436"/>
        <v>0</v>
      </c>
      <c r="BE61" s="13">
        <f t="shared" si="437"/>
        <v>0</v>
      </c>
      <c r="BF61" s="13">
        <f t="shared" si="438"/>
        <v>0</v>
      </c>
      <c r="BG61" s="13">
        <f t="shared" si="439"/>
        <v>0</v>
      </c>
      <c r="BH61" s="13">
        <f t="shared" si="440"/>
        <v>0</v>
      </c>
      <c r="BI61" s="13">
        <f t="shared" si="441"/>
        <v>0</v>
      </c>
      <c r="BJ61" s="13">
        <f t="shared" si="442"/>
        <v>0</v>
      </c>
      <c r="BK61" s="13">
        <f t="shared" si="443"/>
        <v>0</v>
      </c>
      <c r="BL61" s="13">
        <f t="shared" si="444"/>
        <v>0</v>
      </c>
      <c r="BM61" s="13">
        <f t="shared" si="445"/>
        <v>0</v>
      </c>
      <c r="BN61" s="13">
        <f t="shared" si="446"/>
        <v>0</v>
      </c>
      <c r="BO61" s="13">
        <f t="shared" si="447"/>
        <v>0</v>
      </c>
      <c r="BP61" s="13">
        <f t="shared" si="448"/>
        <v>0</v>
      </c>
      <c r="BQ61" s="13">
        <f t="shared" si="449"/>
        <v>0</v>
      </c>
      <c r="BR61" s="137"/>
      <c r="BS61" s="138"/>
      <c r="BT61" s="88" t="s">
        <v>118</v>
      </c>
      <c r="BU61" s="13">
        <f t="shared" si="450"/>
        <v>0</v>
      </c>
      <c r="BV61" s="13">
        <f t="shared" si="451"/>
        <v>0</v>
      </c>
      <c r="BW61" s="13">
        <f t="shared" si="452"/>
        <v>0</v>
      </c>
      <c r="BX61" s="13">
        <f t="shared" si="453"/>
        <v>0</v>
      </c>
      <c r="BY61" s="13">
        <f t="shared" si="454"/>
        <v>0</v>
      </c>
      <c r="BZ61" s="13">
        <f t="shared" si="455"/>
        <v>0</v>
      </c>
      <c r="CA61" s="13">
        <f t="shared" si="456"/>
        <v>0</v>
      </c>
      <c r="CB61" s="89" t="s">
        <v>60</v>
      </c>
      <c r="CC61" s="74">
        <f>RANK(CA61,CA58:CA61)</f>
        <v>1</v>
      </c>
      <c r="CD61" s="13">
        <f>SUMPRODUCT((CA58:CA61=CA61)*(BZ58:BZ61&gt;BZ61))</f>
        <v>0</v>
      </c>
      <c r="CF61" s="88" t="str">
        <f>IF(CC61=1,BT61,)</f>
        <v>Nya Zeeland</v>
      </c>
      <c r="CG61" s="13">
        <f t="shared" si="457"/>
        <v>0</v>
      </c>
      <c r="CH61" s="13">
        <f t="shared" si="458"/>
        <v>0</v>
      </c>
      <c r="CI61" s="13">
        <f t="shared" si="459"/>
        <v>0</v>
      </c>
      <c r="CJ61" s="13">
        <f t="shared" si="460"/>
        <v>0</v>
      </c>
      <c r="CK61" s="13" t="str">
        <f t="shared" si="469"/>
        <v>G</v>
      </c>
      <c r="CL61" s="13">
        <f>IF(CF61&gt;0,RANK(CJ61,CJ58:CJ61),)</f>
        <v>1</v>
      </c>
      <c r="CM61" s="13">
        <f>IF(AND(CF61&gt;0,COUNTIF(CL58:CL61,CL61)&gt;1),SUMIFS($AI$4:$AI$108,$AF$4:$AF$108,$BT61,$M$4:$M$108,1)+SUMIFS($AK$4:$AK$108,$AH$4:$AH$108,$BT61,$M$4:$M$108,1)-SUMIFS($AK$4:$AK$108,$AF$4:$AF$108,$BT61,$M$4:$M$108,1)-SUMIFS($AI$4:$AI$108,$AH$4:$AH$108,$BT61,$M$4:$M$108,1),)</f>
        <v>0</v>
      </c>
      <c r="CN61" s="13">
        <f>IF(AND(CF61&gt;0,COUNTIF(CL58:CL61,CL61)&gt;1),CL61+RANK(CM61,CM58:CM61)-1,CL61)</f>
        <v>1</v>
      </c>
      <c r="CO61" s="13">
        <f>IF(AND(CF61&gt;0,COUNTIF(CN58:CN61,CN61)&gt;1),SUMIFS($AI$4:$AI$108,$AF$4:$AF$108,$BT61,$M$4:$M$108,1)+SUMIFS($AK$4:$AK$108,$AH$4:$AH$108,$BT61,$M$4:$M$108,1),)</f>
        <v>0</v>
      </c>
      <c r="CP61" s="13">
        <f>IF(AND(CF61&gt;0,COUNTIF(CN58:CN61,CN61)&gt;1),CN61+RANK(CO61,CO58:CO61)-1,CN61)</f>
        <v>1</v>
      </c>
      <c r="CQ61" s="13">
        <f t="shared" si="470"/>
        <v>1</v>
      </c>
      <c r="CR61" s="13">
        <f>IF(OR(CQ61="",COUNTIF(CQ58:CQ61,CQ61)=1),"",$BZ61)</f>
        <v>0</v>
      </c>
      <c r="CS61" s="13">
        <f>IF(CQ61="","",IF(COUNTIF(CQ58:CQ61,CQ61)=1,CQ61,CQ61+RANK(CR61,CR58:CR61,0)-1))</f>
        <v>1</v>
      </c>
      <c r="CT61" s="13">
        <f>IF(OR(CS61="",COUNTIF(CS58:CS61,CS61)=1),"",$BX61)</f>
        <v>0</v>
      </c>
      <c r="CU61" s="13">
        <f>IF(CQ61="","",IF(COUNTIF(CS58:CS61,CS61)=1,CS61,CS61+RANK(CT61,CT58:CT61,0)-1))</f>
        <v>1</v>
      </c>
      <c r="CV61" s="13">
        <f>IF(OR(CU61="",COUNTIF(CU58:CU61,CU61)=1),"",$BU61)</f>
        <v>0</v>
      </c>
      <c r="CW61" s="13">
        <f>IF(CQ61="","",IF(COUNTIF(CU58:CU61,CU61)=1,CU61,CU61+RANK(CV61,CV58:CV61,0)-1))</f>
        <v>1</v>
      </c>
      <c r="CX61" s="13">
        <f>IF(CF61&gt;0,BM56+RANK(CW61,CW58:CW61,1),)</f>
        <v>1</v>
      </c>
      <c r="CZ61" s="88">
        <f>IF(CC61=2,BT61,)</f>
        <v>0</v>
      </c>
      <c r="DA61" s="13">
        <f>(SUMIF($AF$4:$AF$108,$BT61,$AZ$4:$AZ$108)+SUMIF($AH$4:$AH$108,$BT61,$BA$4:$BA$108))</f>
        <v>0</v>
      </c>
      <c r="DB61" s="13">
        <f t="shared" si="471"/>
        <v>0</v>
      </c>
      <c r="DC61" s="13">
        <f t="shared" si="472"/>
        <v>0</v>
      </c>
      <c r="DD61" s="13">
        <f t="shared" si="473"/>
        <v>0</v>
      </c>
      <c r="DE61" s="13" t="str">
        <f t="shared" si="474"/>
        <v>G</v>
      </c>
      <c r="DF61" s="13">
        <f>IF(CZ61&gt;0,RANK(DD61,DD58:DD61)+CG56,)</f>
        <v>0</v>
      </c>
      <c r="DG61" s="13">
        <f>IF(AND(CZ61&gt;0,COUNTIF(DF58:DF61,DF61)&gt;1),SUMIFS($AI$4:$AI$108,$AF$4:$AF$108,$BT61,$M$4:$M$108,2)+SUMIFS($AK$4:$AK$108,$AH$4:$AH108,$BT61,$M$4:$M$108,2)-SUMIFS($AK$4:$AK$108,$AF$4:$AF$108,$BT61,$M$4:$M$108,2)-SUMIFS($AI$4:$AI$108,$AH$4:$AH$108,$BT61,$M$4:$M$108,2),)</f>
        <v>0</v>
      </c>
      <c r="DH61" s="13">
        <f>IF(AND(CZ61&gt;0,COUNTIF(DF58:DF61,DF61)&gt;1),DF61+RANK(DG61,DG58:DG61)-1,DF61)</f>
        <v>0</v>
      </c>
      <c r="DI61" s="13">
        <f>IF(AND(CZ61&gt;0,COUNTIF(DH58:DH61,DH61)&gt;1),SUMIFS($AI$4:$AI$108,$AF$4:$AF$108,$BT61,$M$4:$M$108,2)+SUMIFS($AK$4:$AK$108,$AH$4:$AH$108,$BT61,$M$4:$M$108,2),)</f>
        <v>0</v>
      </c>
      <c r="DJ61" s="13">
        <f>IF(AND(CZ61&gt;0,COUNTIF(DH58:DH61,DH61)&gt;1),DH61+RANK(DI61,DI58:DI61)-1,DH61)</f>
        <v>0</v>
      </c>
      <c r="DK61" s="75" t="str">
        <f t="shared" si="475"/>
        <v/>
      </c>
      <c r="DL61" s="75" t="str">
        <f>IF(OR(DK61="",COUNTIF(DK58:DK61,DK61)=1),"",$BZ61)</f>
        <v/>
      </c>
      <c r="DM61" s="75" t="str">
        <f>IF(DK61="","",IF(COUNTIF(DK58:DK61,DK61)=1,DK61,DK61+RANK(DL61,DL58:DL61,0)-1))</f>
        <v/>
      </c>
      <c r="DN61" s="75" t="str">
        <f>IF(OR(DM61="",COUNTIF(DM58:DM61,DM61)=1),"",$BX61)</f>
        <v/>
      </c>
      <c r="DO61" s="75" t="str">
        <f>IF(DK61="","",IF(COUNTIF(DM58:DM61,DM61)=1,DM61,DM61+RANK(DN61,DN58:DN61,0)-1))</f>
        <v/>
      </c>
      <c r="DP61" s="75" t="str">
        <f>IF(OR(DO61="",COUNTIF(DO58:DO61,DO61)=1),"",$BU61)</f>
        <v/>
      </c>
      <c r="DQ61" s="75" t="str">
        <f>IF(DK61="","",IF(COUNTIF(DO58:DO61,DO61)=1,DO61,DO61+RANK(DP61,DP58:DP61,0)-1))</f>
        <v/>
      </c>
      <c r="DR61" s="13">
        <f>IF(CZ61&gt;0,CG56+RANK(DQ61,DQ58:DQ61,1),)</f>
        <v>0</v>
      </c>
      <c r="DT61" s="89">
        <f>IF(CC61=3,BT61,)</f>
        <v>0</v>
      </c>
      <c r="DU61" s="13">
        <f t="shared" si="476"/>
        <v>0</v>
      </c>
      <c r="DV61" s="13">
        <f t="shared" si="477"/>
        <v>0</v>
      </c>
      <c r="DW61" s="13">
        <f t="shared" si="478"/>
        <v>0</v>
      </c>
      <c r="DX61" s="13">
        <f>IFERROR(DU61*3+DV61*1,0)</f>
        <v>0</v>
      </c>
      <c r="DY61" s="13" t="str">
        <f t="shared" si="479"/>
        <v>G</v>
      </c>
      <c r="DZ61" s="13">
        <f>IF(DT61&gt;0,RANK(DX61,DX58:DX61)+CG56+DA56,)</f>
        <v>0</v>
      </c>
      <c r="EA61" s="13">
        <f>IF(AND(DT61&gt;0,COUNTIF(DZ58:DZ61,DZ61)&gt;1),SUMIFS($AI$4:$AI$108,$AF$4:$AF$108,$BT61,$M$4:$M$108,3)+SUMIFS($AK$4:$AK$108,$AH$4:$AH$108,$BT61,$M$4:$M$108,3)-SUMIFS($AK$4:$AK$108,$AF$4:$AF$108,$BT61,$M$4:$M$108,3)-SUMIFS($AI$4:$AI$108,$AH$4:$AH$108,$BT61,$M$4:$M$108,3),)</f>
        <v>0</v>
      </c>
      <c r="EB61" s="13">
        <f>IF(AND(DT61&gt;0,COUNTIF(DZ58:DZ61,DZ61)&gt;1),DZ61+RANK(EA61,EA58:EA61)-1,DZ61)</f>
        <v>0</v>
      </c>
      <c r="EC61" s="13">
        <f>IF(AND(DT61&gt;0,COUNTIF(EB58:EB61,EB61)&gt;1),SUMIFS($AI$4:$AI$108,$AF$4:$AF$108,$BT61,$M$4:$M$108,3)+SUMIFS($AK$4:$AK$108,$AH$4:$AH$108,$BT61,$M$4:$M$108,3),)</f>
        <v>0</v>
      </c>
      <c r="ED61" s="13">
        <f>IF(AND(DT61&gt;0,COUNTIF(EB58:EB61,EB61)&gt;1),EB61+RANK(EC61,EC58:EC61)-1,EB61)</f>
        <v>0</v>
      </c>
      <c r="EE61" s="13" t="str">
        <f t="shared" si="480"/>
        <v/>
      </c>
      <c r="EF61" s="13" t="str">
        <f>IF(OR(EE61="",COUNTIF(EE58:EE61,EE61)=1),"",$BZ61)</f>
        <v/>
      </c>
      <c r="EG61" s="13" t="str">
        <f>IF(EE61="","",IF(COUNTIF(EE58:EE61,EE61)=1,EE61,EE61+RANK(EF61,EF58:EF61,0)-1))</f>
        <v/>
      </c>
      <c r="EH61" s="13" t="str">
        <f>IF(OR(EG61="",COUNTIF(EG58:EG61,EG61)=1),"",$BX61)</f>
        <v/>
      </c>
      <c r="EI61" s="13" t="str">
        <f>IF(EE61="","",IF(COUNTIF(EG58:EG61,EG61)=1,EG61,EG61+RANK(EH61,EH58:EH61,0)-1))</f>
        <v/>
      </c>
      <c r="EJ61" s="13" t="str">
        <f>IF(OR(EI61="",COUNTIF(EI58:EI61,EI61)=1),"",$BU61)</f>
        <v/>
      </c>
      <c r="EK61" s="13" t="str">
        <f>IF(EE61="","",IF(COUNTIF(EI58:EI61,EI61)=1,EI61,EI61+RANK(EJ61,EJ58:EJ61,0)-1))</f>
        <v/>
      </c>
      <c r="EL61" s="13">
        <f>IF(DT61&gt;0,CG56+DA56+RANK(EK61,EK58:EK61,1),)</f>
        <v>0</v>
      </c>
      <c r="EN61" s="13">
        <f>IF(CC61=4,BT61,)</f>
        <v>0</v>
      </c>
      <c r="EO61" s="13">
        <f t="shared" si="481"/>
        <v>0</v>
      </c>
      <c r="EP61" s="13">
        <f t="shared" si="482"/>
        <v>0</v>
      </c>
      <c r="EQ61" s="13">
        <f t="shared" si="483"/>
        <v>0</v>
      </c>
      <c r="ER61" s="13">
        <f t="shared" si="484"/>
        <v>0</v>
      </c>
      <c r="ES61" s="13" t="str">
        <f t="shared" si="485"/>
        <v>G</v>
      </c>
      <c r="ET61" s="13">
        <f>IF(EN61&gt;0,RANK(ER61,ER58:ER61)+CG56+DA56+DU56,)</f>
        <v>0</v>
      </c>
      <c r="EU61" s="13">
        <f>IF(AND(EN61&gt;0,COUNTIF(ET58:ET61,ET61)&gt;1),SUMIFS($AI$4:$AI$108,$AF$4:$AF$108,$BT61,$M$4:$M$108,4)+SUMIFS($AK$4:$AK$108,$AH$4:$AH$108,$BT61,$M$4:$M$108,4)-SUMIFS($AK$4:$AK$108,$AF$4:$AF$108,$BT61,$M$4:$M$108,4)-SUMIFS($AI$4:$AI$108,$AH$4:$AH$108,$BT61,$M$4:$M$108,4),)</f>
        <v>0</v>
      </c>
      <c r="EV61" s="13">
        <f>IF(AND(EN61&gt;0,COUNTIF(ET58:ET61,ET61)&gt;1),ET61+RANK(EU61,EU58:EU61)-1,ET61)</f>
        <v>0</v>
      </c>
      <c r="EW61" s="13">
        <f t="shared" si="486"/>
        <v>0</v>
      </c>
      <c r="EX61" s="13">
        <f>IF(AND(EN61&gt;0,COUNTIF(EV58:EV61,EV61)&gt;1),EV61+RANK(EW61,EW58:EW61)-1,EV61)</f>
        <v>0</v>
      </c>
      <c r="EY61" s="13" t="str">
        <f t="shared" si="487"/>
        <v/>
      </c>
      <c r="EZ61" s="13" t="str">
        <f>IF(OR(EY61="",COUNTIF(EY58:EY61,EY61)=1),"",$BZ61)</f>
        <v/>
      </c>
      <c r="FA61" s="13" t="str">
        <f>IF(EY61="","",IF(COUNTIF(EY58:EY61,EY61)=1,EY61,EY61+RANK(EZ61,EZ58:EZ61,0)-1))</f>
        <v/>
      </c>
      <c r="FB61" s="13" t="str">
        <f>IF(OR(FA61="",COUNTIF(FA58:FA61,FA61)=1),"",$BX61)</f>
        <v/>
      </c>
      <c r="FC61" s="13" t="str">
        <f>IF(EY61="","",IF(COUNTIF(FA58:FA61,FA61)=1,FA61,FA61+RANK(FB61,FB58:FB61,0)-1))</f>
        <v/>
      </c>
      <c r="FD61" s="13" t="str">
        <f>IF(OR(FC61="",COUNTIF(FC58:FC61,FC61)=1),"",$BU61)</f>
        <v/>
      </c>
      <c r="FE61" s="13" t="str">
        <f>IF(EY61="","",IF(COUNTIF(FC58:FC61,FC61)=1,FC61,FC61+RANK(FD61,FD58:FD61,0)-1))</f>
        <v/>
      </c>
      <c r="FF61" s="13">
        <f>IF(EN61&gt;0,CG56+DA56+DU56+RANK(FE61,FE58:FE61,1),)</f>
        <v>0</v>
      </c>
      <c r="FH61" s="13">
        <f>IFERROR(VLOOKUP(FJ61,CF57:CX61,19,FALSE),IFERROR(VLOOKUP(FJ61,CZ57:DR61,19,FALSE),IFERROR(VLOOKUP(FJ61,DT57:EL61,19,FALSE),VLOOKUP(FJ61,EN57:FF61,19,FALSE))))</f>
        <v>1</v>
      </c>
      <c r="FI61" s="13">
        <f>RANK(FH61,FH58:FH61,1)+COUNTIF(FH58:FH61,FH61)-1</f>
        <v>4</v>
      </c>
      <c r="FJ61" s="12" t="str">
        <f>BT61</f>
        <v>Nya Zeeland</v>
      </c>
      <c r="FZ61" s="79">
        <v>59</v>
      </c>
      <c r="GA61" s="3" t="str">
        <f t="shared" si="72"/>
        <v>HGBDIFLK</v>
      </c>
      <c r="GB61" s="3" t="s">
        <v>70</v>
      </c>
      <c r="GC61" s="3" t="s">
        <v>60</v>
      </c>
      <c r="GD61" s="3" t="s">
        <v>57</v>
      </c>
      <c r="GE61" s="3" t="s">
        <v>58</v>
      </c>
      <c r="GF61" s="3" t="s">
        <v>61</v>
      </c>
      <c r="GG61" s="3" t="s">
        <v>21</v>
      </c>
      <c r="GH61" s="3" t="s">
        <v>63</v>
      </c>
      <c r="GI61" s="3" t="s">
        <v>62</v>
      </c>
      <c r="GJ61" s="9" t="str">
        <f t="shared" si="413"/>
        <v>Saudiarabien</v>
      </c>
      <c r="GK61" s="9" t="str">
        <f t="shared" si="413"/>
        <v>Iran</v>
      </c>
      <c r="GL61" s="9" t="str">
        <f t="shared" si="413"/>
        <v>Qatar</v>
      </c>
      <c r="GM61" s="9" t="str">
        <f t="shared" si="413"/>
        <v>Australien</v>
      </c>
      <c r="GN61" s="9" t="str">
        <f t="shared" si="413"/>
        <v>Irak</v>
      </c>
      <c r="GO61" s="9" t="str">
        <f t="shared" si="413"/>
        <v>Sverige</v>
      </c>
      <c r="GP61" s="9" t="str">
        <f t="shared" si="413"/>
        <v>Ghana</v>
      </c>
      <c r="GQ61" s="9" t="str">
        <f t="shared" si="413"/>
        <v>Uzbekistan</v>
      </c>
      <c r="GR61" s="9" t="str">
        <f t="shared" si="75"/>
        <v/>
      </c>
      <c r="GX61" s="79"/>
    </row>
    <row r="62" spans="2:206" ht="14.25" customHeight="1" x14ac:dyDescent="0.25">
      <c r="B62" s="58">
        <v>63</v>
      </c>
      <c r="C62" s="59">
        <v>46200</v>
      </c>
      <c r="D62" s="60" t="s">
        <v>116</v>
      </c>
      <c r="E62" s="61" t="s">
        <v>66</v>
      </c>
      <c r="F62" s="62" t="s">
        <v>117</v>
      </c>
      <c r="G62" s="63"/>
      <c r="H62" s="64" t="s">
        <v>66</v>
      </c>
      <c r="I62" s="63"/>
      <c r="J62" s="65" t="str">
        <f t="shared" si="461"/>
        <v/>
      </c>
      <c r="K62" s="66">
        <f>IF(OR(G62="",I62="",'[1]Resultat &amp; tabell'!G62="",'[1]Resultat &amp; tabell'!I62=""),0,IF(G62='[1]Resultat &amp; tabell'!G62,2,0)+IF(I62='[1]Resultat &amp; tabell'!I62,2,0)+IF(J62='[1]Resultat &amp; tabell'!J62,2,0))</f>
        <v>0</v>
      </c>
      <c r="L62" s="67"/>
      <c r="M62" s="29">
        <f t="shared" si="414"/>
        <v>1</v>
      </c>
      <c r="O62" s="92" t="str">
        <f>IF(COUNTBLANK(G58:G63)+COUNTBLANK(I58:I63)=0,"Resultat OK","Fyll i resultat")</f>
        <v>Fyll i resultat</v>
      </c>
      <c r="P62" s="92"/>
      <c r="Q62" s="92"/>
      <c r="R62" s="92"/>
      <c r="S62" s="92"/>
      <c r="T62" s="92"/>
      <c r="U62" s="92"/>
      <c r="V62" s="3"/>
      <c r="X62" s="1"/>
      <c r="AE62" s="72">
        <f t="shared" si="415"/>
        <v>46200</v>
      </c>
      <c r="AF62" s="72" t="str">
        <f t="shared" si="415"/>
        <v>Egypten</v>
      </c>
      <c r="AG62" s="72" t="str">
        <f t="shared" si="415"/>
        <v>-</v>
      </c>
      <c r="AH62" s="72" t="str">
        <f t="shared" si="415"/>
        <v>Iran</v>
      </c>
      <c r="AI62" s="63" t="str">
        <f t="shared" si="416"/>
        <v/>
      </c>
      <c r="AJ62" s="58" t="str">
        <f t="shared" si="417"/>
        <v>-</v>
      </c>
      <c r="AK62" s="63" t="str">
        <f t="shared" si="418"/>
        <v/>
      </c>
      <c r="AL62" s="65" t="str">
        <f t="shared" si="419"/>
        <v/>
      </c>
      <c r="AM62" s="73"/>
      <c r="AN62" s="13">
        <f t="shared" si="420"/>
        <v>0</v>
      </c>
      <c r="AO62" s="13">
        <f t="shared" si="421"/>
        <v>0</v>
      </c>
      <c r="AP62" s="13">
        <f t="shared" si="422"/>
        <v>0</v>
      </c>
      <c r="AQ62" s="13">
        <f t="shared" si="423"/>
        <v>0</v>
      </c>
      <c r="AR62" s="13">
        <f t="shared" si="424"/>
        <v>0</v>
      </c>
      <c r="AS62" s="13">
        <f t="shared" si="425"/>
        <v>0</v>
      </c>
      <c r="AT62" s="13">
        <f t="shared" si="426"/>
        <v>0</v>
      </c>
      <c r="AU62" s="13">
        <f t="shared" si="427"/>
        <v>0</v>
      </c>
      <c r="AV62" s="13">
        <f t="shared" si="428"/>
        <v>0</v>
      </c>
      <c r="AW62" s="13">
        <f t="shared" si="429"/>
        <v>0</v>
      </c>
      <c r="AX62" s="13">
        <f t="shared" si="430"/>
        <v>0</v>
      </c>
      <c r="AY62" s="13">
        <f t="shared" si="431"/>
        <v>0</v>
      </c>
      <c r="AZ62" s="13">
        <f t="shared" si="432"/>
        <v>0</v>
      </c>
      <c r="BA62" s="13">
        <f t="shared" si="433"/>
        <v>0</v>
      </c>
      <c r="BB62" s="13">
        <f t="shared" si="434"/>
        <v>0</v>
      </c>
      <c r="BC62" s="13">
        <f t="shared" si="435"/>
        <v>0</v>
      </c>
      <c r="BD62" s="13">
        <f t="shared" si="436"/>
        <v>0</v>
      </c>
      <c r="BE62" s="13">
        <f t="shared" si="437"/>
        <v>0</v>
      </c>
      <c r="BF62" s="13">
        <f t="shared" si="438"/>
        <v>0</v>
      </c>
      <c r="BG62" s="13">
        <f t="shared" si="439"/>
        <v>0</v>
      </c>
      <c r="BH62" s="13">
        <f t="shared" si="440"/>
        <v>0</v>
      </c>
      <c r="BI62" s="13">
        <f t="shared" si="441"/>
        <v>0</v>
      </c>
      <c r="BJ62" s="13">
        <f t="shared" si="442"/>
        <v>0</v>
      </c>
      <c r="BK62" s="13">
        <f t="shared" si="443"/>
        <v>0</v>
      </c>
      <c r="BL62" s="13">
        <f t="shared" si="444"/>
        <v>0</v>
      </c>
      <c r="BM62" s="13">
        <f t="shared" si="445"/>
        <v>0</v>
      </c>
      <c r="BN62" s="13">
        <f t="shared" si="446"/>
        <v>0</v>
      </c>
      <c r="BO62" s="13">
        <f t="shared" si="447"/>
        <v>0</v>
      </c>
      <c r="BP62" s="13">
        <f t="shared" si="448"/>
        <v>0</v>
      </c>
      <c r="BQ62" s="13">
        <f t="shared" si="449"/>
        <v>0</v>
      </c>
      <c r="BR62" s="137"/>
      <c r="BS62" s="138"/>
      <c r="BT62" s="137"/>
      <c r="BU62" s="139"/>
      <c r="BV62" s="105"/>
      <c r="BW62" s="139"/>
      <c r="BX62" s="105"/>
      <c r="FZ62" s="79">
        <v>60</v>
      </c>
      <c r="GA62" s="3" t="str">
        <f t="shared" si="72"/>
        <v>HGBDJFLI</v>
      </c>
      <c r="GB62" s="3" t="s">
        <v>70</v>
      </c>
      <c r="GC62" s="3" t="s">
        <v>60</v>
      </c>
      <c r="GD62" s="3" t="s">
        <v>57</v>
      </c>
      <c r="GE62" s="3" t="s">
        <v>58</v>
      </c>
      <c r="GF62" s="3" t="s">
        <v>69</v>
      </c>
      <c r="GG62" s="3" t="s">
        <v>21</v>
      </c>
      <c r="GH62" s="3" t="s">
        <v>63</v>
      </c>
      <c r="GI62" s="3" t="s">
        <v>61</v>
      </c>
      <c r="GJ62" s="9" t="str">
        <f t="shared" si="413"/>
        <v>Saudiarabien</v>
      </c>
      <c r="GK62" s="9" t="str">
        <f t="shared" si="413"/>
        <v>Iran</v>
      </c>
      <c r="GL62" s="9" t="str">
        <f t="shared" si="413"/>
        <v>Qatar</v>
      </c>
      <c r="GM62" s="9" t="str">
        <f t="shared" si="413"/>
        <v>Australien</v>
      </c>
      <c r="GN62" s="9" t="str">
        <f t="shared" si="413"/>
        <v>Österrike</v>
      </c>
      <c r="GO62" s="9" t="str">
        <f t="shared" si="413"/>
        <v>Sverige</v>
      </c>
      <c r="GP62" s="9" t="str">
        <f t="shared" si="413"/>
        <v>Ghana</v>
      </c>
      <c r="GQ62" s="9" t="str">
        <f t="shared" si="413"/>
        <v>Irak</v>
      </c>
      <c r="GR62" s="9" t="str">
        <f t="shared" si="75"/>
        <v/>
      </c>
      <c r="GX62" s="79"/>
    </row>
    <row r="63" spans="2:206" ht="14.25" customHeight="1" x14ac:dyDescent="0.25">
      <c r="B63" s="58">
        <v>64</v>
      </c>
      <c r="C63" s="59">
        <v>46200</v>
      </c>
      <c r="D63" s="60" t="s">
        <v>118</v>
      </c>
      <c r="E63" s="61" t="s">
        <v>66</v>
      </c>
      <c r="F63" s="62" t="s">
        <v>115</v>
      </c>
      <c r="G63" s="63"/>
      <c r="H63" s="64" t="s">
        <v>66</v>
      </c>
      <c r="I63" s="63"/>
      <c r="J63" s="65" t="str">
        <f t="shared" si="461"/>
        <v/>
      </c>
      <c r="K63" s="66">
        <f>IF(OR(G63="",I63="",'[1]Resultat &amp; tabell'!G63="",'[1]Resultat &amp; tabell'!I63=""),0,IF(G63='[1]Resultat &amp; tabell'!G63,2,0)+IF(I63='[1]Resultat &amp; tabell'!I63,2,0)+IF(J63='[1]Resultat &amp; tabell'!J63,2,0))</f>
        <v>0</v>
      </c>
      <c r="L63" s="67"/>
      <c r="M63" s="29">
        <f t="shared" si="414"/>
        <v>1</v>
      </c>
      <c r="V63" s="3"/>
      <c r="X63" s="1"/>
      <c r="AE63" s="72">
        <f t="shared" si="415"/>
        <v>46200</v>
      </c>
      <c r="AF63" s="72" t="str">
        <f t="shared" si="415"/>
        <v>Nya Zeeland</v>
      </c>
      <c r="AG63" s="72" t="str">
        <f t="shared" si="415"/>
        <v>-</v>
      </c>
      <c r="AH63" s="72" t="str">
        <f t="shared" si="415"/>
        <v>Belgien</v>
      </c>
      <c r="AI63" s="63" t="str">
        <f t="shared" si="416"/>
        <v/>
      </c>
      <c r="AJ63" s="58" t="str">
        <f t="shared" si="417"/>
        <v>-</v>
      </c>
      <c r="AK63" s="63" t="str">
        <f t="shared" si="418"/>
        <v/>
      </c>
      <c r="AL63" s="65" t="str">
        <f t="shared" si="419"/>
        <v/>
      </c>
      <c r="AM63" s="73"/>
      <c r="AN63" s="13">
        <f t="shared" si="420"/>
        <v>0</v>
      </c>
      <c r="AO63" s="13">
        <f t="shared" si="421"/>
        <v>0</v>
      </c>
      <c r="AP63" s="13">
        <f t="shared" si="422"/>
        <v>0</v>
      </c>
      <c r="AQ63" s="13">
        <f t="shared" si="423"/>
        <v>0</v>
      </c>
      <c r="AR63" s="13">
        <f t="shared" si="424"/>
        <v>0</v>
      </c>
      <c r="AS63" s="13">
        <f t="shared" si="425"/>
        <v>0</v>
      </c>
      <c r="AT63" s="13">
        <f t="shared" si="426"/>
        <v>0</v>
      </c>
      <c r="AU63" s="13">
        <f t="shared" si="427"/>
        <v>0</v>
      </c>
      <c r="AV63" s="13">
        <f t="shared" si="428"/>
        <v>0</v>
      </c>
      <c r="AW63" s="13">
        <f t="shared" si="429"/>
        <v>0</v>
      </c>
      <c r="AX63" s="13">
        <f t="shared" si="430"/>
        <v>0</v>
      </c>
      <c r="AY63" s="13">
        <f t="shared" si="431"/>
        <v>0</v>
      </c>
      <c r="AZ63" s="13">
        <f t="shared" si="432"/>
        <v>0</v>
      </c>
      <c r="BA63" s="13">
        <f t="shared" si="433"/>
        <v>0</v>
      </c>
      <c r="BB63" s="13">
        <f t="shared" si="434"/>
        <v>0</v>
      </c>
      <c r="BC63" s="13">
        <f t="shared" si="435"/>
        <v>0</v>
      </c>
      <c r="BD63" s="13">
        <f t="shared" si="436"/>
        <v>0</v>
      </c>
      <c r="BE63" s="13">
        <f t="shared" si="437"/>
        <v>0</v>
      </c>
      <c r="BF63" s="13">
        <f t="shared" si="438"/>
        <v>0</v>
      </c>
      <c r="BG63" s="13">
        <f t="shared" si="439"/>
        <v>0</v>
      </c>
      <c r="BH63" s="13">
        <f t="shared" si="440"/>
        <v>0</v>
      </c>
      <c r="BI63" s="13">
        <f t="shared" si="441"/>
        <v>0</v>
      </c>
      <c r="BJ63" s="13">
        <f t="shared" si="442"/>
        <v>0</v>
      </c>
      <c r="BK63" s="13">
        <f t="shared" si="443"/>
        <v>0</v>
      </c>
      <c r="BL63" s="13">
        <f t="shared" si="444"/>
        <v>0</v>
      </c>
      <c r="BM63" s="13">
        <f t="shared" si="445"/>
        <v>0</v>
      </c>
      <c r="BN63" s="13">
        <f t="shared" si="446"/>
        <v>0</v>
      </c>
      <c r="BO63" s="13">
        <f t="shared" si="447"/>
        <v>0</v>
      </c>
      <c r="BP63" s="13">
        <f t="shared" si="448"/>
        <v>0</v>
      </c>
      <c r="BQ63" s="13">
        <f t="shared" si="449"/>
        <v>0</v>
      </c>
      <c r="BR63" s="137"/>
      <c r="BS63" s="138"/>
      <c r="BT63" s="137"/>
      <c r="BU63" s="139"/>
      <c r="BV63" s="105"/>
      <c r="BW63" s="139"/>
      <c r="BX63" s="105"/>
      <c r="FZ63" s="79">
        <v>61</v>
      </c>
      <c r="GA63" s="3" t="str">
        <f t="shared" si="72"/>
        <v>HGBDJFIK</v>
      </c>
      <c r="GB63" s="3" t="s">
        <v>70</v>
      </c>
      <c r="GC63" s="3" t="s">
        <v>60</v>
      </c>
      <c r="GD63" s="3" t="s">
        <v>57</v>
      </c>
      <c r="GE63" s="3" t="s">
        <v>58</v>
      </c>
      <c r="GF63" s="3" t="s">
        <v>69</v>
      </c>
      <c r="GG63" s="3" t="s">
        <v>21</v>
      </c>
      <c r="GH63" s="3" t="s">
        <v>61</v>
      </c>
      <c r="GI63" s="3" t="s">
        <v>62</v>
      </c>
      <c r="GJ63" s="9" t="str">
        <f t="shared" si="413"/>
        <v>Saudiarabien</v>
      </c>
      <c r="GK63" s="9" t="str">
        <f t="shared" si="413"/>
        <v>Iran</v>
      </c>
      <c r="GL63" s="9" t="str">
        <f t="shared" si="413"/>
        <v>Qatar</v>
      </c>
      <c r="GM63" s="9" t="str">
        <f t="shared" si="413"/>
        <v>Australien</v>
      </c>
      <c r="GN63" s="9" t="str">
        <f t="shared" si="413"/>
        <v>Österrike</v>
      </c>
      <c r="GO63" s="9" t="str">
        <f t="shared" si="413"/>
        <v>Sverige</v>
      </c>
      <c r="GP63" s="9" t="str">
        <f t="shared" si="413"/>
        <v>Irak</v>
      </c>
      <c r="GQ63" s="9" t="str">
        <f t="shared" si="413"/>
        <v>Uzbekistan</v>
      </c>
      <c r="GR63" s="9" t="str">
        <f t="shared" si="75"/>
        <v/>
      </c>
      <c r="GX63" s="79"/>
    </row>
    <row r="64" spans="2:206" ht="14.25" customHeight="1" x14ac:dyDescent="0.25">
      <c r="C64" s="94"/>
      <c r="F64" s="98"/>
      <c r="J64" s="23"/>
      <c r="K64" s="16"/>
      <c r="L64" s="49"/>
      <c r="V64" s="3"/>
      <c r="X64" s="1"/>
      <c r="AE64" s="94"/>
      <c r="AF64" s="95"/>
      <c r="AG64" s="3"/>
      <c r="AH64" s="98"/>
      <c r="AL64" s="23"/>
      <c r="AM64" s="16"/>
      <c r="BP64" s="140"/>
      <c r="BQ64" s="141"/>
      <c r="BR64" s="137"/>
      <c r="BS64" s="138"/>
      <c r="BT64" s="137"/>
      <c r="BU64" s="139"/>
      <c r="BV64" s="105"/>
      <c r="BW64" s="139"/>
      <c r="BX64" s="105"/>
      <c r="FZ64" s="79">
        <v>62</v>
      </c>
      <c r="GA64" s="3" t="str">
        <f t="shared" si="72"/>
        <v>EJBDIHLK</v>
      </c>
      <c r="GB64" s="3" t="s">
        <v>59</v>
      </c>
      <c r="GC64" s="3" t="s">
        <v>69</v>
      </c>
      <c r="GD64" s="3" t="s">
        <v>57</v>
      </c>
      <c r="GE64" s="3" t="s">
        <v>58</v>
      </c>
      <c r="GF64" s="3" t="s">
        <v>61</v>
      </c>
      <c r="GG64" s="3" t="s">
        <v>70</v>
      </c>
      <c r="GH64" s="3" t="s">
        <v>63</v>
      </c>
      <c r="GI64" s="3" t="s">
        <v>62</v>
      </c>
      <c r="GJ64" s="9" t="str">
        <f t="shared" si="413"/>
        <v>Elfenbenskusten</v>
      </c>
      <c r="GK64" s="9" t="str">
        <f t="shared" si="413"/>
        <v>Österrike</v>
      </c>
      <c r="GL64" s="9" t="str">
        <f t="shared" si="413"/>
        <v>Qatar</v>
      </c>
      <c r="GM64" s="9" t="str">
        <f t="shared" si="413"/>
        <v>Australien</v>
      </c>
      <c r="GN64" s="9" t="str">
        <f t="shared" si="413"/>
        <v>Irak</v>
      </c>
      <c r="GO64" s="9" t="str">
        <f t="shared" si="413"/>
        <v>Saudiarabien</v>
      </c>
      <c r="GP64" s="9" t="str">
        <f t="shared" si="413"/>
        <v>Ghana</v>
      </c>
      <c r="GQ64" s="9" t="str">
        <f t="shared" si="413"/>
        <v>Uzbekistan</v>
      </c>
      <c r="GR64" s="9" t="str">
        <f t="shared" si="75"/>
        <v/>
      </c>
      <c r="GX64" s="79"/>
    </row>
    <row r="65" spans="2:206" s="104" customFormat="1" ht="14.25" customHeight="1" x14ac:dyDescent="0.25">
      <c r="B65" s="19" t="s">
        <v>119</v>
      </c>
      <c r="C65" s="97"/>
      <c r="D65" s="126"/>
      <c r="E65" s="33"/>
      <c r="F65" s="126"/>
      <c r="G65" s="25"/>
      <c r="H65" s="25"/>
      <c r="I65" s="25"/>
      <c r="J65" s="23"/>
      <c r="K65" s="16"/>
      <c r="L65" s="49"/>
      <c r="M65" s="103"/>
      <c r="N65" s="103"/>
      <c r="O65" s="19" t="s">
        <v>119</v>
      </c>
      <c r="V65" s="33"/>
      <c r="X65" s="19"/>
      <c r="Y65" s="33"/>
      <c r="Z65" s="33"/>
      <c r="AA65" s="33"/>
      <c r="AB65" s="132"/>
      <c r="AC65" s="133"/>
      <c r="AE65" s="19" t="s">
        <v>119</v>
      </c>
      <c r="AF65" s="126"/>
      <c r="AG65" s="33"/>
      <c r="AH65" s="126"/>
      <c r="AI65" s="33"/>
      <c r="AJ65" s="33"/>
      <c r="AK65" s="33"/>
      <c r="AL65" s="23"/>
      <c r="AM65" s="16"/>
      <c r="AN65" s="2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40"/>
      <c r="BQ65" s="141"/>
      <c r="BR65" s="137"/>
      <c r="BS65" s="138"/>
      <c r="BT65" s="39" t="s">
        <v>4</v>
      </c>
      <c r="BU65" s="34"/>
      <c r="BV65" s="34"/>
      <c r="BW65" s="34"/>
      <c r="BX65" s="34"/>
      <c r="BY65" s="34"/>
      <c r="BZ65" s="34"/>
      <c r="CA65" s="34"/>
      <c r="CB65" s="39"/>
      <c r="CC65" s="34"/>
      <c r="CD65" s="34"/>
      <c r="CE65" s="12"/>
      <c r="CF65" s="40" t="s">
        <v>5</v>
      </c>
      <c r="CG65" s="35">
        <f>COUNTIF(CC67:CC70,1)</f>
        <v>4</v>
      </c>
      <c r="CH65" s="35"/>
      <c r="CI65" s="35"/>
      <c r="CJ65" s="35"/>
      <c r="CK65" s="35"/>
      <c r="CL65" s="35"/>
      <c r="CM65" s="35"/>
      <c r="CN65" s="35"/>
      <c r="CO65" s="35"/>
      <c r="CP65" s="35"/>
      <c r="CQ65" s="13"/>
      <c r="CR65" s="13"/>
      <c r="CS65" s="13"/>
      <c r="CT65" s="13"/>
      <c r="CU65" s="13"/>
      <c r="CV65" s="13"/>
      <c r="CW65" s="13"/>
      <c r="CX65" s="13"/>
      <c r="CY65" s="12"/>
      <c r="CZ65" s="41" t="s">
        <v>8</v>
      </c>
      <c r="DA65" s="36">
        <f>COUNTIF(CC67:CC70,2)</f>
        <v>0</v>
      </c>
      <c r="DB65" s="36"/>
      <c r="DC65" s="36"/>
      <c r="DD65" s="36"/>
      <c r="DE65" s="36"/>
      <c r="DF65" s="36"/>
      <c r="DG65" s="36"/>
      <c r="DH65" s="36"/>
      <c r="DI65" s="36"/>
      <c r="DJ65" s="41"/>
      <c r="DK65" s="12"/>
      <c r="DL65" s="12"/>
      <c r="DM65" s="12"/>
      <c r="DN65" s="12"/>
      <c r="DO65" s="12"/>
      <c r="DP65" s="12"/>
      <c r="DQ65" s="12"/>
      <c r="DR65" s="12"/>
      <c r="DS65" s="12"/>
      <c r="DT65" s="37" t="s">
        <v>6</v>
      </c>
      <c r="DU65" s="37">
        <f>COUNTIF(CC67:CC70,3)</f>
        <v>0</v>
      </c>
      <c r="DV65" s="37"/>
      <c r="DW65" s="37"/>
      <c r="DX65" s="37"/>
      <c r="DY65" s="37"/>
      <c r="DZ65" s="37"/>
      <c r="EA65" s="37"/>
      <c r="EB65" s="37"/>
      <c r="EC65" s="37"/>
      <c r="ED65" s="37"/>
      <c r="EE65" s="13"/>
      <c r="EF65" s="13"/>
      <c r="EG65" s="13"/>
      <c r="EH65" s="13"/>
      <c r="EI65" s="13"/>
      <c r="EJ65" s="13"/>
      <c r="EK65" s="13"/>
      <c r="EL65" s="13"/>
      <c r="EM65" s="12"/>
      <c r="EN65" s="38" t="s">
        <v>7</v>
      </c>
      <c r="EO65" s="38">
        <f>COUNTIF(CC67:CC70,4)</f>
        <v>0</v>
      </c>
      <c r="EP65" s="38"/>
      <c r="EQ65" s="38"/>
      <c r="ER65" s="38"/>
      <c r="ES65" s="38"/>
      <c r="ET65" s="38"/>
      <c r="EU65" s="38"/>
      <c r="EV65" s="38"/>
      <c r="EW65" s="38"/>
      <c r="EX65" s="38"/>
      <c r="EY65" s="13"/>
      <c r="EZ65" s="13"/>
      <c r="FA65" s="13"/>
      <c r="FB65" s="13"/>
      <c r="FC65" s="13"/>
      <c r="FD65" s="13"/>
      <c r="FE65" s="13"/>
      <c r="FF65" s="13"/>
      <c r="FG65" s="12"/>
      <c r="FH65" s="13"/>
      <c r="FI65" s="13"/>
      <c r="FJ65" s="12"/>
      <c r="FZ65" s="79">
        <v>63</v>
      </c>
      <c r="GA65" s="3" t="str">
        <f t="shared" si="72"/>
        <v>EJBDIGLK</v>
      </c>
      <c r="GB65" s="3" t="s">
        <v>59</v>
      </c>
      <c r="GC65" s="3" t="s">
        <v>69</v>
      </c>
      <c r="GD65" s="3" t="s">
        <v>57</v>
      </c>
      <c r="GE65" s="3" t="s">
        <v>58</v>
      </c>
      <c r="GF65" s="3" t="s">
        <v>61</v>
      </c>
      <c r="GG65" s="3" t="s">
        <v>60</v>
      </c>
      <c r="GH65" s="3" t="s">
        <v>63</v>
      </c>
      <c r="GI65" s="3" t="s">
        <v>62</v>
      </c>
      <c r="GJ65" s="9" t="str">
        <f t="shared" si="413"/>
        <v>Elfenbenskusten</v>
      </c>
      <c r="GK65" s="9" t="str">
        <f t="shared" si="413"/>
        <v>Österrike</v>
      </c>
      <c r="GL65" s="9" t="str">
        <f t="shared" si="413"/>
        <v>Qatar</v>
      </c>
      <c r="GM65" s="9" t="str">
        <f t="shared" si="413"/>
        <v>Australien</v>
      </c>
      <c r="GN65" s="9" t="str">
        <f t="shared" si="413"/>
        <v>Irak</v>
      </c>
      <c r="GO65" s="9" t="str">
        <f t="shared" si="413"/>
        <v>Iran</v>
      </c>
      <c r="GP65" s="9" t="str">
        <f t="shared" si="413"/>
        <v>Ghana</v>
      </c>
      <c r="GQ65" s="9" t="str">
        <f t="shared" si="413"/>
        <v>Uzbekistan</v>
      </c>
      <c r="GR65" s="9" t="str">
        <f t="shared" si="75"/>
        <v/>
      </c>
      <c r="GX65" s="23"/>
    </row>
    <row r="66" spans="2:206" s="104" customFormat="1" ht="14.25" customHeight="1" x14ac:dyDescent="0.25">
      <c r="B66" s="117" t="s">
        <v>12</v>
      </c>
      <c r="C66" s="107" t="s">
        <v>13</v>
      </c>
      <c r="D66" s="181" t="s">
        <v>12</v>
      </c>
      <c r="E66" s="182"/>
      <c r="F66" s="183"/>
      <c r="G66" s="184" t="s">
        <v>14</v>
      </c>
      <c r="H66" s="184"/>
      <c r="I66" s="184"/>
      <c r="J66" s="47" t="s">
        <v>15</v>
      </c>
      <c r="K66" s="48" t="s">
        <v>16</v>
      </c>
      <c r="L66" s="49"/>
      <c r="M66" s="103"/>
      <c r="N66" s="103"/>
      <c r="O66" s="51" t="s">
        <v>18</v>
      </c>
      <c r="P66" s="52" t="s">
        <v>19</v>
      </c>
      <c r="Q66" s="52" t="s">
        <v>20</v>
      </c>
      <c r="R66" s="52" t="s">
        <v>21</v>
      </c>
      <c r="S66" s="52" t="s">
        <v>22</v>
      </c>
      <c r="T66" s="52" t="s">
        <v>23</v>
      </c>
      <c r="U66" s="52" t="s">
        <v>24</v>
      </c>
      <c r="V66" s="53" t="s">
        <v>25</v>
      </c>
      <c r="X66" s="1"/>
      <c r="Y66" s="33"/>
      <c r="Z66" s="33"/>
      <c r="AA66" s="33"/>
      <c r="AB66" s="132"/>
      <c r="AC66" s="133"/>
      <c r="AE66" s="107" t="s">
        <v>13</v>
      </c>
      <c r="AF66" s="181" t="s">
        <v>12</v>
      </c>
      <c r="AG66" s="182"/>
      <c r="AH66" s="183"/>
      <c r="AI66" s="182" t="s">
        <v>14</v>
      </c>
      <c r="AJ66" s="182"/>
      <c r="AK66" s="182"/>
      <c r="AL66" s="47" t="s">
        <v>28</v>
      </c>
      <c r="AM66" s="16"/>
      <c r="AN66" s="34" t="s">
        <v>29</v>
      </c>
      <c r="AO66" s="34" t="s">
        <v>30</v>
      </c>
      <c r="AP66" s="34" t="s">
        <v>31</v>
      </c>
      <c r="AQ66" s="34" t="s">
        <v>32</v>
      </c>
      <c r="AR66" s="34" t="s">
        <v>33</v>
      </c>
      <c r="AS66" s="34" t="s">
        <v>34</v>
      </c>
      <c r="AT66" s="35" t="s">
        <v>29</v>
      </c>
      <c r="AU66" s="35" t="s">
        <v>30</v>
      </c>
      <c r="AV66" s="35" t="s">
        <v>31</v>
      </c>
      <c r="AW66" s="35" t="s">
        <v>32</v>
      </c>
      <c r="AX66" s="35" t="s">
        <v>33</v>
      </c>
      <c r="AY66" s="35" t="s">
        <v>34</v>
      </c>
      <c r="AZ66" s="36" t="s">
        <v>29</v>
      </c>
      <c r="BA66" s="36" t="s">
        <v>30</v>
      </c>
      <c r="BB66" s="36" t="s">
        <v>31</v>
      </c>
      <c r="BC66" s="36" t="s">
        <v>32</v>
      </c>
      <c r="BD66" s="36" t="s">
        <v>33</v>
      </c>
      <c r="BE66" s="36" t="s">
        <v>34</v>
      </c>
      <c r="BF66" s="37" t="s">
        <v>29</v>
      </c>
      <c r="BG66" s="37" t="s">
        <v>30</v>
      </c>
      <c r="BH66" s="37" t="s">
        <v>31</v>
      </c>
      <c r="BI66" s="37" t="s">
        <v>32</v>
      </c>
      <c r="BJ66" s="37" t="s">
        <v>33</v>
      </c>
      <c r="BK66" s="37" t="s">
        <v>34</v>
      </c>
      <c r="BL66" s="38" t="s">
        <v>29</v>
      </c>
      <c r="BM66" s="38" t="s">
        <v>30</v>
      </c>
      <c r="BN66" s="38" t="s">
        <v>31</v>
      </c>
      <c r="BO66" s="38" t="s">
        <v>32</v>
      </c>
      <c r="BP66" s="38" t="s">
        <v>33</v>
      </c>
      <c r="BQ66" s="38" t="s">
        <v>34</v>
      </c>
      <c r="BR66" s="137"/>
      <c r="BS66" s="138"/>
      <c r="BT66" s="39" t="s">
        <v>18</v>
      </c>
      <c r="BU66" s="34" t="s">
        <v>19</v>
      </c>
      <c r="BV66" s="34" t="s">
        <v>20</v>
      </c>
      <c r="BW66" s="34" t="s">
        <v>21</v>
      </c>
      <c r="BX66" s="34" t="s">
        <v>22</v>
      </c>
      <c r="BY66" s="34" t="s">
        <v>23</v>
      </c>
      <c r="BZ66" s="34" t="s">
        <v>24</v>
      </c>
      <c r="CA66" s="34" t="s">
        <v>25</v>
      </c>
      <c r="CB66" s="39" t="s">
        <v>35</v>
      </c>
      <c r="CC66" s="34" t="s">
        <v>36</v>
      </c>
      <c r="CD66" s="34" t="s">
        <v>37</v>
      </c>
      <c r="CE66" s="12"/>
      <c r="CF66" s="40" t="s">
        <v>18</v>
      </c>
      <c r="CG66" s="35" t="s">
        <v>19</v>
      </c>
      <c r="CH66" s="35" t="s">
        <v>20</v>
      </c>
      <c r="CI66" s="35" t="s">
        <v>21</v>
      </c>
      <c r="CJ66" s="35" t="s">
        <v>25</v>
      </c>
      <c r="CK66" s="35" t="s">
        <v>35</v>
      </c>
      <c r="CL66" s="35" t="s">
        <v>36</v>
      </c>
      <c r="CM66" s="56" t="s">
        <v>24</v>
      </c>
      <c r="CN66" s="56" t="s">
        <v>38</v>
      </c>
      <c r="CO66" s="56" t="s">
        <v>22</v>
      </c>
      <c r="CP66" s="56" t="s">
        <v>39</v>
      </c>
      <c r="CQ66" s="35" t="s">
        <v>40</v>
      </c>
      <c r="CR66" s="56" t="s">
        <v>41</v>
      </c>
      <c r="CS66" s="56" t="s">
        <v>42</v>
      </c>
      <c r="CT66" s="56" t="s">
        <v>43</v>
      </c>
      <c r="CU66" s="56" t="s">
        <v>44</v>
      </c>
      <c r="CV66" s="56" t="s">
        <v>45</v>
      </c>
      <c r="CW66" s="56" t="s">
        <v>46</v>
      </c>
      <c r="CX66" s="35" t="s">
        <v>47</v>
      </c>
      <c r="CY66" s="12"/>
      <c r="CZ66" s="41" t="s">
        <v>18</v>
      </c>
      <c r="DA66" s="36" t="s">
        <v>19</v>
      </c>
      <c r="DB66" s="36" t="s">
        <v>20</v>
      </c>
      <c r="DC66" s="36" t="s">
        <v>21</v>
      </c>
      <c r="DD66" s="36" t="s">
        <v>25</v>
      </c>
      <c r="DE66" s="36" t="s">
        <v>35</v>
      </c>
      <c r="DF66" s="36" t="s">
        <v>36</v>
      </c>
      <c r="DG66" s="36" t="s">
        <v>24</v>
      </c>
      <c r="DH66" s="36" t="s">
        <v>38</v>
      </c>
      <c r="DI66" s="36" t="s">
        <v>22</v>
      </c>
      <c r="DJ66" s="41" t="s">
        <v>39</v>
      </c>
      <c r="DK66" s="41" t="s">
        <v>40</v>
      </c>
      <c r="DL66" s="41" t="s">
        <v>41</v>
      </c>
      <c r="DM66" s="41" t="s">
        <v>42</v>
      </c>
      <c r="DN66" s="41" t="s">
        <v>43</v>
      </c>
      <c r="DO66" s="41" t="s">
        <v>44</v>
      </c>
      <c r="DP66" s="41" t="s">
        <v>45</v>
      </c>
      <c r="DQ66" s="41" t="s">
        <v>46</v>
      </c>
      <c r="DR66" s="41" t="s">
        <v>47</v>
      </c>
      <c r="DS66" s="12"/>
      <c r="DT66" s="37" t="s">
        <v>18</v>
      </c>
      <c r="DU66" s="37" t="s">
        <v>19</v>
      </c>
      <c r="DV66" s="37" t="s">
        <v>20</v>
      </c>
      <c r="DW66" s="37" t="s">
        <v>21</v>
      </c>
      <c r="DX66" s="37" t="s">
        <v>25</v>
      </c>
      <c r="DY66" s="37" t="s">
        <v>35</v>
      </c>
      <c r="DZ66" s="37" t="s">
        <v>36</v>
      </c>
      <c r="EA66" s="37" t="s">
        <v>24</v>
      </c>
      <c r="EB66" s="37" t="s">
        <v>38</v>
      </c>
      <c r="EC66" s="37" t="s">
        <v>22</v>
      </c>
      <c r="ED66" s="37" t="s">
        <v>39</v>
      </c>
      <c r="EE66" s="37" t="s">
        <v>40</v>
      </c>
      <c r="EF66" s="37" t="s">
        <v>41</v>
      </c>
      <c r="EG66" s="37" t="s">
        <v>42</v>
      </c>
      <c r="EH66" s="37" t="s">
        <v>43</v>
      </c>
      <c r="EI66" s="37" t="s">
        <v>44</v>
      </c>
      <c r="EJ66" s="37" t="s">
        <v>45</v>
      </c>
      <c r="EK66" s="37" t="s">
        <v>46</v>
      </c>
      <c r="EL66" s="37" t="s">
        <v>47</v>
      </c>
      <c r="EM66" s="12"/>
      <c r="EN66" s="38" t="s">
        <v>18</v>
      </c>
      <c r="EO66" s="38" t="s">
        <v>19</v>
      </c>
      <c r="EP66" s="38" t="s">
        <v>20</v>
      </c>
      <c r="EQ66" s="38" t="s">
        <v>21</v>
      </c>
      <c r="ER66" s="38" t="s">
        <v>25</v>
      </c>
      <c r="ES66" s="38" t="s">
        <v>35</v>
      </c>
      <c r="ET66" s="38" t="s">
        <v>36</v>
      </c>
      <c r="EU66" s="38" t="s">
        <v>24</v>
      </c>
      <c r="EV66" s="38" t="s">
        <v>38</v>
      </c>
      <c r="EW66" s="38" t="s">
        <v>22</v>
      </c>
      <c r="EX66" s="38" t="s">
        <v>39</v>
      </c>
      <c r="EY66" s="38" t="s">
        <v>40</v>
      </c>
      <c r="EZ66" s="38" t="s">
        <v>41</v>
      </c>
      <c r="FA66" s="38" t="s">
        <v>42</v>
      </c>
      <c r="FB66" s="38" t="s">
        <v>43</v>
      </c>
      <c r="FC66" s="38" t="s">
        <v>44</v>
      </c>
      <c r="FD66" s="38" t="s">
        <v>45</v>
      </c>
      <c r="FE66" s="38" t="s">
        <v>46</v>
      </c>
      <c r="FF66" s="38" t="s">
        <v>47</v>
      </c>
      <c r="FG66" s="12"/>
      <c r="FH66" s="38" t="s">
        <v>48</v>
      </c>
      <c r="FI66" s="38" t="s">
        <v>49</v>
      </c>
      <c r="FJ66" s="12"/>
      <c r="FZ66" s="79">
        <v>64</v>
      </c>
      <c r="GA66" s="3" t="str">
        <f t="shared" si="72"/>
        <v>EJBDHGLK</v>
      </c>
      <c r="GB66" s="3" t="s">
        <v>59</v>
      </c>
      <c r="GC66" s="3" t="s">
        <v>69</v>
      </c>
      <c r="GD66" s="3" t="s">
        <v>57</v>
      </c>
      <c r="GE66" s="3" t="s">
        <v>58</v>
      </c>
      <c r="GF66" s="3" t="s">
        <v>70</v>
      </c>
      <c r="GG66" s="3" t="s">
        <v>60</v>
      </c>
      <c r="GH66" s="3" t="s">
        <v>63</v>
      </c>
      <c r="GI66" s="3" t="s">
        <v>62</v>
      </c>
      <c r="GJ66" s="9" t="str">
        <f t="shared" si="413"/>
        <v>Elfenbenskusten</v>
      </c>
      <c r="GK66" s="9" t="str">
        <f t="shared" si="413"/>
        <v>Österrike</v>
      </c>
      <c r="GL66" s="9" t="str">
        <f t="shared" si="413"/>
        <v>Qatar</v>
      </c>
      <c r="GM66" s="9" t="str">
        <f t="shared" si="413"/>
        <v>Australien</v>
      </c>
      <c r="GN66" s="9" t="str">
        <f t="shared" si="413"/>
        <v>Saudiarabien</v>
      </c>
      <c r="GO66" s="9" t="str">
        <f t="shared" si="413"/>
        <v>Iran</v>
      </c>
      <c r="GP66" s="9" t="str">
        <f t="shared" si="413"/>
        <v>Ghana</v>
      </c>
      <c r="GQ66" s="9" t="str">
        <f t="shared" si="413"/>
        <v>Uzbekistan</v>
      </c>
      <c r="GR66" s="9" t="str">
        <f t="shared" si="75"/>
        <v/>
      </c>
      <c r="GX66" s="23"/>
    </row>
    <row r="67" spans="2:206" ht="14.25" customHeight="1" x14ac:dyDescent="0.25">
      <c r="B67" s="58">
        <v>14</v>
      </c>
      <c r="C67" s="59">
        <v>46188</v>
      </c>
      <c r="D67" s="60" t="s">
        <v>120</v>
      </c>
      <c r="E67" s="61" t="s">
        <v>66</v>
      </c>
      <c r="F67" s="62" t="s">
        <v>121</v>
      </c>
      <c r="G67" s="63"/>
      <c r="H67" s="64" t="s">
        <v>66</v>
      </c>
      <c r="I67" s="63"/>
      <c r="J67" s="65" t="str">
        <f>IF(OR(ISBLANK(G67),ISBLANK(I67)),"",IF(G67&gt;I67,1,IF(G67&lt;I67,2,"X")))</f>
        <v/>
      </c>
      <c r="K67" s="66">
        <f>IF(OR(G67="",I67="",'[1]Resultat &amp; tabell'!G67="",'[1]Resultat &amp; tabell'!I67=""),0,IF(G67='[1]Resultat &amp; tabell'!G67,2,0)+IF(I67='[1]Resultat &amp; tabell'!I67,2,0)+IF(J67='[1]Resultat &amp; tabell'!J67,2,0))</f>
        <v>0</v>
      </c>
      <c r="L67" s="67"/>
      <c r="M67" s="29">
        <f t="shared" ref="M67:M72" si="488">IF(VLOOKUP(D67,$BT$66:$CC$70,10,FALSE)=VLOOKUP(F67,$BT$66:$CC$70,10,FALSE),VLOOKUP(D67,$BT$66:$CC$70,10,FALSE),"-")</f>
        <v>1</v>
      </c>
      <c r="N67" s="30">
        <v>1</v>
      </c>
      <c r="O67" s="68" t="str">
        <f>VLOOKUP(N67,FI67:FJ70,2,FALSE)</f>
        <v>Spanien</v>
      </c>
      <c r="P67" s="69">
        <f>VLOOKUP($O67,$BT$67:$CA$70,2,FALSE)</f>
        <v>0</v>
      </c>
      <c r="Q67" s="69">
        <f>VLOOKUP($O67,$BT$67:$CA$70,3,FALSE)</f>
        <v>0</v>
      </c>
      <c r="R67" s="69">
        <f>VLOOKUP($O67,$BT$67:$CA$70,4,FALSE)</f>
        <v>0</v>
      </c>
      <c r="S67" s="69">
        <f>VLOOKUP($O67,$BT$67:$CA$70,5,FALSE)</f>
        <v>0</v>
      </c>
      <c r="T67" s="69">
        <f>VLOOKUP($O67,$BT$67:$CA$70,6,FALSE)</f>
        <v>0</v>
      </c>
      <c r="U67" s="69">
        <f>VLOOKUP($O67,$BT$67:$CA$70,7,FALSE)</f>
        <v>0</v>
      </c>
      <c r="V67" s="70">
        <f>VLOOKUP($O67,$BT$67:$CA$70,8,FALSE)</f>
        <v>0</v>
      </c>
      <c r="X67" s="1"/>
      <c r="AE67" s="72">
        <f t="shared" ref="AE67:AH72" si="489">C67</f>
        <v>46188</v>
      </c>
      <c r="AF67" s="72" t="str">
        <f t="shared" si="489"/>
        <v>Spanien</v>
      </c>
      <c r="AG67" s="72" t="str">
        <f t="shared" si="489"/>
        <v>-</v>
      </c>
      <c r="AH67" s="72" t="str">
        <f t="shared" si="489"/>
        <v>Kap Verde</v>
      </c>
      <c r="AI67" s="63" t="str">
        <f t="shared" ref="AI67:AI72" si="490">IF(G67="","",G67)</f>
        <v/>
      </c>
      <c r="AJ67" s="58" t="str">
        <f t="shared" ref="AJ67:AJ72" si="491">H67</f>
        <v>-</v>
      </c>
      <c r="AK67" s="63" t="str">
        <f t="shared" ref="AK67:AK72" si="492">IF(I67="","",I67)</f>
        <v/>
      </c>
      <c r="AL67" s="65" t="str">
        <f t="shared" ref="AL67:AL72" si="493">J67</f>
        <v/>
      </c>
      <c r="AM67" s="73"/>
      <c r="AN67" s="13">
        <f t="shared" ref="AN67:AN72" si="494">IF(AI67&gt;AK67,1,0)</f>
        <v>0</v>
      </c>
      <c r="AO67" s="13">
        <f t="shared" ref="AO67:AO72" si="495">IF(AK67&gt;AI67,1,0)</f>
        <v>0</v>
      </c>
      <c r="AP67" s="13">
        <f t="shared" ref="AP67:AP72" si="496">IF(AND(AI67=AK67,AI67&lt;&gt;""),1,0)</f>
        <v>0</v>
      </c>
      <c r="AQ67" s="13">
        <f t="shared" ref="AQ67:AQ72" si="497">IF(AND(AI67=AK67,AI67&lt;&gt;""),1,0)</f>
        <v>0</v>
      </c>
      <c r="AR67" s="13">
        <f t="shared" ref="AR67:AR72" si="498">IF(AI67&lt;AK67,1,0)</f>
        <v>0</v>
      </c>
      <c r="AS67" s="13">
        <f t="shared" ref="AS67:AS72" si="499">IF(AK67&lt;AI67,1,)</f>
        <v>0</v>
      </c>
      <c r="AT67" s="13">
        <f t="shared" ref="AT67:AT72" si="500">IF(ISERROR(VLOOKUP(AF67,CF:CF,1,FALSE)),0,1)*IF(ISERROR(VLOOKUP(AH67,CF:CF,1,FALSE)),0,1)*AN67</f>
        <v>0</v>
      </c>
      <c r="AU67" s="13">
        <f t="shared" ref="AU67:AU72" si="501">IF(ISERROR(VLOOKUP(AF67,CF:CF,1,FALSE)),0,1)*IF(ISERROR(VLOOKUP(AH67,CF:CF,1,FALSE)),0,1)*AO67</f>
        <v>0</v>
      </c>
      <c r="AV67" s="13">
        <f t="shared" ref="AV67:AV72" si="502">IF(ISERROR(VLOOKUP(AF67,CF:CF,1,FALSE)),0,1)*IF(ISERROR(VLOOKUP(AH67,CF:CF,1,FALSE)),0,1)*AP67</f>
        <v>0</v>
      </c>
      <c r="AW67" s="13">
        <f t="shared" ref="AW67:AW72" si="503">IF(ISERROR(VLOOKUP(AF67,CF:CF,1,FALSE)),0,1)*IF(ISERROR(VLOOKUP(AH67,CF:CF,1,FALSE)),0,1)*AQ67</f>
        <v>0</v>
      </c>
      <c r="AX67" s="13">
        <f t="shared" ref="AX67:AX72" si="504">IF(ISERROR(VLOOKUP(AF67,CF:CF,1,FALSE)),0,1)*IF(ISERROR(VLOOKUP(AH67,CF:CF,1,FALSE)),0,1)*AR67</f>
        <v>0</v>
      </c>
      <c r="AY67" s="13">
        <f t="shared" ref="AY67:AY72" si="505">IF(ISERROR(VLOOKUP(AF67,CF:CF,1,FALSE)),0,1)*IF(ISERROR(VLOOKUP(AH67,CF:CF,1,FALSE)),0,1)*AS67</f>
        <v>0</v>
      </c>
      <c r="AZ67" s="13">
        <f t="shared" ref="AZ67:AZ72" si="506">IF(ISERROR(VLOOKUP(AF67,CZ:CZ,1,FALSE)),0,1)*IF(ISERROR(VLOOKUP(AH67,CZ:CZ,1,FALSE)),0,1)*AN67</f>
        <v>0</v>
      </c>
      <c r="BA67" s="13">
        <f t="shared" ref="BA67:BA72" si="507">IF(ISERROR(VLOOKUP(AF67,CZ:CZ,1,FALSE)),0,1)*IF(ISERROR(VLOOKUP(AH67,CZ:CZ,1,FALSE)),0,1)*AO67</f>
        <v>0</v>
      </c>
      <c r="BB67" s="13">
        <f t="shared" ref="BB67:BB72" si="508">IF(ISERROR(VLOOKUP(AF67,CZ:CZ,1,FALSE)),0,1)*IF(ISERROR(VLOOKUP(AH67,CZ:CZ,1,FALSE)),0,1)*AP67</f>
        <v>0</v>
      </c>
      <c r="BC67" s="13">
        <f t="shared" ref="BC67:BC72" si="509">IF(ISERROR(VLOOKUP(AF67,CZ:CZ,1,FALSE)),0,1)*IF(ISERROR(VLOOKUP(AH67,CZ:CZ,1,FALSE)),0,1)*AQ67</f>
        <v>0</v>
      </c>
      <c r="BD67" s="13">
        <f t="shared" ref="BD67:BD72" si="510">IF(ISERROR(VLOOKUP(AF67,CZ:CZ,1,FALSE)),0,1)*IF(ISERROR(VLOOKUP(AH67,CZ:CZ,1,FALSE)),0,1)*AR67</f>
        <v>0</v>
      </c>
      <c r="BE67" s="13">
        <f t="shared" ref="BE67:BE72" si="511">IF(ISERROR(VLOOKUP(AF67,CZ:CZ,1,FALSE)),0,1)*IF(ISERROR(VLOOKUP(AH67,CZ:CZ,1,FALSE)),0,1)*AS67</f>
        <v>0</v>
      </c>
      <c r="BF67" s="13">
        <f t="shared" ref="BF67:BF72" si="512">IF(ISERROR(VLOOKUP(AF67,DT:DT,1,FALSE)),0,1)*IF(ISERROR(VLOOKUP(AH67,DT:DT,1,FALSE)),0,1)*AN67</f>
        <v>0</v>
      </c>
      <c r="BG67" s="13">
        <f t="shared" ref="BG67:BG72" si="513">IF(ISERROR(VLOOKUP(AF67,DT:DT,1,FALSE)),0,1)*IF(ISERROR(VLOOKUP(AH67,DT:DT,1,FALSE)),0,1)*AO67</f>
        <v>0</v>
      </c>
      <c r="BH67" s="13">
        <f t="shared" ref="BH67:BH72" si="514">IF(ISERROR(VLOOKUP(AF67,DT:DT,1,FALSE)),0,1)*IF(ISERROR(VLOOKUP(AH67,DT:DT,1,FALSE)),0,1)*AP67</f>
        <v>0</v>
      </c>
      <c r="BI67" s="13">
        <f t="shared" ref="BI67:BI72" si="515">IF(ISERROR(VLOOKUP(AF67,DT:DT,1,FALSE)),0,1)*IF(ISERROR(VLOOKUP(AH67,DT:DT,1,FALSE)),0,1)*AQ67</f>
        <v>0</v>
      </c>
      <c r="BJ67" s="13">
        <f t="shared" ref="BJ67:BJ72" si="516">IF(ISERROR(VLOOKUP(AF67,DT:DT,1,FALSE)),0,1)*IF(ISERROR(VLOOKUP(AH67,DT:DT,1,FALSE)),0,1)*AR67</f>
        <v>0</v>
      </c>
      <c r="BK67" s="13">
        <f t="shared" ref="BK67:BK72" si="517">IF(ISERROR(VLOOKUP(AF67,DT:DT,1,FALSE)),0,1)*IF(ISERROR(VLOOKUP(AH67,DT:DT,1,FALSE)),0,1)*AS67</f>
        <v>0</v>
      </c>
      <c r="BL67" s="13">
        <f t="shared" ref="BL67:BL72" si="518">IF(ISERROR(VLOOKUP(AF67,EN:EN,1,FALSE)),0,1)*IF(ISERROR(VLOOKUP(AH67,EN:EN,1,FALSE)),0,1)*AN67</f>
        <v>0</v>
      </c>
      <c r="BM67" s="13">
        <f t="shared" ref="BM67:BM72" si="519">IF(ISERROR(VLOOKUP(AF67,EN:EN,1,FALSE)),0,1)*IF(ISERROR(VLOOKUP(AH67,EN:EN,1,FALSE)),0,1)*AO67</f>
        <v>0</v>
      </c>
      <c r="BN67" s="13">
        <f t="shared" ref="BN67:BN72" si="520">IF(ISERROR(VLOOKUP(AF67,EN:EN,1,FALSE)),0,1)*IF(ISERROR(VLOOKUP(AH67,EN:EN,1,FALSE)),0,1)*AP67</f>
        <v>0</v>
      </c>
      <c r="BO67" s="13">
        <f t="shared" ref="BO67:BO72" si="521">IF(ISERROR(VLOOKUP(AF67,EN:EN,1,FALSE)),0,1)*IF(ISERROR(VLOOKUP(AH67,EN:EN,1,FALSE)),0,1)*AQ67</f>
        <v>0</v>
      </c>
      <c r="BP67" s="13">
        <f t="shared" ref="BP67:BP72" si="522">IF(ISERROR(VLOOKUP(AF67,EN:EN,1,FALSE)),0,1)*IF(ISERROR(VLOOKUP(AH67,EN:EN,1,FALSE)),0,1)*AR67</f>
        <v>0</v>
      </c>
      <c r="BQ67" s="13">
        <f t="shared" ref="BQ67:BQ72" si="523">IF(ISERROR(VLOOKUP(AF67,EN:EN,1,FALSE)),0,1)*IF(ISERROR(VLOOKUP(AH67,EN:EN,1,FALSE)),0,1)*AS67</f>
        <v>0</v>
      </c>
      <c r="BR67" s="137"/>
      <c r="BS67" s="138"/>
      <c r="BT67" s="12" t="s">
        <v>120</v>
      </c>
      <c r="BU67" s="13">
        <f t="shared" ref="BU67:BU70" si="524">(SUMIF(AF$4:AF$108,BT67,AN$4:AN$108)+SUMIF(AH$4:AH$108,BT67,AO$4:AO$108))</f>
        <v>0</v>
      </c>
      <c r="BV67" s="13">
        <f t="shared" ref="BV67:BV70" si="525">(SUMIF(AF$4:AF$108,BT67,AP$4:AP$108)+SUMIF(AH$4:AH$108,BT67,AQ$4:AQ$108))</f>
        <v>0</v>
      </c>
      <c r="BW67" s="13">
        <f t="shared" ref="BW67:BW70" si="526">(SUMIF(AF$4:AF$108,BT67,AR$4:AR$108)+SUMIF(AH$4:AH$108,BT67,AS$4:AS$108))</f>
        <v>0</v>
      </c>
      <c r="BX67" s="13">
        <f t="shared" ref="BX67:BX70" si="527">SUMIF($AF$4:$AF$108,BT67,$AI$4:$AI$108)+SUMIF($AH$4:$AH$108,BT67,$AK$4:$AK$108)</f>
        <v>0</v>
      </c>
      <c r="BY67" s="13">
        <f t="shared" ref="BY67:BY70" si="528">SUMIF($AF$4:$AF$108,BT67,$AK$4:$AK$108)+SUMIF($AH$4:$AH$108,BT67,$AI$4:$AI$108)</f>
        <v>0</v>
      </c>
      <c r="BZ67" s="13">
        <f t="shared" ref="BZ67:BZ70" si="529">BX67-BY67</f>
        <v>0</v>
      </c>
      <c r="CA67" s="13">
        <f t="shared" ref="CA67:CA70" si="530">IFERROR(BU67*3+BV67*1,0)</f>
        <v>0</v>
      </c>
      <c r="CB67" s="13" t="s">
        <v>70</v>
      </c>
      <c r="CC67" s="74">
        <f>RANK(CA67,CA67:CA70)</f>
        <v>1</v>
      </c>
      <c r="CD67" s="13">
        <f>SUMPRODUCT((CA67:CA70=CA67)*(BZ67:BZ70&gt;BZ67))</f>
        <v>0</v>
      </c>
      <c r="CF67" s="12" t="str">
        <f>IF(CC67=1,BT67,)</f>
        <v>Spanien</v>
      </c>
      <c r="CG67" s="13">
        <f t="shared" ref="CG67:CG70" si="531">(SUMIF($AF$4:$AF$108,$BT67,$AT$4:$AT$108)+SUMIF($AH$4:$AH$108,$BT67,$AU$4:$AU$108))</f>
        <v>0</v>
      </c>
      <c r="CH67" s="13">
        <f t="shared" ref="CH67:CH70" si="532">(SUMIF($AF$4:$AF$108,$BT67,$AV$4:$AV$108)+SUMIF($AH$4:$AH$108,$BT67,$AW$4:$AW$108))</f>
        <v>0</v>
      </c>
      <c r="CI67" s="13">
        <f t="shared" ref="CI67:CI70" si="533">(SUMIF($AF$4:$AF$108,$BT67,$AX$4:$AX$108)+SUMIF($AH$4:$AH$108,$BT67,$AY$4:$AY$108))</f>
        <v>0</v>
      </c>
      <c r="CJ67" s="13">
        <f t="shared" ref="CJ67:CJ70" si="534">IFERROR(CG67*3+CH67*1,0)</f>
        <v>0</v>
      </c>
      <c r="CK67" s="13" t="str">
        <f>CB67</f>
        <v>H</v>
      </c>
      <c r="CL67" s="13">
        <f>IF(CF67&gt;0,RANK(CJ67,CJ67:CJ70),)</f>
        <v>1</v>
      </c>
      <c r="CM67" s="13">
        <f>IF(AND(CF67&gt;0,COUNTIF(CL67:CL70,CL67)&gt;1),SUMIFS($AI$4:$AI$108,$AF$4:$AF$108,$BT67,$M$4:$M$108,1)+SUMIFS($AK$4:$AK$108,$AH$4:$AH$108,$BT67,$M$4:$M$108,1)-SUMIFS($AK$4:$AK$108,$AF$4:$AF$108,$BT67,$M$4:$M$108,1)-SUMIFS($AI$4:$AI$108,$AH$4:$AH$108,$BT67,$M$4:$M$108,1),)</f>
        <v>0</v>
      </c>
      <c r="CN67" s="13">
        <f>IF(AND(CF67&gt;0,COUNTIF(CL67:CL70,CL67)&gt;1),CL67+RANK(CM67,CM67:CM70)-1,CL67)</f>
        <v>1</v>
      </c>
      <c r="CO67" s="13">
        <f>IF(AND(CF67&gt;0,COUNTIF(CN67:CN70,CN67)&gt;1),SUMIFS($AI$4:$AI$108,$AF$4:$AF$108,$BT67,$M$4:$M$108,1)+SUMIFS($AK$4:$AK$108,$AH$4:$AH$108,$BT67,$M$4:$M$108,1),)</f>
        <v>0</v>
      </c>
      <c r="CP67" s="13">
        <f>IF(AND(CF67&gt;0,COUNTIF(CN67:CN70,CN67)&gt;1),CN67+RANK(CO67,CO67:CO70)-1,CN67)</f>
        <v>1</v>
      </c>
      <c r="CQ67" s="13">
        <f>IF(CP67=0,"",CP67)</f>
        <v>1</v>
      </c>
      <c r="CR67" s="13">
        <f>IF(OR(CQ67="",COUNTIF(CQ67:CQ70,CQ67)=1),"",$BZ67)</f>
        <v>0</v>
      </c>
      <c r="CS67" s="13">
        <f>IF(CQ67="","",IF(COUNTIF(CQ67:CQ70,CQ67)=1,CQ67,CQ67+RANK(CR67,CR67:CR70,0)-1))</f>
        <v>1</v>
      </c>
      <c r="CT67" s="13">
        <f>IF(OR(CS67="",COUNTIF(CS67:CS70,CS67)=1),"",$BX67)</f>
        <v>0</v>
      </c>
      <c r="CU67" s="13">
        <f>IF(CQ67="","",IF(COUNTIF(CS67:CS70,CS67)=1,CS67,CS67+RANK(CT67,CT67:CT70,0)-1))</f>
        <v>1</v>
      </c>
      <c r="CV67" s="13">
        <f>IF(OR(CU67="",COUNTIF(CU67:CU70,CU67)=1),"",$BU67)</f>
        <v>0</v>
      </c>
      <c r="CW67" s="13">
        <f>IF(CQ67="","",IF(COUNTIF(CU67:CU70,CU67)=1,CU67,CU67+RANK(CV67,CV67:CV70,0)-1))</f>
        <v>1</v>
      </c>
      <c r="CX67" s="13">
        <f>IF(CF67&gt;0,BM65+RANK(CW67,CW67:CW70,1),)</f>
        <v>1</v>
      </c>
      <c r="CZ67" s="12">
        <f>IF(CC67=2,BT67,)</f>
        <v>0</v>
      </c>
      <c r="DA67" s="13">
        <f>(SUMIF($AF$4:$AF$108,$BT67,$AZ$4:$AZ$108)+SUMIF($AH$4:$AH$108,$BT67,$BA$4:$BA$108))</f>
        <v>0</v>
      </c>
      <c r="DB67" s="13">
        <f>(SUMIF($AF$4:$AF$108,$BT67,$BB$4:$BB$108)+SUMIF($AH$4:$AH$108,$BT67,$BC$4:$BC$108))</f>
        <v>0</v>
      </c>
      <c r="DC67" s="13">
        <f>(SUMIF($AF$4:$AF$108,$BT67,$BD$4:$BD$108)+SUMIF($AH$4:$AH$108,$BT67,$BE$4:$BE$108))</f>
        <v>0</v>
      </c>
      <c r="DD67" s="13">
        <f>IFERROR(DA67*3+DB67*1,0)</f>
        <v>0</v>
      </c>
      <c r="DE67" s="13" t="str">
        <f>$CB67</f>
        <v>H</v>
      </c>
      <c r="DF67" s="13">
        <f>IF(CZ67&gt;0,RANK(DD67,DD67:DD70)+CG65,)</f>
        <v>0</v>
      </c>
      <c r="DG67" s="13">
        <f>IF(AND(CZ67&gt;0,COUNTIF(DF67:DF70,DF67)&gt;1),SUMIFS($AI$4:$AI$108,$AF$4:$AF$108,$BT67,$M$4:$M$108,2)+SUMIFS($AK$4:$AK$108,$AH$4:$AH108,$BT67,$M$4:$M$108,2)-SUMIFS($AK$4:$AK$108,$AF$4:$AF$108,$BT67,$M$4:$M$108,2)-SUMIFS($AI$4:$AI$108,$AH$4:$AH$108,$BT67,$M$4:$M$108,2),)</f>
        <v>0</v>
      </c>
      <c r="DH67" s="13">
        <f>IF(AND(CZ67&gt;0,COUNTIF(DF67:DF70,DF67)&gt;1),DF67+RANK(DG67,DG67:DG70)-1,DF67)</f>
        <v>0</v>
      </c>
      <c r="DI67" s="13">
        <f>IF(AND(CZ67&gt;0,COUNTIF(DH67:DH70,DH67)&gt;1),SUMIFS($AI$4:$AI$108,$AF$4:$AF$108,$BT67,$M$4:$M$108,2)+SUMIFS($AK$4:$AK$108,$AH$4:$AH$108,$BT67,$M$4:$M$108,2),)</f>
        <v>0</v>
      </c>
      <c r="DJ67" s="13">
        <f>IF(AND(CZ67&gt;0,COUNTIF(DH67:DH70,DH67)&gt;1),DH67+RANK(DI67,DI67:DI70)-1,DH67)</f>
        <v>0</v>
      </c>
      <c r="DK67" s="75" t="str">
        <f>IF(DJ67=0,"",DJ67)</f>
        <v/>
      </c>
      <c r="DL67" s="75" t="str">
        <f>IF(OR(DK67="",COUNTIF(DK67:DK70,DK67)=1),"",$BZ67)</f>
        <v/>
      </c>
      <c r="DM67" s="75" t="str">
        <f>IF(DK67="","",IF(COUNTIF(DK67:DK70,DK67)=1,DK67,DK67+RANK(DL67,DL67:DL70,0)-1))</f>
        <v/>
      </c>
      <c r="DN67" s="75" t="str">
        <f>IF(OR(DM67="",COUNTIF(DM67:DM70,DM67)=1),"",$BX67)</f>
        <v/>
      </c>
      <c r="DO67" s="75" t="str">
        <f>IF(DK67="","",IF(COUNTIF(DM67:DM70,DM67)=1,DM67,DM67+RANK(DN67,DN67:DN70,0)-1))</f>
        <v/>
      </c>
      <c r="DP67" s="75" t="str">
        <f>IF(OR(DO67="",COUNTIF(DO67:DO70,DO67)=1),"",$BU67)</f>
        <v/>
      </c>
      <c r="DQ67" s="75" t="str">
        <f>IF(DK67="","",IF(COUNTIF(DO67:DO70,DO67)=1,DO67,DO67+RANK(DP67,DP67:DP70,0)-1))</f>
        <v/>
      </c>
      <c r="DR67" s="13">
        <f>IF(CZ67&gt;0,CG65+RANK(DQ67,DQ67:DQ70,1),)</f>
        <v>0</v>
      </c>
      <c r="DT67" s="13">
        <f>IF(CC67=3,BT67,)</f>
        <v>0</v>
      </c>
      <c r="DU67" s="13">
        <f>(SUMIF($AF$4:$AF$108,BT67,$BF$4:$BF$108)+SUMIF($AH$4:$AH$108,BT67,$BG$4:$BG$108))</f>
        <v>0</v>
      </c>
      <c r="DV67" s="13">
        <f>(SUMIF($AF$4:$AF$108,BT67,$BH$4:$BH$108)+SUMIF($AH$4:$AH$108,BT67,$BI$4:$BI$108))</f>
        <v>0</v>
      </c>
      <c r="DW67" s="13">
        <f>(SUMIF($AF$4:$AF$108,BT67,$BJ$4:$BJ$108)+SUMIF($AH$4:$AH$108,BT67,$BK$4:$BK$108))</f>
        <v>0</v>
      </c>
      <c r="DX67" s="13">
        <f>IFERROR(DU67*3+DV67*1,0)</f>
        <v>0</v>
      </c>
      <c r="DY67" s="13" t="str">
        <f>CB67</f>
        <v>H</v>
      </c>
      <c r="DZ67" s="13">
        <f>IF(DT67&gt;0,RANK(DX67,DX67:DX70)+CG65+DA65,)</f>
        <v>0</v>
      </c>
      <c r="EA67" s="13">
        <f>IF(AND(DT67&gt;0,COUNTIF(DZ67:DZ70,DZ67)&gt;1),SUMIFS($AI$4:$AI$108,$AF$4:$AF$108,$BT67,$M$4:$M$108,3)+SUMIFS($AK$4:$AK$108,$AH$4:$AH$108,$BT67,$M$4:$M$108,3)-SUMIFS($AK$4:$AK$108,$AF$4:$AF$108,$BT67,$M$4:$M$108,3)-SUMIFS($AI$4:$AI$108,$AH$4:$AH$108,$BT67,$M$4:$M$108,3),)</f>
        <v>0</v>
      </c>
      <c r="EB67" s="13">
        <f>IF(AND(DT67&gt;0,COUNTIF(DZ67:DZ70,DZ67)&gt;1),DZ67+RANK(EA67,EA67:EA70)-1,DZ67)</f>
        <v>0</v>
      </c>
      <c r="EC67" s="13">
        <f>IF(AND(DT67&gt;0,COUNTIF(EB67:EB70,EB67)&gt;1),SUMIFS($AI$4:$AI$108,$AF$4:$AF$108,$BT67,$M$4:$M$108,3)+SUMIFS($AK$4:$AK$108,$AH$4:$AH$108,$BT67,$M$4:$M$108,3),)</f>
        <v>0</v>
      </c>
      <c r="ED67" s="13">
        <f>IF(AND(DT67&gt;0,COUNTIF(EB67:EB70,EB67)&gt;1),EB67+RANK(EC67,EC67:EC70)-1,EB67)</f>
        <v>0</v>
      </c>
      <c r="EE67" s="13" t="str">
        <f>IF(ED67=0,"",ED67)</f>
        <v/>
      </c>
      <c r="EF67" s="13" t="str">
        <f>IF(OR(EE67="",COUNTIF(EE67:EE70,EE67)=1),"",$BZ67)</f>
        <v/>
      </c>
      <c r="EG67" s="13" t="str">
        <f>IF(EE67="","",IF(COUNTIF(EE67:EE70,EE67)=1,EE67,EE67+RANK(EF67,EF67:EF70,0)-1))</f>
        <v/>
      </c>
      <c r="EH67" s="13" t="str">
        <f>IF(OR(EG67="",COUNTIF(EG67:EG70,EG67)=1),"",$BX67)</f>
        <v/>
      </c>
      <c r="EI67" s="13" t="str">
        <f>IF(EE67="","",IF(COUNTIF(EG67:EG70,EG67)=1,EG67,EG67+RANK(EH67,EH67:EH70,0)-1))</f>
        <v/>
      </c>
      <c r="EJ67" s="13" t="str">
        <f>IF(OR(EI67="",COUNTIF(EI67:EI70,EI67)=1),"",$BU67)</f>
        <v/>
      </c>
      <c r="EK67" s="13" t="str">
        <f>IF(EE67="","",IF(COUNTIF(EI67:EI70,EI67)=1,EI67,EI67+RANK(EJ67,EJ67:EJ70,0)-1))</f>
        <v/>
      </c>
      <c r="EL67" s="13">
        <f>IF(DT67&gt;0,CG65+DA65+RANK(EK67,EK67:EK70,1),)</f>
        <v>0</v>
      </c>
      <c r="EN67" s="13">
        <f>IF(CC67=4,BT67,)</f>
        <v>0</v>
      </c>
      <c r="EO67" s="13">
        <f>(SUMIF($AF$4:$AF$108,$BT67,$BL$4:$BL$108)+SUMIF($AH$4:$AH$108,$BT67,$BM$4:$BM$108))</f>
        <v>0</v>
      </c>
      <c r="EP67" s="13">
        <f>(SUMIF($AF$4:$AF$108,$BT67,$BN$4:$BN$108)+SUMIF($AH$4:$AH$108,$BT67,$BO$4:$BO$108))</f>
        <v>0</v>
      </c>
      <c r="EQ67" s="13">
        <f>(SUMIF($AF$4:$AF$108,$BT67,$BP$4:$BP$108)+SUMIF($AH$4:$AH$108,$BT67,$BQ$4:$BQ$108))</f>
        <v>0</v>
      </c>
      <c r="ER67" s="13">
        <f>IFERROR(EO67*3+EP67*1,0)</f>
        <v>0</v>
      </c>
      <c r="ES67" s="13" t="str">
        <f>$CB67</f>
        <v>H</v>
      </c>
      <c r="ET67" s="13">
        <f>IF(EN67&gt;0,RANK(ER67,ER67:ER70)+CG65+DA65+DU65,)</f>
        <v>0</v>
      </c>
      <c r="EU67" s="13">
        <f>IF(AND(EN67&gt;0,COUNTIF(ET67:ET70,ET67)&gt;1),SUMIFS($AI$4:$AI$108,$AF$4:$AF$108,$BT67,$M$4:$M$108,4)+SUMIFS($AK$4:$AK$108,$AH$4:$AH$108,$BT67,$M$4:$M$108,4)-SUMIFS($AK$4:$AK$108,$AF$4:$AF$108,$BT67,$M$4:$M$108,4)-SUMIFS($AI$4:$AI$108,$AH$4:$AH$108,$BT67,$M$4:$M$108,4),)</f>
        <v>0</v>
      </c>
      <c r="EV67" s="13">
        <f>IF(AND(EN67&gt;0,COUNTIF(ET67:ET70,ET67)&gt;1),ET67+RANK(EU67,EU67:EU70)-1,ET67)</f>
        <v>0</v>
      </c>
      <c r="EW67" s="13">
        <f>IF(AND(EN67&gt;0,COUNTIF(EV67:EV70,EV67)&gt;1),SUMIFS($AI$4:$AI$108,$AF$4:$AF$108,$BT67,$M$4:$M$108,4)+SUMIFS($AK$4:$AK$108,$AH$4:$AH$108,$BT67,$M$4:$M$108,4),)</f>
        <v>0</v>
      </c>
      <c r="EX67" s="13">
        <f>IF(AND(EN67&gt;0,COUNTIF(EV67:EV70,EV67)&gt;1),EV67+RANK(EW67,EW67:EW70)-1,EV67)</f>
        <v>0</v>
      </c>
      <c r="EY67" s="13" t="str">
        <f>IF(EX67=0,"",EX67)</f>
        <v/>
      </c>
      <c r="EZ67" s="13" t="str">
        <f>IF(OR(EY67="",COUNTIF(EY67:EY70,EY67)=1),"",$BZ67)</f>
        <v/>
      </c>
      <c r="FA67" s="13" t="str">
        <f>IF(EY67="","",IF(COUNTIF(EY67:EY70,EY67)=1,EY67,EY67+RANK(EZ67,EZ67:EZ70,0)-1))</f>
        <v/>
      </c>
      <c r="FB67" s="13" t="str">
        <f>IF(OR(FA67="",COUNTIF(FA67:FA70,FA67)=1),"",$BX67)</f>
        <v/>
      </c>
      <c r="FC67" s="13" t="str">
        <f>IF(EY67="","",IF(COUNTIF(FA67:FA70,FA67)=1,FA67,FA67+RANK(FB67,FB67:FB70,0)-1))</f>
        <v/>
      </c>
      <c r="FD67" s="13" t="str">
        <f>IF(OR(FC67="",COUNTIF(FC67:FC70,FC67)=1),"",$BU67)</f>
        <v/>
      </c>
      <c r="FE67" s="13" t="str">
        <f>IF(EY67="","",IF(COUNTIF(FC67:FC70,FC67)=1,FC67,FC67+RANK(FD67,FD67:FD70,0)-1))</f>
        <v/>
      </c>
      <c r="FF67" s="13">
        <f>IF(EN67&gt;0,CG65+DA65+DU65+RANK(FE67,FE67:FE70,1),)</f>
        <v>0</v>
      </c>
      <c r="FH67" s="13">
        <f>IFERROR(VLOOKUP(FJ67,CF66:CX70,19,FALSE),IFERROR(VLOOKUP(FJ67,CZ66:DR70,19,FALSE),IFERROR(VLOOKUP(FJ67,DT66:EL70,19,FALSE),VLOOKUP(FJ67,EN66:FF70,19,FALSE))))</f>
        <v>1</v>
      </c>
      <c r="FI67" s="13">
        <f>RANK(FH67,FH67:FH70,1)+COUNTIF(FH67:FH67,FH67)-1</f>
        <v>1</v>
      </c>
      <c r="FJ67" s="12" t="str">
        <f>BT67</f>
        <v>Spanien</v>
      </c>
      <c r="FZ67" s="79">
        <v>65</v>
      </c>
      <c r="GA67" s="3" t="str">
        <f t="shared" si="72"/>
        <v>EGBDIHLK</v>
      </c>
      <c r="GB67" s="3" t="s">
        <v>59</v>
      </c>
      <c r="GC67" s="3" t="s">
        <v>60</v>
      </c>
      <c r="GD67" s="3" t="s">
        <v>57</v>
      </c>
      <c r="GE67" s="3" t="s">
        <v>58</v>
      </c>
      <c r="GF67" s="3" t="s">
        <v>61</v>
      </c>
      <c r="GG67" s="3" t="s">
        <v>70</v>
      </c>
      <c r="GH67" s="3" t="s">
        <v>63</v>
      </c>
      <c r="GI67" s="3" t="s">
        <v>62</v>
      </c>
      <c r="GJ67" s="9" t="str">
        <f t="shared" si="413"/>
        <v>Elfenbenskusten</v>
      </c>
      <c r="GK67" s="9" t="str">
        <f t="shared" si="413"/>
        <v>Iran</v>
      </c>
      <c r="GL67" s="9" t="str">
        <f t="shared" si="413"/>
        <v>Qatar</v>
      </c>
      <c r="GM67" s="9" t="str">
        <f t="shared" si="413"/>
        <v>Australien</v>
      </c>
      <c r="GN67" s="9" t="str">
        <f t="shared" si="413"/>
        <v>Irak</v>
      </c>
      <c r="GO67" s="9" t="str">
        <f t="shared" si="413"/>
        <v>Saudiarabien</v>
      </c>
      <c r="GP67" s="9" t="str">
        <f t="shared" si="413"/>
        <v>Ghana</v>
      </c>
      <c r="GQ67" s="9" t="str">
        <f t="shared" si="413"/>
        <v>Uzbekistan</v>
      </c>
      <c r="GR67" s="9" t="str">
        <f t="shared" si="75"/>
        <v/>
      </c>
      <c r="GX67" s="79"/>
    </row>
    <row r="68" spans="2:206" ht="14.25" customHeight="1" x14ac:dyDescent="0.25">
      <c r="B68" s="58">
        <v>13</v>
      </c>
      <c r="C68" s="59">
        <v>46189</v>
      </c>
      <c r="D68" s="60" t="s">
        <v>122</v>
      </c>
      <c r="E68" s="61" t="s">
        <v>66</v>
      </c>
      <c r="F68" s="62" t="s">
        <v>123</v>
      </c>
      <c r="G68" s="63"/>
      <c r="H68" s="64" t="s">
        <v>66</v>
      </c>
      <c r="I68" s="63"/>
      <c r="J68" s="65" t="str">
        <f t="shared" ref="J68:J72" si="535">IF(OR(ISBLANK(G68),ISBLANK(I68)),"",IF(G68&gt;I68,1,IF(G68&lt;I68,2,"X")))</f>
        <v/>
      </c>
      <c r="K68" s="66">
        <f>IF(OR(G68="",I68="",'[1]Resultat &amp; tabell'!G68="",'[1]Resultat &amp; tabell'!I68=""),0,IF(G68='[1]Resultat &amp; tabell'!G68,2,0)+IF(I68='[1]Resultat &amp; tabell'!I68,2,0)+IF(J68='[1]Resultat &amp; tabell'!J68,2,0))</f>
        <v>0</v>
      </c>
      <c r="L68" s="67"/>
      <c r="M68" s="29">
        <f t="shared" si="488"/>
        <v>1</v>
      </c>
      <c r="N68" s="30">
        <v>2</v>
      </c>
      <c r="O68" s="80" t="str">
        <f>VLOOKUP(N68,FI67:FJ70,2,FALSE)</f>
        <v>Kap Verde</v>
      </c>
      <c r="P68" s="81">
        <f t="shared" ref="P68:P70" si="536">VLOOKUP($O68,$BT$67:$CA$70,2,FALSE)</f>
        <v>0</v>
      </c>
      <c r="Q68" s="81">
        <f t="shared" ref="Q68:Q70" si="537">VLOOKUP($O68,$BT$67:$CA$70,3,FALSE)</f>
        <v>0</v>
      </c>
      <c r="R68" s="81">
        <f t="shared" ref="R68:R70" si="538">VLOOKUP($O68,$BT$67:$CA$70,4,FALSE)</f>
        <v>0</v>
      </c>
      <c r="S68" s="81">
        <f t="shared" ref="S68:S70" si="539">VLOOKUP($O68,$BT$67:$CA$70,5,FALSE)</f>
        <v>0</v>
      </c>
      <c r="T68" s="81">
        <f t="shared" ref="T68:T70" si="540">VLOOKUP($O68,$BT$67:$CA$70,6,FALSE)</f>
        <v>0</v>
      </c>
      <c r="U68" s="81">
        <f t="shared" ref="U68:U70" si="541">VLOOKUP($O68,$BT$67:$CA$70,7,FALSE)</f>
        <v>0</v>
      </c>
      <c r="V68" s="82">
        <f t="shared" ref="V68:V70" si="542">VLOOKUP($O68,$BT$67:$CA$70,8,FALSE)</f>
        <v>0</v>
      </c>
      <c r="X68" s="1"/>
      <c r="AE68" s="72">
        <f t="shared" si="489"/>
        <v>46189</v>
      </c>
      <c r="AF68" s="72" t="str">
        <f t="shared" si="489"/>
        <v>Saudiarabien</v>
      </c>
      <c r="AG68" s="72" t="str">
        <f t="shared" si="489"/>
        <v>-</v>
      </c>
      <c r="AH68" s="72" t="str">
        <f t="shared" si="489"/>
        <v>Uruguay</v>
      </c>
      <c r="AI68" s="63" t="str">
        <f t="shared" si="490"/>
        <v/>
      </c>
      <c r="AJ68" s="58" t="str">
        <f t="shared" si="491"/>
        <v>-</v>
      </c>
      <c r="AK68" s="63" t="str">
        <f t="shared" si="492"/>
        <v/>
      </c>
      <c r="AL68" s="65" t="str">
        <f t="shared" si="493"/>
        <v/>
      </c>
      <c r="AM68" s="73"/>
      <c r="AN68" s="13">
        <f t="shared" si="494"/>
        <v>0</v>
      </c>
      <c r="AO68" s="13">
        <f t="shared" si="495"/>
        <v>0</v>
      </c>
      <c r="AP68" s="13">
        <f t="shared" si="496"/>
        <v>0</v>
      </c>
      <c r="AQ68" s="13">
        <f t="shared" si="497"/>
        <v>0</v>
      </c>
      <c r="AR68" s="13">
        <f t="shared" si="498"/>
        <v>0</v>
      </c>
      <c r="AS68" s="13">
        <f t="shared" si="499"/>
        <v>0</v>
      </c>
      <c r="AT68" s="13">
        <f t="shared" si="500"/>
        <v>0</v>
      </c>
      <c r="AU68" s="13">
        <f t="shared" si="501"/>
        <v>0</v>
      </c>
      <c r="AV68" s="13">
        <f t="shared" si="502"/>
        <v>0</v>
      </c>
      <c r="AW68" s="13">
        <f t="shared" si="503"/>
        <v>0</v>
      </c>
      <c r="AX68" s="13">
        <f t="shared" si="504"/>
        <v>0</v>
      </c>
      <c r="AY68" s="13">
        <f t="shared" si="505"/>
        <v>0</v>
      </c>
      <c r="AZ68" s="13">
        <f t="shared" si="506"/>
        <v>0</v>
      </c>
      <c r="BA68" s="13">
        <f t="shared" si="507"/>
        <v>0</v>
      </c>
      <c r="BB68" s="13">
        <f t="shared" si="508"/>
        <v>0</v>
      </c>
      <c r="BC68" s="13">
        <f t="shared" si="509"/>
        <v>0</v>
      </c>
      <c r="BD68" s="13">
        <f t="shared" si="510"/>
        <v>0</v>
      </c>
      <c r="BE68" s="13">
        <f t="shared" si="511"/>
        <v>0</v>
      </c>
      <c r="BF68" s="13">
        <f t="shared" si="512"/>
        <v>0</v>
      </c>
      <c r="BG68" s="13">
        <f t="shared" si="513"/>
        <v>0</v>
      </c>
      <c r="BH68" s="13">
        <f t="shared" si="514"/>
        <v>0</v>
      </c>
      <c r="BI68" s="13">
        <f t="shared" si="515"/>
        <v>0</v>
      </c>
      <c r="BJ68" s="13">
        <f t="shared" si="516"/>
        <v>0</v>
      </c>
      <c r="BK68" s="13">
        <f t="shared" si="517"/>
        <v>0</v>
      </c>
      <c r="BL68" s="13">
        <f t="shared" si="518"/>
        <v>0</v>
      </c>
      <c r="BM68" s="13">
        <f t="shared" si="519"/>
        <v>0</v>
      </c>
      <c r="BN68" s="13">
        <f t="shared" si="520"/>
        <v>0</v>
      </c>
      <c r="BO68" s="13">
        <f t="shared" si="521"/>
        <v>0</v>
      </c>
      <c r="BP68" s="13">
        <f t="shared" si="522"/>
        <v>0</v>
      </c>
      <c r="BQ68" s="13">
        <f t="shared" si="523"/>
        <v>0</v>
      </c>
      <c r="BT68" s="12" t="s">
        <v>121</v>
      </c>
      <c r="BU68" s="13">
        <f t="shared" si="524"/>
        <v>0</v>
      </c>
      <c r="BV68" s="13">
        <f t="shared" si="525"/>
        <v>0</v>
      </c>
      <c r="BW68" s="13">
        <f t="shared" si="526"/>
        <v>0</v>
      </c>
      <c r="BX68" s="13">
        <f t="shared" si="527"/>
        <v>0</v>
      </c>
      <c r="BY68" s="13">
        <f t="shared" si="528"/>
        <v>0</v>
      </c>
      <c r="BZ68" s="13">
        <f t="shared" si="529"/>
        <v>0</v>
      </c>
      <c r="CA68" s="13">
        <f t="shared" si="530"/>
        <v>0</v>
      </c>
      <c r="CB68" s="13" t="s">
        <v>70</v>
      </c>
      <c r="CC68" s="74">
        <f>RANK(CA68,CA67:CA70)</f>
        <v>1</v>
      </c>
      <c r="CD68" s="13">
        <f>SUMPRODUCT((CA67:CA70=CA68)*(BZ67:BZ70&gt;BZ68))</f>
        <v>0</v>
      </c>
      <c r="CF68" s="12" t="str">
        <f>IF(CC68=1,BT68,)</f>
        <v>Kap Verde</v>
      </c>
      <c r="CG68" s="13">
        <f t="shared" si="531"/>
        <v>0</v>
      </c>
      <c r="CH68" s="13">
        <f t="shared" si="532"/>
        <v>0</v>
      </c>
      <c r="CI68" s="13">
        <f t="shared" si="533"/>
        <v>0</v>
      </c>
      <c r="CJ68" s="13">
        <f t="shared" si="534"/>
        <v>0</v>
      </c>
      <c r="CK68" s="13" t="str">
        <f t="shared" ref="CK68:CK70" si="543">CB68</f>
        <v>H</v>
      </c>
      <c r="CL68" s="13">
        <f>IF(CF68&gt;0,RANK(CJ68,CJ67:CJ70),)</f>
        <v>1</v>
      </c>
      <c r="CM68" s="13">
        <f>IF(AND(CF68&gt;0,COUNTIF(CL67:CL70,CL68)&gt;1),SUMIFS($AI$4:$AI$108,$AF$4:$AF$108,$BT68,$M$4:$M$108,1)+SUMIFS($AK$4:$AK$108,$AH$4:$AH$108,$BT68,$M$4:$M$108,1)-SUMIFS($AK$4:$AK$108,$AF$4:$AF$108,$BT68,$M$4:$M$108,1)-SUMIFS($AI$4:$AI$108,$AH$4:$AH$108,$BT68,$M$4:$M$108,1),)</f>
        <v>0</v>
      </c>
      <c r="CN68" s="13">
        <f>IF(AND(CF68&gt;0,COUNTIF(CL67:CL70,CL68)&gt;1),CL68+RANK(CM68,CM67:CM70)-1,CL68)</f>
        <v>1</v>
      </c>
      <c r="CO68" s="13">
        <f>IF(AND(CF68&gt;0,COUNTIF(CN67:CN70,CN68)&gt;1),SUMIFS($AI$4:$AI$108,$AF$4:$AF$108,$BT68,$M$4:$M$108,1)+SUMIFS($AK$4:$AK$108,$AH$4:$AH$108,$BT68,$M$4:$M$108,1),)</f>
        <v>0</v>
      </c>
      <c r="CP68" s="13">
        <f>IF(AND(CF68&gt;0,COUNTIF(CN67:CN70,CN68)&gt;1),CN68+RANK(CO68,CO67:CO70)-1,CN68)</f>
        <v>1</v>
      </c>
      <c r="CQ68" s="13">
        <f t="shared" ref="CQ68:CQ70" si="544">IF(CP68=0,"",CP68)</f>
        <v>1</v>
      </c>
      <c r="CR68" s="13">
        <f>IF(OR(CQ68="",COUNTIF(CQ67:CQ70,CQ68)=1),"",$BZ68)</f>
        <v>0</v>
      </c>
      <c r="CS68" s="13">
        <f>IF(CQ68="","",IF(COUNTIF(CQ67:CQ70,CQ68)=1,CQ68,CQ68+RANK(CR68,CR67:CR70,0)-1))</f>
        <v>1</v>
      </c>
      <c r="CT68" s="13">
        <f>IF(OR(CS68="",COUNTIF(CS67:CS70,CS68)=1),"",$BX68)</f>
        <v>0</v>
      </c>
      <c r="CU68" s="13">
        <f>IF(CQ68="","",IF(COUNTIF(CS67:CS70,CS68)=1,CS68,CS68+RANK(CT68,CT67:CT70,0)-1))</f>
        <v>1</v>
      </c>
      <c r="CV68" s="13">
        <f>IF(OR(CU68="",COUNTIF(CU67:CU70,CU68)=1),"",$BU68)</f>
        <v>0</v>
      </c>
      <c r="CW68" s="13">
        <f>IF(CQ68="","",IF(COUNTIF(CU67:CU70,CU68)=1,CU68,CU68+RANK(CV68,CV67:CV70,0)-1))</f>
        <v>1</v>
      </c>
      <c r="CX68" s="13">
        <f>IF(CF68&gt;0,BM65+RANK(CW68,CW67:CW70,1),)</f>
        <v>1</v>
      </c>
      <c r="CZ68" s="12">
        <f>IF(CC68=2,BT68,)</f>
        <v>0</v>
      </c>
      <c r="DA68" s="13">
        <f>(SUMIF($AF$4:$AF$108,$BT68,$AZ$4:$AZ$108)+SUMIF($AH$4:$AH$108,$BT68,$BA$4:$BA$108))</f>
        <v>0</v>
      </c>
      <c r="DB68" s="13">
        <f t="shared" ref="DB68:DB70" si="545">(SUMIF($AF$4:$AF$108,$BT68,$BB$4:$BB$108)+SUMIF($AH$4:$AH$108,$BT68,$BC$4:$BC$108))</f>
        <v>0</v>
      </c>
      <c r="DC68" s="13">
        <f t="shared" ref="DC68:DC70" si="546">(SUMIF($AF$4:$AF$108,$BT68,$BD$4:$BD$108)+SUMIF($AH$4:$AH$108,$BT68,$BE$4:$BE$108))</f>
        <v>0</v>
      </c>
      <c r="DD68" s="13">
        <f t="shared" ref="DD68:DD70" si="547">IFERROR(DA68*3+DB68*1,0)</f>
        <v>0</v>
      </c>
      <c r="DE68" s="13" t="str">
        <f t="shared" ref="DE68:DE70" si="548">$CB68</f>
        <v>H</v>
      </c>
      <c r="DF68" s="13">
        <f>IF(CZ68&gt;0,RANK(DD68,DD67:DD70)+CG65,)</f>
        <v>0</v>
      </c>
      <c r="DG68" s="13">
        <f>IF(AND(CZ68&gt;0,COUNTIF(DF67:DF70,DF68)&gt;1),SUMIFS($AI$4:$AI$108,$AF$4:$AF$108,$BT68,$M$4:$M$108,2)+SUMIFS($AK$4:$AK$108,$AH$4:$AH108,$BT68,$M$4:$M$108,2)-SUMIFS($AK$4:$AK$108,$AF$4:$AF$108,$BT68,$M$4:$M$108,2)-SUMIFS($AI$4:$AI$108,$AH$4:$AH$108,$BT68,$M$4:$M$108,2),)</f>
        <v>0</v>
      </c>
      <c r="DH68" s="13">
        <f>IF(AND(CZ68&gt;0,COUNTIF(DF67:DF70,DF68)&gt;1),DF68+RANK(DG68,DG67:DG70)-1,DF68)</f>
        <v>0</v>
      </c>
      <c r="DI68" s="13">
        <f>IF(AND(CZ68&gt;0,COUNTIF(DH67:DH70,DH68)&gt;1),SUMIFS($AI$4:$AI$108,$AF$4:$AF$108,$BT68,$M$4:$M$108,2)+SUMIFS($AK$4:$AK$108,$AH$4:$AH$108,$BT68,$M$4:$M$108,2),)</f>
        <v>0</v>
      </c>
      <c r="DJ68" s="13">
        <f>IF(AND(CZ68&gt;0,COUNTIF(DH67:DH70,DH68)&gt;1),DH68+RANK(DI68,DI67:DI70)-1,DH68)</f>
        <v>0</v>
      </c>
      <c r="DK68" s="75" t="str">
        <f t="shared" ref="DK68:DK70" si="549">IF(DJ68=0,"",DJ68)</f>
        <v/>
      </c>
      <c r="DL68" s="75" t="str">
        <f>IF(OR(DK68="",COUNTIF(DK67:DK70,DK68)=1),"",$BZ68)</f>
        <v/>
      </c>
      <c r="DM68" s="75" t="str">
        <f>IF(DK68="","",IF(COUNTIF(DK67:DK70,DK68)=1,DK68,DK68+RANK(DL68,DL67:DL70,0)-1))</f>
        <v/>
      </c>
      <c r="DN68" s="75" t="str">
        <f>IF(OR(DM68="",COUNTIF(DM67:DM70,DM68)=1),"",$BX68)</f>
        <v/>
      </c>
      <c r="DO68" s="75" t="str">
        <f>IF(DK68="","",IF(COUNTIF(DM67:DM70,DM68)=1,DM68,DM68+RANK(DN68,DN67:DN70,0)-1))</f>
        <v/>
      </c>
      <c r="DP68" s="75" t="str">
        <f>IF(OR(DO68="",COUNTIF(DO67:DO70,DO68)=1),"",$BU68)</f>
        <v/>
      </c>
      <c r="DQ68" s="75" t="str">
        <f>IF(DK68="","",IF(COUNTIF(DO67:DO70,DO68)=1,DO68,DO68+RANK(DP68,DP67:DP70,0)-1))</f>
        <v/>
      </c>
      <c r="DR68" s="13">
        <f>IF(CZ68&gt;0,CG65+RANK(DQ68,DQ67:DQ70,1),)</f>
        <v>0</v>
      </c>
      <c r="DT68" s="13">
        <f>IF(CC68=3,BT68,)</f>
        <v>0</v>
      </c>
      <c r="DU68" s="13">
        <f t="shared" ref="DU68:DU70" si="550">(SUMIF($AF$4:$AF$108,BT68,$BF$4:$BF$108)+SUMIF($AH$4:$AH$108,BT68,$BG$4:$BG$108))</f>
        <v>0</v>
      </c>
      <c r="DV68" s="13">
        <f t="shared" ref="DV68:DV70" si="551">(SUMIF($AF$4:$AF$108,BT68,$BH$4:$BH$108)+SUMIF($AH$4:$AH$108,BT68,$BI$4:$BI$108))</f>
        <v>0</v>
      </c>
      <c r="DW68" s="13">
        <f t="shared" ref="DW68:DW70" si="552">(SUMIF($AF$4:$AF$108,BT68,$BJ$4:$BJ$108)+SUMIF($AH$4:$AH$108,BT68,$BK$4:$BK$108))</f>
        <v>0</v>
      </c>
      <c r="DX68" s="13">
        <f>IFERROR(DU68*3+DV68*1,0)</f>
        <v>0</v>
      </c>
      <c r="DY68" s="13" t="str">
        <f t="shared" ref="DY68:DY70" si="553">CB68</f>
        <v>H</v>
      </c>
      <c r="DZ68" s="13">
        <f>IF(DT68&gt;0,RANK(DX68,DX67:DX70)+CG65+DA65,)</f>
        <v>0</v>
      </c>
      <c r="EA68" s="13">
        <f>IF(AND(DT68&gt;0,COUNTIF(DZ67:DZ70,DZ68)&gt;1),SUMIFS($AI$4:$AI$108,$AF$4:$AF$108,$BT68,$M$4:$M$108,3)+SUMIFS($AK$4:$AK$108,$AH$4:$AH$108,$BT68,$M$4:$M$108,3)-SUMIFS($AK$4:$AK$108,$AF$4:$AF$108,$BT68,$M$4:$M$108,3)-SUMIFS($AI$4:$AI$108,$AH$4:$AH$108,$BT68,$M$4:$M$108,3),)</f>
        <v>0</v>
      </c>
      <c r="EB68" s="13">
        <f>IF(AND(DT68&gt;0,COUNTIF(DZ67:DZ70,DZ68)&gt;1),DZ68+RANK(EA68,EA67:EA70)-1,DZ68)</f>
        <v>0</v>
      </c>
      <c r="EC68" s="13">
        <f>IF(AND(DT68&gt;0,COUNTIF(EB67:EB70,EB68)&gt;1),SUMIFS($AI$4:$AI$108,$AF$4:$AF$108,$BT68,$M$4:$M$108,3)+SUMIFS($AK$4:$AK$108,$AH$4:$AH$108,$BT68,$M$4:$M$108,3),)</f>
        <v>0</v>
      </c>
      <c r="ED68" s="13">
        <f>IF(AND(DT68&gt;0,COUNTIF(EB67:EB70,EB68)&gt;1),EB68+RANK(EC68,EC67:EC70)-1,EB68)</f>
        <v>0</v>
      </c>
      <c r="EE68" s="13" t="str">
        <f t="shared" ref="EE68:EE70" si="554">IF(ED68=0,"",ED68)</f>
        <v/>
      </c>
      <c r="EF68" s="13" t="str">
        <f>IF(OR(EE68="",COUNTIF(EE67:EE70,EE68)=1),"",$BZ68)</f>
        <v/>
      </c>
      <c r="EG68" s="13" t="str">
        <f>IF(EE68="","",IF(COUNTIF(EE67:EE70,EE68)=1,EE68,EE68+RANK(EF68,EF67:EF70,0)-1))</f>
        <v/>
      </c>
      <c r="EH68" s="13" t="str">
        <f>IF(OR(EG68="",COUNTIF(EG67:EG70,EG68)=1),"",$BX68)</f>
        <v/>
      </c>
      <c r="EI68" s="13" t="str">
        <f>IF(EE68="","",IF(COUNTIF(EG67:EG70,EG68)=1,EG68,EG68+RANK(EH68,EH67:EH70,0)-1))</f>
        <v/>
      </c>
      <c r="EJ68" s="13" t="str">
        <f>IF(OR(EI68="",COUNTIF(EI67:EI70,EI68)=1),"",$BU68)</f>
        <v/>
      </c>
      <c r="EK68" s="13" t="str">
        <f>IF(EE68="","",IF(COUNTIF(EI67:EI70,EI68)=1,EI68,EI68+RANK(EJ68,EJ67:EJ70,0)-1))</f>
        <v/>
      </c>
      <c r="EL68" s="13">
        <f>IF(DT68&gt;0,CG65+DA65+RANK(EK68,EK67:EK70,1),)</f>
        <v>0</v>
      </c>
      <c r="EN68" s="13">
        <f>IF(CC68=4,BT68,)</f>
        <v>0</v>
      </c>
      <c r="EO68" s="13">
        <f t="shared" ref="EO68:EO70" si="555">(SUMIF($AF$4:$AF$108,$BT68,$BL$4:$BL$108)+SUMIF($AH$4:$AH$108,$BT68,$BM$4:$BM$108))</f>
        <v>0</v>
      </c>
      <c r="EP68" s="13">
        <f t="shared" ref="EP68:EP70" si="556">(SUMIF($AF$4:$AF$108,$BT68,$BN$4:$BN$108)+SUMIF($AH$4:$AH$108,$BT68,$BO$4:$BO$108))</f>
        <v>0</v>
      </c>
      <c r="EQ68" s="13">
        <f t="shared" ref="EQ68:EQ70" si="557">(SUMIF($AF$4:$AF$108,$BT68,$BP$4:$BP$108)+SUMIF($AH$4:$AH$108,$BT68,$BQ$4:$BQ$108))</f>
        <v>0</v>
      </c>
      <c r="ER68" s="13">
        <f t="shared" ref="ER68:ER70" si="558">IFERROR(EO68*3+EP68*1,0)</f>
        <v>0</v>
      </c>
      <c r="ES68" s="13" t="str">
        <f t="shared" ref="ES68:ES70" si="559">$CB68</f>
        <v>H</v>
      </c>
      <c r="ET68" s="13">
        <f>IF(EN68&gt;0,RANK(ER68,ER67:ER70)+CG65+DA65+DU65,)</f>
        <v>0</v>
      </c>
      <c r="EU68" s="13">
        <f>IF(AND(EN68&gt;0,COUNTIF(ET67:ET70,ET68)&gt;1),SUMIFS($AI$4:$AI$108,$AF$4:$AF$108,$BT68,$M$4:$M$108,4)+SUMIFS($AK$4:$AK$108,$AH$4:$AH$108,$BT68,$M$4:$M$108,4)-SUMIFS($AK$4:$AK$108,$AF$4:$AF$108,$BT68,$M$4:$M$108,4)-SUMIFS($AI$4:$AI$108,$AH$4:$AH$108,$BT68,$M$4:$M$108,4),)</f>
        <v>0</v>
      </c>
      <c r="EV68" s="13">
        <f>IF(AND(EN68&gt;0,COUNTIF(ET67:ET70,ET68)&gt;1),ET68+RANK(EU68,EU67:EU70)-1,ET68)</f>
        <v>0</v>
      </c>
      <c r="EW68" s="13">
        <f t="shared" ref="EW68:EW70" si="560">IF(AND(EN68&gt;0,COUNTIF(EV68:EV71,EV68)&gt;1),SUMIFS($AI$4:$AI$108,$AF$4:$AF$108,$BT68,$M$4:$M$108,4)+SUMIFS($AK$4:$AK$108,$AH$4:$AH$108,$BT68,$M$4:$M$108,4),)</f>
        <v>0</v>
      </c>
      <c r="EX68" s="13">
        <f>IF(AND(EN68&gt;0,COUNTIF(EV67:EV70,EV68)&gt;1),EV68+RANK(EW68,EW67:EW70)-1,EV68)</f>
        <v>0</v>
      </c>
      <c r="EY68" s="13" t="str">
        <f t="shared" ref="EY68:EY70" si="561">IF(EX68=0,"",EX68)</f>
        <v/>
      </c>
      <c r="EZ68" s="13" t="str">
        <f>IF(OR(EY68="",COUNTIF(EY67:EY70,EY68)=1),"",$BZ68)</f>
        <v/>
      </c>
      <c r="FA68" s="13" t="str">
        <f>IF(EY68="","",IF(COUNTIF(EY67:EY70,EY68)=1,EY68,EY68+RANK(EZ68,EZ67:EZ70,0)-1))</f>
        <v/>
      </c>
      <c r="FB68" s="13" t="str">
        <f>IF(OR(FA68="",COUNTIF(FA67:FA70,FA68)=1),"",$BX68)</f>
        <v/>
      </c>
      <c r="FC68" s="13" t="str">
        <f>IF(EY68="","",IF(COUNTIF(FA67:FA70,FA68)=1,FA68,FA68+RANK(FB68,FB67:FB70,0)-1))</f>
        <v/>
      </c>
      <c r="FD68" s="13" t="str">
        <f>IF(OR(FC68="",COUNTIF(FC67:FC70,FC68)=1),"",$BU68)</f>
        <v/>
      </c>
      <c r="FE68" s="13" t="str">
        <f>IF(EY68="","",IF(COUNTIF(FC67:FC70,FC68)=1,FC68,FC68+RANK(FD68,FD67:FD70,0)-1))</f>
        <v/>
      </c>
      <c r="FF68" s="13">
        <f>IF(EN68&gt;0,CG65+DA65+DU65+RANK(FE68,FE67:FE70,1),)</f>
        <v>0</v>
      </c>
      <c r="FH68" s="13">
        <f>IFERROR(VLOOKUP(FJ68,CF66:CX70,19,FALSE),IFERROR(VLOOKUP(FJ68,CZ66:DR70,19,FALSE),IFERROR(VLOOKUP(FJ68,DT66:EL70,19,FALSE),VLOOKUP(FJ68,EN66:FF70,19,FALSE))))</f>
        <v>1</v>
      </c>
      <c r="FI68" s="13">
        <f>RANK(FH68,FH67:FH70,1)+COUNTIF(FH67:FH68,FH68)-1</f>
        <v>2</v>
      </c>
      <c r="FJ68" s="12" t="str">
        <f>BT68</f>
        <v>Kap Verde</v>
      </c>
      <c r="FZ68" s="79">
        <v>66</v>
      </c>
      <c r="GA68" s="3" t="str">
        <f t="shared" si="72"/>
        <v>EJBDHGLI</v>
      </c>
      <c r="GB68" s="3" t="s">
        <v>59</v>
      </c>
      <c r="GC68" s="3" t="s">
        <v>69</v>
      </c>
      <c r="GD68" s="3" t="s">
        <v>57</v>
      </c>
      <c r="GE68" s="3" t="s">
        <v>58</v>
      </c>
      <c r="GF68" s="3" t="s">
        <v>70</v>
      </c>
      <c r="GG68" s="3" t="s">
        <v>60</v>
      </c>
      <c r="GH68" s="3" t="s">
        <v>63</v>
      </c>
      <c r="GI68" s="3" t="s">
        <v>61</v>
      </c>
      <c r="GJ68" s="9" t="str">
        <f t="shared" si="413"/>
        <v>Elfenbenskusten</v>
      </c>
      <c r="GK68" s="9" t="str">
        <f t="shared" si="413"/>
        <v>Österrike</v>
      </c>
      <c r="GL68" s="9" t="str">
        <f t="shared" si="413"/>
        <v>Qatar</v>
      </c>
      <c r="GM68" s="9" t="str">
        <f t="shared" si="413"/>
        <v>Australien</v>
      </c>
      <c r="GN68" s="9" t="str">
        <f t="shared" si="413"/>
        <v>Saudiarabien</v>
      </c>
      <c r="GO68" s="9" t="str">
        <f t="shared" si="413"/>
        <v>Iran</v>
      </c>
      <c r="GP68" s="9" t="str">
        <f t="shared" si="413"/>
        <v>Ghana</v>
      </c>
      <c r="GQ68" s="9" t="str">
        <f t="shared" si="413"/>
        <v>Irak</v>
      </c>
      <c r="GR68" s="9" t="str">
        <f t="shared" si="75"/>
        <v/>
      </c>
      <c r="GX68" s="79"/>
    </row>
    <row r="69" spans="2:206" ht="14.25" customHeight="1" x14ac:dyDescent="0.25">
      <c r="B69" s="58">
        <v>38</v>
      </c>
      <c r="C69" s="59">
        <v>46194</v>
      </c>
      <c r="D69" s="60" t="s">
        <v>120</v>
      </c>
      <c r="E69" s="61" t="s">
        <v>66</v>
      </c>
      <c r="F69" s="62" t="s">
        <v>122</v>
      </c>
      <c r="G69" s="63"/>
      <c r="H69" s="64" t="s">
        <v>66</v>
      </c>
      <c r="I69" s="63"/>
      <c r="J69" s="65" t="str">
        <f t="shared" si="535"/>
        <v/>
      </c>
      <c r="K69" s="66">
        <f>IF(OR(G69="",I69="",'[1]Resultat &amp; tabell'!G69="",'[1]Resultat &amp; tabell'!I69=""),0,IF(G69='[1]Resultat &amp; tabell'!G69,2,0)+IF(I69='[1]Resultat &amp; tabell'!I69,2,0)+IF(J69='[1]Resultat &amp; tabell'!J69,2,0))</f>
        <v>0</v>
      </c>
      <c r="L69" s="67"/>
      <c r="M69" s="29">
        <f t="shared" si="488"/>
        <v>1</v>
      </c>
      <c r="N69" s="30">
        <v>3</v>
      </c>
      <c r="O69" s="83" t="str">
        <f>VLOOKUP(N69,FI67:FJ70,2,FALSE)</f>
        <v>Saudiarabien</v>
      </c>
      <c r="P69" s="84">
        <f t="shared" si="536"/>
        <v>0</v>
      </c>
      <c r="Q69" s="84">
        <f t="shared" si="537"/>
        <v>0</v>
      </c>
      <c r="R69" s="84">
        <f t="shared" si="538"/>
        <v>0</v>
      </c>
      <c r="S69" s="84">
        <f t="shared" si="539"/>
        <v>0</v>
      </c>
      <c r="T69" s="84">
        <f t="shared" si="540"/>
        <v>0</v>
      </c>
      <c r="U69" s="84">
        <f t="shared" si="541"/>
        <v>0</v>
      </c>
      <c r="V69" s="85">
        <f t="shared" si="542"/>
        <v>0</v>
      </c>
      <c r="X69" s="1"/>
      <c r="AE69" s="72">
        <f t="shared" si="489"/>
        <v>46194</v>
      </c>
      <c r="AF69" s="72" t="str">
        <f t="shared" si="489"/>
        <v>Spanien</v>
      </c>
      <c r="AG69" s="72" t="str">
        <f t="shared" si="489"/>
        <v>-</v>
      </c>
      <c r="AH69" s="72" t="str">
        <f t="shared" si="489"/>
        <v>Saudiarabien</v>
      </c>
      <c r="AI69" s="63" t="str">
        <f t="shared" si="490"/>
        <v/>
      </c>
      <c r="AJ69" s="58" t="str">
        <f t="shared" si="491"/>
        <v>-</v>
      </c>
      <c r="AK69" s="63" t="str">
        <f t="shared" si="492"/>
        <v/>
      </c>
      <c r="AL69" s="65" t="str">
        <f t="shared" si="493"/>
        <v/>
      </c>
      <c r="AM69" s="73"/>
      <c r="AN69" s="13">
        <f t="shared" si="494"/>
        <v>0</v>
      </c>
      <c r="AO69" s="13">
        <f t="shared" si="495"/>
        <v>0</v>
      </c>
      <c r="AP69" s="13">
        <f t="shared" si="496"/>
        <v>0</v>
      </c>
      <c r="AQ69" s="13">
        <f t="shared" si="497"/>
        <v>0</v>
      </c>
      <c r="AR69" s="13">
        <f t="shared" si="498"/>
        <v>0</v>
      </c>
      <c r="AS69" s="13">
        <f t="shared" si="499"/>
        <v>0</v>
      </c>
      <c r="AT69" s="13">
        <f t="shared" si="500"/>
        <v>0</v>
      </c>
      <c r="AU69" s="13">
        <f t="shared" si="501"/>
        <v>0</v>
      </c>
      <c r="AV69" s="13">
        <f t="shared" si="502"/>
        <v>0</v>
      </c>
      <c r="AW69" s="13">
        <f t="shared" si="503"/>
        <v>0</v>
      </c>
      <c r="AX69" s="13">
        <f t="shared" si="504"/>
        <v>0</v>
      </c>
      <c r="AY69" s="13">
        <f t="shared" si="505"/>
        <v>0</v>
      </c>
      <c r="AZ69" s="13">
        <f t="shared" si="506"/>
        <v>0</v>
      </c>
      <c r="BA69" s="13">
        <f t="shared" si="507"/>
        <v>0</v>
      </c>
      <c r="BB69" s="13">
        <f t="shared" si="508"/>
        <v>0</v>
      </c>
      <c r="BC69" s="13">
        <f t="shared" si="509"/>
        <v>0</v>
      </c>
      <c r="BD69" s="13">
        <f t="shared" si="510"/>
        <v>0</v>
      </c>
      <c r="BE69" s="13">
        <f t="shared" si="511"/>
        <v>0</v>
      </c>
      <c r="BF69" s="13">
        <f t="shared" si="512"/>
        <v>0</v>
      </c>
      <c r="BG69" s="13">
        <f t="shared" si="513"/>
        <v>0</v>
      </c>
      <c r="BH69" s="13">
        <f t="shared" si="514"/>
        <v>0</v>
      </c>
      <c r="BI69" s="13">
        <f t="shared" si="515"/>
        <v>0</v>
      </c>
      <c r="BJ69" s="13">
        <f t="shared" si="516"/>
        <v>0</v>
      </c>
      <c r="BK69" s="13">
        <f t="shared" si="517"/>
        <v>0</v>
      </c>
      <c r="BL69" s="13">
        <f t="shared" si="518"/>
        <v>0</v>
      </c>
      <c r="BM69" s="13">
        <f t="shared" si="519"/>
        <v>0</v>
      </c>
      <c r="BN69" s="13">
        <f t="shared" si="520"/>
        <v>0</v>
      </c>
      <c r="BO69" s="13">
        <f t="shared" si="521"/>
        <v>0</v>
      </c>
      <c r="BP69" s="13">
        <f t="shared" si="522"/>
        <v>0</v>
      </c>
      <c r="BQ69" s="13">
        <f t="shared" si="523"/>
        <v>0</v>
      </c>
      <c r="BT69" s="12" t="s">
        <v>122</v>
      </c>
      <c r="BU69" s="13">
        <f t="shared" si="524"/>
        <v>0</v>
      </c>
      <c r="BV69" s="13">
        <f t="shared" si="525"/>
        <v>0</v>
      </c>
      <c r="BW69" s="13">
        <f t="shared" si="526"/>
        <v>0</v>
      </c>
      <c r="BX69" s="13">
        <f t="shared" si="527"/>
        <v>0</v>
      </c>
      <c r="BY69" s="13">
        <f t="shared" si="528"/>
        <v>0</v>
      </c>
      <c r="BZ69" s="13">
        <f t="shared" si="529"/>
        <v>0</v>
      </c>
      <c r="CA69" s="13">
        <f t="shared" si="530"/>
        <v>0</v>
      </c>
      <c r="CB69" s="13" t="s">
        <v>70</v>
      </c>
      <c r="CC69" s="74">
        <f>RANK(CA69,CA67:CA70)</f>
        <v>1</v>
      </c>
      <c r="CD69" s="13">
        <f>SUMPRODUCT((CA67:CA70=CA69)*(BZ67:BZ70&gt;BZ69))</f>
        <v>0</v>
      </c>
      <c r="CF69" s="12" t="str">
        <f>IF(CC69=1,BT69,)</f>
        <v>Saudiarabien</v>
      </c>
      <c r="CG69" s="13">
        <f t="shared" si="531"/>
        <v>0</v>
      </c>
      <c r="CH69" s="13">
        <f t="shared" si="532"/>
        <v>0</v>
      </c>
      <c r="CI69" s="13">
        <f t="shared" si="533"/>
        <v>0</v>
      </c>
      <c r="CJ69" s="13">
        <f t="shared" si="534"/>
        <v>0</v>
      </c>
      <c r="CK69" s="13" t="str">
        <f t="shared" si="543"/>
        <v>H</v>
      </c>
      <c r="CL69" s="13">
        <f>IF(CF69&gt;0,RANK(CJ69,CJ67:CJ70),)</f>
        <v>1</v>
      </c>
      <c r="CM69" s="13">
        <f>IF(AND(CF69&gt;0,COUNTIF(CL67:CL70,CL69)&gt;1),SUMIFS($AI$4:$AI$108,$AF$4:$AF$108,$BT69,$M$4:$M$108,1)+SUMIFS($AK$4:$AK$108,$AH$4:$AH$108,$BT69,$M$4:$M$108,1)-SUMIFS($AK$4:$AK$108,$AF$4:$AF$108,$BT69,$M$4:$M$108,1)-SUMIFS($AI$4:$AI$108,$AH$4:$AH$108,$BT69,$M$4:$M$108,1),)</f>
        <v>0</v>
      </c>
      <c r="CN69" s="13">
        <f>IF(AND(CF69&gt;0,COUNTIF(CL67:CL70,CL69)&gt;1),CL69+RANK(CM69,CM67:CM70)-1,CL69)</f>
        <v>1</v>
      </c>
      <c r="CO69" s="13">
        <f>IF(AND(CF69&gt;0,COUNTIF(CN67:CN70,CN69)&gt;1),SUMIFS($AI$4:$AI$108,$AF$4:$AF$108,$BT69,$M$4:$M$108,1)+SUMIFS($AK$4:$AK$108,$AH$4:$AH$108,$BT69,$M$4:$M$108,1),)</f>
        <v>0</v>
      </c>
      <c r="CP69" s="13">
        <f>IF(AND(CF69&gt;0,COUNTIF(CN67:CN70,CN69)&gt;1),CN69+RANK(CO69,CO67:CO70)-1,CN69)</f>
        <v>1</v>
      </c>
      <c r="CQ69" s="13">
        <f t="shared" si="544"/>
        <v>1</v>
      </c>
      <c r="CR69" s="13">
        <f>IF(OR(CQ69="",COUNTIF(CQ67:CQ70,CQ69)=1),"",$BZ69)</f>
        <v>0</v>
      </c>
      <c r="CS69" s="13">
        <f>IF(CQ69="","",IF(COUNTIF(CQ67:CQ70,CQ69)=1,CQ69,CQ69+RANK(CR69,CR67:CR70,0)-1))</f>
        <v>1</v>
      </c>
      <c r="CT69" s="13">
        <f>IF(OR(CS69="",COUNTIF(CS67:CS70,CS69)=1),"",$BX69)</f>
        <v>0</v>
      </c>
      <c r="CU69" s="13">
        <f>IF(CQ69="","",IF(COUNTIF(CS67:CS70,CS69)=1,CS69,CS69+RANK(CT69,CT67:CT70,0)-1))</f>
        <v>1</v>
      </c>
      <c r="CV69" s="13">
        <f>IF(OR(CU69="",COUNTIF(CU67:CU70,CU69)=1),"",$BU69)</f>
        <v>0</v>
      </c>
      <c r="CW69" s="13">
        <f>IF(CQ69="","",IF(COUNTIF(CU67:CU70,CU69)=1,CU69,CU69+RANK(CV69,CV67:CV70,0)-1))</f>
        <v>1</v>
      </c>
      <c r="CX69" s="13">
        <f>IF(CF69&gt;0,BM65+RANK(CW69,CW67:CW70,1),)</f>
        <v>1</v>
      </c>
      <c r="CZ69" s="12">
        <f>IF(CC69=2,BT69,)</f>
        <v>0</v>
      </c>
      <c r="DA69" s="13">
        <f>(SUMIF($AF$4:$AF$108,$BT69,$AZ$4:$AZ$108)+SUMIF($AH$4:$AH$108,$BT69,$BA$4:$BA$108))</f>
        <v>0</v>
      </c>
      <c r="DB69" s="13">
        <f t="shared" si="545"/>
        <v>0</v>
      </c>
      <c r="DC69" s="13">
        <f t="shared" si="546"/>
        <v>0</v>
      </c>
      <c r="DD69" s="13">
        <f t="shared" si="547"/>
        <v>0</v>
      </c>
      <c r="DE69" s="13" t="str">
        <f t="shared" si="548"/>
        <v>H</v>
      </c>
      <c r="DF69" s="13">
        <f>IF(CZ69&gt;0,RANK(DD69,DD67:DD70)+CG65,)</f>
        <v>0</v>
      </c>
      <c r="DG69" s="13">
        <f>IF(AND(CZ69&gt;0,COUNTIF(DF67:DF70,DF69)&gt;1),SUMIFS($AI$4:$AI$108,$AF$4:$AF$108,$BT69,$M$4:$M$108,2)+SUMIFS($AK$4:$AK$108,$AH$4:$AH108,$BT69,$M$4:$M$108,2)-SUMIFS($AK$4:$AK$108,$AF$4:$AF$108,$BT69,$M$4:$M$108,2)-SUMIFS($AI$4:$AI$108,$AH$4:$AH$108,$BT69,$M$4:$M$108,2),)</f>
        <v>0</v>
      </c>
      <c r="DH69" s="13">
        <f>IF(AND(CZ69&gt;0,COUNTIF(DF67:DF70,DF69)&gt;1),DF69+RANK(DG69,DG67:DG70)-1,DF69)</f>
        <v>0</v>
      </c>
      <c r="DI69" s="13">
        <f>IF(AND(CZ69&gt;0,COUNTIF(DH67:DH70,DH69)&gt;1),SUMIFS($AI$4:$AI$108,$AF$4:$AF$108,$BT69,$M$4:$M$108,2)+SUMIFS($AK$4:$AK$108,$AH$4:$AH$108,$BT69,$M$4:$M$108,2),)</f>
        <v>0</v>
      </c>
      <c r="DJ69" s="13">
        <f>IF(AND(CZ69&gt;0,COUNTIF(DH67:DH70,DH69)&gt;1),DH69+RANK(DI69,DI67:DI70)-1,DH69)</f>
        <v>0</v>
      </c>
      <c r="DK69" s="75" t="str">
        <f t="shared" si="549"/>
        <v/>
      </c>
      <c r="DL69" s="75" t="str">
        <f>IF(OR(DK69="",COUNTIF(DK67:DK70,DK69)=1),"",$BZ69)</f>
        <v/>
      </c>
      <c r="DM69" s="75" t="str">
        <f>IF(DK69="","",IF(COUNTIF(DK67:DK70,DK69)=1,DK69,DK69+RANK(DL69,DL67:DL70,0)-1))</f>
        <v/>
      </c>
      <c r="DN69" s="75" t="str">
        <f>IF(OR(DM69="",COUNTIF(DM67:DM70,DM69)=1),"",$BX69)</f>
        <v/>
      </c>
      <c r="DO69" s="75" t="str">
        <f>IF(DK69="","",IF(COUNTIF(DM67:DM70,DM69)=1,DM69,DM69+RANK(DN69,DN67:DN70,0)-1))</f>
        <v/>
      </c>
      <c r="DP69" s="75" t="str">
        <f>IF(OR(DO69="",COUNTIF(DO67:DO70,DO69)=1),"",$BU69)</f>
        <v/>
      </c>
      <c r="DQ69" s="75" t="str">
        <f>IF(DK69="","",IF(COUNTIF(DO67:DO70,DO69)=1,DO69,DO69+RANK(DP69,DP67:DP70,0)-1))</f>
        <v/>
      </c>
      <c r="DR69" s="13">
        <f>IF(CZ69&gt;0,CG65+RANK(DQ69,DQ67:DQ70,1),)</f>
        <v>0</v>
      </c>
      <c r="DT69" s="13">
        <f>IF(CC69=3,BT69,)</f>
        <v>0</v>
      </c>
      <c r="DU69" s="13">
        <f t="shared" si="550"/>
        <v>0</v>
      </c>
      <c r="DV69" s="13">
        <f t="shared" si="551"/>
        <v>0</v>
      </c>
      <c r="DW69" s="13">
        <f t="shared" si="552"/>
        <v>0</v>
      </c>
      <c r="DX69" s="13">
        <f>IFERROR(DU69*3+DV69*1,0)</f>
        <v>0</v>
      </c>
      <c r="DY69" s="13" t="str">
        <f t="shared" si="553"/>
        <v>H</v>
      </c>
      <c r="DZ69" s="13">
        <f>IF(DT69&gt;0,RANK(DX69,DX67:DX70)+CG65+DA65,)</f>
        <v>0</v>
      </c>
      <c r="EA69" s="13">
        <f>IF(AND(DT69&gt;0,COUNTIF(DZ67:DZ70,DZ69)&gt;1),SUMIFS($AI$4:$AI$108,$AF$4:$AF$108,$BT69,$M$4:$M$108,3)+SUMIFS($AK$4:$AK$108,$AH$4:$AH$108,$BT69,$M$4:$M$108,3)-SUMIFS($AK$4:$AK$108,$AF$4:$AF$108,$BT69,$M$4:$M$108,3)-SUMIFS($AI$4:$AI$108,$AH$4:$AH$108,$BT69,$M$4:$M$108,3),)</f>
        <v>0</v>
      </c>
      <c r="EB69" s="13">
        <f>IF(AND(DT69&gt;0,COUNTIF(DZ67:DZ70,DZ69)&gt;1),DZ69+RANK(EA69,EA67:EA70)-1,DZ69)</f>
        <v>0</v>
      </c>
      <c r="EC69" s="13">
        <f>IF(AND(DT69&gt;0,COUNTIF(EB67:EB70,EB69)&gt;1),SUMIFS($AI$4:$AI$108,$AF$4:$AF$108,$BT69,$M$4:$M$108,3)+SUMIFS($AK$4:$AK$108,$AH$4:$AH$108,$BT69,$M$4:$M$108,3),)</f>
        <v>0</v>
      </c>
      <c r="ED69" s="13">
        <f>IF(AND(DT69&gt;0,COUNTIF(EB67:EB70,EB69)&gt;1),EB69+RANK(EC69,EC67:EC70)-1,EB69)</f>
        <v>0</v>
      </c>
      <c r="EE69" s="13" t="str">
        <f t="shared" si="554"/>
        <v/>
      </c>
      <c r="EF69" s="13" t="str">
        <f>IF(OR(EE69="",COUNTIF(EE67:EE70,EE69)=1),"",$BZ69)</f>
        <v/>
      </c>
      <c r="EG69" s="13" t="str">
        <f>IF(EE69="","",IF(COUNTIF(EE67:EE70,EE69)=1,EE69,EE69+RANK(EF69,EF67:EF70,0)-1))</f>
        <v/>
      </c>
      <c r="EH69" s="13" t="str">
        <f>IF(OR(EG69="",COUNTIF(EG67:EG70,EG69)=1),"",$BX69)</f>
        <v/>
      </c>
      <c r="EI69" s="13" t="str">
        <f>IF(EE69="","",IF(COUNTIF(EG67:EG70,EG69)=1,EG69,EG69+RANK(EH69,EH67:EH70,0)-1))</f>
        <v/>
      </c>
      <c r="EJ69" s="13" t="str">
        <f>IF(OR(EI69="",COUNTIF(EI67:EI70,EI69)=1),"",$BU69)</f>
        <v/>
      </c>
      <c r="EK69" s="13" t="str">
        <f>IF(EE69="","",IF(COUNTIF(EI67:EI70,EI69)=1,EI69,EI69+RANK(EJ69,EJ67:EJ70,0)-1))</f>
        <v/>
      </c>
      <c r="EL69" s="13">
        <f>IF(DT69&gt;0,CG65+DA65+RANK(EK69,EK67:EK70,1),)</f>
        <v>0</v>
      </c>
      <c r="EN69" s="13">
        <f>IF(CC69=4,BT69,)</f>
        <v>0</v>
      </c>
      <c r="EO69" s="13">
        <f t="shared" si="555"/>
        <v>0</v>
      </c>
      <c r="EP69" s="13">
        <f t="shared" si="556"/>
        <v>0</v>
      </c>
      <c r="EQ69" s="13">
        <f t="shared" si="557"/>
        <v>0</v>
      </c>
      <c r="ER69" s="13">
        <f t="shared" si="558"/>
        <v>0</v>
      </c>
      <c r="ES69" s="13" t="str">
        <f t="shared" si="559"/>
        <v>H</v>
      </c>
      <c r="ET69" s="13">
        <f>IF(EN69&gt;0,RANK(ER69,ER67:ER70)+CG65+DA65+DU65,)</f>
        <v>0</v>
      </c>
      <c r="EU69" s="13">
        <f>IF(AND(EN69&gt;0,COUNTIF(ET67:ET70,ET69)&gt;1),SUMIFS($AI$4:$AI$108,$AF$4:$AF$108,$BT69,$M$4:$M$108,4)+SUMIFS($AK$4:$AK$108,$AH$4:$AH$108,$BT69,$M$4:$M$108,4)-SUMIFS($AK$4:$AK$108,$AF$4:$AF$108,$BT69,$M$4:$M$108,4)-SUMIFS($AI$4:$AI$108,$AH$4:$AH$108,$BT69,$M$4:$M$108,4),)</f>
        <v>0</v>
      </c>
      <c r="EV69" s="13">
        <f>IF(AND(EN69&gt;0,COUNTIF(ET67:ET70,ET69)&gt;1),ET69+RANK(EU69,EU67:EU70)-1,ET69)</f>
        <v>0</v>
      </c>
      <c r="EW69" s="13">
        <f t="shared" si="560"/>
        <v>0</v>
      </c>
      <c r="EX69" s="13">
        <f>IF(AND(EN69&gt;0,COUNTIF(EV67:EV70,EV69)&gt;1),EV69+RANK(EW69,EW67:EW70)-1,EV69)</f>
        <v>0</v>
      </c>
      <c r="EY69" s="13" t="str">
        <f t="shared" si="561"/>
        <v/>
      </c>
      <c r="EZ69" s="13" t="str">
        <f>IF(OR(EY69="",COUNTIF(EY67:EY70,EY69)=1),"",$BZ69)</f>
        <v/>
      </c>
      <c r="FA69" s="13" t="str">
        <f>IF(EY69="","",IF(COUNTIF(EY67:EY70,EY69)=1,EY69,EY69+RANK(EZ69,EZ67:EZ70,0)-1))</f>
        <v/>
      </c>
      <c r="FB69" s="13" t="str">
        <f>IF(OR(FA69="",COUNTIF(FA67:FA70,FA69)=1),"",$BX69)</f>
        <v/>
      </c>
      <c r="FC69" s="13" t="str">
        <f>IF(EY69="","",IF(COUNTIF(FA67:FA70,FA69)=1,FA69,FA69+RANK(FB69,FB67:FB70,0)-1))</f>
        <v/>
      </c>
      <c r="FD69" s="13" t="str">
        <f>IF(OR(FC69="",COUNTIF(FC67:FC70,FC69)=1),"",$BU69)</f>
        <v/>
      </c>
      <c r="FE69" s="13" t="str">
        <f>IF(EY69="","",IF(COUNTIF(FC67:FC70,FC69)=1,FC69,FC69+RANK(FD69,FD67:FD70,0)-1))</f>
        <v/>
      </c>
      <c r="FF69" s="13">
        <f>IF(EN69&gt;0,CG65+DA65+DU65+RANK(FE69,FE67:FE70,1),)</f>
        <v>0</v>
      </c>
      <c r="FH69" s="13">
        <f>IFERROR(VLOOKUP(FJ69,CF66:CX70,19,FALSE),IFERROR(VLOOKUP(FJ69,CZ66:DR70,19,FALSE),IFERROR(VLOOKUP(FJ69,DT66:EL70,19,FALSE),VLOOKUP(FJ69,EN66:FF70,19,FALSE))))</f>
        <v>1</v>
      </c>
      <c r="FI69" s="13">
        <f>RANK(FH69,FH67:FH70,1)+COUNTIF(FH67:FH69,FH69)-1</f>
        <v>3</v>
      </c>
      <c r="FJ69" s="12" t="str">
        <f>BT69</f>
        <v>Saudiarabien</v>
      </c>
      <c r="FZ69" s="79">
        <v>67</v>
      </c>
      <c r="GA69" s="3" t="str">
        <f t="shared" ref="GA69:GA132" si="562">GB69&amp;GC69&amp;GD69&amp;GE69&amp;GF69&amp;GG69&amp;GH69&amp;GI69</f>
        <v>EJBDHGIK</v>
      </c>
      <c r="GB69" s="3" t="s">
        <v>59</v>
      </c>
      <c r="GC69" s="3" t="s">
        <v>69</v>
      </c>
      <c r="GD69" s="3" t="s">
        <v>57</v>
      </c>
      <c r="GE69" s="3" t="s">
        <v>58</v>
      </c>
      <c r="GF69" s="3" t="s">
        <v>70</v>
      </c>
      <c r="GG69" s="3" t="s">
        <v>60</v>
      </c>
      <c r="GH69" s="3" t="s">
        <v>61</v>
      </c>
      <c r="GI69" s="3" t="s">
        <v>62</v>
      </c>
      <c r="GJ69" s="9" t="str">
        <f t="shared" si="413"/>
        <v>Elfenbenskusten</v>
      </c>
      <c r="GK69" s="9" t="str">
        <f t="shared" si="413"/>
        <v>Österrike</v>
      </c>
      <c r="GL69" s="9" t="str">
        <f t="shared" si="413"/>
        <v>Qatar</v>
      </c>
      <c r="GM69" s="9" t="str">
        <f t="shared" si="413"/>
        <v>Australien</v>
      </c>
      <c r="GN69" s="9" t="str">
        <f t="shared" si="413"/>
        <v>Saudiarabien</v>
      </c>
      <c r="GO69" s="9" t="str">
        <f t="shared" si="413"/>
        <v>Iran</v>
      </c>
      <c r="GP69" s="9" t="str">
        <f t="shared" si="413"/>
        <v>Irak</v>
      </c>
      <c r="GQ69" s="9" t="str">
        <f t="shared" si="413"/>
        <v>Uzbekistan</v>
      </c>
      <c r="GR69" s="9" t="str">
        <f t="shared" si="75"/>
        <v/>
      </c>
      <c r="GX69" s="79"/>
    </row>
    <row r="70" spans="2:206" ht="14.25" customHeight="1" x14ac:dyDescent="0.25">
      <c r="B70" s="58">
        <v>37</v>
      </c>
      <c r="C70" s="59">
        <v>46195</v>
      </c>
      <c r="D70" s="60" t="s">
        <v>123</v>
      </c>
      <c r="E70" s="61" t="s">
        <v>66</v>
      </c>
      <c r="F70" s="62" t="s">
        <v>121</v>
      </c>
      <c r="G70" s="63"/>
      <c r="H70" s="64" t="s">
        <v>66</v>
      </c>
      <c r="I70" s="63"/>
      <c r="J70" s="65" t="str">
        <f t="shared" si="535"/>
        <v/>
      </c>
      <c r="K70" s="66">
        <f>IF(OR(G70="",I70="",'[1]Resultat &amp; tabell'!G70="",'[1]Resultat &amp; tabell'!I70=""),0,IF(G70='[1]Resultat &amp; tabell'!G70,2,0)+IF(I70='[1]Resultat &amp; tabell'!I70,2,0)+IF(J70='[1]Resultat &amp; tabell'!J70,2,0))</f>
        <v>0</v>
      </c>
      <c r="L70" s="67"/>
      <c r="M70" s="29">
        <f t="shared" si="488"/>
        <v>1</v>
      </c>
      <c r="N70" s="30">
        <v>4</v>
      </c>
      <c r="O70" s="86" t="str">
        <f>VLOOKUP(N70,FI67:FJ70,2,FALSE)</f>
        <v>Uruguay</v>
      </c>
      <c r="P70" s="87">
        <f t="shared" si="536"/>
        <v>0</v>
      </c>
      <c r="Q70" s="87">
        <f t="shared" si="537"/>
        <v>0</v>
      </c>
      <c r="R70" s="87">
        <f t="shared" si="538"/>
        <v>0</v>
      </c>
      <c r="S70" s="87">
        <f t="shared" si="539"/>
        <v>0</v>
      </c>
      <c r="T70" s="87">
        <f t="shared" si="540"/>
        <v>0</v>
      </c>
      <c r="U70" s="87">
        <f t="shared" si="541"/>
        <v>0</v>
      </c>
      <c r="V70" s="82">
        <f t="shared" si="542"/>
        <v>0</v>
      </c>
      <c r="X70" s="1"/>
      <c r="AE70" s="72">
        <f t="shared" si="489"/>
        <v>46195</v>
      </c>
      <c r="AF70" s="72" t="str">
        <f t="shared" si="489"/>
        <v>Uruguay</v>
      </c>
      <c r="AG70" s="72" t="str">
        <f t="shared" si="489"/>
        <v>-</v>
      </c>
      <c r="AH70" s="72" t="str">
        <f t="shared" si="489"/>
        <v>Kap Verde</v>
      </c>
      <c r="AI70" s="63" t="str">
        <f t="shared" si="490"/>
        <v/>
      </c>
      <c r="AJ70" s="58" t="str">
        <f t="shared" si="491"/>
        <v>-</v>
      </c>
      <c r="AK70" s="63" t="str">
        <f t="shared" si="492"/>
        <v/>
      </c>
      <c r="AL70" s="65" t="str">
        <f t="shared" si="493"/>
        <v/>
      </c>
      <c r="AM70" s="73"/>
      <c r="AN70" s="13">
        <f t="shared" si="494"/>
        <v>0</v>
      </c>
      <c r="AO70" s="13">
        <f t="shared" si="495"/>
        <v>0</v>
      </c>
      <c r="AP70" s="13">
        <f t="shared" si="496"/>
        <v>0</v>
      </c>
      <c r="AQ70" s="13">
        <f t="shared" si="497"/>
        <v>0</v>
      </c>
      <c r="AR70" s="13">
        <f t="shared" si="498"/>
        <v>0</v>
      </c>
      <c r="AS70" s="13">
        <f t="shared" si="499"/>
        <v>0</v>
      </c>
      <c r="AT70" s="13">
        <f t="shared" si="500"/>
        <v>0</v>
      </c>
      <c r="AU70" s="13">
        <f t="shared" si="501"/>
        <v>0</v>
      </c>
      <c r="AV70" s="13">
        <f t="shared" si="502"/>
        <v>0</v>
      </c>
      <c r="AW70" s="13">
        <f t="shared" si="503"/>
        <v>0</v>
      </c>
      <c r="AX70" s="13">
        <f t="shared" si="504"/>
        <v>0</v>
      </c>
      <c r="AY70" s="13">
        <f t="shared" si="505"/>
        <v>0</v>
      </c>
      <c r="AZ70" s="13">
        <f t="shared" si="506"/>
        <v>0</v>
      </c>
      <c r="BA70" s="13">
        <f t="shared" si="507"/>
        <v>0</v>
      </c>
      <c r="BB70" s="13">
        <f t="shared" si="508"/>
        <v>0</v>
      </c>
      <c r="BC70" s="13">
        <f t="shared" si="509"/>
        <v>0</v>
      </c>
      <c r="BD70" s="13">
        <f t="shared" si="510"/>
        <v>0</v>
      </c>
      <c r="BE70" s="13">
        <f t="shared" si="511"/>
        <v>0</v>
      </c>
      <c r="BF70" s="13">
        <f t="shared" si="512"/>
        <v>0</v>
      </c>
      <c r="BG70" s="13">
        <f t="shared" si="513"/>
        <v>0</v>
      </c>
      <c r="BH70" s="13">
        <f t="shared" si="514"/>
        <v>0</v>
      </c>
      <c r="BI70" s="13">
        <f t="shared" si="515"/>
        <v>0</v>
      </c>
      <c r="BJ70" s="13">
        <f t="shared" si="516"/>
        <v>0</v>
      </c>
      <c r="BK70" s="13">
        <f t="shared" si="517"/>
        <v>0</v>
      </c>
      <c r="BL70" s="13">
        <f t="shared" si="518"/>
        <v>0</v>
      </c>
      <c r="BM70" s="13">
        <f t="shared" si="519"/>
        <v>0</v>
      </c>
      <c r="BN70" s="13">
        <f t="shared" si="520"/>
        <v>0</v>
      </c>
      <c r="BO70" s="13">
        <f t="shared" si="521"/>
        <v>0</v>
      </c>
      <c r="BP70" s="13">
        <f t="shared" si="522"/>
        <v>0</v>
      </c>
      <c r="BQ70" s="13">
        <f t="shared" si="523"/>
        <v>0</v>
      </c>
      <c r="BT70" s="88" t="s">
        <v>123</v>
      </c>
      <c r="BU70" s="13">
        <f t="shared" si="524"/>
        <v>0</v>
      </c>
      <c r="BV70" s="13">
        <f t="shared" si="525"/>
        <v>0</v>
      </c>
      <c r="BW70" s="13">
        <f t="shared" si="526"/>
        <v>0</v>
      </c>
      <c r="BX70" s="13">
        <f t="shared" si="527"/>
        <v>0</v>
      </c>
      <c r="BY70" s="13">
        <f t="shared" si="528"/>
        <v>0</v>
      </c>
      <c r="BZ70" s="13">
        <f t="shared" si="529"/>
        <v>0</v>
      </c>
      <c r="CA70" s="13">
        <f t="shared" si="530"/>
        <v>0</v>
      </c>
      <c r="CB70" s="89" t="s">
        <v>70</v>
      </c>
      <c r="CC70" s="74">
        <f>RANK(CA70,CA67:CA70)</f>
        <v>1</v>
      </c>
      <c r="CD70" s="13">
        <f>SUMPRODUCT((CA67:CA70=CA70)*(BZ67:BZ70&gt;BZ70))</f>
        <v>0</v>
      </c>
      <c r="CF70" s="88" t="str">
        <f>IF(CC70=1,BT70,)</f>
        <v>Uruguay</v>
      </c>
      <c r="CG70" s="13">
        <f t="shared" si="531"/>
        <v>0</v>
      </c>
      <c r="CH70" s="13">
        <f t="shared" si="532"/>
        <v>0</v>
      </c>
      <c r="CI70" s="13">
        <f t="shared" si="533"/>
        <v>0</v>
      </c>
      <c r="CJ70" s="13">
        <f t="shared" si="534"/>
        <v>0</v>
      </c>
      <c r="CK70" s="13" t="str">
        <f t="shared" si="543"/>
        <v>H</v>
      </c>
      <c r="CL70" s="13">
        <f>IF(CF70&gt;0,RANK(CJ70,CJ67:CJ70),)</f>
        <v>1</v>
      </c>
      <c r="CM70" s="13">
        <f>IF(AND(CF70&gt;0,COUNTIF(CL67:CL70,CL70)&gt;1),SUMIFS($AI$4:$AI$108,$AF$4:$AF$108,$BT70,$M$4:$M$108,1)+SUMIFS($AK$4:$AK$108,$AH$4:$AH$108,$BT70,$M$4:$M$108,1)-SUMIFS($AK$4:$AK$108,$AF$4:$AF$108,$BT70,$M$4:$M$108,1)-SUMIFS($AI$4:$AI$108,$AH$4:$AH$108,$BT70,$M$4:$M$108,1),)</f>
        <v>0</v>
      </c>
      <c r="CN70" s="13">
        <f>IF(AND(CF70&gt;0,COUNTIF(CL67:CL70,CL70)&gt;1),CL70+RANK(CM70,CM67:CM70)-1,CL70)</f>
        <v>1</v>
      </c>
      <c r="CO70" s="13">
        <f>IF(AND(CF70&gt;0,COUNTIF(CN67:CN70,CN70)&gt;1),SUMIFS($AI$4:$AI$108,$AF$4:$AF$108,$BT70,$M$4:$M$108,1)+SUMIFS($AK$4:$AK$108,$AH$4:$AH$108,$BT70,$M$4:$M$108,1),)</f>
        <v>0</v>
      </c>
      <c r="CP70" s="13">
        <f>IF(AND(CF70&gt;0,COUNTIF(CN67:CN70,CN70)&gt;1),CN70+RANK(CO70,CO67:CO70)-1,CN70)</f>
        <v>1</v>
      </c>
      <c r="CQ70" s="13">
        <f t="shared" si="544"/>
        <v>1</v>
      </c>
      <c r="CR70" s="13">
        <f>IF(OR(CQ70="",COUNTIF(CQ67:CQ70,CQ70)=1),"",$BZ70)</f>
        <v>0</v>
      </c>
      <c r="CS70" s="13">
        <f>IF(CQ70="","",IF(COUNTIF(CQ67:CQ70,CQ70)=1,CQ70,CQ70+RANK(CR70,CR67:CR70,0)-1))</f>
        <v>1</v>
      </c>
      <c r="CT70" s="13">
        <f>IF(OR(CS70="",COUNTIF(CS67:CS70,CS70)=1),"",$BX70)</f>
        <v>0</v>
      </c>
      <c r="CU70" s="13">
        <f>IF(CQ70="","",IF(COUNTIF(CS67:CS70,CS70)=1,CS70,CS70+RANK(CT70,CT67:CT70,0)-1))</f>
        <v>1</v>
      </c>
      <c r="CV70" s="13">
        <f>IF(OR(CU70="",COUNTIF(CU67:CU70,CU70)=1),"",$BU70)</f>
        <v>0</v>
      </c>
      <c r="CW70" s="13">
        <f>IF(CQ70="","",IF(COUNTIF(CU67:CU70,CU70)=1,CU70,CU70+RANK(CV70,CV67:CV70,0)-1))</f>
        <v>1</v>
      </c>
      <c r="CX70" s="13">
        <f>IF(CF70&gt;0,BM65+RANK(CW70,CW67:CW70,1),)</f>
        <v>1</v>
      </c>
      <c r="CZ70" s="88">
        <f>IF(CC70=2,BT70,)</f>
        <v>0</v>
      </c>
      <c r="DA70" s="13">
        <f>(SUMIF($AF$4:$AF$108,$BT70,$AZ$4:$AZ$108)+SUMIF($AH$4:$AH$108,$BT70,$BA$4:$BA$108))</f>
        <v>0</v>
      </c>
      <c r="DB70" s="13">
        <f t="shared" si="545"/>
        <v>0</v>
      </c>
      <c r="DC70" s="13">
        <f t="shared" si="546"/>
        <v>0</v>
      </c>
      <c r="DD70" s="13">
        <f t="shared" si="547"/>
        <v>0</v>
      </c>
      <c r="DE70" s="13" t="str">
        <f t="shared" si="548"/>
        <v>H</v>
      </c>
      <c r="DF70" s="13">
        <f>IF(CZ70&gt;0,RANK(DD70,DD67:DD70)+CG65,)</f>
        <v>0</v>
      </c>
      <c r="DG70" s="13">
        <f>IF(AND(CZ70&gt;0,COUNTIF(DF67:DF70,DF70)&gt;1),SUMIFS($AI$4:$AI$108,$AF$4:$AF$108,$BT70,$M$4:$M$108,2)+SUMIFS($AK$4:$AK$108,$AH$4:$AH108,$BT70,$M$4:$M$108,2)-SUMIFS($AK$4:$AK$108,$AF$4:$AF$108,$BT70,$M$4:$M$108,2)-SUMIFS($AI$4:$AI$108,$AH$4:$AH$108,$BT70,$M$4:$M$108,2),)</f>
        <v>0</v>
      </c>
      <c r="DH70" s="13">
        <f>IF(AND(CZ70&gt;0,COUNTIF(DF67:DF70,DF70)&gt;1),DF70+RANK(DG70,DG67:DG70)-1,DF70)</f>
        <v>0</v>
      </c>
      <c r="DI70" s="13">
        <f>IF(AND(CZ70&gt;0,COUNTIF(DH67:DH70,DH70)&gt;1),SUMIFS($AI$4:$AI$108,$AF$4:$AF$108,$BT70,$M$4:$M$108,2)+SUMIFS($AK$4:$AK$108,$AH$4:$AH$108,$BT70,$M$4:$M$108,2),)</f>
        <v>0</v>
      </c>
      <c r="DJ70" s="13">
        <f>IF(AND(CZ70&gt;0,COUNTIF(DH67:DH70,DH70)&gt;1),DH70+RANK(DI70,DI67:DI70)-1,DH70)</f>
        <v>0</v>
      </c>
      <c r="DK70" s="75" t="str">
        <f t="shared" si="549"/>
        <v/>
      </c>
      <c r="DL70" s="75" t="str">
        <f>IF(OR(DK70="",COUNTIF(DK67:DK70,DK70)=1),"",$BZ70)</f>
        <v/>
      </c>
      <c r="DM70" s="75" t="str">
        <f>IF(DK70="","",IF(COUNTIF(DK67:DK70,DK70)=1,DK70,DK70+RANK(DL70,DL67:DL70,0)-1))</f>
        <v/>
      </c>
      <c r="DN70" s="75" t="str">
        <f>IF(OR(DM70="",COUNTIF(DM67:DM70,DM70)=1),"",$BX70)</f>
        <v/>
      </c>
      <c r="DO70" s="75" t="str">
        <f>IF(DK70="","",IF(COUNTIF(DM67:DM70,DM70)=1,DM70,DM70+RANK(DN70,DN67:DN70,0)-1))</f>
        <v/>
      </c>
      <c r="DP70" s="75" t="str">
        <f>IF(OR(DO70="",COUNTIF(DO67:DO70,DO70)=1),"",$BU70)</f>
        <v/>
      </c>
      <c r="DQ70" s="75" t="str">
        <f>IF(DK70="","",IF(COUNTIF(DO67:DO70,DO70)=1,DO70,DO70+RANK(DP70,DP67:DP70,0)-1))</f>
        <v/>
      </c>
      <c r="DR70" s="13">
        <f>IF(CZ70&gt;0,CG65+RANK(DQ70,DQ67:DQ70,1),)</f>
        <v>0</v>
      </c>
      <c r="DT70" s="89">
        <f>IF(CC70=3,BT70,)</f>
        <v>0</v>
      </c>
      <c r="DU70" s="13">
        <f t="shared" si="550"/>
        <v>0</v>
      </c>
      <c r="DV70" s="13">
        <f t="shared" si="551"/>
        <v>0</v>
      </c>
      <c r="DW70" s="13">
        <f t="shared" si="552"/>
        <v>0</v>
      </c>
      <c r="DX70" s="13">
        <f>IFERROR(DU70*3+DV70*1,0)</f>
        <v>0</v>
      </c>
      <c r="DY70" s="13" t="str">
        <f t="shared" si="553"/>
        <v>H</v>
      </c>
      <c r="DZ70" s="13">
        <f>IF(DT70&gt;0,RANK(DX70,DX67:DX70)+CG65+DA65,)</f>
        <v>0</v>
      </c>
      <c r="EA70" s="13">
        <f>IF(AND(DT70&gt;0,COUNTIF(DZ67:DZ70,DZ70)&gt;1),SUMIFS($AI$4:$AI$108,$AF$4:$AF$108,$BT70,$M$4:$M$108,3)+SUMIFS($AK$4:$AK$108,$AH$4:$AH$108,$BT70,$M$4:$M$108,3)-SUMIFS($AK$4:$AK$108,$AF$4:$AF$108,$BT70,$M$4:$M$108,3)-SUMIFS($AI$4:$AI$108,$AH$4:$AH$108,$BT70,$M$4:$M$108,3),)</f>
        <v>0</v>
      </c>
      <c r="EB70" s="13">
        <f>IF(AND(DT70&gt;0,COUNTIF(DZ67:DZ70,DZ70)&gt;1),DZ70+RANK(EA70,EA67:EA70)-1,DZ70)</f>
        <v>0</v>
      </c>
      <c r="EC70" s="13">
        <f>IF(AND(DT70&gt;0,COUNTIF(EB67:EB70,EB70)&gt;1),SUMIFS($AI$4:$AI$108,$AF$4:$AF$108,$BT70,$M$4:$M$108,3)+SUMIFS($AK$4:$AK$108,$AH$4:$AH$108,$BT70,$M$4:$M$108,3),)</f>
        <v>0</v>
      </c>
      <c r="ED70" s="13">
        <f>IF(AND(DT70&gt;0,COUNTIF(EB67:EB70,EB70)&gt;1),EB70+RANK(EC70,EC67:EC70)-1,EB70)</f>
        <v>0</v>
      </c>
      <c r="EE70" s="13" t="str">
        <f t="shared" si="554"/>
        <v/>
      </c>
      <c r="EF70" s="13" t="str">
        <f>IF(OR(EE70="",COUNTIF(EE67:EE70,EE70)=1),"",$BZ70)</f>
        <v/>
      </c>
      <c r="EG70" s="13" t="str">
        <f>IF(EE70="","",IF(COUNTIF(EE67:EE70,EE70)=1,EE70,EE70+RANK(EF70,EF67:EF70,0)-1))</f>
        <v/>
      </c>
      <c r="EH70" s="13" t="str">
        <f>IF(OR(EG70="",COUNTIF(EG67:EG70,EG70)=1),"",$BX70)</f>
        <v/>
      </c>
      <c r="EI70" s="13" t="str">
        <f>IF(EE70="","",IF(COUNTIF(EG67:EG70,EG70)=1,EG70,EG70+RANK(EH70,EH67:EH70,0)-1))</f>
        <v/>
      </c>
      <c r="EJ70" s="13" t="str">
        <f>IF(OR(EI70="",COUNTIF(EI67:EI70,EI70)=1),"",$BU70)</f>
        <v/>
      </c>
      <c r="EK70" s="13" t="str">
        <f>IF(EE70="","",IF(COUNTIF(EI67:EI70,EI70)=1,EI70,EI70+RANK(EJ70,EJ67:EJ70,0)-1))</f>
        <v/>
      </c>
      <c r="EL70" s="13">
        <f>IF(DT70&gt;0,CG65+DA65+RANK(EK70,EK67:EK70,1),)</f>
        <v>0</v>
      </c>
      <c r="EN70" s="13">
        <f>IF(CC70=4,BT70,)</f>
        <v>0</v>
      </c>
      <c r="EO70" s="13">
        <f t="shared" si="555"/>
        <v>0</v>
      </c>
      <c r="EP70" s="13">
        <f t="shared" si="556"/>
        <v>0</v>
      </c>
      <c r="EQ70" s="13">
        <f t="shared" si="557"/>
        <v>0</v>
      </c>
      <c r="ER70" s="13">
        <f t="shared" si="558"/>
        <v>0</v>
      </c>
      <c r="ES70" s="13" t="str">
        <f t="shared" si="559"/>
        <v>H</v>
      </c>
      <c r="ET70" s="13">
        <f>IF(EN70&gt;0,RANK(ER70,ER67:ER70)+CG65+DA65+DU65,)</f>
        <v>0</v>
      </c>
      <c r="EU70" s="13">
        <f>IF(AND(EN70&gt;0,COUNTIF(ET67:ET70,ET70)&gt;1),SUMIFS($AI$4:$AI$108,$AF$4:$AF$108,$BT70,$M$4:$M$108,4)+SUMIFS($AK$4:$AK$108,$AH$4:$AH$108,$BT70,$M$4:$M$108,4)-SUMIFS($AK$4:$AK$108,$AF$4:$AF$108,$BT70,$M$4:$M$108,4)-SUMIFS($AI$4:$AI$108,$AH$4:$AH$108,$BT70,$M$4:$M$108,4),)</f>
        <v>0</v>
      </c>
      <c r="EV70" s="13">
        <f>IF(AND(EN70&gt;0,COUNTIF(ET67:ET70,ET70)&gt;1),ET70+RANK(EU70,EU67:EU70)-1,ET70)</f>
        <v>0</v>
      </c>
      <c r="EW70" s="13">
        <f t="shared" si="560"/>
        <v>0</v>
      </c>
      <c r="EX70" s="13">
        <f>IF(AND(EN70&gt;0,COUNTIF(EV67:EV70,EV70)&gt;1),EV70+RANK(EW70,EW67:EW70)-1,EV70)</f>
        <v>0</v>
      </c>
      <c r="EY70" s="13" t="str">
        <f t="shared" si="561"/>
        <v/>
      </c>
      <c r="EZ70" s="13" t="str">
        <f>IF(OR(EY70="",COUNTIF(EY67:EY70,EY70)=1),"",$BZ70)</f>
        <v/>
      </c>
      <c r="FA70" s="13" t="str">
        <f>IF(EY70="","",IF(COUNTIF(EY67:EY70,EY70)=1,EY70,EY70+RANK(EZ70,EZ67:EZ70,0)-1))</f>
        <v/>
      </c>
      <c r="FB70" s="13" t="str">
        <f>IF(OR(FA70="",COUNTIF(FA67:FA70,FA70)=1),"",$BX70)</f>
        <v/>
      </c>
      <c r="FC70" s="13" t="str">
        <f>IF(EY70="","",IF(COUNTIF(FA67:FA70,FA70)=1,FA70,FA70+RANK(FB70,FB67:FB70,0)-1))</f>
        <v/>
      </c>
      <c r="FD70" s="13" t="str">
        <f>IF(OR(FC70="",COUNTIF(FC67:FC70,FC70)=1),"",$BU70)</f>
        <v/>
      </c>
      <c r="FE70" s="13" t="str">
        <f>IF(EY70="","",IF(COUNTIF(FC67:FC70,FC70)=1,FC70,FC70+RANK(FD70,FD67:FD70,0)-1))</f>
        <v/>
      </c>
      <c r="FF70" s="13">
        <f>IF(EN70&gt;0,CG65+DA65+DU65+RANK(FE70,FE67:FE70,1),)</f>
        <v>0</v>
      </c>
      <c r="FH70" s="13">
        <f>IFERROR(VLOOKUP(FJ70,CF66:CX70,19,FALSE),IFERROR(VLOOKUP(FJ70,CZ66:DR70,19,FALSE),IFERROR(VLOOKUP(FJ70,DT66:EL70,19,FALSE),VLOOKUP(FJ70,EN66:FF70,19,FALSE))))</f>
        <v>1</v>
      </c>
      <c r="FI70" s="13">
        <f>RANK(FH70,FH67:FH70,1)+COUNTIF(FH67:FH70,FH70)-1</f>
        <v>4</v>
      </c>
      <c r="FJ70" s="12" t="str">
        <f>BT70</f>
        <v>Uruguay</v>
      </c>
      <c r="FZ70" s="79">
        <v>68</v>
      </c>
      <c r="GA70" s="3" t="str">
        <f t="shared" si="562"/>
        <v>EJBDIFLK</v>
      </c>
      <c r="GB70" s="3" t="s">
        <v>59</v>
      </c>
      <c r="GC70" s="3" t="s">
        <v>69</v>
      </c>
      <c r="GD70" s="3" t="s">
        <v>57</v>
      </c>
      <c r="GE70" s="3" t="s">
        <v>58</v>
      </c>
      <c r="GF70" s="3" t="s">
        <v>61</v>
      </c>
      <c r="GG70" s="3" t="s">
        <v>21</v>
      </c>
      <c r="GH70" s="3" t="s">
        <v>63</v>
      </c>
      <c r="GI70" s="3" t="s">
        <v>62</v>
      </c>
      <c r="GJ70" s="9" t="str">
        <f t="shared" si="413"/>
        <v>Elfenbenskusten</v>
      </c>
      <c r="GK70" s="9" t="str">
        <f t="shared" si="413"/>
        <v>Österrike</v>
      </c>
      <c r="GL70" s="9" t="str">
        <f t="shared" si="413"/>
        <v>Qatar</v>
      </c>
      <c r="GM70" s="9" t="str">
        <f t="shared" si="413"/>
        <v>Australien</v>
      </c>
      <c r="GN70" s="9" t="str">
        <f t="shared" si="413"/>
        <v>Irak</v>
      </c>
      <c r="GO70" s="9" t="str">
        <f t="shared" si="413"/>
        <v>Sverige</v>
      </c>
      <c r="GP70" s="9" t="str">
        <f t="shared" si="413"/>
        <v>Ghana</v>
      </c>
      <c r="GQ70" s="9" t="str">
        <f t="shared" si="413"/>
        <v>Uzbekistan</v>
      </c>
      <c r="GR70" s="9" t="str">
        <f t="shared" ref="GR70:GR133" si="563">IFERROR(IF(AND(VLOOKUP(GB70,$FX$4:$FX$15,1,FALSE)=GB70,VLOOKUP(GC70,$FX$4:$FX$15,1,FALSE)=GC70,VLOOKUP(GD70,$FX$4:$FX$15,1,FALSE)=GD70,VLOOKUP(GE70,$FX$4:$FX$15,1,FALSE)=GE70,VLOOKUP(GF70,$FX$4:$FX$15,1,FALSE)=GF70,VLOOKUP(GG70,$FX$4:$FX$15,1,FALSE)=GG70,VLOOKUP(GH70,$FX$4:$FX$15,1,FALSE)=GH70,VLOOKUP(GI70,$FX$4:$FX$15,1,FALSE)=GI70),FZ70,""),"")</f>
        <v/>
      </c>
      <c r="GX70" s="79"/>
    </row>
    <row r="71" spans="2:206" ht="14.25" customHeight="1" x14ac:dyDescent="0.25">
      <c r="B71" s="58">
        <v>65</v>
      </c>
      <c r="C71" s="59">
        <v>46200</v>
      </c>
      <c r="D71" s="60" t="s">
        <v>121</v>
      </c>
      <c r="E71" s="61" t="s">
        <v>66</v>
      </c>
      <c r="F71" s="62" t="s">
        <v>122</v>
      </c>
      <c r="G71" s="63"/>
      <c r="H71" s="64" t="s">
        <v>66</v>
      </c>
      <c r="I71" s="63"/>
      <c r="J71" s="65" t="str">
        <f t="shared" si="535"/>
        <v/>
      </c>
      <c r="K71" s="66">
        <f>IF(OR(G71="",I71="",'[1]Resultat &amp; tabell'!G71="",'[1]Resultat &amp; tabell'!I71=""),0,IF(G71='[1]Resultat &amp; tabell'!G71,2,0)+IF(I71='[1]Resultat &amp; tabell'!I71,2,0)+IF(J71='[1]Resultat &amp; tabell'!J71,2,0))</f>
        <v>0</v>
      </c>
      <c r="L71" s="67"/>
      <c r="M71" s="29">
        <f t="shared" si="488"/>
        <v>1</v>
      </c>
      <c r="O71" s="134" t="str">
        <f>IF(COUNTBLANK(G67:G72)+COUNTBLANK(I67:I72)=0,"Resultat OK","Fyll i resultat")</f>
        <v>Fyll i resultat</v>
      </c>
      <c r="P71" s="92"/>
      <c r="Q71" s="92"/>
      <c r="R71" s="92"/>
      <c r="S71" s="92"/>
      <c r="T71" s="92"/>
      <c r="U71" s="92"/>
      <c r="X71" s="1"/>
      <c r="AE71" s="72">
        <f t="shared" si="489"/>
        <v>46200</v>
      </c>
      <c r="AF71" s="72" t="str">
        <f t="shared" si="489"/>
        <v>Kap Verde</v>
      </c>
      <c r="AG71" s="72" t="str">
        <f t="shared" si="489"/>
        <v>-</v>
      </c>
      <c r="AH71" s="72" t="str">
        <f t="shared" si="489"/>
        <v>Saudiarabien</v>
      </c>
      <c r="AI71" s="63" t="str">
        <f t="shared" si="490"/>
        <v/>
      </c>
      <c r="AJ71" s="58" t="str">
        <f t="shared" si="491"/>
        <v>-</v>
      </c>
      <c r="AK71" s="63" t="str">
        <f t="shared" si="492"/>
        <v/>
      </c>
      <c r="AL71" s="65" t="str">
        <f t="shared" si="493"/>
        <v/>
      </c>
      <c r="AM71" s="73"/>
      <c r="AN71" s="13">
        <f t="shared" si="494"/>
        <v>0</v>
      </c>
      <c r="AO71" s="13">
        <f t="shared" si="495"/>
        <v>0</v>
      </c>
      <c r="AP71" s="13">
        <f t="shared" si="496"/>
        <v>0</v>
      </c>
      <c r="AQ71" s="13">
        <f t="shared" si="497"/>
        <v>0</v>
      </c>
      <c r="AR71" s="13">
        <f t="shared" si="498"/>
        <v>0</v>
      </c>
      <c r="AS71" s="13">
        <f t="shared" si="499"/>
        <v>0</v>
      </c>
      <c r="AT71" s="13">
        <f t="shared" si="500"/>
        <v>0</v>
      </c>
      <c r="AU71" s="13">
        <f t="shared" si="501"/>
        <v>0</v>
      </c>
      <c r="AV71" s="13">
        <f t="shared" si="502"/>
        <v>0</v>
      </c>
      <c r="AW71" s="13">
        <f t="shared" si="503"/>
        <v>0</v>
      </c>
      <c r="AX71" s="13">
        <f t="shared" si="504"/>
        <v>0</v>
      </c>
      <c r="AY71" s="13">
        <f t="shared" si="505"/>
        <v>0</v>
      </c>
      <c r="AZ71" s="13">
        <f t="shared" si="506"/>
        <v>0</v>
      </c>
      <c r="BA71" s="13">
        <f t="shared" si="507"/>
        <v>0</v>
      </c>
      <c r="BB71" s="13">
        <f t="shared" si="508"/>
        <v>0</v>
      </c>
      <c r="BC71" s="13">
        <f t="shared" si="509"/>
        <v>0</v>
      </c>
      <c r="BD71" s="13">
        <f t="shared" si="510"/>
        <v>0</v>
      </c>
      <c r="BE71" s="13">
        <f t="shared" si="511"/>
        <v>0</v>
      </c>
      <c r="BF71" s="13">
        <f t="shared" si="512"/>
        <v>0</v>
      </c>
      <c r="BG71" s="13">
        <f t="shared" si="513"/>
        <v>0</v>
      </c>
      <c r="BH71" s="13">
        <f t="shared" si="514"/>
        <v>0</v>
      </c>
      <c r="BI71" s="13">
        <f t="shared" si="515"/>
        <v>0</v>
      </c>
      <c r="BJ71" s="13">
        <f t="shared" si="516"/>
        <v>0</v>
      </c>
      <c r="BK71" s="13">
        <f t="shared" si="517"/>
        <v>0</v>
      </c>
      <c r="BL71" s="13">
        <f t="shared" si="518"/>
        <v>0</v>
      </c>
      <c r="BM71" s="13">
        <f t="shared" si="519"/>
        <v>0</v>
      </c>
      <c r="BN71" s="13">
        <f t="shared" si="520"/>
        <v>0</v>
      </c>
      <c r="BO71" s="13">
        <f t="shared" si="521"/>
        <v>0</v>
      </c>
      <c r="BP71" s="13">
        <f t="shared" si="522"/>
        <v>0</v>
      </c>
      <c r="BQ71" s="13">
        <f t="shared" si="523"/>
        <v>0</v>
      </c>
      <c r="FZ71" s="79">
        <v>69</v>
      </c>
      <c r="GA71" s="3" t="str">
        <f t="shared" si="562"/>
        <v>EJBDHFLK</v>
      </c>
      <c r="GB71" s="3" t="s">
        <v>59</v>
      </c>
      <c r="GC71" s="3" t="s">
        <v>69</v>
      </c>
      <c r="GD71" s="3" t="s">
        <v>57</v>
      </c>
      <c r="GE71" s="3" t="s">
        <v>58</v>
      </c>
      <c r="GF71" s="3" t="s">
        <v>70</v>
      </c>
      <c r="GG71" s="3" t="s">
        <v>21</v>
      </c>
      <c r="GH71" s="3" t="s">
        <v>63</v>
      </c>
      <c r="GI71" s="3" t="s">
        <v>62</v>
      </c>
      <c r="GJ71" s="9" t="str">
        <f t="shared" si="413"/>
        <v>Elfenbenskusten</v>
      </c>
      <c r="GK71" s="9" t="str">
        <f t="shared" si="413"/>
        <v>Österrike</v>
      </c>
      <c r="GL71" s="9" t="str">
        <f t="shared" si="413"/>
        <v>Qatar</v>
      </c>
      <c r="GM71" s="9" t="str">
        <f t="shared" si="413"/>
        <v>Australien</v>
      </c>
      <c r="GN71" s="9" t="str">
        <f t="shared" si="413"/>
        <v>Saudiarabien</v>
      </c>
      <c r="GO71" s="9" t="str">
        <f t="shared" si="413"/>
        <v>Sverige</v>
      </c>
      <c r="GP71" s="9" t="str">
        <f t="shared" si="413"/>
        <v>Ghana</v>
      </c>
      <c r="GQ71" s="9" t="str">
        <f t="shared" si="413"/>
        <v>Uzbekistan</v>
      </c>
      <c r="GR71" s="9" t="str">
        <f t="shared" si="563"/>
        <v/>
      </c>
    </row>
    <row r="72" spans="2:206" ht="14.25" customHeight="1" x14ac:dyDescent="0.25">
      <c r="B72" s="58">
        <v>66</v>
      </c>
      <c r="C72" s="59">
        <v>46200</v>
      </c>
      <c r="D72" s="60" t="s">
        <v>123</v>
      </c>
      <c r="E72" s="61" t="s">
        <v>66</v>
      </c>
      <c r="F72" s="62" t="s">
        <v>120</v>
      </c>
      <c r="G72" s="63"/>
      <c r="H72" s="64" t="s">
        <v>66</v>
      </c>
      <c r="I72" s="63"/>
      <c r="J72" s="65" t="str">
        <f t="shared" si="535"/>
        <v/>
      </c>
      <c r="K72" s="66">
        <f>IF(OR(G72="",I72="",'[1]Resultat &amp; tabell'!G72="",'[1]Resultat &amp; tabell'!I72=""),0,IF(G72='[1]Resultat &amp; tabell'!G72,2,0)+IF(I72='[1]Resultat &amp; tabell'!I72,2,0)+IF(J72='[1]Resultat &amp; tabell'!J72,2,0))</f>
        <v>0</v>
      </c>
      <c r="L72" s="67"/>
      <c r="M72" s="29">
        <f t="shared" si="488"/>
        <v>1</v>
      </c>
      <c r="X72" s="1"/>
      <c r="AE72" s="72">
        <f t="shared" si="489"/>
        <v>46200</v>
      </c>
      <c r="AF72" s="72" t="str">
        <f t="shared" si="489"/>
        <v>Uruguay</v>
      </c>
      <c r="AG72" s="72" t="str">
        <f t="shared" si="489"/>
        <v>-</v>
      </c>
      <c r="AH72" s="72" t="str">
        <f t="shared" si="489"/>
        <v>Spanien</v>
      </c>
      <c r="AI72" s="63" t="str">
        <f t="shared" si="490"/>
        <v/>
      </c>
      <c r="AJ72" s="58" t="str">
        <f t="shared" si="491"/>
        <v>-</v>
      </c>
      <c r="AK72" s="63" t="str">
        <f t="shared" si="492"/>
        <v/>
      </c>
      <c r="AL72" s="65" t="str">
        <f t="shared" si="493"/>
        <v/>
      </c>
      <c r="AM72" s="73"/>
      <c r="AN72" s="13">
        <f t="shared" si="494"/>
        <v>0</v>
      </c>
      <c r="AO72" s="13">
        <f t="shared" si="495"/>
        <v>0</v>
      </c>
      <c r="AP72" s="13">
        <f t="shared" si="496"/>
        <v>0</v>
      </c>
      <c r="AQ72" s="13">
        <f t="shared" si="497"/>
        <v>0</v>
      </c>
      <c r="AR72" s="13">
        <f t="shared" si="498"/>
        <v>0</v>
      </c>
      <c r="AS72" s="13">
        <f t="shared" si="499"/>
        <v>0</v>
      </c>
      <c r="AT72" s="13">
        <f t="shared" si="500"/>
        <v>0</v>
      </c>
      <c r="AU72" s="13">
        <f t="shared" si="501"/>
        <v>0</v>
      </c>
      <c r="AV72" s="13">
        <f t="shared" si="502"/>
        <v>0</v>
      </c>
      <c r="AW72" s="13">
        <f t="shared" si="503"/>
        <v>0</v>
      </c>
      <c r="AX72" s="13">
        <f t="shared" si="504"/>
        <v>0</v>
      </c>
      <c r="AY72" s="13">
        <f t="shared" si="505"/>
        <v>0</v>
      </c>
      <c r="AZ72" s="13">
        <f t="shared" si="506"/>
        <v>0</v>
      </c>
      <c r="BA72" s="13">
        <f t="shared" si="507"/>
        <v>0</v>
      </c>
      <c r="BB72" s="13">
        <f t="shared" si="508"/>
        <v>0</v>
      </c>
      <c r="BC72" s="13">
        <f t="shared" si="509"/>
        <v>0</v>
      </c>
      <c r="BD72" s="13">
        <f t="shared" si="510"/>
        <v>0</v>
      </c>
      <c r="BE72" s="13">
        <f t="shared" si="511"/>
        <v>0</v>
      </c>
      <c r="BF72" s="13">
        <f t="shared" si="512"/>
        <v>0</v>
      </c>
      <c r="BG72" s="13">
        <f t="shared" si="513"/>
        <v>0</v>
      </c>
      <c r="BH72" s="13">
        <f t="shared" si="514"/>
        <v>0</v>
      </c>
      <c r="BI72" s="13">
        <f t="shared" si="515"/>
        <v>0</v>
      </c>
      <c r="BJ72" s="13">
        <f t="shared" si="516"/>
        <v>0</v>
      </c>
      <c r="BK72" s="13">
        <f t="shared" si="517"/>
        <v>0</v>
      </c>
      <c r="BL72" s="13">
        <f t="shared" si="518"/>
        <v>0</v>
      </c>
      <c r="BM72" s="13">
        <f t="shared" si="519"/>
        <v>0</v>
      </c>
      <c r="BN72" s="13">
        <f t="shared" si="520"/>
        <v>0</v>
      </c>
      <c r="BO72" s="13">
        <f t="shared" si="521"/>
        <v>0</v>
      </c>
      <c r="BP72" s="13">
        <f t="shared" si="522"/>
        <v>0</v>
      </c>
      <c r="BQ72" s="13">
        <f t="shared" si="523"/>
        <v>0</v>
      </c>
      <c r="FZ72" s="79">
        <v>70</v>
      </c>
      <c r="GA72" s="3" t="str">
        <f t="shared" si="562"/>
        <v>EIBDHFLK</v>
      </c>
      <c r="GB72" s="3" t="s">
        <v>59</v>
      </c>
      <c r="GC72" s="3" t="s">
        <v>61</v>
      </c>
      <c r="GD72" s="3" t="s">
        <v>57</v>
      </c>
      <c r="GE72" s="3" t="s">
        <v>58</v>
      </c>
      <c r="GF72" s="3" t="s">
        <v>70</v>
      </c>
      <c r="GG72" s="3" t="s">
        <v>21</v>
      </c>
      <c r="GH72" s="3" t="s">
        <v>63</v>
      </c>
      <c r="GI72" s="3" t="s">
        <v>62</v>
      </c>
      <c r="GJ72" s="9" t="str">
        <f t="shared" si="413"/>
        <v>Elfenbenskusten</v>
      </c>
      <c r="GK72" s="9" t="str">
        <f t="shared" si="413"/>
        <v>Irak</v>
      </c>
      <c r="GL72" s="9" t="str">
        <f t="shared" si="413"/>
        <v>Qatar</v>
      </c>
      <c r="GM72" s="9" t="str">
        <f t="shared" si="413"/>
        <v>Australien</v>
      </c>
      <c r="GN72" s="9" t="str">
        <f t="shared" si="413"/>
        <v>Saudiarabien</v>
      </c>
      <c r="GO72" s="9" t="str">
        <f t="shared" si="413"/>
        <v>Sverige</v>
      </c>
      <c r="GP72" s="9" t="str">
        <f t="shared" si="413"/>
        <v>Ghana</v>
      </c>
      <c r="GQ72" s="9" t="str">
        <f t="shared" si="413"/>
        <v>Uzbekistan</v>
      </c>
      <c r="GR72" s="9" t="str">
        <f t="shared" si="563"/>
        <v/>
      </c>
      <c r="GX72" s="142"/>
    </row>
    <row r="73" spans="2:206" ht="14.25" customHeight="1" x14ac:dyDescent="0.25">
      <c r="B73" s="3"/>
      <c r="C73" s="94"/>
      <c r="D73" s="143"/>
      <c r="F73" s="143"/>
      <c r="G73" s="139"/>
      <c r="H73" s="100"/>
      <c r="I73" s="139"/>
      <c r="J73" s="79"/>
      <c r="K73" s="73"/>
      <c r="L73" s="67"/>
      <c r="X73" s="1"/>
      <c r="AE73" s="94"/>
      <c r="AF73" s="143"/>
      <c r="AG73" s="3"/>
      <c r="AH73" s="143"/>
      <c r="AI73" s="139"/>
      <c r="AJ73" s="105"/>
      <c r="AK73" s="139"/>
      <c r="AL73" s="79"/>
      <c r="AM73" s="73"/>
      <c r="FZ73" s="79">
        <v>71</v>
      </c>
      <c r="GA73" s="3" t="str">
        <f t="shared" si="562"/>
        <v>EJBDHFLI</v>
      </c>
      <c r="GB73" s="3" t="s">
        <v>59</v>
      </c>
      <c r="GC73" s="3" t="s">
        <v>69</v>
      </c>
      <c r="GD73" s="3" t="s">
        <v>57</v>
      </c>
      <c r="GE73" s="3" t="s">
        <v>58</v>
      </c>
      <c r="GF73" s="3" t="s">
        <v>70</v>
      </c>
      <c r="GG73" s="3" t="s">
        <v>21</v>
      </c>
      <c r="GH73" s="3" t="s">
        <v>63</v>
      </c>
      <c r="GI73" s="3" t="s">
        <v>61</v>
      </c>
      <c r="GJ73" s="9" t="str">
        <f t="shared" si="413"/>
        <v>Elfenbenskusten</v>
      </c>
      <c r="GK73" s="9" t="str">
        <f t="shared" si="413"/>
        <v>Österrike</v>
      </c>
      <c r="GL73" s="9" t="str">
        <f t="shared" si="413"/>
        <v>Qatar</v>
      </c>
      <c r="GM73" s="9" t="str">
        <f t="shared" si="413"/>
        <v>Australien</v>
      </c>
      <c r="GN73" s="9" t="str">
        <f t="shared" si="413"/>
        <v>Saudiarabien</v>
      </c>
      <c r="GO73" s="9" t="str">
        <f t="shared" si="413"/>
        <v>Sverige</v>
      </c>
      <c r="GP73" s="9" t="str">
        <f t="shared" si="413"/>
        <v>Ghana</v>
      </c>
      <c r="GQ73" s="9" t="str">
        <f t="shared" si="413"/>
        <v>Irak</v>
      </c>
      <c r="GR73" s="9" t="str">
        <f t="shared" si="563"/>
        <v/>
      </c>
      <c r="GX73" s="142"/>
    </row>
    <row r="74" spans="2:206" ht="14.25" customHeight="1" x14ac:dyDescent="0.25">
      <c r="B74" s="19" t="s">
        <v>124</v>
      </c>
      <c r="C74" s="97"/>
      <c r="D74" s="126"/>
      <c r="E74" s="33"/>
      <c r="F74" s="126"/>
      <c r="G74" s="25"/>
      <c r="H74" s="25"/>
      <c r="I74" s="25"/>
      <c r="J74" s="23"/>
      <c r="K74" s="16"/>
      <c r="L74" s="49"/>
      <c r="O74" s="19" t="s">
        <v>124</v>
      </c>
      <c r="X74" s="1"/>
      <c r="AE74" s="19" t="s">
        <v>124</v>
      </c>
      <c r="AF74" s="126"/>
      <c r="AG74" s="33"/>
      <c r="AH74" s="126"/>
      <c r="AI74" s="33"/>
      <c r="AJ74" s="33"/>
      <c r="AK74" s="33"/>
      <c r="AL74" s="23"/>
      <c r="AM74" s="16"/>
      <c r="AN74" s="23"/>
      <c r="BT74" s="39" t="s">
        <v>4</v>
      </c>
      <c r="BU74" s="34"/>
      <c r="BV74" s="34"/>
      <c r="BW74" s="34"/>
      <c r="BX74" s="34"/>
      <c r="BY74" s="34"/>
      <c r="BZ74" s="34"/>
      <c r="CA74" s="34"/>
      <c r="CB74" s="39"/>
      <c r="CC74" s="34"/>
      <c r="CD74" s="34"/>
      <c r="CF74" s="40" t="s">
        <v>5</v>
      </c>
      <c r="CG74" s="35">
        <f>COUNTIF(CC76:CC79,1)</f>
        <v>4</v>
      </c>
      <c r="CH74" s="35"/>
      <c r="CI74" s="35"/>
      <c r="CJ74" s="35"/>
      <c r="CK74" s="35"/>
      <c r="CL74" s="35"/>
      <c r="CM74" s="35"/>
      <c r="CN74" s="35"/>
      <c r="CO74" s="35"/>
      <c r="CP74" s="35"/>
      <c r="CZ74" s="41" t="s">
        <v>8</v>
      </c>
      <c r="DA74" s="36">
        <f>COUNTIF(CC76:CC79,2)</f>
        <v>0</v>
      </c>
      <c r="DB74" s="36"/>
      <c r="DC74" s="36"/>
      <c r="DD74" s="36"/>
      <c r="DE74" s="36"/>
      <c r="DF74" s="36"/>
      <c r="DG74" s="36"/>
      <c r="DH74" s="36"/>
      <c r="DI74" s="36"/>
      <c r="DJ74" s="41"/>
      <c r="DT74" s="37" t="s">
        <v>6</v>
      </c>
      <c r="DU74" s="37">
        <f>COUNTIF(CC76:CC79,3)</f>
        <v>0</v>
      </c>
      <c r="DV74" s="37"/>
      <c r="DW74" s="37"/>
      <c r="DX74" s="37"/>
      <c r="DY74" s="37"/>
      <c r="DZ74" s="37"/>
      <c r="EA74" s="37"/>
      <c r="EB74" s="37"/>
      <c r="EC74" s="37"/>
      <c r="ED74" s="37"/>
      <c r="EN74" s="38" t="s">
        <v>7</v>
      </c>
      <c r="EO74" s="38">
        <f>COUNTIF(CC76:CC79,4)</f>
        <v>0</v>
      </c>
      <c r="EP74" s="38"/>
      <c r="EQ74" s="38"/>
      <c r="ER74" s="38"/>
      <c r="ES74" s="38"/>
      <c r="ET74" s="38"/>
      <c r="EU74" s="38"/>
      <c r="EV74" s="38"/>
      <c r="EW74" s="38"/>
      <c r="EX74" s="38"/>
      <c r="FZ74" s="79">
        <v>72</v>
      </c>
      <c r="GA74" s="3" t="str">
        <f t="shared" si="562"/>
        <v>EJBDHFIK</v>
      </c>
      <c r="GB74" s="3" t="s">
        <v>59</v>
      </c>
      <c r="GC74" s="3" t="s">
        <v>69</v>
      </c>
      <c r="GD74" s="3" t="s">
        <v>57</v>
      </c>
      <c r="GE74" s="3" t="s">
        <v>58</v>
      </c>
      <c r="GF74" s="3" t="s">
        <v>70</v>
      </c>
      <c r="GG74" s="3" t="s">
        <v>21</v>
      </c>
      <c r="GH74" s="3" t="s">
        <v>61</v>
      </c>
      <c r="GI74" s="3" t="s">
        <v>62</v>
      </c>
      <c r="GJ74" s="9" t="str">
        <f t="shared" si="413"/>
        <v>Elfenbenskusten</v>
      </c>
      <c r="GK74" s="9" t="str">
        <f t="shared" si="413"/>
        <v>Österrike</v>
      </c>
      <c r="GL74" s="9" t="str">
        <f t="shared" si="413"/>
        <v>Qatar</v>
      </c>
      <c r="GM74" s="9" t="str">
        <f t="shared" si="413"/>
        <v>Australien</v>
      </c>
      <c r="GN74" s="9" t="str">
        <f t="shared" si="413"/>
        <v>Saudiarabien</v>
      </c>
      <c r="GO74" s="9" t="str">
        <f t="shared" si="413"/>
        <v>Sverige</v>
      </c>
      <c r="GP74" s="9" t="str">
        <f t="shared" si="413"/>
        <v>Irak</v>
      </c>
      <c r="GQ74" s="9" t="str">
        <f t="shared" si="413"/>
        <v>Uzbekistan</v>
      </c>
      <c r="GR74" s="9" t="str">
        <f t="shared" si="563"/>
        <v/>
      </c>
      <c r="GX74" s="142"/>
    </row>
    <row r="75" spans="2:206" ht="14.25" customHeight="1" x14ac:dyDescent="0.25">
      <c r="B75" s="117" t="s">
        <v>12</v>
      </c>
      <c r="C75" s="107" t="s">
        <v>13</v>
      </c>
      <c r="D75" s="181" t="s">
        <v>12</v>
      </c>
      <c r="E75" s="182"/>
      <c r="F75" s="183"/>
      <c r="G75" s="184" t="s">
        <v>14</v>
      </c>
      <c r="H75" s="184"/>
      <c r="I75" s="184"/>
      <c r="J75" s="47" t="s">
        <v>15</v>
      </c>
      <c r="K75" s="48" t="s">
        <v>16</v>
      </c>
      <c r="L75" s="49"/>
      <c r="O75" s="51" t="s">
        <v>18</v>
      </c>
      <c r="P75" s="52" t="s">
        <v>19</v>
      </c>
      <c r="Q75" s="52" t="s">
        <v>20</v>
      </c>
      <c r="R75" s="52" t="s">
        <v>21</v>
      </c>
      <c r="S75" s="52" t="s">
        <v>22</v>
      </c>
      <c r="T75" s="52" t="s">
        <v>23</v>
      </c>
      <c r="U75" s="52" t="s">
        <v>24</v>
      </c>
      <c r="V75" s="53" t="s">
        <v>25</v>
      </c>
      <c r="X75" s="1"/>
      <c r="AE75" s="107" t="s">
        <v>13</v>
      </c>
      <c r="AF75" s="181" t="s">
        <v>12</v>
      </c>
      <c r="AG75" s="182"/>
      <c r="AH75" s="183"/>
      <c r="AI75" s="182" t="s">
        <v>14</v>
      </c>
      <c r="AJ75" s="182"/>
      <c r="AK75" s="182"/>
      <c r="AL75" s="47" t="s">
        <v>28</v>
      </c>
      <c r="AM75" s="16"/>
      <c r="AN75" s="34" t="s">
        <v>29</v>
      </c>
      <c r="AO75" s="34" t="s">
        <v>30</v>
      </c>
      <c r="AP75" s="34" t="s">
        <v>31</v>
      </c>
      <c r="AQ75" s="34" t="s">
        <v>32</v>
      </c>
      <c r="AR75" s="34" t="s">
        <v>33</v>
      </c>
      <c r="AS75" s="34" t="s">
        <v>34</v>
      </c>
      <c r="AT75" s="35" t="s">
        <v>29</v>
      </c>
      <c r="AU75" s="35" t="s">
        <v>30</v>
      </c>
      <c r="AV75" s="35" t="s">
        <v>31</v>
      </c>
      <c r="AW75" s="35" t="s">
        <v>32</v>
      </c>
      <c r="AX75" s="35" t="s">
        <v>33</v>
      </c>
      <c r="AY75" s="35" t="s">
        <v>34</v>
      </c>
      <c r="AZ75" s="36" t="s">
        <v>29</v>
      </c>
      <c r="BA75" s="36" t="s">
        <v>30</v>
      </c>
      <c r="BB75" s="36" t="s">
        <v>31</v>
      </c>
      <c r="BC75" s="36" t="s">
        <v>32</v>
      </c>
      <c r="BD75" s="36" t="s">
        <v>33</v>
      </c>
      <c r="BE75" s="36" t="s">
        <v>34</v>
      </c>
      <c r="BF75" s="37" t="s">
        <v>29</v>
      </c>
      <c r="BG75" s="37" t="s">
        <v>30</v>
      </c>
      <c r="BH75" s="37" t="s">
        <v>31</v>
      </c>
      <c r="BI75" s="37" t="s">
        <v>32</v>
      </c>
      <c r="BJ75" s="37" t="s">
        <v>33</v>
      </c>
      <c r="BK75" s="37" t="s">
        <v>34</v>
      </c>
      <c r="BL75" s="38" t="s">
        <v>29</v>
      </c>
      <c r="BM75" s="38" t="s">
        <v>30</v>
      </c>
      <c r="BN75" s="38" t="s">
        <v>31</v>
      </c>
      <c r="BO75" s="38" t="s">
        <v>32</v>
      </c>
      <c r="BP75" s="38" t="s">
        <v>33</v>
      </c>
      <c r="BQ75" s="38" t="s">
        <v>34</v>
      </c>
      <c r="BT75" s="39" t="s">
        <v>18</v>
      </c>
      <c r="BU75" s="34" t="s">
        <v>19</v>
      </c>
      <c r="BV75" s="34" t="s">
        <v>20</v>
      </c>
      <c r="BW75" s="34" t="s">
        <v>21</v>
      </c>
      <c r="BX75" s="34" t="s">
        <v>22</v>
      </c>
      <c r="BY75" s="34" t="s">
        <v>23</v>
      </c>
      <c r="BZ75" s="34" t="s">
        <v>24</v>
      </c>
      <c r="CA75" s="34" t="s">
        <v>25</v>
      </c>
      <c r="CB75" s="39" t="s">
        <v>35</v>
      </c>
      <c r="CC75" s="34" t="s">
        <v>36</v>
      </c>
      <c r="CD75" s="34" t="s">
        <v>37</v>
      </c>
      <c r="CF75" s="40" t="s">
        <v>18</v>
      </c>
      <c r="CG75" s="35" t="s">
        <v>19</v>
      </c>
      <c r="CH75" s="35" t="s">
        <v>20</v>
      </c>
      <c r="CI75" s="35" t="s">
        <v>21</v>
      </c>
      <c r="CJ75" s="35" t="s">
        <v>25</v>
      </c>
      <c r="CK75" s="35" t="s">
        <v>35</v>
      </c>
      <c r="CL75" s="35" t="s">
        <v>36</v>
      </c>
      <c r="CM75" s="56" t="s">
        <v>24</v>
      </c>
      <c r="CN75" s="56" t="s">
        <v>38</v>
      </c>
      <c r="CO75" s="56" t="s">
        <v>22</v>
      </c>
      <c r="CP75" s="56" t="s">
        <v>39</v>
      </c>
      <c r="CQ75" s="35" t="s">
        <v>40</v>
      </c>
      <c r="CR75" s="56" t="s">
        <v>41</v>
      </c>
      <c r="CS75" s="56" t="s">
        <v>42</v>
      </c>
      <c r="CT75" s="56" t="s">
        <v>43</v>
      </c>
      <c r="CU75" s="56" t="s">
        <v>44</v>
      </c>
      <c r="CV75" s="56" t="s">
        <v>45</v>
      </c>
      <c r="CW75" s="56" t="s">
        <v>46</v>
      </c>
      <c r="CX75" s="35" t="s">
        <v>47</v>
      </c>
      <c r="CZ75" s="41" t="s">
        <v>18</v>
      </c>
      <c r="DA75" s="36" t="s">
        <v>19</v>
      </c>
      <c r="DB75" s="36" t="s">
        <v>20</v>
      </c>
      <c r="DC75" s="36" t="s">
        <v>21</v>
      </c>
      <c r="DD75" s="36" t="s">
        <v>25</v>
      </c>
      <c r="DE75" s="36" t="s">
        <v>35</v>
      </c>
      <c r="DF75" s="36" t="s">
        <v>36</v>
      </c>
      <c r="DG75" s="36" t="s">
        <v>24</v>
      </c>
      <c r="DH75" s="36" t="s">
        <v>38</v>
      </c>
      <c r="DI75" s="36" t="s">
        <v>22</v>
      </c>
      <c r="DJ75" s="41" t="s">
        <v>39</v>
      </c>
      <c r="DK75" s="41" t="s">
        <v>40</v>
      </c>
      <c r="DL75" s="41" t="s">
        <v>41</v>
      </c>
      <c r="DM75" s="41" t="s">
        <v>42</v>
      </c>
      <c r="DN75" s="41" t="s">
        <v>43</v>
      </c>
      <c r="DO75" s="41" t="s">
        <v>44</v>
      </c>
      <c r="DP75" s="41" t="s">
        <v>45</v>
      </c>
      <c r="DQ75" s="41" t="s">
        <v>46</v>
      </c>
      <c r="DR75" s="41" t="s">
        <v>47</v>
      </c>
      <c r="DT75" s="37" t="s">
        <v>18</v>
      </c>
      <c r="DU75" s="37" t="s">
        <v>19</v>
      </c>
      <c r="DV75" s="37" t="s">
        <v>20</v>
      </c>
      <c r="DW75" s="37" t="s">
        <v>21</v>
      </c>
      <c r="DX75" s="37" t="s">
        <v>25</v>
      </c>
      <c r="DY75" s="37" t="s">
        <v>35</v>
      </c>
      <c r="DZ75" s="37" t="s">
        <v>36</v>
      </c>
      <c r="EA75" s="37" t="s">
        <v>24</v>
      </c>
      <c r="EB75" s="37" t="s">
        <v>38</v>
      </c>
      <c r="EC75" s="37" t="s">
        <v>22</v>
      </c>
      <c r="ED75" s="37" t="s">
        <v>39</v>
      </c>
      <c r="EE75" s="37" t="s">
        <v>40</v>
      </c>
      <c r="EF75" s="37" t="s">
        <v>41</v>
      </c>
      <c r="EG75" s="37" t="s">
        <v>42</v>
      </c>
      <c r="EH75" s="37" t="s">
        <v>43</v>
      </c>
      <c r="EI75" s="37" t="s">
        <v>44</v>
      </c>
      <c r="EJ75" s="37" t="s">
        <v>45</v>
      </c>
      <c r="EK75" s="37" t="s">
        <v>46</v>
      </c>
      <c r="EL75" s="37" t="s">
        <v>47</v>
      </c>
      <c r="EN75" s="38" t="s">
        <v>18</v>
      </c>
      <c r="EO75" s="38" t="s">
        <v>19</v>
      </c>
      <c r="EP75" s="38" t="s">
        <v>20</v>
      </c>
      <c r="EQ75" s="38" t="s">
        <v>21</v>
      </c>
      <c r="ER75" s="38" t="s">
        <v>25</v>
      </c>
      <c r="ES75" s="38" t="s">
        <v>35</v>
      </c>
      <c r="ET75" s="38" t="s">
        <v>36</v>
      </c>
      <c r="EU75" s="38" t="s">
        <v>24</v>
      </c>
      <c r="EV75" s="38" t="s">
        <v>38</v>
      </c>
      <c r="EW75" s="38" t="s">
        <v>22</v>
      </c>
      <c r="EX75" s="38" t="s">
        <v>39</v>
      </c>
      <c r="EY75" s="38" t="s">
        <v>40</v>
      </c>
      <c r="EZ75" s="38" t="s">
        <v>41</v>
      </c>
      <c r="FA75" s="38" t="s">
        <v>42</v>
      </c>
      <c r="FB75" s="38" t="s">
        <v>43</v>
      </c>
      <c r="FC75" s="38" t="s">
        <v>44</v>
      </c>
      <c r="FD75" s="38" t="s">
        <v>45</v>
      </c>
      <c r="FE75" s="38" t="s">
        <v>46</v>
      </c>
      <c r="FF75" s="38" t="s">
        <v>47</v>
      </c>
      <c r="FH75" s="38" t="s">
        <v>48</v>
      </c>
      <c r="FI75" s="38" t="s">
        <v>49</v>
      </c>
      <c r="FZ75" s="79">
        <v>73</v>
      </c>
      <c r="GA75" s="3" t="str">
        <f t="shared" si="562"/>
        <v>EGBDJFLK</v>
      </c>
      <c r="GB75" s="3" t="s">
        <v>59</v>
      </c>
      <c r="GC75" s="3" t="s">
        <v>60</v>
      </c>
      <c r="GD75" s="3" t="s">
        <v>57</v>
      </c>
      <c r="GE75" s="3" t="s">
        <v>58</v>
      </c>
      <c r="GF75" s="3" t="s">
        <v>69</v>
      </c>
      <c r="GG75" s="3" t="s">
        <v>21</v>
      </c>
      <c r="GH75" s="3" t="s">
        <v>63</v>
      </c>
      <c r="GI75" s="3" t="s">
        <v>62</v>
      </c>
      <c r="GJ75" s="9" t="str">
        <f t="shared" si="413"/>
        <v>Elfenbenskusten</v>
      </c>
      <c r="GK75" s="9" t="str">
        <f t="shared" si="413"/>
        <v>Iran</v>
      </c>
      <c r="GL75" s="9" t="str">
        <f t="shared" si="413"/>
        <v>Qatar</v>
      </c>
      <c r="GM75" s="9" t="str">
        <f t="shared" si="413"/>
        <v>Australien</v>
      </c>
      <c r="GN75" s="9" t="str">
        <f t="shared" si="413"/>
        <v>Österrike</v>
      </c>
      <c r="GO75" s="9" t="str">
        <f t="shared" si="413"/>
        <v>Sverige</v>
      </c>
      <c r="GP75" s="9" t="str">
        <f t="shared" si="413"/>
        <v>Ghana</v>
      </c>
      <c r="GQ75" s="9" t="str">
        <f t="shared" si="413"/>
        <v>Uzbekistan</v>
      </c>
      <c r="GR75" s="9" t="str">
        <f t="shared" si="563"/>
        <v/>
      </c>
      <c r="GX75" s="142"/>
    </row>
    <row r="76" spans="2:206" ht="14.25" customHeight="1" x14ac:dyDescent="0.25">
      <c r="B76" s="58">
        <v>17</v>
      </c>
      <c r="C76" s="59">
        <v>46189</v>
      </c>
      <c r="D76" s="60" t="s">
        <v>125</v>
      </c>
      <c r="E76" s="61" t="s">
        <v>66</v>
      </c>
      <c r="F76" s="62" t="s">
        <v>126</v>
      </c>
      <c r="G76" s="63"/>
      <c r="H76" s="64" t="s">
        <v>66</v>
      </c>
      <c r="I76" s="63"/>
      <c r="J76" s="65" t="str">
        <f>IF(OR(ISBLANK(G76),ISBLANK(I76)),"",IF(G76&gt;I76,1,IF(G76&lt;I76,2,"X")))</f>
        <v/>
      </c>
      <c r="K76" s="66">
        <f>IF(OR(G76="",I76="",'[1]Resultat &amp; tabell'!G76="",'[1]Resultat &amp; tabell'!I76=""),0,IF(G76='[1]Resultat &amp; tabell'!G76,2,0)+IF(I76='[1]Resultat &amp; tabell'!I76,2,0)+IF(J76='[1]Resultat &amp; tabell'!J76,2,0))</f>
        <v>0</v>
      </c>
      <c r="L76" s="67"/>
      <c r="M76" s="29">
        <f t="shared" ref="M76:M81" si="564">IF(VLOOKUP(D76,$BT$75:$CC$79,10,FALSE)=VLOOKUP(F76,$BT$75:$CC$79,10,FALSE),VLOOKUP(D76,$BT$75:$CC$79,10,FALSE),"-")</f>
        <v>1</v>
      </c>
      <c r="N76" s="30">
        <v>1</v>
      </c>
      <c r="O76" s="68" t="str">
        <f t="shared" ref="O76" si="565">VLOOKUP(N76,FI76:FJ79,2,FALSE)</f>
        <v>Frankrike</v>
      </c>
      <c r="P76" s="69">
        <f>VLOOKUP($O76,$BT$76:$CA$79,2,FALSE)</f>
        <v>0</v>
      </c>
      <c r="Q76" s="69">
        <f>VLOOKUP($O76,$BT$76:$CA$79,3,FALSE)</f>
        <v>0</v>
      </c>
      <c r="R76" s="69">
        <f>VLOOKUP($O76,$BT$76:$CA$79,4,FALSE)</f>
        <v>0</v>
      </c>
      <c r="S76" s="69">
        <f>VLOOKUP($O76,$BT$76:$CA$79,5,FALSE)</f>
        <v>0</v>
      </c>
      <c r="T76" s="69">
        <f>VLOOKUP($O76,$BT$76:$CA$79,6,FALSE)</f>
        <v>0</v>
      </c>
      <c r="U76" s="69">
        <f>VLOOKUP($O76,$BT$76:$CA$79,7,FALSE)</f>
        <v>0</v>
      </c>
      <c r="V76" s="70">
        <f>VLOOKUP($O76,$BT$76:$CA$79,8,FALSE)</f>
        <v>0</v>
      </c>
      <c r="X76" s="1"/>
      <c r="AE76" s="72">
        <f t="shared" ref="AE76:AH81" si="566">C76</f>
        <v>46189</v>
      </c>
      <c r="AF76" s="72" t="str">
        <f t="shared" si="566"/>
        <v>Frankrike</v>
      </c>
      <c r="AG76" s="72" t="str">
        <f t="shared" si="566"/>
        <v>-</v>
      </c>
      <c r="AH76" s="72" t="str">
        <f t="shared" si="566"/>
        <v>Senegal</v>
      </c>
      <c r="AI76" s="63" t="str">
        <f t="shared" ref="AI76:AI81" si="567">IF(G76="","",G76)</f>
        <v/>
      </c>
      <c r="AJ76" s="58" t="str">
        <f t="shared" ref="AJ76:AJ81" si="568">H76</f>
        <v>-</v>
      </c>
      <c r="AK76" s="63" t="str">
        <f t="shared" ref="AK76:AK81" si="569">IF(I76="","",I76)</f>
        <v/>
      </c>
      <c r="AL76" s="65" t="str">
        <f t="shared" ref="AL76:AL81" si="570">J76</f>
        <v/>
      </c>
      <c r="AM76" s="73"/>
      <c r="AN76" s="13">
        <f t="shared" ref="AN76:AN81" si="571">IF(AI76&gt;AK76,1,0)</f>
        <v>0</v>
      </c>
      <c r="AO76" s="13">
        <f t="shared" ref="AO76:AO81" si="572">IF(AK76&gt;AI76,1,0)</f>
        <v>0</v>
      </c>
      <c r="AP76" s="13">
        <f t="shared" ref="AP76:AP81" si="573">IF(AND(AI76=AK76,AI76&lt;&gt;""),1,0)</f>
        <v>0</v>
      </c>
      <c r="AQ76" s="13">
        <f t="shared" ref="AQ76:AQ81" si="574">IF(AND(AI76=AK76,AI76&lt;&gt;""),1,0)</f>
        <v>0</v>
      </c>
      <c r="AR76" s="13">
        <f t="shared" ref="AR76:AR81" si="575">IF(AI76&lt;AK76,1,0)</f>
        <v>0</v>
      </c>
      <c r="AS76" s="13">
        <f t="shared" ref="AS76:AS81" si="576">IF(AK76&lt;AI76,1,)</f>
        <v>0</v>
      </c>
      <c r="AT76" s="13">
        <f t="shared" ref="AT76:AT81" si="577">IF(ISERROR(VLOOKUP(AF76,CF:CF,1,FALSE)),0,1)*IF(ISERROR(VLOOKUP(AH76,CF:CF,1,FALSE)),0,1)*AN76</f>
        <v>0</v>
      </c>
      <c r="AU76" s="13">
        <f t="shared" ref="AU76:AU81" si="578">IF(ISERROR(VLOOKUP(AF76,CF:CF,1,FALSE)),0,1)*IF(ISERROR(VLOOKUP(AH76,CF:CF,1,FALSE)),0,1)*AO76</f>
        <v>0</v>
      </c>
      <c r="AV76" s="13">
        <f t="shared" ref="AV76:AV81" si="579">IF(ISERROR(VLOOKUP(AF76,CF:CF,1,FALSE)),0,1)*IF(ISERROR(VLOOKUP(AH76,CF:CF,1,FALSE)),0,1)*AP76</f>
        <v>0</v>
      </c>
      <c r="AW76" s="13">
        <f t="shared" ref="AW76:AW81" si="580">IF(ISERROR(VLOOKUP(AF76,CF:CF,1,FALSE)),0,1)*IF(ISERROR(VLOOKUP(AH76,CF:CF,1,FALSE)),0,1)*AQ76</f>
        <v>0</v>
      </c>
      <c r="AX76" s="13">
        <f t="shared" ref="AX76:AX81" si="581">IF(ISERROR(VLOOKUP(AF76,CF:CF,1,FALSE)),0,1)*IF(ISERROR(VLOOKUP(AH76,CF:CF,1,FALSE)),0,1)*AR76</f>
        <v>0</v>
      </c>
      <c r="AY76" s="13">
        <f t="shared" ref="AY76:AY81" si="582">IF(ISERROR(VLOOKUP(AF76,CF:CF,1,FALSE)),0,1)*IF(ISERROR(VLOOKUP(AH76,CF:CF,1,FALSE)),0,1)*AS76</f>
        <v>0</v>
      </c>
      <c r="AZ76" s="13">
        <f t="shared" ref="AZ76:AZ81" si="583">IF(ISERROR(VLOOKUP(AF76,CZ:CZ,1,FALSE)),0,1)*IF(ISERROR(VLOOKUP(AH76,CZ:CZ,1,FALSE)),0,1)*AN76</f>
        <v>0</v>
      </c>
      <c r="BA76" s="13">
        <f t="shared" ref="BA76:BA81" si="584">IF(ISERROR(VLOOKUP(AF76,CZ:CZ,1,FALSE)),0,1)*IF(ISERROR(VLOOKUP(AH76,CZ:CZ,1,FALSE)),0,1)*AO76</f>
        <v>0</v>
      </c>
      <c r="BB76" s="13">
        <f t="shared" ref="BB76:BB81" si="585">IF(ISERROR(VLOOKUP(AF76,CZ:CZ,1,FALSE)),0,1)*IF(ISERROR(VLOOKUP(AH76,CZ:CZ,1,FALSE)),0,1)*AP76</f>
        <v>0</v>
      </c>
      <c r="BC76" s="13">
        <f t="shared" ref="BC76:BC81" si="586">IF(ISERROR(VLOOKUP(AF76,CZ:CZ,1,FALSE)),0,1)*IF(ISERROR(VLOOKUP(AH76,CZ:CZ,1,FALSE)),0,1)*AQ76</f>
        <v>0</v>
      </c>
      <c r="BD76" s="13">
        <f t="shared" ref="BD76:BD81" si="587">IF(ISERROR(VLOOKUP(AF76,CZ:CZ,1,FALSE)),0,1)*IF(ISERROR(VLOOKUP(AH76,CZ:CZ,1,FALSE)),0,1)*AR76</f>
        <v>0</v>
      </c>
      <c r="BE76" s="13">
        <f t="shared" ref="BE76:BE81" si="588">IF(ISERROR(VLOOKUP(AF76,CZ:CZ,1,FALSE)),0,1)*IF(ISERROR(VLOOKUP(AH76,CZ:CZ,1,FALSE)),0,1)*AS76</f>
        <v>0</v>
      </c>
      <c r="BF76" s="13">
        <f t="shared" ref="BF76:BF81" si="589">IF(ISERROR(VLOOKUP(AF76,DT:DT,1,FALSE)),0,1)*IF(ISERROR(VLOOKUP(AH76,DT:DT,1,FALSE)),0,1)*AN76</f>
        <v>0</v>
      </c>
      <c r="BG76" s="13">
        <f t="shared" ref="BG76:BG81" si="590">IF(ISERROR(VLOOKUP(AF76,DT:DT,1,FALSE)),0,1)*IF(ISERROR(VLOOKUP(AH76,DT:DT,1,FALSE)),0,1)*AO76</f>
        <v>0</v>
      </c>
      <c r="BH76" s="13">
        <f t="shared" ref="BH76:BH81" si="591">IF(ISERROR(VLOOKUP(AF76,DT:DT,1,FALSE)),0,1)*IF(ISERROR(VLOOKUP(AH76,DT:DT,1,FALSE)),0,1)*AP76</f>
        <v>0</v>
      </c>
      <c r="BI76" s="13">
        <f t="shared" ref="BI76:BI81" si="592">IF(ISERROR(VLOOKUP(AF76,DT:DT,1,FALSE)),0,1)*IF(ISERROR(VLOOKUP(AH76,DT:DT,1,FALSE)),0,1)*AQ76</f>
        <v>0</v>
      </c>
      <c r="BJ76" s="13">
        <f t="shared" ref="BJ76:BJ81" si="593">IF(ISERROR(VLOOKUP(AF76,DT:DT,1,FALSE)),0,1)*IF(ISERROR(VLOOKUP(AH76,DT:DT,1,FALSE)),0,1)*AR76</f>
        <v>0</v>
      </c>
      <c r="BK76" s="13">
        <f t="shared" ref="BK76:BK81" si="594">IF(ISERROR(VLOOKUP(AF76,DT:DT,1,FALSE)),0,1)*IF(ISERROR(VLOOKUP(AH76,DT:DT,1,FALSE)),0,1)*AS76</f>
        <v>0</v>
      </c>
      <c r="BL76" s="13">
        <f t="shared" ref="BL76:BL81" si="595">IF(ISERROR(VLOOKUP(AF76,EN:EN,1,FALSE)),0,1)*IF(ISERROR(VLOOKUP(AH76,EN:EN,1,FALSE)),0,1)*AN76</f>
        <v>0</v>
      </c>
      <c r="BM76" s="13">
        <f t="shared" ref="BM76:BM81" si="596">IF(ISERROR(VLOOKUP(AF76,EN:EN,1,FALSE)),0,1)*IF(ISERROR(VLOOKUP(AH76,EN:EN,1,FALSE)),0,1)*AO76</f>
        <v>0</v>
      </c>
      <c r="BN76" s="13">
        <f t="shared" ref="BN76:BN81" si="597">IF(ISERROR(VLOOKUP(AF76,EN:EN,1,FALSE)),0,1)*IF(ISERROR(VLOOKUP(AH76,EN:EN,1,FALSE)),0,1)*AP76</f>
        <v>0</v>
      </c>
      <c r="BO76" s="13">
        <f t="shared" ref="BO76:BO81" si="598">IF(ISERROR(VLOOKUP(AF76,EN:EN,1,FALSE)),0,1)*IF(ISERROR(VLOOKUP(AH76,EN:EN,1,FALSE)),0,1)*AQ76</f>
        <v>0</v>
      </c>
      <c r="BP76" s="13">
        <f t="shared" ref="BP76:BP81" si="599">IF(ISERROR(VLOOKUP(AF76,EN:EN,1,FALSE)),0,1)*IF(ISERROR(VLOOKUP(AH76,EN:EN,1,FALSE)),0,1)*AR76</f>
        <v>0</v>
      </c>
      <c r="BQ76" s="13">
        <f t="shared" ref="BQ76:BQ81" si="600">IF(ISERROR(VLOOKUP(AF76,EN:EN,1,FALSE)),0,1)*IF(ISERROR(VLOOKUP(AH76,EN:EN,1,FALSE)),0,1)*AS76</f>
        <v>0</v>
      </c>
      <c r="BT76" s="12" t="s">
        <v>125</v>
      </c>
      <c r="BU76" s="13">
        <f t="shared" ref="BU76:BU79" si="601">(SUMIF(AF$4:AF$108,BT76,AN$4:AN$108)+SUMIF(AH$4:AH$108,BT76,AO$4:AO$108))</f>
        <v>0</v>
      </c>
      <c r="BV76" s="13">
        <f t="shared" ref="BV76:BV79" si="602">(SUMIF(AF$4:AF$108,BT76,AP$4:AP$108)+SUMIF(AH$4:AH$108,BT76,AQ$4:AQ$108))</f>
        <v>0</v>
      </c>
      <c r="BW76" s="13">
        <f t="shared" ref="BW76:BW79" si="603">(SUMIF(AF$4:AF$108,BT76,AR$4:AR$108)+SUMIF(AH$4:AH$108,BT76,AS$4:AS$108))</f>
        <v>0</v>
      </c>
      <c r="BX76" s="13">
        <f t="shared" ref="BX76:BX79" si="604">SUMIF($AF$4:$AF$108,BT76,$AI$4:$AI$108)+SUMIF($AH$4:$AH$108,BT76,$AK$4:$AK$108)</f>
        <v>0</v>
      </c>
      <c r="BY76" s="13">
        <f t="shared" ref="BY76:BY79" si="605">SUMIF($AF$4:$AF$108,BT76,$AK$4:$AK$108)+SUMIF($AH$4:$AH$108,BT76,$AI$4:$AI$108)</f>
        <v>0</v>
      </c>
      <c r="BZ76" s="13">
        <f t="shared" ref="BZ76:BZ79" si="606">BX76-BY76</f>
        <v>0</v>
      </c>
      <c r="CA76" s="13">
        <f t="shared" ref="CA76:CA79" si="607">IFERROR(BU76*3+BV76*1,0)</f>
        <v>0</v>
      </c>
      <c r="CB76" s="13" t="s">
        <v>61</v>
      </c>
      <c r="CC76" s="74">
        <f>RANK(CA76,CA76:CA79)</f>
        <v>1</v>
      </c>
      <c r="CD76" s="13">
        <f>SUMPRODUCT((CA76:CA79=CA76)*(BZ76:BZ79&gt;BZ76))</f>
        <v>0</v>
      </c>
      <c r="CF76" s="12" t="str">
        <f>IF(CC76=1,BT76,)</f>
        <v>Frankrike</v>
      </c>
      <c r="CG76" s="13">
        <f t="shared" ref="CG76:CG79" si="608">(SUMIF($AF$4:$AF$108,$BT76,$AT$4:$AT$108)+SUMIF($AH$4:$AH$108,$BT76,$AU$4:$AU$108))</f>
        <v>0</v>
      </c>
      <c r="CH76" s="13">
        <f t="shared" ref="CH76:CH79" si="609">(SUMIF($AF$4:$AF$108,$BT76,$AV$4:$AV$108)+SUMIF($AH$4:$AH$108,$BT76,$AW$4:$AW$108))</f>
        <v>0</v>
      </c>
      <c r="CI76" s="13">
        <f t="shared" ref="CI76:CI79" si="610">(SUMIF($AF$4:$AF$108,$BT76,$AX$4:$AX$108)+SUMIF($AH$4:$AH$108,$BT76,$AY$4:$AY$108))</f>
        <v>0</v>
      </c>
      <c r="CJ76" s="13">
        <f t="shared" ref="CJ76:CJ79" si="611">IFERROR(CG76*3+CH76*1,0)</f>
        <v>0</v>
      </c>
      <c r="CK76" s="13" t="str">
        <f>CB76</f>
        <v>I</v>
      </c>
      <c r="CL76" s="13">
        <f>IF(CF76&gt;0,RANK(CJ76,CJ76:CJ79),)</f>
        <v>1</v>
      </c>
      <c r="CM76" s="13">
        <f>IF(AND(CF76&gt;0,COUNTIF(CL76:CL79,CL76)&gt;1),SUMIFS($AI$4:$AI$108,$AF$4:$AF$108,$BT76,$M$4:$M$108,1)+SUMIFS($AK$4:$AK$108,$AH$4:$AH$108,$BT76,$M$4:$M$108,1)-SUMIFS($AK$4:$AK$108,$AF$4:$AF$108,$BT76,$M$4:$M$108,1)-SUMIFS($AI$4:$AI$108,$AH$4:$AH$108,$BT76,$M$4:$M$108,1),)</f>
        <v>0</v>
      </c>
      <c r="CN76" s="13">
        <f>IF(AND(CF76&gt;0,COUNTIF(CL76:CL79,CL76)&gt;1),CL76+RANK(CM76,CM76:CM79)-1,CL76)</f>
        <v>1</v>
      </c>
      <c r="CO76" s="13">
        <f>IF(AND(CF76&gt;0,COUNTIF(CN76:CN79,CN76)&gt;1),SUMIFS($AI$4:$AI$108,$AF$4:$AF$108,$BT76,$M$4:$M$108,1)+SUMIFS($AK$4:$AK$108,$AH$4:$AH$108,$BT76,$M$4:$M$108,1),)</f>
        <v>0</v>
      </c>
      <c r="CP76" s="13">
        <f>IF(AND(CF76&gt;0,COUNTIF(CN76:CN79,CN76)&gt;1),CN76+RANK(CO76,CO76:CO79)-1,CN76)</f>
        <v>1</v>
      </c>
      <c r="CQ76" s="13">
        <f>IF(CP76=0,"",CP76)</f>
        <v>1</v>
      </c>
      <c r="CR76" s="13">
        <f>IF(OR(CQ76="",COUNTIF(CQ76:CQ79,CQ76)=1),"",$BZ76)</f>
        <v>0</v>
      </c>
      <c r="CS76" s="13">
        <f>IF(CQ76="","",IF(COUNTIF(CQ76:CQ79,CQ76)=1,CQ76,CQ76+RANK(CR76,CR76:CR79,0)-1))</f>
        <v>1</v>
      </c>
      <c r="CT76" s="13">
        <f>IF(OR(CS76="",COUNTIF(CS76:CS79,CS76)=1),"",$BX76)</f>
        <v>0</v>
      </c>
      <c r="CU76" s="13">
        <f>IF(CQ76="","",IF(COUNTIF(CS76:CS79,CS76)=1,CS76,CS76+RANK(CT76,CT76:CT79,0)-1))</f>
        <v>1</v>
      </c>
      <c r="CV76" s="13">
        <f>IF(OR(CU76="",COUNTIF(CU76:CU79,CU76)=1),"",$BU76)</f>
        <v>0</v>
      </c>
      <c r="CW76" s="13">
        <f>IF(CQ76="","",IF(COUNTIF(CU76:CU79,CU76)=1,CU76,CU76+RANK(CV76,CV76:CV79,0)-1))</f>
        <v>1</v>
      </c>
      <c r="CX76" s="13">
        <f>IF(CF76&gt;0,BM74+RANK(CW76,CW76:CW79,1),)</f>
        <v>1</v>
      </c>
      <c r="CZ76" s="12">
        <f>IF(CC76=2,BT76,)</f>
        <v>0</v>
      </c>
      <c r="DA76" s="13">
        <f>(SUMIF($AF$4:$AF$108,$BT76,$AZ$4:$AZ$108)+SUMIF($AH$4:$AH$108,$BT76,$BA$4:$BA$108))</f>
        <v>0</v>
      </c>
      <c r="DB76" s="13">
        <f>(SUMIF($AF$4:$AF$108,$BT76,$BB$4:$BB$108)+SUMIF($AH$4:$AH$108,$BT76,$BC$4:$BC$108))</f>
        <v>0</v>
      </c>
      <c r="DC76" s="13">
        <f>(SUMIF($AF$4:$AF$108,$BT76,$BD$4:$BD$108)+SUMIF($AH$4:$AH$108,$BT76,$BE$4:$BE$108))</f>
        <v>0</v>
      </c>
      <c r="DD76" s="13">
        <f>IFERROR(DA76*3+DB76*1,0)</f>
        <v>0</v>
      </c>
      <c r="DE76" s="13" t="str">
        <f>$CB76</f>
        <v>I</v>
      </c>
      <c r="DF76" s="13">
        <f>IF(CZ76&gt;0,RANK(DD76,DD76:DD79)+CG74,)</f>
        <v>0</v>
      </c>
      <c r="DG76" s="13">
        <f>IF(AND(CZ76&gt;0,COUNTIF(DF76:DF79,DF76)&gt;1),SUMIFS($AI$4:$AI$108,$AF$4:$AF$108,$BT76,$M$4:$M$108,2)+SUMIFS($AK$4:$AK$108,$AH$4:$AH108,$BT76,$M$4:$M$108,2)-SUMIFS($AK$4:$AK$108,$AF$4:$AF$108,$BT76,$M$4:$M$108,2)-SUMIFS($AI$4:$AI$108,$AH$4:$AH$108,$BT76,$M$4:$M$108,2),)</f>
        <v>0</v>
      </c>
      <c r="DH76" s="13">
        <f>IF(AND(CZ76&gt;0,COUNTIF(DF76:DF79,DF76)&gt;1),DF76+RANK(DG76,DG76:DG79)-1,DF76)</f>
        <v>0</v>
      </c>
      <c r="DI76" s="13">
        <f>IF(AND(CZ76&gt;0,COUNTIF(DH76:DH79,DH76)&gt;1),SUMIFS($AI$4:$AI$108,$AF$4:$AF$108,$BT76,$M$4:$M$108,2)+SUMIFS($AK$4:$AK$108,$AH$4:$AH$108,$BT76,$M$4:$M$108,2),)</f>
        <v>0</v>
      </c>
      <c r="DJ76" s="13">
        <f>IF(AND(CZ76&gt;0,COUNTIF(DH76:DH79,DH76)&gt;1),DH76+RANK(DI76,DI76:DI79)-1,DH76)</f>
        <v>0</v>
      </c>
      <c r="DK76" s="75" t="str">
        <f>IF(DJ76=0,"",DJ76)</f>
        <v/>
      </c>
      <c r="DL76" s="75" t="str">
        <f>IF(OR(DK76="",COUNTIF(DK76:DK79,DK76)=1),"",$BZ76)</f>
        <v/>
      </c>
      <c r="DM76" s="75" t="str">
        <f>IF(DK76="","",IF(COUNTIF(DK76:DK79,DK76)=1,DK76,DK76+RANK(DL76,DL76:DL79,0)-1))</f>
        <v/>
      </c>
      <c r="DN76" s="75" t="str">
        <f>IF(OR(DM76="",COUNTIF(DM76:DM79,DM76)=1),"",$BX76)</f>
        <v/>
      </c>
      <c r="DO76" s="75" t="str">
        <f>IF(DK76="","",IF(COUNTIF(DM76:DM79,DM76)=1,DM76,DM76+RANK(DN76,DN76:DN79,0)-1))</f>
        <v/>
      </c>
      <c r="DP76" s="75" t="str">
        <f>IF(OR(DO76="",COUNTIF(DO76:DO79,DO76)=1),"",$BU76)</f>
        <v/>
      </c>
      <c r="DQ76" s="75" t="str">
        <f>IF(DK76="","",IF(COUNTIF(DO76:DO79,DO76)=1,DO76,DO76+RANK(DP76,DP76:DP79,0)-1))</f>
        <v/>
      </c>
      <c r="DR76" s="13">
        <f>IF(CZ76&gt;0,CG74+RANK(DQ76,DQ76:DQ79,1),)</f>
        <v>0</v>
      </c>
      <c r="DT76" s="13">
        <f>IF(CC76=3,BT76,)</f>
        <v>0</v>
      </c>
      <c r="DU76" s="13">
        <f>(SUMIF($AF$4:$AF$108,BT76,$BF$4:$BF$108)+SUMIF($AH$4:$AH$108,BT76,$BG$4:$BG$108))</f>
        <v>0</v>
      </c>
      <c r="DV76" s="13">
        <f>(SUMIF($AF$4:$AF$108,BT76,$BH$4:$BH$108)+SUMIF($AH$4:$AH$108,BT76,$BI$4:$BI$108))</f>
        <v>0</v>
      </c>
      <c r="DW76" s="13">
        <f>(SUMIF($AF$4:$AF$108,BT76,$BJ$4:$BJ$108)+SUMIF($AH$4:$AH$108,BT76,$BK$4:$BK$108))</f>
        <v>0</v>
      </c>
      <c r="DX76" s="13">
        <f>IFERROR(DU76*3+DV76*1,0)</f>
        <v>0</v>
      </c>
      <c r="DY76" s="13" t="str">
        <f>CB76</f>
        <v>I</v>
      </c>
      <c r="DZ76" s="13">
        <f>IF(DT76&gt;0,RANK(DX76,DX76:DX79)+CG74+DA74,)</f>
        <v>0</v>
      </c>
      <c r="EA76" s="13">
        <f>IF(AND(DT76&gt;0,COUNTIF(DZ76:DZ79,DZ76)&gt;1),SUMIFS($AI$4:$AI$108,$AF$4:$AF$108,$BT76,$M$4:$M$108,3)+SUMIFS($AK$4:$AK$108,$AH$4:$AH$108,$BT76,$M$4:$M$108,3)-SUMIFS($AK$4:$AK$108,$AF$4:$AF$108,$BT76,$M$4:$M$108,3)-SUMIFS($AI$4:$AI$108,$AH$4:$AH$108,$BT76,$M$4:$M$108,3),)</f>
        <v>0</v>
      </c>
      <c r="EB76" s="13">
        <f>IF(AND(DT76&gt;0,COUNTIF(DZ76:DZ79,DZ76)&gt;1),DZ76+RANK(EA76,EA76:EA79)-1,DZ76)</f>
        <v>0</v>
      </c>
      <c r="EC76" s="13">
        <f>IF(AND(DT76&gt;0,COUNTIF(EB76:EB79,EB76)&gt;1),SUMIFS($AI$4:$AI$108,$AF$4:$AF$108,$BT76,$M$4:$M$108,3)+SUMIFS($AK$4:$AK$108,$AH$4:$AH$108,$BT76,$M$4:$M$108,3),)</f>
        <v>0</v>
      </c>
      <c r="ED76" s="13">
        <f>IF(AND(DT76&gt;0,COUNTIF(EB76:EB79,EB76)&gt;1),EB76+RANK(EC76,EC76:EC79)-1,EB76)</f>
        <v>0</v>
      </c>
      <c r="EE76" s="13" t="str">
        <f>IF(ED76=0,"",ED76)</f>
        <v/>
      </c>
      <c r="EF76" s="13" t="str">
        <f>IF(OR(EE76="",COUNTIF(EE76:EE79,EE76)=1),"",$BZ76)</f>
        <v/>
      </c>
      <c r="EG76" s="13" t="str">
        <f>IF(EE76="","",IF(COUNTIF(EE76:EE79,EE76)=1,EE76,EE76+RANK(EF76,EF76:EF79,0)-1))</f>
        <v/>
      </c>
      <c r="EH76" s="13" t="str">
        <f>IF(OR(EG76="",COUNTIF(EG76:EG79,EG76)=1),"",$BX76)</f>
        <v/>
      </c>
      <c r="EI76" s="13" t="str">
        <f>IF(EE76="","",IF(COUNTIF(EG76:EG79,EG76)=1,EG76,EG76+RANK(EH76,EH76:EH79,0)-1))</f>
        <v/>
      </c>
      <c r="EJ76" s="13" t="str">
        <f>IF(OR(EI76="",COUNTIF(EI76:EI79,EI76)=1),"",$BU76)</f>
        <v/>
      </c>
      <c r="EK76" s="13" t="str">
        <f>IF(EE76="","",IF(COUNTIF(EI76:EI79,EI76)=1,EI76,EI76+RANK(EJ76,EJ76:EJ79,0)-1))</f>
        <v/>
      </c>
      <c r="EL76" s="13">
        <f>IF(DT76&gt;0,CG74+DA74+RANK(EK76,EK76:EK79,1),)</f>
        <v>0</v>
      </c>
      <c r="EN76" s="13">
        <f>IF(CC76=4,BT76,)</f>
        <v>0</v>
      </c>
      <c r="EO76" s="13">
        <f>(SUMIF($AF$4:$AF$108,$BT76,$BL$4:$BL$108)+SUMIF($AH$4:$AH$108,$BT76,$BM$4:$BM$108))</f>
        <v>0</v>
      </c>
      <c r="EP76" s="13">
        <f>(SUMIF($AF$4:$AF$108,$BT76,$BN$4:$BN$108)+SUMIF($AH$4:$AH$108,$BT76,$BO$4:$BO$108))</f>
        <v>0</v>
      </c>
      <c r="EQ76" s="13">
        <f>(SUMIF($AF$4:$AF$108,$BT76,$BP$4:$BP$108)+SUMIF($AH$4:$AH$108,$BT76,$BQ$4:$BQ$108))</f>
        <v>0</v>
      </c>
      <c r="ER76" s="13">
        <f>IFERROR(EO76*3+EP76*1,0)</f>
        <v>0</v>
      </c>
      <c r="ES76" s="13" t="str">
        <f>$CB76</f>
        <v>I</v>
      </c>
      <c r="ET76" s="13">
        <f>IF(EN76&gt;0,RANK(ER76,ER76:ER79)+CG74+DA74+DU74,)</f>
        <v>0</v>
      </c>
      <c r="EU76" s="13">
        <f>IF(AND(EN76&gt;0,COUNTIF(ET76:ET79,ET76)&gt;1),SUMIFS($AI$4:$AI$108,$AF$4:$AF$108,$BT76,$M$4:$M$108,4)+SUMIFS($AK$4:$AK$108,$AH$4:$AH$108,$BT76,$M$4:$M$108,4)-SUMIFS($AK$4:$AK$108,$AF$4:$AF$108,$BT76,$M$4:$M$108,4)-SUMIFS($AI$4:$AI$108,$AH$4:$AH$108,$BT76,$M$4:$M$108,4),)</f>
        <v>0</v>
      </c>
      <c r="EV76" s="13">
        <f>IF(AND(EN76&gt;0,COUNTIF(ET76:ET79,ET76)&gt;1),ET76+RANK(EU76,EU76:EU79)-1,ET76)</f>
        <v>0</v>
      </c>
      <c r="EW76" s="13">
        <f>IF(AND(EN76&gt;0,COUNTIF(EV76:EV79,EV76)&gt;1),SUMIFS($AI$4:$AI$108,$AF$4:$AF$108,$BT76,$M$4:$M$108,4)+SUMIFS($AK$4:$AK$108,$AH$4:$AH$108,$BT76,$M$4:$M$108,4),)</f>
        <v>0</v>
      </c>
      <c r="EX76" s="13">
        <f>IF(AND(EN76&gt;0,COUNTIF(EV76:EV79,EV76)&gt;1),EV76+RANK(EW76,EW76:EW79)-1,EV76)</f>
        <v>0</v>
      </c>
      <c r="EY76" s="13" t="str">
        <f>IF(EX76=0,"",EX76)</f>
        <v/>
      </c>
      <c r="EZ76" s="13" t="str">
        <f>IF(OR(EY76="",COUNTIF(EY76:EY79,EY76)=1),"",$BZ76)</f>
        <v/>
      </c>
      <c r="FA76" s="13" t="str">
        <f>IF(EY76="","",IF(COUNTIF(EY76:EY79,EY76)=1,EY76,EY76+RANK(EZ76,EZ76:EZ79,0)-1))</f>
        <v/>
      </c>
      <c r="FB76" s="13" t="str">
        <f>IF(OR(FA76="",COUNTIF(FA76:FA79,FA76)=1),"",$BX76)</f>
        <v/>
      </c>
      <c r="FC76" s="13" t="str">
        <f>IF(EY76="","",IF(COUNTIF(FA76:FA79,FA76)=1,FA76,FA76+RANK(FB76,FB76:FB79,0)-1))</f>
        <v/>
      </c>
      <c r="FD76" s="13" t="str">
        <f>IF(OR(FC76="",COUNTIF(FC76:FC79,FC76)=1),"",$BU76)</f>
        <v/>
      </c>
      <c r="FE76" s="13" t="str">
        <f>IF(EY76="","",IF(COUNTIF(FC76:FC79,FC76)=1,FC76,FC76+RANK(FD76,FD76:FD79,0)-1))</f>
        <v/>
      </c>
      <c r="FF76" s="13">
        <f>IF(EN76&gt;0,CG74+DA74+DU74+RANK(FE76,FE76:FE79,1),)</f>
        <v>0</v>
      </c>
      <c r="FH76" s="13">
        <f>IFERROR(VLOOKUP(FJ76,CF75:CX79,19,FALSE),IFERROR(VLOOKUP(FJ76,CZ75:DR79,19,FALSE),IFERROR(VLOOKUP(FJ76,DT75:EL79,19,FALSE),VLOOKUP(FJ76,EN75:FF79,19,FALSE))))</f>
        <v>1</v>
      </c>
      <c r="FI76" s="13">
        <f>RANK(FH76,FH76:FH79,1)+COUNTIF(FH76:FH76,FH76)-1</f>
        <v>1</v>
      </c>
      <c r="FJ76" s="12" t="str">
        <f>BT76</f>
        <v>Frankrike</v>
      </c>
      <c r="FZ76" s="79">
        <v>74</v>
      </c>
      <c r="GA76" s="3" t="str">
        <f t="shared" si="562"/>
        <v>EGBDIFLK</v>
      </c>
      <c r="GB76" s="3" t="s">
        <v>59</v>
      </c>
      <c r="GC76" s="3" t="s">
        <v>60</v>
      </c>
      <c r="GD76" s="3" t="s">
        <v>57</v>
      </c>
      <c r="GE76" s="3" t="s">
        <v>58</v>
      </c>
      <c r="GF76" s="3" t="s">
        <v>61</v>
      </c>
      <c r="GG76" s="3" t="s">
        <v>21</v>
      </c>
      <c r="GH76" s="3" t="s">
        <v>63</v>
      </c>
      <c r="GI76" s="3" t="s">
        <v>62</v>
      </c>
      <c r="GJ76" s="9" t="str">
        <f t="shared" si="413"/>
        <v>Elfenbenskusten</v>
      </c>
      <c r="GK76" s="9" t="str">
        <f t="shared" si="413"/>
        <v>Iran</v>
      </c>
      <c r="GL76" s="9" t="str">
        <f t="shared" si="413"/>
        <v>Qatar</v>
      </c>
      <c r="GM76" s="9" t="str">
        <f t="shared" si="413"/>
        <v>Australien</v>
      </c>
      <c r="GN76" s="9" t="str">
        <f t="shared" si="413"/>
        <v>Irak</v>
      </c>
      <c r="GO76" s="9" t="str">
        <f t="shared" si="413"/>
        <v>Sverige</v>
      </c>
      <c r="GP76" s="9" t="str">
        <f t="shared" si="413"/>
        <v>Ghana</v>
      </c>
      <c r="GQ76" s="9" t="str">
        <f t="shared" si="413"/>
        <v>Uzbekistan</v>
      </c>
      <c r="GR76" s="9" t="str">
        <f t="shared" si="563"/>
        <v/>
      </c>
      <c r="GX76" s="142"/>
    </row>
    <row r="77" spans="2:206" ht="14.25" customHeight="1" x14ac:dyDescent="0.25">
      <c r="B77" s="58">
        <v>18</v>
      </c>
      <c r="C77" s="59">
        <v>46190</v>
      </c>
      <c r="D77" s="60" t="s">
        <v>127</v>
      </c>
      <c r="E77" s="61" t="s">
        <v>66</v>
      </c>
      <c r="F77" s="62" t="s">
        <v>128</v>
      </c>
      <c r="G77" s="63"/>
      <c r="H77" s="64" t="s">
        <v>66</v>
      </c>
      <c r="I77" s="63"/>
      <c r="J77" s="65" t="str">
        <f t="shared" ref="J77:J81" si="612">IF(OR(ISBLANK(G77),ISBLANK(I77)),"",IF(G77&gt;I77,1,IF(G77&lt;I77,2,"X")))</f>
        <v/>
      </c>
      <c r="K77" s="66">
        <f>IF(OR(G77="",I77="",'[1]Resultat &amp; tabell'!G77="",'[1]Resultat &amp; tabell'!I77=""),0,IF(G77='[1]Resultat &amp; tabell'!G77,2,0)+IF(I77='[1]Resultat &amp; tabell'!I77,2,0)+IF(J77='[1]Resultat &amp; tabell'!J77,2,0))</f>
        <v>0</v>
      </c>
      <c r="L77" s="67"/>
      <c r="M77" s="29">
        <f t="shared" si="564"/>
        <v>1</v>
      </c>
      <c r="N77" s="30">
        <v>2</v>
      </c>
      <c r="O77" s="80" t="str">
        <f>VLOOKUP(N77,FI76:FJ79,2,FALSE)</f>
        <v>Senegal</v>
      </c>
      <c r="P77" s="81">
        <f t="shared" ref="P77:P79" si="613">VLOOKUP($O77,$BT$76:$CA$79,2,FALSE)</f>
        <v>0</v>
      </c>
      <c r="Q77" s="81">
        <f t="shared" ref="Q77:Q79" si="614">VLOOKUP($O77,$BT$76:$CA$79,3,FALSE)</f>
        <v>0</v>
      </c>
      <c r="R77" s="81">
        <f t="shared" ref="R77:R79" si="615">VLOOKUP($O77,$BT$76:$CA$79,4,FALSE)</f>
        <v>0</v>
      </c>
      <c r="S77" s="81">
        <f t="shared" ref="S77:S79" si="616">VLOOKUP($O77,$BT$76:$CA$79,5,FALSE)</f>
        <v>0</v>
      </c>
      <c r="T77" s="81">
        <f t="shared" ref="T77:T79" si="617">VLOOKUP($O77,$BT$76:$CA$79,6,FALSE)</f>
        <v>0</v>
      </c>
      <c r="U77" s="81">
        <f t="shared" ref="U77:U79" si="618">VLOOKUP($O77,$BT$76:$CA$79,7,FALSE)</f>
        <v>0</v>
      </c>
      <c r="V77" s="82">
        <f t="shared" ref="V77:V79" si="619">VLOOKUP($O77,$BT$76:$CA$79,8,FALSE)</f>
        <v>0</v>
      </c>
      <c r="X77" s="1"/>
      <c r="AE77" s="72">
        <f t="shared" si="566"/>
        <v>46190</v>
      </c>
      <c r="AF77" s="72" t="str">
        <f t="shared" si="566"/>
        <v>Irak</v>
      </c>
      <c r="AG77" s="72" t="str">
        <f t="shared" si="566"/>
        <v>-</v>
      </c>
      <c r="AH77" s="72" t="str">
        <f t="shared" si="566"/>
        <v>Norge</v>
      </c>
      <c r="AI77" s="63" t="str">
        <f t="shared" si="567"/>
        <v/>
      </c>
      <c r="AJ77" s="58" t="str">
        <f t="shared" si="568"/>
        <v>-</v>
      </c>
      <c r="AK77" s="63" t="str">
        <f t="shared" si="569"/>
        <v/>
      </c>
      <c r="AL77" s="65" t="str">
        <f t="shared" si="570"/>
        <v/>
      </c>
      <c r="AM77" s="73"/>
      <c r="AN77" s="13">
        <f t="shared" si="571"/>
        <v>0</v>
      </c>
      <c r="AO77" s="13">
        <f t="shared" si="572"/>
        <v>0</v>
      </c>
      <c r="AP77" s="13">
        <f t="shared" si="573"/>
        <v>0</v>
      </c>
      <c r="AQ77" s="13">
        <f t="shared" si="574"/>
        <v>0</v>
      </c>
      <c r="AR77" s="13">
        <f t="shared" si="575"/>
        <v>0</v>
      </c>
      <c r="AS77" s="13">
        <f t="shared" si="576"/>
        <v>0</v>
      </c>
      <c r="AT77" s="13">
        <f t="shared" si="577"/>
        <v>0</v>
      </c>
      <c r="AU77" s="13">
        <f t="shared" si="578"/>
        <v>0</v>
      </c>
      <c r="AV77" s="13">
        <f t="shared" si="579"/>
        <v>0</v>
      </c>
      <c r="AW77" s="13">
        <f t="shared" si="580"/>
        <v>0</v>
      </c>
      <c r="AX77" s="13">
        <f t="shared" si="581"/>
        <v>0</v>
      </c>
      <c r="AY77" s="13">
        <f t="shared" si="582"/>
        <v>0</v>
      </c>
      <c r="AZ77" s="13">
        <f t="shared" si="583"/>
        <v>0</v>
      </c>
      <c r="BA77" s="13">
        <f t="shared" si="584"/>
        <v>0</v>
      </c>
      <c r="BB77" s="13">
        <f t="shared" si="585"/>
        <v>0</v>
      </c>
      <c r="BC77" s="13">
        <f t="shared" si="586"/>
        <v>0</v>
      </c>
      <c r="BD77" s="13">
        <f t="shared" si="587"/>
        <v>0</v>
      </c>
      <c r="BE77" s="13">
        <f t="shared" si="588"/>
        <v>0</v>
      </c>
      <c r="BF77" s="13">
        <f t="shared" si="589"/>
        <v>0</v>
      </c>
      <c r="BG77" s="13">
        <f t="shared" si="590"/>
        <v>0</v>
      </c>
      <c r="BH77" s="13">
        <f t="shared" si="591"/>
        <v>0</v>
      </c>
      <c r="BI77" s="13">
        <f t="shared" si="592"/>
        <v>0</v>
      </c>
      <c r="BJ77" s="13">
        <f t="shared" si="593"/>
        <v>0</v>
      </c>
      <c r="BK77" s="13">
        <f t="shared" si="594"/>
        <v>0</v>
      </c>
      <c r="BL77" s="13">
        <f t="shared" si="595"/>
        <v>0</v>
      </c>
      <c r="BM77" s="13">
        <f t="shared" si="596"/>
        <v>0</v>
      </c>
      <c r="BN77" s="13">
        <f t="shared" si="597"/>
        <v>0</v>
      </c>
      <c r="BO77" s="13">
        <f t="shared" si="598"/>
        <v>0</v>
      </c>
      <c r="BP77" s="13">
        <f t="shared" si="599"/>
        <v>0</v>
      </c>
      <c r="BQ77" s="13">
        <f t="shared" si="600"/>
        <v>0</v>
      </c>
      <c r="BT77" s="12" t="s">
        <v>126</v>
      </c>
      <c r="BU77" s="13">
        <f t="shared" si="601"/>
        <v>0</v>
      </c>
      <c r="BV77" s="13">
        <f t="shared" si="602"/>
        <v>0</v>
      </c>
      <c r="BW77" s="13">
        <f t="shared" si="603"/>
        <v>0</v>
      </c>
      <c r="BX77" s="13">
        <f t="shared" si="604"/>
        <v>0</v>
      </c>
      <c r="BY77" s="13">
        <f t="shared" si="605"/>
        <v>0</v>
      </c>
      <c r="BZ77" s="13">
        <f t="shared" si="606"/>
        <v>0</v>
      </c>
      <c r="CA77" s="13">
        <f t="shared" si="607"/>
        <v>0</v>
      </c>
      <c r="CB77" s="13" t="s">
        <v>61</v>
      </c>
      <c r="CC77" s="74">
        <f>RANK(CA77,CA76:CA79)</f>
        <v>1</v>
      </c>
      <c r="CD77" s="13">
        <f>SUMPRODUCT((CA76:CA79=CA77)*(BZ76:BZ79&gt;BZ77))</f>
        <v>0</v>
      </c>
      <c r="CF77" s="12" t="str">
        <f>IF(CC77=1,BT77,)</f>
        <v>Senegal</v>
      </c>
      <c r="CG77" s="13">
        <f t="shared" si="608"/>
        <v>0</v>
      </c>
      <c r="CH77" s="13">
        <f t="shared" si="609"/>
        <v>0</v>
      </c>
      <c r="CI77" s="13">
        <f t="shared" si="610"/>
        <v>0</v>
      </c>
      <c r="CJ77" s="13">
        <f t="shared" si="611"/>
        <v>0</v>
      </c>
      <c r="CK77" s="13" t="str">
        <f t="shared" ref="CK77:CK79" si="620">CB77</f>
        <v>I</v>
      </c>
      <c r="CL77" s="13">
        <f>IF(CF77&gt;0,RANK(CJ77,CJ76:CJ79),)</f>
        <v>1</v>
      </c>
      <c r="CM77" s="13">
        <f>IF(AND(CF77&gt;0,COUNTIF(CL76:CL79,CL77)&gt;1),SUMIFS($AI$4:$AI$108,$AF$4:$AF$108,$BT77,$M$4:$M$108,1)+SUMIFS($AK$4:$AK$108,$AH$4:$AH$108,$BT77,$M$4:$M$108,1)-SUMIFS($AK$4:$AK$108,$AF$4:$AF$108,$BT77,$M$4:$M$108,1)-SUMIFS($AI$4:$AI$108,$AH$4:$AH$108,$BT77,$M$4:$M$108,1),)</f>
        <v>0</v>
      </c>
      <c r="CN77" s="13">
        <f>IF(AND(CF77&gt;0,COUNTIF(CL76:CL79,CL77)&gt;1),CL77+RANK(CM77,CM76:CM79)-1,CL77)</f>
        <v>1</v>
      </c>
      <c r="CO77" s="13">
        <f>IF(AND(CF77&gt;0,COUNTIF(CN76:CN79,CN77)&gt;1),SUMIFS($AI$4:$AI$108,$AF$4:$AF$108,$BT77,$M$4:$M$108,1)+SUMIFS($AK$4:$AK$108,$AH$4:$AH$108,$BT77,$M$4:$M$108,1),)</f>
        <v>0</v>
      </c>
      <c r="CP77" s="13">
        <f>IF(AND(CF77&gt;0,COUNTIF(CN76:CN79,CN77)&gt;1),CN77+RANK(CO77,CO76:CO79)-1,CN77)</f>
        <v>1</v>
      </c>
      <c r="CQ77" s="13">
        <f t="shared" ref="CQ77:CQ79" si="621">IF(CP77=0,"",CP77)</f>
        <v>1</v>
      </c>
      <c r="CR77" s="13">
        <f>IF(OR(CQ77="",COUNTIF(CQ76:CQ79,CQ77)=1),"",$BZ77)</f>
        <v>0</v>
      </c>
      <c r="CS77" s="13">
        <f>IF(CQ77="","",IF(COUNTIF(CQ76:CQ79,CQ77)=1,CQ77,CQ77+RANK(CR77,CR76:CR79,0)-1))</f>
        <v>1</v>
      </c>
      <c r="CT77" s="13">
        <f>IF(OR(CS77="",COUNTIF(CS76:CS79,CS77)=1),"",$BX77)</f>
        <v>0</v>
      </c>
      <c r="CU77" s="13">
        <f>IF(CQ77="","",IF(COUNTIF(CS76:CS79,CS77)=1,CS77,CS77+RANK(CT77,CT76:CT79,0)-1))</f>
        <v>1</v>
      </c>
      <c r="CV77" s="13">
        <f>IF(OR(CU77="",COUNTIF(CU76:CU79,CU77)=1),"",$BU77)</f>
        <v>0</v>
      </c>
      <c r="CW77" s="13">
        <f>IF(CQ77="","",IF(COUNTIF(CU76:CU79,CU77)=1,CU77,CU77+RANK(CV77,CV76:CV79,0)-1))</f>
        <v>1</v>
      </c>
      <c r="CX77" s="13">
        <f>IF(CF77&gt;0,BM74+RANK(CW77,CW76:CW79,1),)</f>
        <v>1</v>
      </c>
      <c r="CZ77" s="12">
        <f>IF(CC77=2,BT77,)</f>
        <v>0</v>
      </c>
      <c r="DA77" s="13">
        <f>(SUMIF($AF$4:$AF$108,$BT77,$AZ$4:$AZ$108)+SUMIF($AH$4:$AH$108,$BT77,$BA$4:$BA$108))</f>
        <v>0</v>
      </c>
      <c r="DB77" s="13">
        <f t="shared" ref="DB77:DB79" si="622">(SUMIF($AF$4:$AF$108,$BT77,$BB$4:$BB$108)+SUMIF($AH$4:$AH$108,$BT77,$BC$4:$BC$108))</f>
        <v>0</v>
      </c>
      <c r="DC77" s="13">
        <f t="shared" ref="DC77:DC79" si="623">(SUMIF($AF$4:$AF$108,$BT77,$BD$4:$BD$108)+SUMIF($AH$4:$AH$108,$BT77,$BE$4:$BE$108))</f>
        <v>0</v>
      </c>
      <c r="DD77" s="13">
        <f t="shared" ref="DD77:DD79" si="624">IFERROR(DA77*3+DB77*1,0)</f>
        <v>0</v>
      </c>
      <c r="DE77" s="13" t="str">
        <f t="shared" ref="DE77:DE79" si="625">$CB77</f>
        <v>I</v>
      </c>
      <c r="DF77" s="13">
        <f>IF(CZ77&gt;0,RANK(DD77,DD76:DD79)+CG74,)</f>
        <v>0</v>
      </c>
      <c r="DG77" s="13">
        <f>IF(AND(CZ77&gt;0,COUNTIF(DF76:DF79,DF77)&gt;1),SUMIFS($AI$4:$AI$108,$AF$4:$AF$108,$BT77,$M$4:$M$108,2)+SUMIFS($AK$4:$AK$108,$AH$4:$AH108,$BT77,$M$4:$M$108,2)-SUMIFS($AK$4:$AK$108,$AF$4:$AF$108,$BT77,$M$4:$M$108,2)-SUMIFS($AI$4:$AI$108,$AH$4:$AH$108,$BT77,$M$4:$M$108,2),)</f>
        <v>0</v>
      </c>
      <c r="DH77" s="13">
        <f>IF(AND(CZ77&gt;0,COUNTIF(DF76:DF79,DF77)&gt;1),DF77+RANK(DG77,DG76:DG79)-1,DF77)</f>
        <v>0</v>
      </c>
      <c r="DI77" s="13">
        <f>IF(AND(CZ77&gt;0,COUNTIF(DH76:DH79,DH77)&gt;1),SUMIFS($AI$4:$AI$108,$AF$4:$AF$108,$BT77,$M$4:$M$108,2)+SUMIFS($AK$4:$AK$108,$AH$4:$AH$108,$BT77,$M$4:$M$108,2),)</f>
        <v>0</v>
      </c>
      <c r="DJ77" s="13">
        <f>IF(AND(CZ77&gt;0,COUNTIF(DH76:DH79,DH77)&gt;1),DH77+RANK(DI77,DI76:DI79)-1,DH77)</f>
        <v>0</v>
      </c>
      <c r="DK77" s="75" t="str">
        <f t="shared" ref="DK77:DK79" si="626">IF(DJ77=0,"",DJ77)</f>
        <v/>
      </c>
      <c r="DL77" s="75" t="str">
        <f>IF(OR(DK77="",COUNTIF(DK76:DK79,DK77)=1),"",$BZ77)</f>
        <v/>
      </c>
      <c r="DM77" s="75" t="str">
        <f>IF(DK77="","",IF(COUNTIF(DK76:DK79,DK77)=1,DK77,DK77+RANK(DL77,DL76:DL79,0)-1))</f>
        <v/>
      </c>
      <c r="DN77" s="75" t="str">
        <f>IF(OR(DM77="",COUNTIF(DM76:DM79,DM77)=1),"",$BX77)</f>
        <v/>
      </c>
      <c r="DO77" s="75" t="str">
        <f>IF(DK77="","",IF(COUNTIF(DM76:DM79,DM77)=1,DM77,DM77+RANK(DN77,DN76:DN79,0)-1))</f>
        <v/>
      </c>
      <c r="DP77" s="75" t="str">
        <f>IF(OR(DO77="",COUNTIF(DO76:DO79,DO77)=1),"",$BU77)</f>
        <v/>
      </c>
      <c r="DQ77" s="75" t="str">
        <f>IF(DK77="","",IF(COUNTIF(DO76:DO79,DO77)=1,DO77,DO77+RANK(DP77,DP76:DP79,0)-1))</f>
        <v/>
      </c>
      <c r="DR77" s="13">
        <f>IF(CZ77&gt;0,CG74+RANK(DQ77,DQ76:DQ79,1),)</f>
        <v>0</v>
      </c>
      <c r="DT77" s="13">
        <f>IF(CC77=3,BT77,)</f>
        <v>0</v>
      </c>
      <c r="DU77" s="13">
        <f t="shared" ref="DU77:DU79" si="627">(SUMIF($AF$4:$AF$108,BT77,$BF$4:$BF$108)+SUMIF($AH$4:$AH$108,BT77,$BG$4:$BG$108))</f>
        <v>0</v>
      </c>
      <c r="DV77" s="13">
        <f t="shared" ref="DV77:DV79" si="628">(SUMIF($AF$4:$AF$108,BT77,$BH$4:$BH$108)+SUMIF($AH$4:$AH$108,BT77,$BI$4:$BI$108))</f>
        <v>0</v>
      </c>
      <c r="DW77" s="13">
        <f t="shared" ref="DW77:DW79" si="629">(SUMIF($AF$4:$AF$108,BT77,$BJ$4:$BJ$108)+SUMIF($AH$4:$AH$108,BT77,$BK$4:$BK$108))</f>
        <v>0</v>
      </c>
      <c r="DX77" s="13">
        <f>IFERROR(DU77*3+DV77*1,0)</f>
        <v>0</v>
      </c>
      <c r="DY77" s="13" t="str">
        <f t="shared" ref="DY77:DY79" si="630">CB77</f>
        <v>I</v>
      </c>
      <c r="DZ77" s="13">
        <f>IF(DT77&gt;0,RANK(DX77,DX76:DX79)+CG74+DA74,)</f>
        <v>0</v>
      </c>
      <c r="EA77" s="13">
        <f>IF(AND(DT77&gt;0,COUNTIF(DZ76:DZ79,DZ77)&gt;1),SUMIFS($AI$4:$AI$108,$AF$4:$AF$108,$BT77,$M$4:$M$108,3)+SUMIFS($AK$4:$AK$108,$AH$4:$AH$108,$BT77,$M$4:$M$108,3)-SUMIFS($AK$4:$AK$108,$AF$4:$AF$108,$BT77,$M$4:$M$108,3)-SUMIFS($AI$4:$AI$108,$AH$4:$AH$108,$BT77,$M$4:$M$108,3),)</f>
        <v>0</v>
      </c>
      <c r="EB77" s="13">
        <f>IF(AND(DT77&gt;0,COUNTIF(DZ76:DZ79,DZ77)&gt;1),DZ77+RANK(EA77,EA76:EA79)-1,DZ77)</f>
        <v>0</v>
      </c>
      <c r="EC77" s="13">
        <f>IF(AND(DT77&gt;0,COUNTIF(EB76:EB79,EB77)&gt;1),SUMIFS($AI$4:$AI$108,$AF$4:$AF$108,$BT77,$M$4:$M$108,3)+SUMIFS($AK$4:$AK$108,$AH$4:$AH$108,$BT77,$M$4:$M$108,3),)</f>
        <v>0</v>
      </c>
      <c r="ED77" s="13">
        <f>IF(AND(DT77&gt;0,COUNTIF(EB76:EB79,EB77)&gt;1),EB77+RANK(EC77,EC76:EC79)-1,EB77)</f>
        <v>0</v>
      </c>
      <c r="EE77" s="13" t="str">
        <f t="shared" ref="EE77:EE79" si="631">IF(ED77=0,"",ED77)</f>
        <v/>
      </c>
      <c r="EF77" s="13" t="str">
        <f>IF(OR(EE77="",COUNTIF(EE76:EE79,EE77)=1),"",$BZ77)</f>
        <v/>
      </c>
      <c r="EG77" s="13" t="str">
        <f>IF(EE77="","",IF(COUNTIF(EE76:EE79,EE77)=1,EE77,EE77+RANK(EF77,EF76:EF79,0)-1))</f>
        <v/>
      </c>
      <c r="EH77" s="13" t="str">
        <f>IF(OR(EG77="",COUNTIF(EG76:EG79,EG77)=1),"",$BX77)</f>
        <v/>
      </c>
      <c r="EI77" s="13" t="str">
        <f>IF(EE77="","",IF(COUNTIF(EG76:EG79,EG77)=1,EG77,EG77+RANK(EH77,EH76:EH79,0)-1))</f>
        <v/>
      </c>
      <c r="EJ77" s="13" t="str">
        <f>IF(OR(EI77="",COUNTIF(EI76:EI79,EI77)=1),"",$BU77)</f>
        <v/>
      </c>
      <c r="EK77" s="13" t="str">
        <f>IF(EE77="","",IF(COUNTIF(EI76:EI79,EI77)=1,EI77,EI77+RANK(EJ77,EJ76:EJ79,0)-1))</f>
        <v/>
      </c>
      <c r="EL77" s="13">
        <f>IF(DT77&gt;0,CG74+DA74+RANK(EK77,EK76:EK79,1),)</f>
        <v>0</v>
      </c>
      <c r="EN77" s="13">
        <f>IF(CC77=4,BT77,)</f>
        <v>0</v>
      </c>
      <c r="EO77" s="13">
        <f t="shared" ref="EO77:EO79" si="632">(SUMIF($AF$4:$AF$108,$BT77,$BL$4:$BL$108)+SUMIF($AH$4:$AH$108,$BT77,$BM$4:$BM$108))</f>
        <v>0</v>
      </c>
      <c r="EP77" s="13">
        <f t="shared" ref="EP77:EP79" si="633">(SUMIF($AF$4:$AF$108,$BT77,$BN$4:$BN$108)+SUMIF($AH$4:$AH$108,$BT77,$BO$4:$BO$108))</f>
        <v>0</v>
      </c>
      <c r="EQ77" s="13">
        <f t="shared" ref="EQ77:EQ79" si="634">(SUMIF($AF$4:$AF$108,$BT77,$BP$4:$BP$108)+SUMIF($AH$4:$AH$108,$BT77,$BQ$4:$BQ$108))</f>
        <v>0</v>
      </c>
      <c r="ER77" s="13">
        <f t="shared" ref="ER77:ER79" si="635">IFERROR(EO77*3+EP77*1,0)</f>
        <v>0</v>
      </c>
      <c r="ES77" s="13" t="str">
        <f t="shared" ref="ES77:ES79" si="636">$CB77</f>
        <v>I</v>
      </c>
      <c r="ET77" s="13">
        <f>IF(EN77&gt;0,RANK(ER77,ER76:ER79)+CG74+DA74+DU74,)</f>
        <v>0</v>
      </c>
      <c r="EU77" s="13">
        <f>IF(AND(EN77&gt;0,COUNTIF(ET76:ET79,ET77)&gt;1),SUMIFS($AI$4:$AI$108,$AF$4:$AF$108,$BT77,$M$4:$M$108,4)+SUMIFS($AK$4:$AK$108,$AH$4:$AH$108,$BT77,$M$4:$M$108,4)-SUMIFS($AK$4:$AK$108,$AF$4:$AF$108,$BT77,$M$4:$M$108,4)-SUMIFS($AI$4:$AI$108,$AH$4:$AH$108,$BT77,$M$4:$M$108,4),)</f>
        <v>0</v>
      </c>
      <c r="EV77" s="13">
        <f>IF(AND(EN77&gt;0,COUNTIF(ET76:ET79,ET77)&gt;1),ET77+RANK(EU77,EU76:EU79)-1,ET77)</f>
        <v>0</v>
      </c>
      <c r="EW77" s="13">
        <f t="shared" ref="EW77:EW79" si="637">IF(AND(EN77&gt;0,COUNTIF(EV77:EV80,EV77)&gt;1),SUMIFS($AI$4:$AI$108,$AF$4:$AF$108,$BT77,$M$4:$M$108,4)+SUMIFS($AK$4:$AK$108,$AH$4:$AH$108,$BT77,$M$4:$M$108,4),)</f>
        <v>0</v>
      </c>
      <c r="EX77" s="13">
        <f>IF(AND(EN77&gt;0,COUNTIF(EV76:EV79,EV77)&gt;1),EV77+RANK(EW77,EW76:EW79)-1,EV77)</f>
        <v>0</v>
      </c>
      <c r="EY77" s="13" t="str">
        <f t="shared" ref="EY77:EY79" si="638">IF(EX77=0,"",EX77)</f>
        <v/>
      </c>
      <c r="EZ77" s="13" t="str">
        <f>IF(OR(EY77="",COUNTIF(EY76:EY79,EY77)=1),"",$BZ77)</f>
        <v/>
      </c>
      <c r="FA77" s="13" t="str">
        <f>IF(EY77="","",IF(COUNTIF(EY76:EY79,EY77)=1,EY77,EY77+RANK(EZ77,EZ76:EZ79,0)-1))</f>
        <v/>
      </c>
      <c r="FB77" s="13" t="str">
        <f>IF(OR(FA77="",COUNTIF(FA76:FA79,FA77)=1),"",$BX77)</f>
        <v/>
      </c>
      <c r="FC77" s="13" t="str">
        <f>IF(EY77="","",IF(COUNTIF(FA76:FA79,FA77)=1,FA77,FA77+RANK(FB77,FB76:FB79,0)-1))</f>
        <v/>
      </c>
      <c r="FD77" s="13" t="str">
        <f>IF(OR(FC77="",COUNTIF(FC76:FC79,FC77)=1),"",$BU77)</f>
        <v/>
      </c>
      <c r="FE77" s="13" t="str">
        <f>IF(EY77="","",IF(COUNTIF(FC76:FC79,FC77)=1,FC77,FC77+RANK(FD77,FD76:FD79,0)-1))</f>
        <v/>
      </c>
      <c r="FF77" s="13">
        <f>IF(EN77&gt;0,CG74+DA74+DU74+RANK(FE77,FE76:FE79,1),)</f>
        <v>0</v>
      </c>
      <c r="FH77" s="13">
        <f>IFERROR(VLOOKUP(FJ77,CF75:CX79,19,FALSE),IFERROR(VLOOKUP(FJ77,CZ75:DR79,19,FALSE),IFERROR(VLOOKUP(FJ77,DT75:EL79,19,FALSE),VLOOKUP(FJ77,EN75:FF79,19,FALSE))))</f>
        <v>1</v>
      </c>
      <c r="FI77" s="13">
        <f>RANK(FH77,FH76:FH79,1)+COUNTIF(FH76:FH77,FH77)-1</f>
        <v>2</v>
      </c>
      <c r="FJ77" s="12" t="str">
        <f>BT77</f>
        <v>Senegal</v>
      </c>
      <c r="FZ77" s="79">
        <v>75</v>
      </c>
      <c r="GA77" s="3" t="str">
        <f t="shared" si="562"/>
        <v>EGBDJFLI</v>
      </c>
      <c r="GB77" s="3" t="s">
        <v>59</v>
      </c>
      <c r="GC77" s="3" t="s">
        <v>60</v>
      </c>
      <c r="GD77" s="3" t="s">
        <v>57</v>
      </c>
      <c r="GE77" s="3" t="s">
        <v>58</v>
      </c>
      <c r="GF77" s="3" t="s">
        <v>69</v>
      </c>
      <c r="GG77" s="3" t="s">
        <v>21</v>
      </c>
      <c r="GH77" s="3" t="s">
        <v>63</v>
      </c>
      <c r="GI77" s="3" t="s">
        <v>61</v>
      </c>
      <c r="GJ77" s="9" t="str">
        <f t="shared" si="413"/>
        <v>Elfenbenskusten</v>
      </c>
      <c r="GK77" s="9" t="str">
        <f t="shared" si="413"/>
        <v>Iran</v>
      </c>
      <c r="GL77" s="9" t="str">
        <f t="shared" si="413"/>
        <v>Qatar</v>
      </c>
      <c r="GM77" s="9" t="str">
        <f t="shared" si="413"/>
        <v>Australien</v>
      </c>
      <c r="GN77" s="9" t="str">
        <f t="shared" si="413"/>
        <v>Österrike</v>
      </c>
      <c r="GO77" s="9" t="str">
        <f t="shared" si="413"/>
        <v>Sverige</v>
      </c>
      <c r="GP77" s="9" t="str">
        <f t="shared" si="413"/>
        <v>Ghana</v>
      </c>
      <c r="GQ77" s="9" t="str">
        <f t="shared" si="413"/>
        <v>Irak</v>
      </c>
      <c r="GR77" s="9" t="str">
        <f t="shared" si="563"/>
        <v/>
      </c>
      <c r="GX77" s="142"/>
    </row>
    <row r="78" spans="2:206" ht="14.25" customHeight="1" x14ac:dyDescent="0.25">
      <c r="B78" s="58">
        <v>42</v>
      </c>
      <c r="C78" s="59">
        <v>46195</v>
      </c>
      <c r="D78" s="60" t="s">
        <v>125</v>
      </c>
      <c r="E78" s="61" t="s">
        <v>66</v>
      </c>
      <c r="F78" s="62" t="s">
        <v>127</v>
      </c>
      <c r="G78" s="63"/>
      <c r="H78" s="64" t="s">
        <v>66</v>
      </c>
      <c r="I78" s="63"/>
      <c r="J78" s="65" t="str">
        <f t="shared" si="612"/>
        <v/>
      </c>
      <c r="K78" s="66">
        <f>IF(OR(G78="",I78="",'[1]Resultat &amp; tabell'!G78="",'[1]Resultat &amp; tabell'!I78=""),0,IF(G78='[1]Resultat &amp; tabell'!G78,2,0)+IF(I78='[1]Resultat &amp; tabell'!I78,2,0)+IF(J78='[1]Resultat &amp; tabell'!J78,2,0))</f>
        <v>0</v>
      </c>
      <c r="L78" s="67"/>
      <c r="M78" s="29">
        <f t="shared" si="564"/>
        <v>1</v>
      </c>
      <c r="N78" s="30">
        <v>3</v>
      </c>
      <c r="O78" s="83" t="str">
        <f>VLOOKUP(N78,FI76:FJ79,2,FALSE)</f>
        <v>Irak</v>
      </c>
      <c r="P78" s="84">
        <f t="shared" si="613"/>
        <v>0</v>
      </c>
      <c r="Q78" s="84">
        <f t="shared" si="614"/>
        <v>0</v>
      </c>
      <c r="R78" s="84">
        <f t="shared" si="615"/>
        <v>0</v>
      </c>
      <c r="S78" s="84">
        <f t="shared" si="616"/>
        <v>0</v>
      </c>
      <c r="T78" s="84">
        <f t="shared" si="617"/>
        <v>0</v>
      </c>
      <c r="U78" s="84">
        <f t="shared" si="618"/>
        <v>0</v>
      </c>
      <c r="V78" s="85">
        <f t="shared" si="619"/>
        <v>0</v>
      </c>
      <c r="X78" s="1"/>
      <c r="AE78" s="72">
        <f t="shared" si="566"/>
        <v>46195</v>
      </c>
      <c r="AF78" s="72" t="str">
        <f t="shared" si="566"/>
        <v>Frankrike</v>
      </c>
      <c r="AG78" s="72" t="str">
        <f t="shared" si="566"/>
        <v>-</v>
      </c>
      <c r="AH78" s="72" t="str">
        <f t="shared" si="566"/>
        <v>Irak</v>
      </c>
      <c r="AI78" s="63" t="str">
        <f t="shared" si="567"/>
        <v/>
      </c>
      <c r="AJ78" s="58" t="str">
        <f t="shared" si="568"/>
        <v>-</v>
      </c>
      <c r="AK78" s="63" t="str">
        <f t="shared" si="569"/>
        <v/>
      </c>
      <c r="AL78" s="65" t="str">
        <f t="shared" si="570"/>
        <v/>
      </c>
      <c r="AM78" s="73"/>
      <c r="AN78" s="13">
        <f t="shared" si="571"/>
        <v>0</v>
      </c>
      <c r="AO78" s="13">
        <f t="shared" si="572"/>
        <v>0</v>
      </c>
      <c r="AP78" s="13">
        <f t="shared" si="573"/>
        <v>0</v>
      </c>
      <c r="AQ78" s="13">
        <f t="shared" si="574"/>
        <v>0</v>
      </c>
      <c r="AR78" s="13">
        <f t="shared" si="575"/>
        <v>0</v>
      </c>
      <c r="AS78" s="13">
        <f t="shared" si="576"/>
        <v>0</v>
      </c>
      <c r="AT78" s="13">
        <f t="shared" si="577"/>
        <v>0</v>
      </c>
      <c r="AU78" s="13">
        <f t="shared" si="578"/>
        <v>0</v>
      </c>
      <c r="AV78" s="13">
        <f t="shared" si="579"/>
        <v>0</v>
      </c>
      <c r="AW78" s="13">
        <f t="shared" si="580"/>
        <v>0</v>
      </c>
      <c r="AX78" s="13">
        <f t="shared" si="581"/>
        <v>0</v>
      </c>
      <c r="AY78" s="13">
        <f t="shared" si="582"/>
        <v>0</v>
      </c>
      <c r="AZ78" s="13">
        <f t="shared" si="583"/>
        <v>0</v>
      </c>
      <c r="BA78" s="13">
        <f t="shared" si="584"/>
        <v>0</v>
      </c>
      <c r="BB78" s="13">
        <f t="shared" si="585"/>
        <v>0</v>
      </c>
      <c r="BC78" s="13">
        <f t="shared" si="586"/>
        <v>0</v>
      </c>
      <c r="BD78" s="13">
        <f t="shared" si="587"/>
        <v>0</v>
      </c>
      <c r="BE78" s="13">
        <f t="shared" si="588"/>
        <v>0</v>
      </c>
      <c r="BF78" s="13">
        <f t="shared" si="589"/>
        <v>0</v>
      </c>
      <c r="BG78" s="13">
        <f t="shared" si="590"/>
        <v>0</v>
      </c>
      <c r="BH78" s="13">
        <f t="shared" si="591"/>
        <v>0</v>
      </c>
      <c r="BI78" s="13">
        <f t="shared" si="592"/>
        <v>0</v>
      </c>
      <c r="BJ78" s="13">
        <f t="shared" si="593"/>
        <v>0</v>
      </c>
      <c r="BK78" s="13">
        <f t="shared" si="594"/>
        <v>0</v>
      </c>
      <c r="BL78" s="13">
        <f t="shared" si="595"/>
        <v>0</v>
      </c>
      <c r="BM78" s="13">
        <f t="shared" si="596"/>
        <v>0</v>
      </c>
      <c r="BN78" s="13">
        <f t="shared" si="597"/>
        <v>0</v>
      </c>
      <c r="BO78" s="13">
        <f t="shared" si="598"/>
        <v>0</v>
      </c>
      <c r="BP78" s="13">
        <f t="shared" si="599"/>
        <v>0</v>
      </c>
      <c r="BQ78" s="13">
        <f t="shared" si="600"/>
        <v>0</v>
      </c>
      <c r="BT78" s="12" t="s">
        <v>127</v>
      </c>
      <c r="BU78" s="13">
        <f t="shared" si="601"/>
        <v>0</v>
      </c>
      <c r="BV78" s="13">
        <f t="shared" si="602"/>
        <v>0</v>
      </c>
      <c r="BW78" s="13">
        <f t="shared" si="603"/>
        <v>0</v>
      </c>
      <c r="BX78" s="13">
        <f t="shared" si="604"/>
        <v>0</v>
      </c>
      <c r="BY78" s="13">
        <f t="shared" si="605"/>
        <v>0</v>
      </c>
      <c r="BZ78" s="13">
        <f t="shared" si="606"/>
        <v>0</v>
      </c>
      <c r="CA78" s="13">
        <f t="shared" si="607"/>
        <v>0</v>
      </c>
      <c r="CB78" s="13" t="s">
        <v>61</v>
      </c>
      <c r="CC78" s="74">
        <f>RANK(CA78,CA76:CA79)</f>
        <v>1</v>
      </c>
      <c r="CD78" s="13">
        <f>SUMPRODUCT((CA76:CA79=CA78)*(BZ76:BZ79&gt;BZ78))</f>
        <v>0</v>
      </c>
      <c r="CF78" s="12" t="str">
        <f>IF(CC78=1,BT78,)</f>
        <v>Irak</v>
      </c>
      <c r="CG78" s="13">
        <f t="shared" si="608"/>
        <v>0</v>
      </c>
      <c r="CH78" s="13">
        <f t="shared" si="609"/>
        <v>0</v>
      </c>
      <c r="CI78" s="13">
        <f t="shared" si="610"/>
        <v>0</v>
      </c>
      <c r="CJ78" s="13">
        <f t="shared" si="611"/>
        <v>0</v>
      </c>
      <c r="CK78" s="13" t="str">
        <f t="shared" si="620"/>
        <v>I</v>
      </c>
      <c r="CL78" s="13">
        <f>IF(CF78&gt;0,RANK(CJ78,CJ76:CJ79),)</f>
        <v>1</v>
      </c>
      <c r="CM78" s="13">
        <f>IF(AND(CF78&gt;0,COUNTIF(CL76:CL79,CL78)&gt;1),SUMIFS($AI$4:$AI$108,$AF$4:$AF$108,$BT78,$M$4:$M$108,1)+SUMIFS($AK$4:$AK$108,$AH$4:$AH$108,$BT78,$M$4:$M$108,1)-SUMIFS($AK$4:$AK$108,$AF$4:$AF$108,$BT78,$M$4:$M$108,1)-SUMIFS($AI$4:$AI$108,$AH$4:$AH$108,$BT78,$M$4:$M$108,1),)</f>
        <v>0</v>
      </c>
      <c r="CN78" s="13">
        <f>IF(AND(CF78&gt;0,COUNTIF(CL76:CL79,CL78)&gt;1),CL78+RANK(CM78,CM76:CM79)-1,CL78)</f>
        <v>1</v>
      </c>
      <c r="CO78" s="13">
        <f>IF(AND(CF78&gt;0,COUNTIF(CN76:CN79,CN78)&gt;1),SUMIFS($AI$4:$AI$108,$AF$4:$AF$108,$BT78,$M$4:$M$108,1)+SUMIFS($AK$4:$AK$108,$AH$4:$AH$108,$BT78,$M$4:$M$108,1),)</f>
        <v>0</v>
      </c>
      <c r="CP78" s="13">
        <f>IF(AND(CF78&gt;0,COUNTIF(CN76:CN79,CN78)&gt;1),CN78+RANK(CO78,CO76:CO79)-1,CN78)</f>
        <v>1</v>
      </c>
      <c r="CQ78" s="13">
        <f t="shared" si="621"/>
        <v>1</v>
      </c>
      <c r="CR78" s="13">
        <f>IF(OR(CQ78="",COUNTIF(CQ76:CQ79,CQ78)=1),"",$BZ78)</f>
        <v>0</v>
      </c>
      <c r="CS78" s="13">
        <f>IF(CQ78="","",IF(COUNTIF(CQ76:CQ79,CQ78)=1,CQ78,CQ78+RANK(CR78,CR76:CR79,0)-1))</f>
        <v>1</v>
      </c>
      <c r="CT78" s="13">
        <f>IF(OR(CS78="",COUNTIF(CS76:CS79,CS78)=1),"",$BX78)</f>
        <v>0</v>
      </c>
      <c r="CU78" s="13">
        <f>IF(CQ78="","",IF(COUNTIF(CS76:CS79,CS78)=1,CS78,CS78+RANK(CT78,CT76:CT79,0)-1))</f>
        <v>1</v>
      </c>
      <c r="CV78" s="13">
        <f>IF(OR(CU78="",COUNTIF(CU76:CU79,CU78)=1),"",$BU78)</f>
        <v>0</v>
      </c>
      <c r="CW78" s="13">
        <f>IF(CQ78="","",IF(COUNTIF(CU76:CU79,CU78)=1,CU78,CU78+RANK(CV78,CV76:CV79,0)-1))</f>
        <v>1</v>
      </c>
      <c r="CX78" s="13">
        <f>IF(CF78&gt;0,BM74+RANK(CW78,CW76:CW79,1),)</f>
        <v>1</v>
      </c>
      <c r="CZ78" s="12">
        <f>IF(CC78=2,BT78,)</f>
        <v>0</v>
      </c>
      <c r="DA78" s="13">
        <f>(SUMIF($AF$4:$AF$108,$BT78,$AZ$4:$AZ$108)+SUMIF($AH$4:$AH$108,$BT78,$BA$4:$BA$108))</f>
        <v>0</v>
      </c>
      <c r="DB78" s="13">
        <f t="shared" si="622"/>
        <v>0</v>
      </c>
      <c r="DC78" s="13">
        <f t="shared" si="623"/>
        <v>0</v>
      </c>
      <c r="DD78" s="13">
        <f t="shared" si="624"/>
        <v>0</v>
      </c>
      <c r="DE78" s="13" t="str">
        <f t="shared" si="625"/>
        <v>I</v>
      </c>
      <c r="DF78" s="13">
        <f>IF(CZ78&gt;0,RANK(DD78,DD76:DD79)+CG74,)</f>
        <v>0</v>
      </c>
      <c r="DG78" s="13">
        <f>IF(AND(CZ78&gt;0,COUNTIF(DF76:DF79,DF78)&gt;1),SUMIFS($AI$4:$AI$108,$AF$4:$AF$108,$BT78,$M$4:$M$108,2)+SUMIFS($AK$4:$AK$108,$AH$4:$AH108,$BT78,$M$4:$M$108,2)-SUMIFS($AK$4:$AK$108,$AF$4:$AF$108,$BT78,$M$4:$M$108,2)-SUMIFS($AI$4:$AI$108,$AH$4:$AH$108,$BT78,$M$4:$M$108,2),)</f>
        <v>0</v>
      </c>
      <c r="DH78" s="13">
        <f>IF(AND(CZ78&gt;0,COUNTIF(DF76:DF79,DF78)&gt;1),DF78+RANK(DG78,DG76:DG79)-1,DF78)</f>
        <v>0</v>
      </c>
      <c r="DI78" s="13">
        <f>IF(AND(CZ78&gt;0,COUNTIF(DH76:DH79,DH78)&gt;1),SUMIFS($AI$4:$AI$108,$AF$4:$AF$108,$BT78,$M$4:$M$108,2)+SUMIFS($AK$4:$AK$108,$AH$4:$AH$108,$BT78,$M$4:$M$108,2),)</f>
        <v>0</v>
      </c>
      <c r="DJ78" s="13">
        <f>IF(AND(CZ78&gt;0,COUNTIF(DH76:DH79,DH78)&gt;1),DH78+RANK(DI78,DI76:DI79)-1,DH78)</f>
        <v>0</v>
      </c>
      <c r="DK78" s="75" t="str">
        <f t="shared" si="626"/>
        <v/>
      </c>
      <c r="DL78" s="75" t="str">
        <f>IF(OR(DK78="",COUNTIF(DK76:DK79,DK78)=1),"",$BZ78)</f>
        <v/>
      </c>
      <c r="DM78" s="75" t="str">
        <f>IF(DK78="","",IF(COUNTIF(DK76:DK79,DK78)=1,DK78,DK78+RANK(DL78,DL76:DL79,0)-1))</f>
        <v/>
      </c>
      <c r="DN78" s="75" t="str">
        <f>IF(OR(DM78="",COUNTIF(DM76:DM79,DM78)=1),"",$BX78)</f>
        <v/>
      </c>
      <c r="DO78" s="75" t="str">
        <f>IF(DK78="","",IF(COUNTIF(DM76:DM79,DM78)=1,DM78,DM78+RANK(DN78,DN76:DN79,0)-1))</f>
        <v/>
      </c>
      <c r="DP78" s="75" t="str">
        <f>IF(OR(DO78="",COUNTIF(DO76:DO79,DO78)=1),"",$BU78)</f>
        <v/>
      </c>
      <c r="DQ78" s="75" t="str">
        <f>IF(DK78="","",IF(COUNTIF(DO76:DO79,DO78)=1,DO78,DO78+RANK(DP78,DP76:DP79,0)-1))</f>
        <v/>
      </c>
      <c r="DR78" s="13">
        <f>IF(CZ78&gt;0,CG74+RANK(DQ78,DQ76:DQ79,1),)</f>
        <v>0</v>
      </c>
      <c r="DT78" s="13">
        <f>IF(CC78=3,BT78,)</f>
        <v>0</v>
      </c>
      <c r="DU78" s="13">
        <f t="shared" si="627"/>
        <v>0</v>
      </c>
      <c r="DV78" s="13">
        <f t="shared" si="628"/>
        <v>0</v>
      </c>
      <c r="DW78" s="13">
        <f t="shared" si="629"/>
        <v>0</v>
      </c>
      <c r="DX78" s="13">
        <f>IFERROR(DU78*3+DV78*1,0)</f>
        <v>0</v>
      </c>
      <c r="DY78" s="13" t="str">
        <f t="shared" si="630"/>
        <v>I</v>
      </c>
      <c r="DZ78" s="13">
        <f>IF(DT78&gt;0,RANK(DX78,DX76:DX79)+CG74+DA74,)</f>
        <v>0</v>
      </c>
      <c r="EA78" s="13">
        <f>IF(AND(DT78&gt;0,COUNTIF(DZ76:DZ79,DZ78)&gt;1),SUMIFS($AI$4:$AI$108,$AF$4:$AF$108,$BT78,$M$4:$M$108,3)+SUMIFS($AK$4:$AK$108,$AH$4:$AH$108,$BT78,$M$4:$M$108,3)-SUMIFS($AK$4:$AK$108,$AF$4:$AF$108,$BT78,$M$4:$M$108,3)-SUMIFS($AI$4:$AI$108,$AH$4:$AH$108,$BT78,$M$4:$M$108,3),)</f>
        <v>0</v>
      </c>
      <c r="EB78" s="13">
        <f>IF(AND(DT78&gt;0,COUNTIF(DZ76:DZ79,DZ78)&gt;1),DZ78+RANK(EA78,EA76:EA79)-1,DZ78)</f>
        <v>0</v>
      </c>
      <c r="EC78" s="13">
        <f>IF(AND(DT78&gt;0,COUNTIF(EB76:EB79,EB78)&gt;1),SUMIFS($AI$4:$AI$108,$AF$4:$AF$108,$BT78,$M$4:$M$108,3)+SUMIFS($AK$4:$AK$108,$AH$4:$AH$108,$BT78,$M$4:$M$108,3),)</f>
        <v>0</v>
      </c>
      <c r="ED78" s="13">
        <f>IF(AND(DT78&gt;0,COUNTIF(EB76:EB79,EB78)&gt;1),EB78+RANK(EC78,EC76:EC79)-1,EB78)</f>
        <v>0</v>
      </c>
      <c r="EE78" s="13" t="str">
        <f t="shared" si="631"/>
        <v/>
      </c>
      <c r="EF78" s="13" t="str">
        <f>IF(OR(EE78="",COUNTIF(EE76:EE79,EE78)=1),"",$BZ78)</f>
        <v/>
      </c>
      <c r="EG78" s="13" t="str">
        <f>IF(EE78="","",IF(COUNTIF(EE76:EE79,EE78)=1,EE78,EE78+RANK(EF78,EF76:EF79,0)-1))</f>
        <v/>
      </c>
      <c r="EH78" s="13" t="str">
        <f>IF(OR(EG78="",COUNTIF(EG76:EG79,EG78)=1),"",$BX78)</f>
        <v/>
      </c>
      <c r="EI78" s="13" t="str">
        <f>IF(EE78="","",IF(COUNTIF(EG76:EG79,EG78)=1,EG78,EG78+RANK(EH78,EH76:EH79,0)-1))</f>
        <v/>
      </c>
      <c r="EJ78" s="13" t="str">
        <f>IF(OR(EI78="",COUNTIF(EI76:EI79,EI78)=1),"",$BU78)</f>
        <v/>
      </c>
      <c r="EK78" s="13" t="str">
        <f>IF(EE78="","",IF(COUNTIF(EI76:EI79,EI78)=1,EI78,EI78+RANK(EJ78,EJ76:EJ79,0)-1))</f>
        <v/>
      </c>
      <c r="EL78" s="13">
        <f>IF(DT78&gt;0,CG74+DA74+RANK(EK78,EK76:EK79,1),)</f>
        <v>0</v>
      </c>
      <c r="EN78" s="13">
        <f>IF(CC78=4,BT78,)</f>
        <v>0</v>
      </c>
      <c r="EO78" s="13">
        <f t="shared" si="632"/>
        <v>0</v>
      </c>
      <c r="EP78" s="13">
        <f t="shared" si="633"/>
        <v>0</v>
      </c>
      <c r="EQ78" s="13">
        <f t="shared" si="634"/>
        <v>0</v>
      </c>
      <c r="ER78" s="13">
        <f t="shared" si="635"/>
        <v>0</v>
      </c>
      <c r="ES78" s="13" t="str">
        <f t="shared" si="636"/>
        <v>I</v>
      </c>
      <c r="ET78" s="13">
        <f>IF(EN78&gt;0,RANK(ER78,ER76:ER79)+CG74+DA74+DU74,)</f>
        <v>0</v>
      </c>
      <c r="EU78" s="13">
        <f>IF(AND(EN78&gt;0,COUNTIF(ET76:ET79,ET78)&gt;1),SUMIFS($AI$4:$AI$108,$AF$4:$AF$108,$BT78,$M$4:$M$108,4)+SUMIFS($AK$4:$AK$108,$AH$4:$AH$108,$BT78,$M$4:$M$108,4)-SUMIFS($AK$4:$AK$108,$AF$4:$AF$108,$BT78,$M$4:$M$108,4)-SUMIFS($AI$4:$AI$108,$AH$4:$AH$108,$BT78,$M$4:$M$108,4),)</f>
        <v>0</v>
      </c>
      <c r="EV78" s="13">
        <f>IF(AND(EN78&gt;0,COUNTIF(ET76:ET79,ET78)&gt;1),ET78+RANK(EU78,EU76:EU79)-1,ET78)</f>
        <v>0</v>
      </c>
      <c r="EW78" s="13">
        <f t="shared" si="637"/>
        <v>0</v>
      </c>
      <c r="EX78" s="13">
        <f>IF(AND(EN78&gt;0,COUNTIF(EV76:EV79,EV78)&gt;1),EV78+RANK(EW78,EW76:EW79)-1,EV78)</f>
        <v>0</v>
      </c>
      <c r="EY78" s="13" t="str">
        <f t="shared" si="638"/>
        <v/>
      </c>
      <c r="EZ78" s="13" t="str">
        <f>IF(OR(EY78="",COUNTIF(EY76:EY79,EY78)=1),"",$BZ78)</f>
        <v/>
      </c>
      <c r="FA78" s="13" t="str">
        <f>IF(EY78="","",IF(COUNTIF(EY76:EY79,EY78)=1,EY78,EY78+RANK(EZ78,EZ76:EZ79,0)-1))</f>
        <v/>
      </c>
      <c r="FB78" s="13" t="str">
        <f>IF(OR(FA78="",COUNTIF(FA76:FA79,FA78)=1),"",$BX78)</f>
        <v/>
      </c>
      <c r="FC78" s="13" t="str">
        <f>IF(EY78="","",IF(COUNTIF(FA76:FA79,FA78)=1,FA78,FA78+RANK(FB78,FB76:FB79,0)-1))</f>
        <v/>
      </c>
      <c r="FD78" s="13" t="str">
        <f>IF(OR(FC78="",COUNTIF(FC76:FC79,FC78)=1),"",$BU78)</f>
        <v/>
      </c>
      <c r="FE78" s="13" t="str">
        <f>IF(EY78="","",IF(COUNTIF(FC76:FC79,FC78)=1,FC78,FC78+RANK(FD78,FD76:FD79,0)-1))</f>
        <v/>
      </c>
      <c r="FF78" s="13">
        <f>IF(EN78&gt;0,CG74+DA74+DU74+RANK(FE78,FE76:FE79,1),)</f>
        <v>0</v>
      </c>
      <c r="FH78" s="13">
        <f>IFERROR(VLOOKUP(FJ78,CF75:CX79,19,FALSE),IFERROR(VLOOKUP(FJ78,CZ75:DR79,19,FALSE),IFERROR(VLOOKUP(FJ78,DT75:EL79,19,FALSE),VLOOKUP(FJ78,EN75:FF79,19,FALSE))))</f>
        <v>1</v>
      </c>
      <c r="FI78" s="13">
        <f>RANK(FH78,FH76:FH79,1)+COUNTIF(FH76:FH78,FH78)-1</f>
        <v>3</v>
      </c>
      <c r="FJ78" s="12" t="str">
        <f>BT78</f>
        <v>Irak</v>
      </c>
      <c r="FZ78" s="79">
        <v>76</v>
      </c>
      <c r="GA78" s="3" t="str">
        <f t="shared" si="562"/>
        <v>EGBDJFIK</v>
      </c>
      <c r="GB78" s="3" t="s">
        <v>59</v>
      </c>
      <c r="GC78" s="3" t="s">
        <v>60</v>
      </c>
      <c r="GD78" s="3" t="s">
        <v>57</v>
      </c>
      <c r="GE78" s="3" t="s">
        <v>58</v>
      </c>
      <c r="GF78" s="3" t="s">
        <v>69</v>
      </c>
      <c r="GG78" s="3" t="s">
        <v>21</v>
      </c>
      <c r="GH78" s="3" t="s">
        <v>61</v>
      </c>
      <c r="GI78" s="3" t="s">
        <v>62</v>
      </c>
      <c r="GJ78" s="9" t="str">
        <f t="shared" si="413"/>
        <v>Elfenbenskusten</v>
      </c>
      <c r="GK78" s="9" t="str">
        <f t="shared" si="413"/>
        <v>Iran</v>
      </c>
      <c r="GL78" s="9" t="str">
        <f t="shared" si="413"/>
        <v>Qatar</v>
      </c>
      <c r="GM78" s="9" t="str">
        <f t="shared" si="413"/>
        <v>Australien</v>
      </c>
      <c r="GN78" s="9" t="str">
        <f t="shared" si="413"/>
        <v>Österrike</v>
      </c>
      <c r="GO78" s="9" t="str">
        <f t="shared" si="413"/>
        <v>Sverige</v>
      </c>
      <c r="GP78" s="9" t="str">
        <f t="shared" si="413"/>
        <v>Irak</v>
      </c>
      <c r="GQ78" s="9" t="str">
        <f t="shared" si="413"/>
        <v>Uzbekistan</v>
      </c>
      <c r="GR78" s="9" t="str">
        <f t="shared" si="563"/>
        <v/>
      </c>
      <c r="GX78" s="142"/>
    </row>
    <row r="79" spans="2:206" ht="14.25" customHeight="1" x14ac:dyDescent="0.25">
      <c r="B79" s="58">
        <v>41</v>
      </c>
      <c r="C79" s="59">
        <v>46196</v>
      </c>
      <c r="D79" s="60" t="s">
        <v>128</v>
      </c>
      <c r="E79" s="61" t="s">
        <v>66</v>
      </c>
      <c r="F79" s="62" t="s">
        <v>126</v>
      </c>
      <c r="G79" s="63"/>
      <c r="H79" s="64" t="s">
        <v>66</v>
      </c>
      <c r="I79" s="63"/>
      <c r="J79" s="65" t="str">
        <f t="shared" si="612"/>
        <v/>
      </c>
      <c r="K79" s="66">
        <f>IF(OR(G79="",I79="",'[1]Resultat &amp; tabell'!G79="",'[1]Resultat &amp; tabell'!I79=""),0,IF(G79='[1]Resultat &amp; tabell'!G79,2,0)+IF(I79='[1]Resultat &amp; tabell'!I79,2,0)+IF(J79='[1]Resultat &amp; tabell'!J79,2,0))</f>
        <v>0</v>
      </c>
      <c r="L79" s="67"/>
      <c r="M79" s="29">
        <f t="shared" si="564"/>
        <v>1</v>
      </c>
      <c r="N79" s="30">
        <v>4</v>
      </c>
      <c r="O79" s="86" t="str">
        <f>VLOOKUP(N79,FI76:FJ79,2,FALSE)</f>
        <v>Norge</v>
      </c>
      <c r="P79" s="87">
        <f t="shared" si="613"/>
        <v>0</v>
      </c>
      <c r="Q79" s="87">
        <f t="shared" si="614"/>
        <v>0</v>
      </c>
      <c r="R79" s="87">
        <f t="shared" si="615"/>
        <v>0</v>
      </c>
      <c r="S79" s="87">
        <f t="shared" si="616"/>
        <v>0</v>
      </c>
      <c r="T79" s="87">
        <f t="shared" si="617"/>
        <v>0</v>
      </c>
      <c r="U79" s="87">
        <f t="shared" si="618"/>
        <v>0</v>
      </c>
      <c r="V79" s="82">
        <f t="shared" si="619"/>
        <v>0</v>
      </c>
      <c r="X79" s="1"/>
      <c r="AE79" s="72">
        <f t="shared" si="566"/>
        <v>46196</v>
      </c>
      <c r="AF79" s="72" t="str">
        <f t="shared" si="566"/>
        <v>Norge</v>
      </c>
      <c r="AG79" s="72" t="str">
        <f t="shared" si="566"/>
        <v>-</v>
      </c>
      <c r="AH79" s="72" t="str">
        <f t="shared" si="566"/>
        <v>Senegal</v>
      </c>
      <c r="AI79" s="63" t="str">
        <f t="shared" si="567"/>
        <v/>
      </c>
      <c r="AJ79" s="58" t="str">
        <f t="shared" si="568"/>
        <v>-</v>
      </c>
      <c r="AK79" s="63" t="str">
        <f t="shared" si="569"/>
        <v/>
      </c>
      <c r="AL79" s="65" t="str">
        <f t="shared" si="570"/>
        <v/>
      </c>
      <c r="AM79" s="73"/>
      <c r="AN79" s="13">
        <f t="shared" si="571"/>
        <v>0</v>
      </c>
      <c r="AO79" s="13">
        <f t="shared" si="572"/>
        <v>0</v>
      </c>
      <c r="AP79" s="13">
        <f t="shared" si="573"/>
        <v>0</v>
      </c>
      <c r="AQ79" s="13">
        <f t="shared" si="574"/>
        <v>0</v>
      </c>
      <c r="AR79" s="13">
        <f t="shared" si="575"/>
        <v>0</v>
      </c>
      <c r="AS79" s="13">
        <f t="shared" si="576"/>
        <v>0</v>
      </c>
      <c r="AT79" s="13">
        <f t="shared" si="577"/>
        <v>0</v>
      </c>
      <c r="AU79" s="13">
        <f t="shared" si="578"/>
        <v>0</v>
      </c>
      <c r="AV79" s="13">
        <f t="shared" si="579"/>
        <v>0</v>
      </c>
      <c r="AW79" s="13">
        <f t="shared" si="580"/>
        <v>0</v>
      </c>
      <c r="AX79" s="13">
        <f t="shared" si="581"/>
        <v>0</v>
      </c>
      <c r="AY79" s="13">
        <f t="shared" si="582"/>
        <v>0</v>
      </c>
      <c r="AZ79" s="13">
        <f t="shared" si="583"/>
        <v>0</v>
      </c>
      <c r="BA79" s="13">
        <f t="shared" si="584"/>
        <v>0</v>
      </c>
      <c r="BB79" s="13">
        <f t="shared" si="585"/>
        <v>0</v>
      </c>
      <c r="BC79" s="13">
        <f t="shared" si="586"/>
        <v>0</v>
      </c>
      <c r="BD79" s="13">
        <f t="shared" si="587"/>
        <v>0</v>
      </c>
      <c r="BE79" s="13">
        <f t="shared" si="588"/>
        <v>0</v>
      </c>
      <c r="BF79" s="13">
        <f t="shared" si="589"/>
        <v>0</v>
      </c>
      <c r="BG79" s="13">
        <f t="shared" si="590"/>
        <v>0</v>
      </c>
      <c r="BH79" s="13">
        <f t="shared" si="591"/>
        <v>0</v>
      </c>
      <c r="BI79" s="13">
        <f t="shared" si="592"/>
        <v>0</v>
      </c>
      <c r="BJ79" s="13">
        <f t="shared" si="593"/>
        <v>0</v>
      </c>
      <c r="BK79" s="13">
        <f t="shared" si="594"/>
        <v>0</v>
      </c>
      <c r="BL79" s="13">
        <f t="shared" si="595"/>
        <v>0</v>
      </c>
      <c r="BM79" s="13">
        <f t="shared" si="596"/>
        <v>0</v>
      </c>
      <c r="BN79" s="13">
        <f t="shared" si="597"/>
        <v>0</v>
      </c>
      <c r="BO79" s="13">
        <f t="shared" si="598"/>
        <v>0</v>
      </c>
      <c r="BP79" s="13">
        <f t="shared" si="599"/>
        <v>0</v>
      </c>
      <c r="BQ79" s="13">
        <f t="shared" si="600"/>
        <v>0</v>
      </c>
      <c r="BT79" s="88" t="s">
        <v>128</v>
      </c>
      <c r="BU79" s="13">
        <f t="shared" si="601"/>
        <v>0</v>
      </c>
      <c r="BV79" s="13">
        <f t="shared" si="602"/>
        <v>0</v>
      </c>
      <c r="BW79" s="13">
        <f t="shared" si="603"/>
        <v>0</v>
      </c>
      <c r="BX79" s="13">
        <f t="shared" si="604"/>
        <v>0</v>
      </c>
      <c r="BY79" s="13">
        <f t="shared" si="605"/>
        <v>0</v>
      </c>
      <c r="BZ79" s="13">
        <f t="shared" si="606"/>
        <v>0</v>
      </c>
      <c r="CA79" s="13">
        <f t="shared" si="607"/>
        <v>0</v>
      </c>
      <c r="CB79" s="89" t="s">
        <v>61</v>
      </c>
      <c r="CC79" s="74">
        <f>RANK(CA79,CA76:CA79)</f>
        <v>1</v>
      </c>
      <c r="CD79" s="13">
        <f>SUMPRODUCT((CA76:CA79=CA79)*(BZ76:BZ79&gt;BZ79))</f>
        <v>0</v>
      </c>
      <c r="CF79" s="88" t="str">
        <f>IF(CC79=1,BT79,)</f>
        <v>Norge</v>
      </c>
      <c r="CG79" s="13">
        <f t="shared" si="608"/>
        <v>0</v>
      </c>
      <c r="CH79" s="13">
        <f t="shared" si="609"/>
        <v>0</v>
      </c>
      <c r="CI79" s="13">
        <f t="shared" si="610"/>
        <v>0</v>
      </c>
      <c r="CJ79" s="13">
        <f t="shared" si="611"/>
        <v>0</v>
      </c>
      <c r="CK79" s="13" t="str">
        <f t="shared" si="620"/>
        <v>I</v>
      </c>
      <c r="CL79" s="13">
        <f>IF(CF79&gt;0,RANK(CJ79,CJ76:CJ79),)</f>
        <v>1</v>
      </c>
      <c r="CM79" s="13">
        <f>IF(AND(CF79&gt;0,COUNTIF(CL76:CL79,CL79)&gt;1),SUMIFS($AI$4:$AI$108,$AF$4:$AF$108,$BT79,$M$4:$M$108,1)+SUMIFS($AK$4:$AK$108,$AH$4:$AH$108,$BT79,$M$4:$M$108,1)-SUMIFS($AK$4:$AK$108,$AF$4:$AF$108,$BT79,$M$4:$M$108,1)-SUMIFS($AI$4:$AI$108,$AH$4:$AH$108,$BT79,$M$4:$M$108,1),)</f>
        <v>0</v>
      </c>
      <c r="CN79" s="13">
        <f>IF(AND(CF79&gt;0,COUNTIF(CL76:CL79,CL79)&gt;1),CL79+RANK(CM79,CM76:CM79)-1,CL79)</f>
        <v>1</v>
      </c>
      <c r="CO79" s="13">
        <f>IF(AND(CF79&gt;0,COUNTIF(CN76:CN79,CN79)&gt;1),SUMIFS($AI$4:$AI$108,$AF$4:$AF$108,$BT79,$M$4:$M$108,1)+SUMIFS($AK$4:$AK$108,$AH$4:$AH$108,$BT79,$M$4:$M$108,1),)</f>
        <v>0</v>
      </c>
      <c r="CP79" s="13">
        <f>IF(AND(CF79&gt;0,COUNTIF(CN76:CN79,CN79)&gt;1),CN79+RANK(CO79,CO76:CO79)-1,CN79)</f>
        <v>1</v>
      </c>
      <c r="CQ79" s="13">
        <f t="shared" si="621"/>
        <v>1</v>
      </c>
      <c r="CR79" s="13">
        <f>IF(OR(CQ79="",COUNTIF(CQ76:CQ79,CQ79)=1),"",$BZ79)</f>
        <v>0</v>
      </c>
      <c r="CS79" s="13">
        <f>IF(CQ79="","",IF(COUNTIF(CQ76:CQ79,CQ79)=1,CQ79,CQ79+RANK(CR79,CR76:CR79,0)-1))</f>
        <v>1</v>
      </c>
      <c r="CT79" s="13">
        <f>IF(OR(CS79="",COUNTIF(CS76:CS79,CS79)=1),"",$BX79)</f>
        <v>0</v>
      </c>
      <c r="CU79" s="13">
        <f>IF(CQ79="","",IF(COUNTIF(CS76:CS79,CS79)=1,CS79,CS79+RANK(CT79,CT76:CT79,0)-1))</f>
        <v>1</v>
      </c>
      <c r="CV79" s="13">
        <f>IF(OR(CU79="",COUNTIF(CU76:CU79,CU79)=1),"",$BU79)</f>
        <v>0</v>
      </c>
      <c r="CW79" s="13">
        <f>IF(CQ79="","",IF(COUNTIF(CU76:CU79,CU79)=1,CU79,CU79+RANK(CV79,CV76:CV79,0)-1))</f>
        <v>1</v>
      </c>
      <c r="CX79" s="13">
        <f>IF(CF79&gt;0,BM74+RANK(CW79,CW76:CW79,1),)</f>
        <v>1</v>
      </c>
      <c r="CZ79" s="88">
        <f>IF(CC79=2,BT79,)</f>
        <v>0</v>
      </c>
      <c r="DA79" s="13">
        <f>(SUMIF($AF$4:$AF$108,$BT79,$AZ$4:$AZ$108)+SUMIF($AH$4:$AH$108,$BT79,$BA$4:$BA$108))</f>
        <v>0</v>
      </c>
      <c r="DB79" s="13">
        <f t="shared" si="622"/>
        <v>0</v>
      </c>
      <c r="DC79" s="13">
        <f t="shared" si="623"/>
        <v>0</v>
      </c>
      <c r="DD79" s="13">
        <f t="shared" si="624"/>
        <v>0</v>
      </c>
      <c r="DE79" s="13" t="str">
        <f t="shared" si="625"/>
        <v>I</v>
      </c>
      <c r="DF79" s="13">
        <f>IF(CZ79&gt;0,RANK(DD79,DD76:DD79)+CG74,)</f>
        <v>0</v>
      </c>
      <c r="DG79" s="13">
        <f>IF(AND(CZ79&gt;0,COUNTIF(DF76:DF79,DF79)&gt;1),SUMIFS($AI$4:$AI$108,$AF$4:$AF$108,$BT79,$M$4:$M$108,2)+SUMIFS($AK$4:$AK$108,$AH$4:$AH108,$BT79,$M$4:$M$108,2)-SUMIFS($AK$4:$AK$108,$AF$4:$AF$108,$BT79,$M$4:$M$108,2)-SUMIFS($AI$4:$AI$108,$AH$4:$AH$108,$BT79,$M$4:$M$108,2),)</f>
        <v>0</v>
      </c>
      <c r="DH79" s="13">
        <f>IF(AND(CZ79&gt;0,COUNTIF(DF76:DF79,DF79)&gt;1),DF79+RANK(DG79,DG76:DG79)-1,DF79)</f>
        <v>0</v>
      </c>
      <c r="DI79" s="13">
        <f>IF(AND(CZ79&gt;0,COUNTIF(DH76:DH79,DH79)&gt;1),SUMIFS($AI$4:$AI$108,$AF$4:$AF$108,$BT79,$M$4:$M$108,2)+SUMIFS($AK$4:$AK$108,$AH$4:$AH$108,$BT79,$M$4:$M$108,2),)</f>
        <v>0</v>
      </c>
      <c r="DJ79" s="13">
        <f>IF(AND(CZ79&gt;0,COUNTIF(DH76:DH79,DH79)&gt;1),DH79+RANK(DI79,DI76:DI79)-1,DH79)</f>
        <v>0</v>
      </c>
      <c r="DK79" s="75" t="str">
        <f t="shared" si="626"/>
        <v/>
      </c>
      <c r="DL79" s="75" t="str">
        <f>IF(OR(DK79="",COUNTIF(DK76:DK79,DK79)=1),"",$BZ79)</f>
        <v/>
      </c>
      <c r="DM79" s="75" t="str">
        <f>IF(DK79="","",IF(COUNTIF(DK76:DK79,DK79)=1,DK79,DK79+RANK(DL79,DL76:DL79,0)-1))</f>
        <v/>
      </c>
      <c r="DN79" s="75" t="str">
        <f>IF(OR(DM79="",COUNTIF(DM76:DM79,DM79)=1),"",$BX79)</f>
        <v/>
      </c>
      <c r="DO79" s="75" t="str">
        <f>IF(DK79="","",IF(COUNTIF(DM76:DM79,DM79)=1,DM79,DM79+RANK(DN79,DN76:DN79,0)-1))</f>
        <v/>
      </c>
      <c r="DP79" s="75" t="str">
        <f>IF(OR(DO79="",COUNTIF(DO76:DO79,DO79)=1),"",$BU79)</f>
        <v/>
      </c>
      <c r="DQ79" s="75" t="str">
        <f>IF(DK79="","",IF(COUNTIF(DO76:DO79,DO79)=1,DO79,DO79+RANK(DP79,DP76:DP79,0)-1))</f>
        <v/>
      </c>
      <c r="DR79" s="13">
        <f>IF(CZ79&gt;0,CG74+RANK(DQ79,DQ76:DQ79,1),)</f>
        <v>0</v>
      </c>
      <c r="DT79" s="89">
        <f>IF(CC79=3,BT79,)</f>
        <v>0</v>
      </c>
      <c r="DU79" s="13">
        <f t="shared" si="627"/>
        <v>0</v>
      </c>
      <c r="DV79" s="13">
        <f t="shared" si="628"/>
        <v>0</v>
      </c>
      <c r="DW79" s="13">
        <f t="shared" si="629"/>
        <v>0</v>
      </c>
      <c r="DX79" s="13">
        <f>IFERROR(DU79*3+DV79*1,0)</f>
        <v>0</v>
      </c>
      <c r="DY79" s="13" t="str">
        <f t="shared" si="630"/>
        <v>I</v>
      </c>
      <c r="DZ79" s="13">
        <f>IF(DT79&gt;0,RANK(DX79,DX76:DX79)+CG74+DA74,)</f>
        <v>0</v>
      </c>
      <c r="EA79" s="13">
        <f>IF(AND(DT79&gt;0,COUNTIF(DZ76:DZ79,DZ79)&gt;1),SUMIFS($AI$4:$AI$108,$AF$4:$AF$108,$BT79,$M$4:$M$108,3)+SUMIFS($AK$4:$AK$108,$AH$4:$AH$108,$BT79,$M$4:$M$108,3)-SUMIFS($AK$4:$AK$108,$AF$4:$AF$108,$BT79,$M$4:$M$108,3)-SUMIFS($AI$4:$AI$108,$AH$4:$AH$108,$BT79,$M$4:$M$108,3),)</f>
        <v>0</v>
      </c>
      <c r="EB79" s="13">
        <f>IF(AND(DT79&gt;0,COUNTIF(DZ76:DZ79,DZ79)&gt;1),DZ79+RANK(EA79,EA76:EA79)-1,DZ79)</f>
        <v>0</v>
      </c>
      <c r="EC79" s="13">
        <f>IF(AND(DT79&gt;0,COUNTIF(EB76:EB79,EB79)&gt;1),SUMIFS($AI$4:$AI$108,$AF$4:$AF$108,$BT79,$M$4:$M$108,3)+SUMIFS($AK$4:$AK$108,$AH$4:$AH$108,$BT79,$M$4:$M$108,3),)</f>
        <v>0</v>
      </c>
      <c r="ED79" s="13">
        <f>IF(AND(DT79&gt;0,COUNTIF(EB76:EB79,EB79)&gt;1),EB79+RANK(EC79,EC76:EC79)-1,EB79)</f>
        <v>0</v>
      </c>
      <c r="EE79" s="13" t="str">
        <f t="shared" si="631"/>
        <v/>
      </c>
      <c r="EF79" s="13" t="str">
        <f>IF(OR(EE79="",COUNTIF(EE76:EE79,EE79)=1),"",$BZ79)</f>
        <v/>
      </c>
      <c r="EG79" s="13" t="str">
        <f>IF(EE79="","",IF(COUNTIF(EE76:EE79,EE79)=1,EE79,EE79+RANK(EF79,EF76:EF79,0)-1))</f>
        <v/>
      </c>
      <c r="EH79" s="13" t="str">
        <f>IF(OR(EG79="",COUNTIF(EG76:EG79,EG79)=1),"",$BX79)</f>
        <v/>
      </c>
      <c r="EI79" s="13" t="str">
        <f>IF(EE79="","",IF(COUNTIF(EG76:EG79,EG79)=1,EG79,EG79+RANK(EH79,EH76:EH79,0)-1))</f>
        <v/>
      </c>
      <c r="EJ79" s="13" t="str">
        <f>IF(OR(EI79="",COUNTIF(EI76:EI79,EI79)=1),"",$BU79)</f>
        <v/>
      </c>
      <c r="EK79" s="13" t="str">
        <f>IF(EE79="","",IF(COUNTIF(EI76:EI79,EI79)=1,EI79,EI79+RANK(EJ79,EJ76:EJ79,0)-1))</f>
        <v/>
      </c>
      <c r="EL79" s="13">
        <f>IF(DT79&gt;0,CG74+DA74+RANK(EK79,EK76:EK79,1),)</f>
        <v>0</v>
      </c>
      <c r="EN79" s="13">
        <f>IF(CC79=4,BT79,)</f>
        <v>0</v>
      </c>
      <c r="EO79" s="13">
        <f t="shared" si="632"/>
        <v>0</v>
      </c>
      <c r="EP79" s="13">
        <f t="shared" si="633"/>
        <v>0</v>
      </c>
      <c r="EQ79" s="13">
        <f t="shared" si="634"/>
        <v>0</v>
      </c>
      <c r="ER79" s="13">
        <f t="shared" si="635"/>
        <v>0</v>
      </c>
      <c r="ES79" s="13" t="str">
        <f t="shared" si="636"/>
        <v>I</v>
      </c>
      <c r="ET79" s="13">
        <f>IF(EN79&gt;0,RANK(ER79,ER76:ER79)+CG74+DA74+DU74,)</f>
        <v>0</v>
      </c>
      <c r="EU79" s="13">
        <f>IF(AND(EN79&gt;0,COUNTIF(ET76:ET79,ET79)&gt;1),SUMIFS($AI$4:$AI$108,$AF$4:$AF$108,$BT79,$M$4:$M$108,4)+SUMIFS($AK$4:$AK$108,$AH$4:$AH$108,$BT79,$M$4:$M$108,4)-SUMIFS($AK$4:$AK$108,$AF$4:$AF$108,$BT79,$M$4:$M$108,4)-SUMIFS($AI$4:$AI$108,$AH$4:$AH$108,$BT79,$M$4:$M$108,4),)</f>
        <v>0</v>
      </c>
      <c r="EV79" s="13">
        <f>IF(AND(EN79&gt;0,COUNTIF(ET76:ET79,ET79)&gt;1),ET79+RANK(EU79,EU76:EU79)-1,ET79)</f>
        <v>0</v>
      </c>
      <c r="EW79" s="13">
        <f t="shared" si="637"/>
        <v>0</v>
      </c>
      <c r="EX79" s="13">
        <f>IF(AND(EN79&gt;0,COUNTIF(EV76:EV79,EV79)&gt;1),EV79+RANK(EW79,EW76:EW79)-1,EV79)</f>
        <v>0</v>
      </c>
      <c r="EY79" s="13" t="str">
        <f t="shared" si="638"/>
        <v/>
      </c>
      <c r="EZ79" s="13" t="str">
        <f>IF(OR(EY79="",COUNTIF(EY76:EY79,EY79)=1),"",$BZ79)</f>
        <v/>
      </c>
      <c r="FA79" s="13" t="str">
        <f>IF(EY79="","",IF(COUNTIF(EY76:EY79,EY79)=1,EY79,EY79+RANK(EZ79,EZ76:EZ79,0)-1))</f>
        <v/>
      </c>
      <c r="FB79" s="13" t="str">
        <f>IF(OR(FA79="",COUNTIF(FA76:FA79,FA79)=1),"",$BX79)</f>
        <v/>
      </c>
      <c r="FC79" s="13" t="str">
        <f>IF(EY79="","",IF(COUNTIF(FA76:FA79,FA79)=1,FA79,FA79+RANK(FB79,FB76:FB79,0)-1))</f>
        <v/>
      </c>
      <c r="FD79" s="13" t="str">
        <f>IF(OR(FC79="",COUNTIF(FC76:FC79,FC79)=1),"",$BU79)</f>
        <v/>
      </c>
      <c r="FE79" s="13" t="str">
        <f>IF(EY79="","",IF(COUNTIF(FC76:FC79,FC79)=1,FC79,FC79+RANK(FD79,FD76:FD79,0)-1))</f>
        <v/>
      </c>
      <c r="FF79" s="13">
        <f>IF(EN79&gt;0,CG74+DA74+DU74+RANK(FE79,FE76:FE79,1),)</f>
        <v>0</v>
      </c>
      <c r="FH79" s="13">
        <f>IFERROR(VLOOKUP(FJ79,CF75:CX79,19,FALSE),IFERROR(VLOOKUP(FJ79,CZ75:DR79,19,FALSE),IFERROR(VLOOKUP(FJ79,DT75:EL79,19,FALSE),VLOOKUP(FJ79,EN75:FF79,19,FALSE))))</f>
        <v>1</v>
      </c>
      <c r="FI79" s="13">
        <f>RANK(FH79,FH76:FH79,1)+COUNTIF(FH76:FH79,FH79)-1</f>
        <v>4</v>
      </c>
      <c r="FJ79" s="12" t="str">
        <f>BT79</f>
        <v>Norge</v>
      </c>
      <c r="FZ79" s="79">
        <v>77</v>
      </c>
      <c r="GA79" s="3" t="str">
        <f t="shared" si="562"/>
        <v>EGBDHFLK</v>
      </c>
      <c r="GB79" s="3" t="s">
        <v>59</v>
      </c>
      <c r="GC79" s="3" t="s">
        <v>60</v>
      </c>
      <c r="GD79" s="3" t="s">
        <v>57</v>
      </c>
      <c r="GE79" s="3" t="s">
        <v>58</v>
      </c>
      <c r="GF79" s="3" t="s">
        <v>70</v>
      </c>
      <c r="GG79" s="3" t="s">
        <v>21</v>
      </c>
      <c r="GH79" s="3" t="s">
        <v>63</v>
      </c>
      <c r="GI79" s="3" t="s">
        <v>62</v>
      </c>
      <c r="GJ79" s="9" t="str">
        <f t="shared" si="413"/>
        <v>Elfenbenskusten</v>
      </c>
      <c r="GK79" s="9" t="str">
        <f t="shared" si="413"/>
        <v>Iran</v>
      </c>
      <c r="GL79" s="9" t="str">
        <f t="shared" si="413"/>
        <v>Qatar</v>
      </c>
      <c r="GM79" s="9" t="str">
        <f t="shared" si="413"/>
        <v>Australien</v>
      </c>
      <c r="GN79" s="9" t="str">
        <f t="shared" si="413"/>
        <v>Saudiarabien</v>
      </c>
      <c r="GO79" s="9" t="str">
        <f t="shared" si="413"/>
        <v>Sverige</v>
      </c>
      <c r="GP79" s="9" t="str">
        <f t="shared" si="413"/>
        <v>Ghana</v>
      </c>
      <c r="GQ79" s="9" t="str">
        <f t="shared" si="413"/>
        <v>Uzbekistan</v>
      </c>
      <c r="GR79" s="9" t="str">
        <f t="shared" si="563"/>
        <v/>
      </c>
      <c r="GX79" s="142"/>
    </row>
    <row r="80" spans="2:206" ht="14.25" customHeight="1" x14ac:dyDescent="0.25">
      <c r="B80" s="58">
        <v>61</v>
      </c>
      <c r="C80" s="59">
        <v>46199</v>
      </c>
      <c r="D80" s="60" t="s">
        <v>128</v>
      </c>
      <c r="E80" s="61" t="s">
        <v>66</v>
      </c>
      <c r="F80" s="62" t="s">
        <v>125</v>
      </c>
      <c r="G80" s="63"/>
      <c r="H80" s="64" t="s">
        <v>66</v>
      </c>
      <c r="I80" s="63"/>
      <c r="J80" s="65" t="str">
        <f t="shared" si="612"/>
        <v/>
      </c>
      <c r="K80" s="66">
        <f>IF(OR(G80="",I80="",'[1]Resultat &amp; tabell'!G80="",'[1]Resultat &amp; tabell'!I80=""),0,IF(G80='[1]Resultat &amp; tabell'!G80,2,0)+IF(I80='[1]Resultat &amp; tabell'!I80,2,0)+IF(J80='[1]Resultat &amp; tabell'!J80,2,0))</f>
        <v>0</v>
      </c>
      <c r="L80" s="67"/>
      <c r="M80" s="29">
        <f t="shared" si="564"/>
        <v>1</v>
      </c>
      <c r="O80" s="91" t="str">
        <f>IF(COUNTBLANK(G76:G81)+COUNTBLANK(I76:I81)=0,"Resultat OK","Fyll i resultat")</f>
        <v>Fyll i resultat</v>
      </c>
      <c r="P80" s="92"/>
      <c r="Q80" s="92"/>
      <c r="R80" s="92"/>
      <c r="S80" s="92"/>
      <c r="T80" s="92"/>
      <c r="U80" s="92"/>
      <c r="X80" s="1"/>
      <c r="AE80" s="72">
        <f t="shared" si="566"/>
        <v>46199</v>
      </c>
      <c r="AF80" s="72" t="str">
        <f t="shared" si="566"/>
        <v>Norge</v>
      </c>
      <c r="AG80" s="72" t="str">
        <f t="shared" si="566"/>
        <v>-</v>
      </c>
      <c r="AH80" s="72" t="str">
        <f t="shared" si="566"/>
        <v>Frankrike</v>
      </c>
      <c r="AI80" s="63" t="str">
        <f t="shared" si="567"/>
        <v/>
      </c>
      <c r="AJ80" s="58" t="str">
        <f t="shared" si="568"/>
        <v>-</v>
      </c>
      <c r="AK80" s="63" t="str">
        <f t="shared" si="569"/>
        <v/>
      </c>
      <c r="AL80" s="65" t="str">
        <f t="shared" si="570"/>
        <v/>
      </c>
      <c r="AM80" s="73"/>
      <c r="AN80" s="13">
        <f t="shared" si="571"/>
        <v>0</v>
      </c>
      <c r="AO80" s="13">
        <f t="shared" si="572"/>
        <v>0</v>
      </c>
      <c r="AP80" s="13">
        <f t="shared" si="573"/>
        <v>0</v>
      </c>
      <c r="AQ80" s="13">
        <f t="shared" si="574"/>
        <v>0</v>
      </c>
      <c r="AR80" s="13">
        <f t="shared" si="575"/>
        <v>0</v>
      </c>
      <c r="AS80" s="13">
        <f t="shared" si="576"/>
        <v>0</v>
      </c>
      <c r="AT80" s="13">
        <f t="shared" si="577"/>
        <v>0</v>
      </c>
      <c r="AU80" s="13">
        <f t="shared" si="578"/>
        <v>0</v>
      </c>
      <c r="AV80" s="13">
        <f t="shared" si="579"/>
        <v>0</v>
      </c>
      <c r="AW80" s="13">
        <f t="shared" si="580"/>
        <v>0</v>
      </c>
      <c r="AX80" s="13">
        <f t="shared" si="581"/>
        <v>0</v>
      </c>
      <c r="AY80" s="13">
        <f t="shared" si="582"/>
        <v>0</v>
      </c>
      <c r="AZ80" s="13">
        <f t="shared" si="583"/>
        <v>0</v>
      </c>
      <c r="BA80" s="13">
        <f t="shared" si="584"/>
        <v>0</v>
      </c>
      <c r="BB80" s="13">
        <f t="shared" si="585"/>
        <v>0</v>
      </c>
      <c r="BC80" s="13">
        <f t="shared" si="586"/>
        <v>0</v>
      </c>
      <c r="BD80" s="13">
        <f t="shared" si="587"/>
        <v>0</v>
      </c>
      <c r="BE80" s="13">
        <f t="shared" si="588"/>
        <v>0</v>
      </c>
      <c r="BF80" s="13">
        <f t="shared" si="589"/>
        <v>0</v>
      </c>
      <c r="BG80" s="13">
        <f t="shared" si="590"/>
        <v>0</v>
      </c>
      <c r="BH80" s="13">
        <f t="shared" si="591"/>
        <v>0</v>
      </c>
      <c r="BI80" s="13">
        <f t="shared" si="592"/>
        <v>0</v>
      </c>
      <c r="BJ80" s="13">
        <f t="shared" si="593"/>
        <v>0</v>
      </c>
      <c r="BK80" s="13">
        <f t="shared" si="594"/>
        <v>0</v>
      </c>
      <c r="BL80" s="13">
        <f t="shared" si="595"/>
        <v>0</v>
      </c>
      <c r="BM80" s="13">
        <f t="shared" si="596"/>
        <v>0</v>
      </c>
      <c r="BN80" s="13">
        <f t="shared" si="597"/>
        <v>0</v>
      </c>
      <c r="BO80" s="13">
        <f t="shared" si="598"/>
        <v>0</v>
      </c>
      <c r="BP80" s="13">
        <f t="shared" si="599"/>
        <v>0</v>
      </c>
      <c r="BQ80" s="13">
        <f t="shared" si="600"/>
        <v>0</v>
      </c>
      <c r="FZ80" s="79">
        <v>78</v>
      </c>
      <c r="GA80" s="3" t="str">
        <f t="shared" si="562"/>
        <v>HGBDJFLE</v>
      </c>
      <c r="GB80" s="3" t="s">
        <v>70</v>
      </c>
      <c r="GC80" s="3" t="s">
        <v>60</v>
      </c>
      <c r="GD80" s="3" t="s">
        <v>57</v>
      </c>
      <c r="GE80" s="3" t="s">
        <v>58</v>
      </c>
      <c r="GF80" s="3" t="s">
        <v>69</v>
      </c>
      <c r="GG80" s="3" t="s">
        <v>21</v>
      </c>
      <c r="GH80" s="3" t="s">
        <v>63</v>
      </c>
      <c r="GI80" s="3" t="s">
        <v>59</v>
      </c>
      <c r="GJ80" s="9" t="str">
        <f t="shared" si="413"/>
        <v>Saudiarabien</v>
      </c>
      <c r="GK80" s="9" t="str">
        <f t="shared" si="413"/>
        <v>Iran</v>
      </c>
      <c r="GL80" s="9" t="str">
        <f t="shared" si="413"/>
        <v>Qatar</v>
      </c>
      <c r="GM80" s="9" t="str">
        <f t="shared" si="413"/>
        <v>Australien</v>
      </c>
      <c r="GN80" s="9" t="str">
        <f t="shared" si="413"/>
        <v>Österrike</v>
      </c>
      <c r="GO80" s="9" t="str">
        <f t="shared" si="413"/>
        <v>Sverige</v>
      </c>
      <c r="GP80" s="9" t="str">
        <f t="shared" si="413"/>
        <v>Ghana</v>
      </c>
      <c r="GQ80" s="9" t="str">
        <f t="shared" si="413"/>
        <v>Elfenbenskusten</v>
      </c>
      <c r="GR80" s="9" t="str">
        <f t="shared" si="563"/>
        <v/>
      </c>
      <c r="GX80" s="142"/>
    </row>
    <row r="81" spans="2:206" ht="14.25" customHeight="1" x14ac:dyDescent="0.25">
      <c r="B81" s="58">
        <v>62</v>
      </c>
      <c r="C81" s="59">
        <v>46199</v>
      </c>
      <c r="D81" s="60" t="s">
        <v>126</v>
      </c>
      <c r="E81" s="61" t="s">
        <v>66</v>
      </c>
      <c r="F81" s="62" t="s">
        <v>127</v>
      </c>
      <c r="G81" s="63"/>
      <c r="H81" s="64" t="s">
        <v>66</v>
      </c>
      <c r="I81" s="63"/>
      <c r="J81" s="65" t="str">
        <f t="shared" si="612"/>
        <v/>
      </c>
      <c r="K81" s="66">
        <f>IF(OR(G81="",I81="",'[1]Resultat &amp; tabell'!G81="",'[1]Resultat &amp; tabell'!I81=""),0,IF(G81='[1]Resultat &amp; tabell'!G81,2,0)+IF(I81='[1]Resultat &amp; tabell'!I81,2,0)+IF(J81='[1]Resultat &amp; tabell'!J81,2,0))</f>
        <v>0</v>
      </c>
      <c r="L81" s="67"/>
      <c r="M81" s="29">
        <f t="shared" si="564"/>
        <v>1</v>
      </c>
      <c r="O81" s="144"/>
      <c r="X81" s="1"/>
      <c r="AE81" s="72">
        <f t="shared" si="566"/>
        <v>46199</v>
      </c>
      <c r="AF81" s="72" t="str">
        <f t="shared" si="566"/>
        <v>Senegal</v>
      </c>
      <c r="AG81" s="72" t="str">
        <f t="shared" si="566"/>
        <v>-</v>
      </c>
      <c r="AH81" s="72" t="str">
        <f t="shared" si="566"/>
        <v>Irak</v>
      </c>
      <c r="AI81" s="63" t="str">
        <f t="shared" si="567"/>
        <v/>
      </c>
      <c r="AJ81" s="58" t="str">
        <f t="shared" si="568"/>
        <v>-</v>
      </c>
      <c r="AK81" s="63" t="str">
        <f t="shared" si="569"/>
        <v/>
      </c>
      <c r="AL81" s="65" t="str">
        <f t="shared" si="570"/>
        <v/>
      </c>
      <c r="AM81" s="73"/>
      <c r="AN81" s="13">
        <f t="shared" si="571"/>
        <v>0</v>
      </c>
      <c r="AO81" s="13">
        <f t="shared" si="572"/>
        <v>0</v>
      </c>
      <c r="AP81" s="13">
        <f t="shared" si="573"/>
        <v>0</v>
      </c>
      <c r="AQ81" s="13">
        <f t="shared" si="574"/>
        <v>0</v>
      </c>
      <c r="AR81" s="13">
        <f t="shared" si="575"/>
        <v>0</v>
      </c>
      <c r="AS81" s="13">
        <f t="shared" si="576"/>
        <v>0</v>
      </c>
      <c r="AT81" s="13">
        <f t="shared" si="577"/>
        <v>0</v>
      </c>
      <c r="AU81" s="13">
        <f t="shared" si="578"/>
        <v>0</v>
      </c>
      <c r="AV81" s="13">
        <f t="shared" si="579"/>
        <v>0</v>
      </c>
      <c r="AW81" s="13">
        <f t="shared" si="580"/>
        <v>0</v>
      </c>
      <c r="AX81" s="13">
        <f t="shared" si="581"/>
        <v>0</v>
      </c>
      <c r="AY81" s="13">
        <f t="shared" si="582"/>
        <v>0</v>
      </c>
      <c r="AZ81" s="13">
        <f t="shared" si="583"/>
        <v>0</v>
      </c>
      <c r="BA81" s="13">
        <f t="shared" si="584"/>
        <v>0</v>
      </c>
      <c r="BB81" s="13">
        <f t="shared" si="585"/>
        <v>0</v>
      </c>
      <c r="BC81" s="13">
        <f t="shared" si="586"/>
        <v>0</v>
      </c>
      <c r="BD81" s="13">
        <f t="shared" si="587"/>
        <v>0</v>
      </c>
      <c r="BE81" s="13">
        <f t="shared" si="588"/>
        <v>0</v>
      </c>
      <c r="BF81" s="13">
        <f t="shared" si="589"/>
        <v>0</v>
      </c>
      <c r="BG81" s="13">
        <f t="shared" si="590"/>
        <v>0</v>
      </c>
      <c r="BH81" s="13">
        <f t="shared" si="591"/>
        <v>0</v>
      </c>
      <c r="BI81" s="13">
        <f t="shared" si="592"/>
        <v>0</v>
      </c>
      <c r="BJ81" s="13">
        <f t="shared" si="593"/>
        <v>0</v>
      </c>
      <c r="BK81" s="13">
        <f t="shared" si="594"/>
        <v>0</v>
      </c>
      <c r="BL81" s="13">
        <f t="shared" si="595"/>
        <v>0</v>
      </c>
      <c r="BM81" s="13">
        <f t="shared" si="596"/>
        <v>0</v>
      </c>
      <c r="BN81" s="13">
        <f t="shared" si="597"/>
        <v>0</v>
      </c>
      <c r="BO81" s="13">
        <f t="shared" si="598"/>
        <v>0</v>
      </c>
      <c r="BP81" s="13">
        <f t="shared" si="599"/>
        <v>0</v>
      </c>
      <c r="BQ81" s="13">
        <f t="shared" si="600"/>
        <v>0</v>
      </c>
      <c r="FZ81" s="79">
        <v>79</v>
      </c>
      <c r="GA81" s="3" t="str">
        <f t="shared" si="562"/>
        <v>HGBDJFEK</v>
      </c>
      <c r="GB81" s="3" t="s">
        <v>70</v>
      </c>
      <c r="GC81" s="3" t="s">
        <v>60</v>
      </c>
      <c r="GD81" s="3" t="s">
        <v>57</v>
      </c>
      <c r="GE81" s="3" t="s">
        <v>58</v>
      </c>
      <c r="GF81" s="3" t="s">
        <v>69</v>
      </c>
      <c r="GG81" s="3" t="s">
        <v>21</v>
      </c>
      <c r="GH81" s="3" t="s">
        <v>59</v>
      </c>
      <c r="GI81" s="3" t="s">
        <v>62</v>
      </c>
      <c r="GJ81" s="9" t="str">
        <f t="shared" si="413"/>
        <v>Saudiarabien</v>
      </c>
      <c r="GK81" s="9" t="str">
        <f t="shared" si="413"/>
        <v>Iran</v>
      </c>
      <c r="GL81" s="9" t="str">
        <f t="shared" si="413"/>
        <v>Qatar</v>
      </c>
      <c r="GM81" s="9" t="str">
        <f t="shared" si="413"/>
        <v>Australien</v>
      </c>
      <c r="GN81" s="9" t="str">
        <f t="shared" si="413"/>
        <v>Österrike</v>
      </c>
      <c r="GO81" s="9" t="str">
        <f t="shared" si="413"/>
        <v>Sverige</v>
      </c>
      <c r="GP81" s="9" t="str">
        <f t="shared" si="413"/>
        <v>Elfenbenskusten</v>
      </c>
      <c r="GQ81" s="9" t="str">
        <f t="shared" ref="GQ81:GQ144" si="639">VLOOKUP(GI81,$FM$3:$FN$15,2,FALSE)</f>
        <v>Uzbekistan</v>
      </c>
      <c r="GR81" s="9" t="str">
        <f t="shared" si="563"/>
        <v/>
      </c>
      <c r="GX81" s="142"/>
    </row>
    <row r="82" spans="2:206" ht="14.25" customHeight="1" x14ac:dyDescent="0.25">
      <c r="B82" s="3"/>
      <c r="C82" s="94"/>
      <c r="D82" s="139"/>
      <c r="E82" s="79"/>
      <c r="F82" s="73"/>
      <c r="G82" s="139"/>
      <c r="H82" s="100"/>
      <c r="I82" s="139"/>
      <c r="J82" s="79"/>
      <c r="K82" s="73"/>
      <c r="L82" s="67"/>
      <c r="X82" s="1"/>
      <c r="AE82" s="94"/>
      <c r="AF82" s="143"/>
      <c r="AG82" s="3"/>
      <c r="AH82" s="143"/>
      <c r="AI82" s="139"/>
      <c r="AJ82" s="105"/>
      <c r="AK82" s="139"/>
      <c r="AL82" s="79"/>
      <c r="AM82" s="73"/>
      <c r="FZ82" s="79">
        <v>80</v>
      </c>
      <c r="GA82" s="3" t="str">
        <f t="shared" si="562"/>
        <v>EGBDHFLI</v>
      </c>
      <c r="GB82" s="3" t="s">
        <v>59</v>
      </c>
      <c r="GC82" s="3" t="s">
        <v>60</v>
      </c>
      <c r="GD82" s="3" t="s">
        <v>57</v>
      </c>
      <c r="GE82" s="3" t="s">
        <v>58</v>
      </c>
      <c r="GF82" s="3" t="s">
        <v>70</v>
      </c>
      <c r="GG82" s="3" t="s">
        <v>21</v>
      </c>
      <c r="GH82" s="3" t="s">
        <v>63</v>
      </c>
      <c r="GI82" s="3" t="s">
        <v>61</v>
      </c>
      <c r="GJ82" s="9" t="str">
        <f t="shared" ref="GJ82:GP118" si="640">VLOOKUP(GB82,$FM$3:$FN$15,2,FALSE)</f>
        <v>Elfenbenskusten</v>
      </c>
      <c r="GK82" s="9" t="str">
        <f t="shared" si="640"/>
        <v>Iran</v>
      </c>
      <c r="GL82" s="9" t="str">
        <f t="shared" si="640"/>
        <v>Qatar</v>
      </c>
      <c r="GM82" s="9" t="str">
        <f t="shared" si="640"/>
        <v>Australien</v>
      </c>
      <c r="GN82" s="9" t="str">
        <f t="shared" si="640"/>
        <v>Saudiarabien</v>
      </c>
      <c r="GO82" s="9" t="str">
        <f t="shared" si="640"/>
        <v>Sverige</v>
      </c>
      <c r="GP82" s="9" t="str">
        <f t="shared" si="640"/>
        <v>Ghana</v>
      </c>
      <c r="GQ82" s="9" t="str">
        <f t="shared" si="639"/>
        <v>Irak</v>
      </c>
      <c r="GR82" s="9" t="str">
        <f t="shared" si="563"/>
        <v/>
      </c>
      <c r="GX82" s="142"/>
    </row>
    <row r="83" spans="2:206" ht="14.25" customHeight="1" x14ac:dyDescent="0.25">
      <c r="B83" s="19" t="s">
        <v>129</v>
      </c>
      <c r="C83" s="97"/>
      <c r="D83" s="33"/>
      <c r="E83" s="23"/>
      <c r="F83" s="16"/>
      <c r="G83" s="25"/>
      <c r="H83" s="25"/>
      <c r="I83" s="25"/>
      <c r="J83" s="23"/>
      <c r="K83" s="16"/>
      <c r="L83" s="49"/>
      <c r="O83" s="19" t="s">
        <v>129</v>
      </c>
      <c r="X83" s="1"/>
      <c r="AE83" s="19" t="s">
        <v>129</v>
      </c>
      <c r="AF83" s="126"/>
      <c r="AG83" s="33"/>
      <c r="AH83" s="126"/>
      <c r="AI83" s="33"/>
      <c r="AJ83" s="33"/>
      <c r="AK83" s="33"/>
      <c r="AL83" s="23"/>
      <c r="AM83" s="16"/>
      <c r="AN83" s="16"/>
      <c r="BT83" s="39" t="s">
        <v>4</v>
      </c>
      <c r="BU83" s="34"/>
      <c r="BV83" s="34"/>
      <c r="BW83" s="34"/>
      <c r="BX83" s="34"/>
      <c r="BY83" s="34"/>
      <c r="BZ83" s="34"/>
      <c r="CA83" s="34"/>
      <c r="CB83" s="39"/>
      <c r="CC83" s="34"/>
      <c r="CD83" s="34"/>
      <c r="CF83" s="40" t="s">
        <v>5</v>
      </c>
      <c r="CG83" s="35">
        <f>COUNTIF(CC85:CC88,1)</f>
        <v>4</v>
      </c>
      <c r="CH83" s="35"/>
      <c r="CI83" s="35"/>
      <c r="CJ83" s="35"/>
      <c r="CK83" s="35"/>
      <c r="CL83" s="35"/>
      <c r="CM83" s="35"/>
      <c r="CN83" s="35"/>
      <c r="CO83" s="35"/>
      <c r="CP83" s="35"/>
      <c r="CZ83" s="41" t="s">
        <v>8</v>
      </c>
      <c r="DA83" s="36">
        <f>COUNTIF(CC85:CC88,2)</f>
        <v>0</v>
      </c>
      <c r="DB83" s="36"/>
      <c r="DC83" s="36"/>
      <c r="DD83" s="36"/>
      <c r="DE83" s="36"/>
      <c r="DF83" s="36"/>
      <c r="DG83" s="36"/>
      <c r="DH83" s="36"/>
      <c r="DI83" s="36"/>
      <c r="DJ83" s="41"/>
      <c r="DT83" s="37" t="s">
        <v>6</v>
      </c>
      <c r="DU83" s="37">
        <f>COUNTIF(CC85:CC88,3)</f>
        <v>0</v>
      </c>
      <c r="DV83" s="37"/>
      <c r="DW83" s="37"/>
      <c r="DX83" s="37"/>
      <c r="DY83" s="37"/>
      <c r="DZ83" s="37"/>
      <c r="EA83" s="37"/>
      <c r="EB83" s="37"/>
      <c r="EC83" s="37"/>
      <c r="ED83" s="37"/>
      <c r="EN83" s="38" t="s">
        <v>7</v>
      </c>
      <c r="EO83" s="38">
        <f>COUNTIF(CC85:CC88,4)</f>
        <v>0</v>
      </c>
      <c r="EP83" s="38"/>
      <c r="EQ83" s="38"/>
      <c r="ER83" s="38"/>
      <c r="ES83" s="38"/>
      <c r="ET83" s="38"/>
      <c r="EU83" s="38"/>
      <c r="EV83" s="38"/>
      <c r="EW83" s="38"/>
      <c r="EX83" s="38"/>
      <c r="FZ83" s="79">
        <v>81</v>
      </c>
      <c r="GA83" s="3" t="str">
        <f t="shared" si="562"/>
        <v>EGBDHFIK</v>
      </c>
      <c r="GB83" s="3" t="s">
        <v>59</v>
      </c>
      <c r="GC83" s="3" t="s">
        <v>60</v>
      </c>
      <c r="GD83" s="3" t="s">
        <v>57</v>
      </c>
      <c r="GE83" s="3" t="s">
        <v>58</v>
      </c>
      <c r="GF83" s="3" t="s">
        <v>70</v>
      </c>
      <c r="GG83" s="3" t="s">
        <v>21</v>
      </c>
      <c r="GH83" s="3" t="s">
        <v>61</v>
      </c>
      <c r="GI83" s="3" t="s">
        <v>62</v>
      </c>
      <c r="GJ83" s="9" t="str">
        <f t="shared" si="640"/>
        <v>Elfenbenskusten</v>
      </c>
      <c r="GK83" s="9" t="str">
        <f t="shared" si="640"/>
        <v>Iran</v>
      </c>
      <c r="GL83" s="9" t="str">
        <f t="shared" si="640"/>
        <v>Qatar</v>
      </c>
      <c r="GM83" s="9" t="str">
        <f t="shared" si="640"/>
        <v>Australien</v>
      </c>
      <c r="GN83" s="9" t="str">
        <f t="shared" si="640"/>
        <v>Saudiarabien</v>
      </c>
      <c r="GO83" s="9" t="str">
        <f t="shared" si="640"/>
        <v>Sverige</v>
      </c>
      <c r="GP83" s="9" t="str">
        <f t="shared" si="640"/>
        <v>Irak</v>
      </c>
      <c r="GQ83" s="9" t="str">
        <f t="shared" si="639"/>
        <v>Uzbekistan</v>
      </c>
      <c r="GR83" s="9" t="str">
        <f t="shared" si="563"/>
        <v/>
      </c>
      <c r="GX83" s="142"/>
    </row>
    <row r="84" spans="2:206" ht="14.25" customHeight="1" x14ac:dyDescent="0.25">
      <c r="B84" s="117" t="s">
        <v>12</v>
      </c>
      <c r="C84" s="107" t="s">
        <v>13</v>
      </c>
      <c r="D84" s="181" t="s">
        <v>12</v>
      </c>
      <c r="E84" s="182"/>
      <c r="F84" s="183"/>
      <c r="G84" s="184" t="s">
        <v>14</v>
      </c>
      <c r="H84" s="184"/>
      <c r="I84" s="184"/>
      <c r="J84" s="47" t="s">
        <v>15</v>
      </c>
      <c r="K84" s="48" t="s">
        <v>16</v>
      </c>
      <c r="L84" s="49"/>
      <c r="O84" s="51" t="s">
        <v>18</v>
      </c>
      <c r="P84" s="52" t="s">
        <v>19</v>
      </c>
      <c r="Q84" s="52" t="s">
        <v>20</v>
      </c>
      <c r="R84" s="52" t="s">
        <v>21</v>
      </c>
      <c r="S84" s="52" t="s">
        <v>22</v>
      </c>
      <c r="T84" s="52" t="s">
        <v>23</v>
      </c>
      <c r="U84" s="52" t="s">
        <v>24</v>
      </c>
      <c r="V84" s="53" t="s">
        <v>25</v>
      </c>
      <c r="X84" s="1"/>
      <c r="AE84" s="107" t="s">
        <v>13</v>
      </c>
      <c r="AF84" s="181" t="s">
        <v>12</v>
      </c>
      <c r="AG84" s="182"/>
      <c r="AH84" s="183"/>
      <c r="AI84" s="182" t="s">
        <v>14</v>
      </c>
      <c r="AJ84" s="182"/>
      <c r="AK84" s="182"/>
      <c r="AL84" s="47" t="s">
        <v>28</v>
      </c>
      <c r="AM84" s="16"/>
      <c r="AN84" s="34" t="s">
        <v>29</v>
      </c>
      <c r="AO84" s="34" t="s">
        <v>30</v>
      </c>
      <c r="AP84" s="34" t="s">
        <v>31</v>
      </c>
      <c r="AQ84" s="34" t="s">
        <v>32</v>
      </c>
      <c r="AR84" s="34" t="s">
        <v>33</v>
      </c>
      <c r="AS84" s="34" t="s">
        <v>34</v>
      </c>
      <c r="AT84" s="35" t="s">
        <v>29</v>
      </c>
      <c r="AU84" s="35" t="s">
        <v>30</v>
      </c>
      <c r="AV84" s="35" t="s">
        <v>31</v>
      </c>
      <c r="AW84" s="35" t="s">
        <v>32</v>
      </c>
      <c r="AX84" s="35" t="s">
        <v>33</v>
      </c>
      <c r="AY84" s="35" t="s">
        <v>34</v>
      </c>
      <c r="AZ84" s="36" t="s">
        <v>29</v>
      </c>
      <c r="BA84" s="36" t="s">
        <v>30</v>
      </c>
      <c r="BB84" s="36" t="s">
        <v>31</v>
      </c>
      <c r="BC84" s="36" t="s">
        <v>32</v>
      </c>
      <c r="BD84" s="36" t="s">
        <v>33</v>
      </c>
      <c r="BE84" s="36" t="s">
        <v>34</v>
      </c>
      <c r="BF84" s="37" t="s">
        <v>29</v>
      </c>
      <c r="BG84" s="37" t="s">
        <v>30</v>
      </c>
      <c r="BH84" s="37" t="s">
        <v>31</v>
      </c>
      <c r="BI84" s="37" t="s">
        <v>32</v>
      </c>
      <c r="BJ84" s="37" t="s">
        <v>33</v>
      </c>
      <c r="BK84" s="37" t="s">
        <v>34</v>
      </c>
      <c r="BL84" s="38" t="s">
        <v>29</v>
      </c>
      <c r="BM84" s="38" t="s">
        <v>30</v>
      </c>
      <c r="BN84" s="38" t="s">
        <v>31</v>
      </c>
      <c r="BO84" s="38" t="s">
        <v>32</v>
      </c>
      <c r="BP84" s="38" t="s">
        <v>33</v>
      </c>
      <c r="BQ84" s="38" t="s">
        <v>34</v>
      </c>
      <c r="BT84" s="39" t="s">
        <v>18</v>
      </c>
      <c r="BU84" s="34" t="s">
        <v>19</v>
      </c>
      <c r="BV84" s="34" t="s">
        <v>20</v>
      </c>
      <c r="BW84" s="34" t="s">
        <v>21</v>
      </c>
      <c r="BX84" s="34" t="s">
        <v>22</v>
      </c>
      <c r="BY84" s="34" t="s">
        <v>23</v>
      </c>
      <c r="BZ84" s="34" t="s">
        <v>24</v>
      </c>
      <c r="CA84" s="34" t="s">
        <v>25</v>
      </c>
      <c r="CB84" s="39" t="s">
        <v>35</v>
      </c>
      <c r="CC84" s="34" t="s">
        <v>36</v>
      </c>
      <c r="CD84" s="34" t="s">
        <v>37</v>
      </c>
      <c r="CF84" s="40" t="s">
        <v>18</v>
      </c>
      <c r="CG84" s="35" t="s">
        <v>19</v>
      </c>
      <c r="CH84" s="35" t="s">
        <v>20</v>
      </c>
      <c r="CI84" s="35" t="s">
        <v>21</v>
      </c>
      <c r="CJ84" s="35" t="s">
        <v>25</v>
      </c>
      <c r="CK84" s="35" t="s">
        <v>35</v>
      </c>
      <c r="CL84" s="35" t="s">
        <v>36</v>
      </c>
      <c r="CM84" s="56" t="s">
        <v>24</v>
      </c>
      <c r="CN84" s="56" t="s">
        <v>38</v>
      </c>
      <c r="CO84" s="56" t="s">
        <v>22</v>
      </c>
      <c r="CP84" s="56" t="s">
        <v>39</v>
      </c>
      <c r="CQ84" s="35" t="s">
        <v>40</v>
      </c>
      <c r="CR84" s="56" t="s">
        <v>41</v>
      </c>
      <c r="CS84" s="56" t="s">
        <v>42</v>
      </c>
      <c r="CT84" s="56" t="s">
        <v>43</v>
      </c>
      <c r="CU84" s="56" t="s">
        <v>44</v>
      </c>
      <c r="CV84" s="56" t="s">
        <v>45</v>
      </c>
      <c r="CW84" s="56" t="s">
        <v>46</v>
      </c>
      <c r="CX84" s="35" t="s">
        <v>47</v>
      </c>
      <c r="CZ84" s="41" t="s">
        <v>18</v>
      </c>
      <c r="DA84" s="36" t="s">
        <v>19</v>
      </c>
      <c r="DB84" s="36" t="s">
        <v>20</v>
      </c>
      <c r="DC84" s="36" t="s">
        <v>21</v>
      </c>
      <c r="DD84" s="36" t="s">
        <v>25</v>
      </c>
      <c r="DE84" s="36" t="s">
        <v>35</v>
      </c>
      <c r="DF84" s="36" t="s">
        <v>36</v>
      </c>
      <c r="DG84" s="36" t="s">
        <v>24</v>
      </c>
      <c r="DH84" s="36" t="s">
        <v>38</v>
      </c>
      <c r="DI84" s="36" t="s">
        <v>22</v>
      </c>
      <c r="DJ84" s="41" t="s">
        <v>39</v>
      </c>
      <c r="DK84" s="41" t="s">
        <v>40</v>
      </c>
      <c r="DL84" s="41" t="s">
        <v>41</v>
      </c>
      <c r="DM84" s="41" t="s">
        <v>42</v>
      </c>
      <c r="DN84" s="41" t="s">
        <v>43</v>
      </c>
      <c r="DO84" s="41" t="s">
        <v>44</v>
      </c>
      <c r="DP84" s="41" t="s">
        <v>45</v>
      </c>
      <c r="DQ84" s="41" t="s">
        <v>46</v>
      </c>
      <c r="DR84" s="41" t="s">
        <v>47</v>
      </c>
      <c r="DT84" s="37" t="s">
        <v>18</v>
      </c>
      <c r="DU84" s="37" t="s">
        <v>19</v>
      </c>
      <c r="DV84" s="37" t="s">
        <v>20</v>
      </c>
      <c r="DW84" s="37" t="s">
        <v>21</v>
      </c>
      <c r="DX84" s="37" t="s">
        <v>25</v>
      </c>
      <c r="DY84" s="37" t="s">
        <v>35</v>
      </c>
      <c r="DZ84" s="37" t="s">
        <v>36</v>
      </c>
      <c r="EA84" s="37" t="s">
        <v>24</v>
      </c>
      <c r="EB84" s="37" t="s">
        <v>38</v>
      </c>
      <c r="EC84" s="37" t="s">
        <v>22</v>
      </c>
      <c r="ED84" s="37" t="s">
        <v>39</v>
      </c>
      <c r="EE84" s="37" t="s">
        <v>40</v>
      </c>
      <c r="EF84" s="37" t="s">
        <v>41</v>
      </c>
      <c r="EG84" s="37" t="s">
        <v>42</v>
      </c>
      <c r="EH84" s="37" t="s">
        <v>43</v>
      </c>
      <c r="EI84" s="37" t="s">
        <v>44</v>
      </c>
      <c r="EJ84" s="37" t="s">
        <v>45</v>
      </c>
      <c r="EK84" s="37" t="s">
        <v>46</v>
      </c>
      <c r="EL84" s="37" t="s">
        <v>47</v>
      </c>
      <c r="EN84" s="38" t="s">
        <v>18</v>
      </c>
      <c r="EO84" s="38" t="s">
        <v>19</v>
      </c>
      <c r="EP84" s="38" t="s">
        <v>20</v>
      </c>
      <c r="EQ84" s="38" t="s">
        <v>21</v>
      </c>
      <c r="ER84" s="38" t="s">
        <v>25</v>
      </c>
      <c r="ES84" s="38" t="s">
        <v>35</v>
      </c>
      <c r="ET84" s="38" t="s">
        <v>36</v>
      </c>
      <c r="EU84" s="38" t="s">
        <v>24</v>
      </c>
      <c r="EV84" s="38" t="s">
        <v>38</v>
      </c>
      <c r="EW84" s="38" t="s">
        <v>22</v>
      </c>
      <c r="EX84" s="38" t="s">
        <v>39</v>
      </c>
      <c r="EY84" s="38" t="s">
        <v>40</v>
      </c>
      <c r="EZ84" s="38" t="s">
        <v>41</v>
      </c>
      <c r="FA84" s="38" t="s">
        <v>42</v>
      </c>
      <c r="FB84" s="38" t="s">
        <v>43</v>
      </c>
      <c r="FC84" s="38" t="s">
        <v>44</v>
      </c>
      <c r="FD84" s="38" t="s">
        <v>45</v>
      </c>
      <c r="FE84" s="38" t="s">
        <v>46</v>
      </c>
      <c r="FF84" s="38" t="s">
        <v>47</v>
      </c>
      <c r="FH84" s="38" t="s">
        <v>48</v>
      </c>
      <c r="FI84" s="38" t="s">
        <v>49</v>
      </c>
      <c r="FZ84" s="79">
        <v>82</v>
      </c>
      <c r="GA84" s="3" t="str">
        <f t="shared" si="562"/>
        <v>HGBDJFEI</v>
      </c>
      <c r="GB84" s="3" t="s">
        <v>70</v>
      </c>
      <c r="GC84" s="3" t="s">
        <v>60</v>
      </c>
      <c r="GD84" s="3" t="s">
        <v>57</v>
      </c>
      <c r="GE84" s="3" t="s">
        <v>58</v>
      </c>
      <c r="GF84" s="3" t="s">
        <v>69</v>
      </c>
      <c r="GG84" s="3" t="s">
        <v>21</v>
      </c>
      <c r="GH84" s="3" t="s">
        <v>59</v>
      </c>
      <c r="GI84" s="3" t="s">
        <v>61</v>
      </c>
      <c r="GJ84" s="9" t="str">
        <f t="shared" si="640"/>
        <v>Saudiarabien</v>
      </c>
      <c r="GK84" s="9" t="str">
        <f t="shared" si="640"/>
        <v>Iran</v>
      </c>
      <c r="GL84" s="9" t="str">
        <f t="shared" si="640"/>
        <v>Qatar</v>
      </c>
      <c r="GM84" s="9" t="str">
        <f t="shared" si="640"/>
        <v>Australien</v>
      </c>
      <c r="GN84" s="9" t="str">
        <f t="shared" si="640"/>
        <v>Österrike</v>
      </c>
      <c r="GO84" s="9" t="str">
        <f t="shared" si="640"/>
        <v>Sverige</v>
      </c>
      <c r="GP84" s="9" t="str">
        <f t="shared" si="640"/>
        <v>Elfenbenskusten</v>
      </c>
      <c r="GQ84" s="9" t="str">
        <f t="shared" si="639"/>
        <v>Irak</v>
      </c>
      <c r="GR84" s="9" t="str">
        <f t="shared" si="563"/>
        <v/>
      </c>
      <c r="GX84" s="142"/>
    </row>
    <row r="85" spans="2:206" ht="14.25" customHeight="1" x14ac:dyDescent="0.25">
      <c r="B85" s="58">
        <v>19</v>
      </c>
      <c r="C85" s="59">
        <v>46190</v>
      </c>
      <c r="D85" s="60" t="s">
        <v>130</v>
      </c>
      <c r="E85" s="61" t="s">
        <v>66</v>
      </c>
      <c r="F85" s="62" t="s">
        <v>131</v>
      </c>
      <c r="G85" s="63"/>
      <c r="H85" s="64" t="s">
        <v>66</v>
      </c>
      <c r="I85" s="63"/>
      <c r="J85" s="65" t="str">
        <f>IF(OR(ISBLANK(G85),ISBLANK(I85)),"",IF(G85&gt;I85,1,IF(G85&lt;I85,2,"X")))</f>
        <v/>
      </c>
      <c r="K85" s="66">
        <f>IF(OR(G85="",I85="",'[1]Resultat &amp; tabell'!G85="",'[1]Resultat &amp; tabell'!I85=""),0,IF(G85='[1]Resultat &amp; tabell'!G85,2,0)+IF(I85='[1]Resultat &amp; tabell'!I85,2,0)+IF(J85='[1]Resultat &amp; tabell'!J85,2,0))</f>
        <v>0</v>
      </c>
      <c r="L85" s="67"/>
      <c r="M85" s="29">
        <f t="shared" ref="M85:M90" si="641">IF(VLOOKUP(D85,$BT$84:$CC$88,10,FALSE)=VLOOKUP(F85,$BT$84:$CC$88,10,FALSE),VLOOKUP(D85,$BT$84:$CC$88,10,FALSE),"-")</f>
        <v>1</v>
      </c>
      <c r="N85" s="30">
        <v>1</v>
      </c>
      <c r="O85" s="68" t="str">
        <f t="shared" ref="O85" si="642">VLOOKUP(N85,FI85:FJ88,2,FALSE)</f>
        <v>Argentina</v>
      </c>
      <c r="P85" s="69">
        <f>VLOOKUP($O85,$BT$85:$CA$88,2,FALSE)</f>
        <v>0</v>
      </c>
      <c r="Q85" s="69">
        <f>VLOOKUP($O85,$BT$85:$CA$88,3,FALSE)</f>
        <v>0</v>
      </c>
      <c r="R85" s="69">
        <f>VLOOKUP($O85,$BT$85:$CA$88,4,FALSE)</f>
        <v>0</v>
      </c>
      <c r="S85" s="69">
        <f>VLOOKUP($O85,$BT$85:$CA$88,5,FALSE)</f>
        <v>0</v>
      </c>
      <c r="T85" s="69">
        <f>VLOOKUP($O85,$BT$85:$CA$88,6,FALSE)</f>
        <v>0</v>
      </c>
      <c r="U85" s="69">
        <f>VLOOKUP($O85,$BT$85:$CA$88,7,FALSE)</f>
        <v>0</v>
      </c>
      <c r="V85" s="70">
        <f>VLOOKUP($O85,$BT$85:$CA$88,8,FALSE)</f>
        <v>0</v>
      </c>
      <c r="X85" s="1"/>
      <c r="AE85" s="72">
        <f t="shared" ref="AE85:AH90" si="643">C85</f>
        <v>46190</v>
      </c>
      <c r="AF85" s="72" t="str">
        <f t="shared" si="643"/>
        <v>Argentina</v>
      </c>
      <c r="AG85" s="72" t="str">
        <f t="shared" si="643"/>
        <v>-</v>
      </c>
      <c r="AH85" s="72" t="str">
        <f t="shared" si="643"/>
        <v>Algeriet</v>
      </c>
      <c r="AI85" s="63" t="str">
        <f t="shared" ref="AI85:AI90" si="644">IF(G85="","",G85)</f>
        <v/>
      </c>
      <c r="AJ85" s="58" t="str">
        <f t="shared" ref="AJ85:AJ90" si="645">H85</f>
        <v>-</v>
      </c>
      <c r="AK85" s="63" t="str">
        <f t="shared" ref="AK85:AK90" si="646">IF(I85="","",I85)</f>
        <v/>
      </c>
      <c r="AL85" s="65" t="str">
        <f t="shared" ref="AL85:AL90" si="647">J85</f>
        <v/>
      </c>
      <c r="AM85" s="73"/>
      <c r="AN85" s="13">
        <f t="shared" ref="AN85:AN90" si="648">IF(AI85&gt;AK85,1,0)</f>
        <v>0</v>
      </c>
      <c r="AO85" s="13">
        <f t="shared" ref="AO85:AO90" si="649">IF(AK85&gt;AI85,1,0)</f>
        <v>0</v>
      </c>
      <c r="AP85" s="13">
        <f t="shared" ref="AP85:AP90" si="650">IF(AND(AI85=AK85,AI85&lt;&gt;""),1,0)</f>
        <v>0</v>
      </c>
      <c r="AQ85" s="13">
        <f t="shared" ref="AQ85:AQ90" si="651">IF(AND(AI85=AK85,AI85&lt;&gt;""),1,0)</f>
        <v>0</v>
      </c>
      <c r="AR85" s="13">
        <f t="shared" ref="AR85:AR90" si="652">IF(AI85&lt;AK85,1,0)</f>
        <v>0</v>
      </c>
      <c r="AS85" s="13">
        <f t="shared" ref="AS85:AS90" si="653">IF(AK85&lt;AI85,1,)</f>
        <v>0</v>
      </c>
      <c r="AT85" s="13">
        <f t="shared" ref="AT85:AT90" si="654">IF(ISERROR(VLOOKUP(AF85,CF:CF,1,FALSE)),0,1)*IF(ISERROR(VLOOKUP(AH85,CF:CF,1,FALSE)),0,1)*AN85</f>
        <v>0</v>
      </c>
      <c r="AU85" s="13">
        <f t="shared" ref="AU85:AU90" si="655">IF(ISERROR(VLOOKUP(AF85,CF:CF,1,FALSE)),0,1)*IF(ISERROR(VLOOKUP(AH85,CF:CF,1,FALSE)),0,1)*AO85</f>
        <v>0</v>
      </c>
      <c r="AV85" s="13">
        <f t="shared" ref="AV85:AV90" si="656">IF(ISERROR(VLOOKUP(AF85,CF:CF,1,FALSE)),0,1)*IF(ISERROR(VLOOKUP(AH85,CF:CF,1,FALSE)),0,1)*AP85</f>
        <v>0</v>
      </c>
      <c r="AW85" s="13">
        <f t="shared" ref="AW85:AW90" si="657">IF(ISERROR(VLOOKUP(AF85,CF:CF,1,FALSE)),0,1)*IF(ISERROR(VLOOKUP(AH85,CF:CF,1,FALSE)),0,1)*AQ85</f>
        <v>0</v>
      </c>
      <c r="AX85" s="13">
        <f t="shared" ref="AX85:AX90" si="658">IF(ISERROR(VLOOKUP(AF85,CF:CF,1,FALSE)),0,1)*IF(ISERROR(VLOOKUP(AH85,CF:CF,1,FALSE)),0,1)*AR85</f>
        <v>0</v>
      </c>
      <c r="AY85" s="13">
        <f t="shared" ref="AY85:AY90" si="659">IF(ISERROR(VLOOKUP(AF85,CF:CF,1,FALSE)),0,1)*IF(ISERROR(VLOOKUP(AH85,CF:CF,1,FALSE)),0,1)*AS85</f>
        <v>0</v>
      </c>
      <c r="AZ85" s="13">
        <f t="shared" ref="AZ85:AZ90" si="660">IF(ISERROR(VLOOKUP(AF85,CZ:CZ,1,FALSE)),0,1)*IF(ISERROR(VLOOKUP(AH85,CZ:CZ,1,FALSE)),0,1)*AN85</f>
        <v>0</v>
      </c>
      <c r="BA85" s="13">
        <f t="shared" ref="BA85:BA90" si="661">IF(ISERROR(VLOOKUP(AF85,CZ:CZ,1,FALSE)),0,1)*IF(ISERROR(VLOOKUP(AH85,CZ:CZ,1,FALSE)),0,1)*AO85</f>
        <v>0</v>
      </c>
      <c r="BB85" s="13">
        <f t="shared" ref="BB85:BB90" si="662">IF(ISERROR(VLOOKUP(AF85,CZ:CZ,1,FALSE)),0,1)*IF(ISERROR(VLOOKUP(AH85,CZ:CZ,1,FALSE)),0,1)*AP85</f>
        <v>0</v>
      </c>
      <c r="BC85" s="13">
        <f t="shared" ref="BC85:BC90" si="663">IF(ISERROR(VLOOKUP(AF85,CZ:CZ,1,FALSE)),0,1)*IF(ISERROR(VLOOKUP(AH85,CZ:CZ,1,FALSE)),0,1)*AQ85</f>
        <v>0</v>
      </c>
      <c r="BD85" s="13">
        <f t="shared" ref="BD85:BD90" si="664">IF(ISERROR(VLOOKUP(AF85,CZ:CZ,1,FALSE)),0,1)*IF(ISERROR(VLOOKUP(AH85,CZ:CZ,1,FALSE)),0,1)*AR85</f>
        <v>0</v>
      </c>
      <c r="BE85" s="13">
        <f t="shared" ref="BE85:BE90" si="665">IF(ISERROR(VLOOKUP(AF85,CZ:CZ,1,FALSE)),0,1)*IF(ISERROR(VLOOKUP(AH85,CZ:CZ,1,FALSE)),0,1)*AS85</f>
        <v>0</v>
      </c>
      <c r="BF85" s="13">
        <f t="shared" ref="BF85:BF90" si="666">IF(ISERROR(VLOOKUP(AF85,DT:DT,1,FALSE)),0,1)*IF(ISERROR(VLOOKUP(AH85,DT:DT,1,FALSE)),0,1)*AN85</f>
        <v>0</v>
      </c>
      <c r="BG85" s="13">
        <f t="shared" ref="BG85:BG90" si="667">IF(ISERROR(VLOOKUP(AF85,DT:DT,1,FALSE)),0,1)*IF(ISERROR(VLOOKUP(AH85,DT:DT,1,FALSE)),0,1)*AO85</f>
        <v>0</v>
      </c>
      <c r="BH85" s="13">
        <f t="shared" ref="BH85:BH90" si="668">IF(ISERROR(VLOOKUP(AF85,DT:DT,1,FALSE)),0,1)*IF(ISERROR(VLOOKUP(AH85,DT:DT,1,FALSE)),0,1)*AP85</f>
        <v>0</v>
      </c>
      <c r="BI85" s="13">
        <f t="shared" ref="BI85:BI90" si="669">IF(ISERROR(VLOOKUP(AF85,DT:DT,1,FALSE)),0,1)*IF(ISERROR(VLOOKUP(AH85,DT:DT,1,FALSE)),0,1)*AQ85</f>
        <v>0</v>
      </c>
      <c r="BJ85" s="13">
        <f t="shared" ref="BJ85:BJ90" si="670">IF(ISERROR(VLOOKUP(AF85,DT:DT,1,FALSE)),0,1)*IF(ISERROR(VLOOKUP(AH85,DT:DT,1,FALSE)),0,1)*AR85</f>
        <v>0</v>
      </c>
      <c r="BK85" s="13">
        <f t="shared" ref="BK85:BK90" si="671">IF(ISERROR(VLOOKUP(AF85,DT:DT,1,FALSE)),0,1)*IF(ISERROR(VLOOKUP(AH85,DT:DT,1,FALSE)),0,1)*AS85</f>
        <v>0</v>
      </c>
      <c r="BL85" s="13">
        <f t="shared" ref="BL85:BL90" si="672">IF(ISERROR(VLOOKUP(AF85,EN:EN,1,FALSE)),0,1)*IF(ISERROR(VLOOKUP(AH85,EN:EN,1,FALSE)),0,1)*AN85</f>
        <v>0</v>
      </c>
      <c r="BM85" s="13">
        <f t="shared" ref="BM85:BM90" si="673">IF(ISERROR(VLOOKUP(AF85,EN:EN,1,FALSE)),0,1)*IF(ISERROR(VLOOKUP(AH85,EN:EN,1,FALSE)),0,1)*AO85</f>
        <v>0</v>
      </c>
      <c r="BN85" s="13">
        <f t="shared" ref="BN85:BN90" si="674">IF(ISERROR(VLOOKUP(AF85,EN:EN,1,FALSE)),0,1)*IF(ISERROR(VLOOKUP(AH85,EN:EN,1,FALSE)),0,1)*AP85</f>
        <v>0</v>
      </c>
      <c r="BO85" s="13">
        <f t="shared" ref="BO85:BO90" si="675">IF(ISERROR(VLOOKUP(AF85,EN:EN,1,FALSE)),0,1)*IF(ISERROR(VLOOKUP(AH85,EN:EN,1,FALSE)),0,1)*AQ85</f>
        <v>0</v>
      </c>
      <c r="BP85" s="13">
        <f t="shared" ref="BP85:BP90" si="676">IF(ISERROR(VLOOKUP(AF85,EN:EN,1,FALSE)),0,1)*IF(ISERROR(VLOOKUP(AH85,EN:EN,1,FALSE)),0,1)*AR85</f>
        <v>0</v>
      </c>
      <c r="BQ85" s="13">
        <f t="shared" ref="BQ85:BQ90" si="677">IF(ISERROR(VLOOKUP(AF85,EN:EN,1,FALSE)),0,1)*IF(ISERROR(VLOOKUP(AH85,EN:EN,1,FALSE)),0,1)*AS85</f>
        <v>0</v>
      </c>
      <c r="BT85" s="12" t="s">
        <v>130</v>
      </c>
      <c r="BU85" s="13">
        <f t="shared" ref="BU85:BU88" si="678">(SUMIF(AF$4:AF$108,BT85,AN$4:AN$108)+SUMIF(AH$4:AH$108,BT85,AO$4:AO$108))</f>
        <v>0</v>
      </c>
      <c r="BV85" s="13">
        <f t="shared" ref="BV85:BV88" si="679">(SUMIF(AF$4:AF$108,BT85,AP$4:AP$108)+SUMIF(AH$4:AH$108,BT85,AQ$4:AQ$108))</f>
        <v>0</v>
      </c>
      <c r="BW85" s="13">
        <f t="shared" ref="BW85:BW88" si="680">(SUMIF(AF$4:AF$108,BT85,AR$4:AR$108)+SUMIF(AH$4:AH$108,BT85,AS$4:AS$108))</f>
        <v>0</v>
      </c>
      <c r="BX85" s="13">
        <f t="shared" ref="BX85:BX88" si="681">SUMIF($AF$4:$AF$108,BT85,$AI$4:$AI$108)+SUMIF($AH$4:$AH$108,BT85,$AK$4:$AK$108)</f>
        <v>0</v>
      </c>
      <c r="BY85" s="13">
        <f t="shared" ref="BY85:BY88" si="682">SUMIF($AF$4:$AF$108,BT85,$AK$4:$AK$108)+SUMIF($AH$4:$AH$108,BT85,$AI$4:$AI$108)</f>
        <v>0</v>
      </c>
      <c r="BZ85" s="13">
        <f t="shared" ref="BZ85:BZ88" si="683">BX85-BY85</f>
        <v>0</v>
      </c>
      <c r="CA85" s="13">
        <f t="shared" ref="CA85:CA88" si="684">IFERROR(BU85*3+BV85*1,0)</f>
        <v>0</v>
      </c>
      <c r="CB85" s="13" t="s">
        <v>69</v>
      </c>
      <c r="CC85" s="74">
        <f>RANK(CA85,CA85:CA88)</f>
        <v>1</v>
      </c>
      <c r="CD85" s="13">
        <f>SUMPRODUCT((CA85:CA88=CA85)*(BZ85:BZ88&gt;BZ85))</f>
        <v>0</v>
      </c>
      <c r="CF85" s="12" t="str">
        <f>IF(CC85=1,BT85,)</f>
        <v>Argentina</v>
      </c>
      <c r="CG85" s="13">
        <f t="shared" ref="CG85:CG88" si="685">(SUMIF($AF$4:$AF$108,$BT85,$AT$4:$AT$108)+SUMIF($AH$4:$AH$108,$BT85,$AU$4:$AU$108))</f>
        <v>0</v>
      </c>
      <c r="CH85" s="13">
        <f t="shared" ref="CH85:CH88" si="686">(SUMIF($AF$4:$AF$108,$BT85,$AV$4:$AV$108)+SUMIF($AH$4:$AH$108,$BT85,$AW$4:$AW$108))</f>
        <v>0</v>
      </c>
      <c r="CI85" s="13">
        <f t="shared" ref="CI85:CI88" si="687">(SUMIF($AF$4:$AF$108,$BT85,$AX$4:$AX$108)+SUMIF($AH$4:$AH$108,$BT85,$AY$4:$AY$108))</f>
        <v>0</v>
      </c>
      <c r="CJ85" s="13">
        <f t="shared" ref="CJ85:CJ88" si="688">IFERROR(CG85*3+CH85*1,0)</f>
        <v>0</v>
      </c>
      <c r="CK85" s="13" t="str">
        <f>CB85</f>
        <v>J</v>
      </c>
      <c r="CL85" s="13">
        <f>IF(CF85&gt;0,RANK(CJ85,CJ85:CJ88),)</f>
        <v>1</v>
      </c>
      <c r="CM85" s="13">
        <f t="shared" ref="CM85" si="689">IF(AND(CF85&gt;0,COUNTIF(CL85:CL88,CL85)&gt;1),SUMIFS($AI$4:$AI$108,$AF$4:$AF$108,$BT85,$M$4:$M$108,1)+SUMIFS($AK$4:$AK$108,$AH$4:$AH$108,$BT85,$M$4:$M$108,1)-SUMIFS($AK$4:$AK$108,$AF$4:$AF$108,$BT85,$M$4:$M$108,1)-SUMIFS($AI$4:$AI$108,$AH$4:$AH$108,$BT85,$M$4:$M$108,1),)</f>
        <v>0</v>
      </c>
      <c r="CN85" s="13">
        <f>IF(AND(CF85&gt;0,COUNTIF(CL85:CL88,CL85)&gt;1),CL85+RANK(CM85,CM85:CM88)-1,CL85)</f>
        <v>1</v>
      </c>
      <c r="CO85" s="13">
        <f>IF(AND(CF85&gt;0,COUNTIF(CN85:CN88,CN85)&gt;1),SUMIFS($AI$4:$AI$108,$AF$4:$AF$108,$BT85,$M$4:$M$108,1)+SUMIFS($AK$4:$AK$108,$AH$4:$AH$108,$BT85,$M$4:$M$108,1),)</f>
        <v>0</v>
      </c>
      <c r="CP85" s="13">
        <f>IF(AND(CF85&gt;0,COUNTIF(CN85:CN88,CN85)&gt;1),CN85+RANK(CO85,CO85:CO88)-1,CN85)</f>
        <v>1</v>
      </c>
      <c r="CQ85" s="13">
        <f>IF(CP85=0,"",CP85)</f>
        <v>1</v>
      </c>
      <c r="CR85" s="13">
        <f>IF(OR(CQ85="",COUNTIF(CQ85:CQ88,CQ85)=1),"",$BZ85)</f>
        <v>0</v>
      </c>
      <c r="CS85" s="13">
        <f>IF(CQ85="","",IF(COUNTIF(CQ85:CQ88,CQ85)=1,CQ85,CQ85+RANK(CR85,CR85:CR88,0)-1))</f>
        <v>1</v>
      </c>
      <c r="CT85" s="13">
        <f>IF(OR(CS85="",COUNTIF(CS85:CS88,CS85)=1),"",$BX85)</f>
        <v>0</v>
      </c>
      <c r="CU85" s="13">
        <f>IF(CQ85="","",IF(COUNTIF(CS85:CS88,CS85)=1,CS85,CS85+RANK(CT85,CT85:CT88,0)-1))</f>
        <v>1</v>
      </c>
      <c r="CV85" s="13">
        <f>IF(OR(CU85="",COUNTIF(CU85:CU88,CU85)=1),"",$BU85)</f>
        <v>0</v>
      </c>
      <c r="CW85" s="13">
        <f>IF(CQ85="","",IF(COUNTIF(CU85:CU88,CU85)=1,CU85,CU85+RANK(CV85,CV85:CV88,0)-1))</f>
        <v>1</v>
      </c>
      <c r="CX85" s="13">
        <f>IF(CF85&gt;0,BM83+RANK(CW85,CW85:CW88,1),)</f>
        <v>1</v>
      </c>
      <c r="CZ85" s="12">
        <f>IF(CC85=2,BT85,)</f>
        <v>0</v>
      </c>
      <c r="DA85" s="13">
        <f>(SUMIF($AF$4:$AF$108,$BT85,$AZ$4:$AZ$108)+SUMIF($AH$4:$AH$108,$BT85,$BA$4:$BA$108))</f>
        <v>0</v>
      </c>
      <c r="DB85" s="13">
        <f>(SUMIF($AF$4:$AF$108,$BT85,$BB$4:$BB$108)+SUMIF($AH$4:$AH$108,$BT85,$BC$4:$BC$108))</f>
        <v>0</v>
      </c>
      <c r="DC85" s="13">
        <f>(SUMIF($AF$4:$AF$108,$BT85,$BD$4:$BD$108)+SUMIF($AH$4:$AH$108,$BT85,$BE$4:$BE$108))</f>
        <v>0</v>
      </c>
      <c r="DD85" s="13">
        <f>IFERROR(DA85*3+DB85*1,0)</f>
        <v>0</v>
      </c>
      <c r="DE85" s="13" t="str">
        <f>$CB85</f>
        <v>J</v>
      </c>
      <c r="DF85" s="13">
        <f>IF(CZ85&gt;0,RANK(DD85,DD85:DD88)+CG83,)</f>
        <v>0</v>
      </c>
      <c r="DG85" s="13">
        <f>IF(AND(CZ85&gt;0,COUNTIF(DF85:DF88,DF85)&gt;1),SUMIFS($AI$4:$AI$108,$AF$4:$AF$108,$BT85,$M$4:$M$108,2)+SUMIFS($AK$4:$AK$108,$AH$4:$AH108,$BT85,$M$4:$M$108,2)-SUMIFS($AK$4:$AK$108,$AF$4:$AF$108,$BT85,$M$4:$M$108,2)-SUMIFS($AI$4:$AI$108,$AH$4:$AH$108,$BT85,$M$4:$M$108,2),)</f>
        <v>0</v>
      </c>
      <c r="DH85" s="13">
        <f>IF(AND(CZ85&gt;0,COUNTIF(DF85:DF88,DF85)&gt;1),DF85+RANK(DG85,DG85:DG88)-1,DF85)</f>
        <v>0</v>
      </c>
      <c r="DI85" s="13">
        <f>IF(AND(CZ85&gt;0,COUNTIF(DH85:DH88,DH85)&gt;1),SUMIFS($AI$4:$AI$108,$AF$4:$AF$108,$BT85,$M$4:$M$108,2)+SUMIFS($AK$4:$AK$108,$AH$4:$AH$108,$BT85,$M$4:$M$108,2),)</f>
        <v>0</v>
      </c>
      <c r="DJ85" s="13">
        <f>IF(AND(CZ85&gt;0,COUNTIF(DH85:DH88,DH85)&gt;1),DH85+RANK(DI85,DI85:DI88)-1,DH85)</f>
        <v>0</v>
      </c>
      <c r="DK85" s="75" t="str">
        <f>IF(DJ85=0,"",DJ85)</f>
        <v/>
      </c>
      <c r="DL85" s="75" t="str">
        <f>IF(OR(DK85="",COUNTIF(DK85:DK88,DK85)=1),"",$BZ85)</f>
        <v/>
      </c>
      <c r="DM85" s="75" t="str">
        <f>IF(DK85="","",IF(COUNTIF(DK85:DK88,DK85)=1,DK85,DK85+RANK(DL85,DL85:DL88,0)-1))</f>
        <v/>
      </c>
      <c r="DN85" s="75" t="str">
        <f>IF(OR(DM85="",COUNTIF(DM85:DM88,DM85)=1),"",$BX85)</f>
        <v/>
      </c>
      <c r="DO85" s="75" t="str">
        <f>IF(DK85="","",IF(COUNTIF(DM85:DM88,DM85)=1,DM85,DM85+RANK(DN85,DN85:DN88,0)-1))</f>
        <v/>
      </c>
      <c r="DP85" s="75" t="str">
        <f>IF(OR(DO85="",COUNTIF(DO85:DO88,DO85)=1),"",$BU85)</f>
        <v/>
      </c>
      <c r="DQ85" s="75" t="str">
        <f>IF(DK85="","",IF(COUNTIF(DO85:DO88,DO85)=1,DO85,DO85+RANK(DP85,DP85:DP88,0)-1))</f>
        <v/>
      </c>
      <c r="DR85" s="13">
        <f>IF(CZ85&gt;0,CG83+RANK(DQ85,DQ85:DQ88,1),)</f>
        <v>0</v>
      </c>
      <c r="DT85" s="13">
        <f>IF(CC85=3,BT85,)</f>
        <v>0</v>
      </c>
      <c r="DU85" s="13">
        <f>(SUMIF($AF$4:$AF$108,BT85,$BF$4:$BF$108)+SUMIF($AH$4:$AH$108,BT85,$BG$4:$BG$108))</f>
        <v>0</v>
      </c>
      <c r="DV85" s="13">
        <f>(SUMIF($AF$4:$AF$108,BT85,$BH$4:$BH$108)+SUMIF($AH$4:$AH$108,BT85,$BI$4:$BI$108))</f>
        <v>0</v>
      </c>
      <c r="DW85" s="13">
        <f>(SUMIF($AF$4:$AF$108,BT85,$BJ$4:$BJ$108)+SUMIF($AH$4:$AH$108,BT85,$BK$4:$BK$108))</f>
        <v>0</v>
      </c>
      <c r="DX85" s="13">
        <f>IFERROR(DU85*3+DV85*1,0)</f>
        <v>0</v>
      </c>
      <c r="DY85" s="13" t="str">
        <f>CB85</f>
        <v>J</v>
      </c>
      <c r="DZ85" s="13">
        <f>IF(DT85&gt;0,RANK(DX85,DX85:DX88)+CG83+DA83,)</f>
        <v>0</v>
      </c>
      <c r="EA85" s="13">
        <f>IF(AND(DT85&gt;0,COUNTIF(DZ85:DZ88,DZ85)&gt;1),SUMIFS($AI$4:$AI$108,$AF$4:$AF$108,$BT85,$M$4:$M$108,3)+SUMIFS($AK$4:$AK$108,$AH$4:$AH$108,$BT85,$M$4:$M$108,3)-SUMIFS($AK$4:$AK$108,$AF$4:$AF$108,$BT85,$M$4:$M$108,3)-SUMIFS($AI$4:$AI$108,$AH$4:$AH$108,$BT85,$M$4:$M$108,3),)</f>
        <v>0</v>
      </c>
      <c r="EB85" s="13">
        <f>IF(AND(DT85&gt;0,COUNTIF(DZ85:DZ88,DZ85)&gt;1),DZ85+RANK(EA85,EA85:EA88)-1,DZ85)</f>
        <v>0</v>
      </c>
      <c r="EC85" s="13">
        <f>IF(AND(DT85&gt;0,COUNTIF(EB85:EB88,EB85)&gt;1),SUMIFS($AI$4:$AI$108,$AF$4:$AF$108,$BT85,$M$4:$M$108,3)+SUMIFS($AK$4:$AK$108,$AH$4:$AH$108,$BT85,$M$4:$M$108,3),)</f>
        <v>0</v>
      </c>
      <c r="ED85" s="13">
        <f>IF(AND(DT85&gt;0,COUNTIF(EB85:EB88,EB85)&gt;1),EB85+RANK(EC85,EC85:EC88)-1,EB85)</f>
        <v>0</v>
      </c>
      <c r="EE85" s="13" t="str">
        <f>IF(ED85=0,"",ED85)</f>
        <v/>
      </c>
      <c r="EF85" s="13" t="str">
        <f>IF(OR(EE85="",COUNTIF(EE85:EE88,EE85)=1),"",$BZ85)</f>
        <v/>
      </c>
      <c r="EG85" s="13" t="str">
        <f>IF(EE85="","",IF(COUNTIF(EE85:EE88,EE85)=1,EE85,EE85+RANK(EF85,EF85:EF88,0)-1))</f>
        <v/>
      </c>
      <c r="EH85" s="13" t="str">
        <f>IF(OR(EG85="",COUNTIF(EG85:EG88,EG85)=1),"",$BX85)</f>
        <v/>
      </c>
      <c r="EI85" s="13" t="str">
        <f>IF(EE85="","",IF(COUNTIF(EG85:EG88,EG85)=1,EG85,EG85+RANK(EH85,EH85:EH88,0)-1))</f>
        <v/>
      </c>
      <c r="EJ85" s="13" t="str">
        <f>IF(OR(EI85="",COUNTIF(EI85:EI88,EI85)=1),"",$BU85)</f>
        <v/>
      </c>
      <c r="EK85" s="13" t="str">
        <f>IF(EE85="","",IF(COUNTIF(EI85:EI88,EI85)=1,EI85,EI85+RANK(EJ85,EJ85:EJ88,0)-1))</f>
        <v/>
      </c>
      <c r="EL85" s="13">
        <f>IF(DT85&gt;0,CG83+DA83+RANK(EK85,EK85:EK88,1),)</f>
        <v>0</v>
      </c>
      <c r="EN85" s="13">
        <f>IF(CC85=4,BT85,)</f>
        <v>0</v>
      </c>
      <c r="EO85" s="13">
        <f>(SUMIF($AF$4:$AF$108,$BT85,$BL$4:$BL$108)+SUMIF($AH$4:$AH$108,$BT85,$BM$4:$BM$108))</f>
        <v>0</v>
      </c>
      <c r="EP85" s="13">
        <f>(SUMIF($AF$4:$AF$108,$BT85,$BN$4:$BN$108)+SUMIF($AH$4:$AH$108,$BT85,$BO$4:$BO$108))</f>
        <v>0</v>
      </c>
      <c r="EQ85" s="13">
        <f>(SUMIF($AF$4:$AF$108,$BT85,$BP$4:$BP$108)+SUMIF($AH$4:$AH$108,$BT85,$BQ$4:$BQ$108))</f>
        <v>0</v>
      </c>
      <c r="ER85" s="13">
        <f>IFERROR(EO85*3+EP85*1,0)</f>
        <v>0</v>
      </c>
      <c r="ES85" s="13" t="str">
        <f>$CB85</f>
        <v>J</v>
      </c>
      <c r="ET85" s="13">
        <f>IF(EN85&gt;0,RANK(ER85,ER85:ER88)+CG83+DA83+DU83,)</f>
        <v>0</v>
      </c>
      <c r="EU85" s="13">
        <f>IF(AND(EN85&gt;0,COUNTIF(ET85:ET88,ET85)&gt;1),SUMIFS($AI$4:$AI$108,$AF$4:$AF$108,$BT85,$M$4:$M$108,4)+SUMIFS($AK$4:$AK$108,$AH$4:$AH$108,$BT85,$M$4:$M$108,4)-SUMIFS($AK$4:$AK$108,$AF$4:$AF$108,$BT85,$M$4:$M$108,4)-SUMIFS($AI$4:$AI$108,$AH$4:$AH$108,$BT85,$M$4:$M$108,4),)</f>
        <v>0</v>
      </c>
      <c r="EV85" s="13">
        <f>IF(AND(EN85&gt;0,COUNTIF(ET85:ET88,ET85)&gt;1),ET85+RANK(EU85,EU85:EU88)-1,ET85)</f>
        <v>0</v>
      </c>
      <c r="EW85" s="13">
        <f>IF(AND(EN85&gt;0,COUNTIF(EV85:EV88,EV85)&gt;1),SUMIFS($AI$4:$AI$108,$AF$4:$AF$108,$BT85,$M$4:$M$108,4)+SUMIFS($AK$4:$AK$108,$AH$4:$AH$108,$BT85,$M$4:$M$108,4),)</f>
        <v>0</v>
      </c>
      <c r="EX85" s="13">
        <f>IF(AND(EN85&gt;0,COUNTIF(EV85:EV88,EV85)&gt;1),EV85+RANK(EW85,EW85:EW88)-1,EV85)</f>
        <v>0</v>
      </c>
      <c r="EY85" s="13" t="str">
        <f>IF(EX85=0,"",EX85)</f>
        <v/>
      </c>
      <c r="EZ85" s="13" t="str">
        <f>IF(OR(EY85="",COUNTIF(EY85:EY88,EY85)=1),"",$BZ85)</f>
        <v/>
      </c>
      <c r="FA85" s="13" t="str">
        <f>IF(EY85="","",IF(COUNTIF(EY85:EY88,EY85)=1,EY85,EY85+RANK(EZ85,EZ85:EZ88,0)-1))</f>
        <v/>
      </c>
      <c r="FB85" s="13" t="str">
        <f>IF(OR(FA85="",COUNTIF(FA85:FA88,FA85)=1),"",$BX85)</f>
        <v/>
      </c>
      <c r="FC85" s="13" t="str">
        <f>IF(EY85="","",IF(COUNTIF(FA85:FA88,FA85)=1,FA85,FA85+RANK(FB85,FB85:FB88,0)-1))</f>
        <v/>
      </c>
      <c r="FD85" s="13" t="str">
        <f>IF(OR(FC85="",COUNTIF(FC85:FC88,FC85)=1),"",$BU85)</f>
        <v/>
      </c>
      <c r="FE85" s="13" t="str">
        <f>IF(EY85="","",IF(COUNTIF(FC85:FC88,FC85)=1,FC85,FC85+RANK(FD85,FD85:FD88,0)-1))</f>
        <v/>
      </c>
      <c r="FF85" s="13">
        <f>IF(EN85&gt;0,CG83+DA83+DU83+RANK(FE85,FE85:FE88,1),)</f>
        <v>0</v>
      </c>
      <c r="FH85" s="13">
        <f>IFERROR(VLOOKUP(FJ85,CF84:CX88,19,FALSE),IFERROR(VLOOKUP(FJ85,CZ84:DR88,19,FALSE),IFERROR(VLOOKUP(FJ85,DT84:EL88,19,FALSE),VLOOKUP(FJ85,EN84:FF88,19,FALSE))))</f>
        <v>1</v>
      </c>
      <c r="FI85" s="13">
        <f>RANK(FH85,FH85:FH88,1)+COUNTIF(FH85:FH85,FH85)-1</f>
        <v>1</v>
      </c>
      <c r="FJ85" s="12" t="str">
        <f>BT85</f>
        <v>Argentina</v>
      </c>
      <c r="FZ85" s="79">
        <v>83</v>
      </c>
      <c r="GA85" s="3" t="str">
        <f t="shared" si="562"/>
        <v>HJBCIGLK</v>
      </c>
      <c r="GB85" s="3" t="s">
        <v>70</v>
      </c>
      <c r="GC85" s="3" t="s">
        <v>69</v>
      </c>
      <c r="GD85" s="3" t="s">
        <v>57</v>
      </c>
      <c r="GE85" s="3" t="s">
        <v>75</v>
      </c>
      <c r="GF85" s="3" t="s">
        <v>61</v>
      </c>
      <c r="GG85" s="3" t="s">
        <v>60</v>
      </c>
      <c r="GH85" s="3" t="s">
        <v>63</v>
      </c>
      <c r="GI85" s="3" t="s">
        <v>62</v>
      </c>
      <c r="GJ85" s="9" t="str">
        <f t="shared" si="640"/>
        <v>Saudiarabien</v>
      </c>
      <c r="GK85" s="9" t="str">
        <f t="shared" si="640"/>
        <v>Österrike</v>
      </c>
      <c r="GL85" s="9" t="str">
        <f t="shared" si="640"/>
        <v>Qatar</v>
      </c>
      <c r="GM85" s="9" t="str">
        <f t="shared" si="640"/>
        <v>Haiti</v>
      </c>
      <c r="GN85" s="9" t="str">
        <f t="shared" si="640"/>
        <v>Irak</v>
      </c>
      <c r="GO85" s="9" t="str">
        <f t="shared" si="640"/>
        <v>Iran</v>
      </c>
      <c r="GP85" s="9" t="str">
        <f t="shared" si="640"/>
        <v>Ghana</v>
      </c>
      <c r="GQ85" s="9" t="str">
        <f t="shared" si="639"/>
        <v>Uzbekistan</v>
      </c>
      <c r="GR85" s="9" t="str">
        <f t="shared" si="563"/>
        <v/>
      </c>
      <c r="GX85" s="142"/>
    </row>
    <row r="86" spans="2:206" ht="14.25" customHeight="1" x14ac:dyDescent="0.25">
      <c r="B86" s="58">
        <v>20</v>
      </c>
      <c r="C86" s="59">
        <v>46190</v>
      </c>
      <c r="D86" s="60" t="s">
        <v>132</v>
      </c>
      <c r="E86" s="61" t="s">
        <v>66</v>
      </c>
      <c r="F86" s="62" t="s">
        <v>133</v>
      </c>
      <c r="G86" s="63"/>
      <c r="H86" s="64" t="s">
        <v>66</v>
      </c>
      <c r="I86" s="63"/>
      <c r="J86" s="65" t="str">
        <f t="shared" ref="J86:J90" si="690">IF(OR(ISBLANK(G86),ISBLANK(I86)),"",IF(G86&gt;I86,1,IF(G86&lt;I86,2,"X")))</f>
        <v/>
      </c>
      <c r="K86" s="66">
        <f>IF(OR(G86="",I86="",'[1]Resultat &amp; tabell'!G86="",'[1]Resultat &amp; tabell'!I86=""),0,IF(G86='[1]Resultat &amp; tabell'!G86,2,0)+IF(I86='[1]Resultat &amp; tabell'!I86,2,0)+IF(J86='[1]Resultat &amp; tabell'!J86,2,0))</f>
        <v>0</v>
      </c>
      <c r="L86" s="67"/>
      <c r="M86" s="29">
        <f t="shared" si="641"/>
        <v>1</v>
      </c>
      <c r="N86" s="30">
        <v>2</v>
      </c>
      <c r="O86" s="80" t="str">
        <f>VLOOKUP(N86,FI85:FJ88,2,FALSE)</f>
        <v>Algeriet</v>
      </c>
      <c r="P86" s="81">
        <f t="shared" ref="P86:P88" si="691">VLOOKUP($O86,$BT$85:$CA$88,2,FALSE)</f>
        <v>0</v>
      </c>
      <c r="Q86" s="81">
        <f t="shared" ref="Q86:Q88" si="692">VLOOKUP($O86,$BT$85:$CA$88,3,FALSE)</f>
        <v>0</v>
      </c>
      <c r="R86" s="81">
        <f t="shared" ref="R86:R88" si="693">VLOOKUP($O86,$BT$85:$CA$88,4,FALSE)</f>
        <v>0</v>
      </c>
      <c r="S86" s="81">
        <f t="shared" ref="S86:S88" si="694">VLOOKUP($O86,$BT$85:$CA$88,5,FALSE)</f>
        <v>0</v>
      </c>
      <c r="T86" s="81">
        <f t="shared" ref="T86:T88" si="695">VLOOKUP($O86,$BT$85:$CA$88,6,FALSE)</f>
        <v>0</v>
      </c>
      <c r="U86" s="81">
        <f t="shared" ref="U86:U88" si="696">VLOOKUP($O86,$BT$85:$CA$88,7,FALSE)</f>
        <v>0</v>
      </c>
      <c r="V86" s="82">
        <f t="shared" ref="V86:V88" si="697">VLOOKUP($O86,$BT$85:$CA$88,8,FALSE)</f>
        <v>0</v>
      </c>
      <c r="X86" s="1"/>
      <c r="AE86" s="72">
        <f t="shared" si="643"/>
        <v>46190</v>
      </c>
      <c r="AF86" s="72" t="str">
        <f t="shared" si="643"/>
        <v>Österrike</v>
      </c>
      <c r="AG86" s="72" t="str">
        <f t="shared" si="643"/>
        <v>-</v>
      </c>
      <c r="AH86" s="72" t="str">
        <f t="shared" si="643"/>
        <v>Jordanien</v>
      </c>
      <c r="AI86" s="63" t="str">
        <f t="shared" si="644"/>
        <v/>
      </c>
      <c r="AJ86" s="58" t="str">
        <f t="shared" si="645"/>
        <v>-</v>
      </c>
      <c r="AK86" s="63" t="str">
        <f t="shared" si="646"/>
        <v/>
      </c>
      <c r="AL86" s="65" t="str">
        <f t="shared" si="647"/>
        <v/>
      </c>
      <c r="AM86" s="73"/>
      <c r="AN86" s="13">
        <f t="shared" si="648"/>
        <v>0</v>
      </c>
      <c r="AO86" s="13">
        <f t="shared" si="649"/>
        <v>0</v>
      </c>
      <c r="AP86" s="13">
        <f t="shared" si="650"/>
        <v>0</v>
      </c>
      <c r="AQ86" s="13">
        <f t="shared" si="651"/>
        <v>0</v>
      </c>
      <c r="AR86" s="13">
        <f t="shared" si="652"/>
        <v>0</v>
      </c>
      <c r="AS86" s="13">
        <f t="shared" si="653"/>
        <v>0</v>
      </c>
      <c r="AT86" s="13">
        <f t="shared" si="654"/>
        <v>0</v>
      </c>
      <c r="AU86" s="13">
        <f t="shared" si="655"/>
        <v>0</v>
      </c>
      <c r="AV86" s="13">
        <f t="shared" si="656"/>
        <v>0</v>
      </c>
      <c r="AW86" s="13">
        <f t="shared" si="657"/>
        <v>0</v>
      </c>
      <c r="AX86" s="13">
        <f t="shared" si="658"/>
        <v>0</v>
      </c>
      <c r="AY86" s="13">
        <f t="shared" si="659"/>
        <v>0</v>
      </c>
      <c r="AZ86" s="13">
        <f t="shared" si="660"/>
        <v>0</v>
      </c>
      <c r="BA86" s="13">
        <f t="shared" si="661"/>
        <v>0</v>
      </c>
      <c r="BB86" s="13">
        <f t="shared" si="662"/>
        <v>0</v>
      </c>
      <c r="BC86" s="13">
        <f t="shared" si="663"/>
        <v>0</v>
      </c>
      <c r="BD86" s="13">
        <f t="shared" si="664"/>
        <v>0</v>
      </c>
      <c r="BE86" s="13">
        <f t="shared" si="665"/>
        <v>0</v>
      </c>
      <c r="BF86" s="13">
        <f t="shared" si="666"/>
        <v>0</v>
      </c>
      <c r="BG86" s="13">
        <f t="shared" si="667"/>
        <v>0</v>
      </c>
      <c r="BH86" s="13">
        <f t="shared" si="668"/>
        <v>0</v>
      </c>
      <c r="BI86" s="13">
        <f t="shared" si="669"/>
        <v>0</v>
      </c>
      <c r="BJ86" s="13">
        <f t="shared" si="670"/>
        <v>0</v>
      </c>
      <c r="BK86" s="13">
        <f t="shared" si="671"/>
        <v>0</v>
      </c>
      <c r="BL86" s="13">
        <f t="shared" si="672"/>
        <v>0</v>
      </c>
      <c r="BM86" s="13">
        <f t="shared" si="673"/>
        <v>0</v>
      </c>
      <c r="BN86" s="13">
        <f t="shared" si="674"/>
        <v>0</v>
      </c>
      <c r="BO86" s="13">
        <f t="shared" si="675"/>
        <v>0</v>
      </c>
      <c r="BP86" s="13">
        <f t="shared" si="676"/>
        <v>0</v>
      </c>
      <c r="BQ86" s="13">
        <f t="shared" si="677"/>
        <v>0</v>
      </c>
      <c r="BT86" s="12" t="s">
        <v>131</v>
      </c>
      <c r="BU86" s="13">
        <f t="shared" si="678"/>
        <v>0</v>
      </c>
      <c r="BV86" s="13">
        <f t="shared" si="679"/>
        <v>0</v>
      </c>
      <c r="BW86" s="13">
        <f t="shared" si="680"/>
        <v>0</v>
      </c>
      <c r="BX86" s="13">
        <f t="shared" si="681"/>
        <v>0</v>
      </c>
      <c r="BY86" s="13">
        <f t="shared" si="682"/>
        <v>0</v>
      </c>
      <c r="BZ86" s="13">
        <f t="shared" si="683"/>
        <v>0</v>
      </c>
      <c r="CA86" s="13">
        <f t="shared" si="684"/>
        <v>0</v>
      </c>
      <c r="CB86" s="13" t="s">
        <v>69</v>
      </c>
      <c r="CC86" s="74">
        <f>RANK(CA86,CA85:CA88)</f>
        <v>1</v>
      </c>
      <c r="CD86" s="13">
        <f>SUMPRODUCT((CA85:CA88=CA86)*(BZ85:BZ88&gt;BZ86))</f>
        <v>0</v>
      </c>
      <c r="CF86" s="12" t="str">
        <f>IF(CC86=1,BT86,)</f>
        <v>Algeriet</v>
      </c>
      <c r="CG86" s="13">
        <f t="shared" si="685"/>
        <v>0</v>
      </c>
      <c r="CH86" s="13">
        <f t="shared" si="686"/>
        <v>0</v>
      </c>
      <c r="CI86" s="13">
        <f t="shared" si="687"/>
        <v>0</v>
      </c>
      <c r="CJ86" s="13">
        <f t="shared" si="688"/>
        <v>0</v>
      </c>
      <c r="CK86" s="13" t="str">
        <f t="shared" ref="CK86:CK88" si="698">CB86</f>
        <v>J</v>
      </c>
      <c r="CL86" s="13">
        <f>IF(CF86&gt;0,RANK(CJ86,CJ85:CJ88),)</f>
        <v>1</v>
      </c>
      <c r="CM86" s="13">
        <f>IF(AND(CF86&gt;0,COUNTIF(CL85:CL88,CL86)&gt;1),SUMIFS($AI$4:$AI$108,$AF$4:$AF$108,$BT86,$M$4:$M$108,1)+SUMIFS($AK$4:$AK$108,$AH$4:$AH$108,$BT86,$M$4:$M$108,1)-SUMIFS($AK$4:$AK$108,$AF$4:$AF$108,$BT86,$M$4:$M$108,1)-SUMIFS($AI$4:$AI$108,$AH$4:$AH$108,$BT86,$M$4:$M$108,1),)</f>
        <v>0</v>
      </c>
      <c r="CN86" s="13">
        <f>IF(AND(CF86&gt;0,COUNTIF(CL85:CL88,CL86)&gt;1),CL86+RANK(CM86,CM85:CM88)-1,CL86)</f>
        <v>1</v>
      </c>
      <c r="CO86" s="13">
        <f>IF(AND(CF86&gt;0,COUNTIF(CN85:CN88,CN86)&gt;1),SUMIFS($AI$4:$AI$108,$AF$4:$AF$108,$BT86,$M$4:$M$108,1)+SUMIFS($AK$4:$AK$108,$AH$4:$AH$108,$BT86,$M$4:$M$108,1),)</f>
        <v>0</v>
      </c>
      <c r="CP86" s="13">
        <f>IF(AND(CF86&gt;0,COUNTIF(CN85:CN88,CN86)&gt;1),CN86+RANK(CO86,CO85:CO88)-1,CN86)</f>
        <v>1</v>
      </c>
      <c r="CQ86" s="13">
        <f t="shared" ref="CQ86:CQ88" si="699">IF(CP86=0,"",CP86)</f>
        <v>1</v>
      </c>
      <c r="CR86" s="13">
        <f>IF(OR(CQ86="",COUNTIF(CQ85:CQ88,CQ86)=1),"",$BZ86)</f>
        <v>0</v>
      </c>
      <c r="CS86" s="13">
        <f>IF(CQ86="","",IF(COUNTIF(CQ85:CQ88,CQ86)=1,CQ86,CQ86+RANK(CR86,CR85:CR88,0)-1))</f>
        <v>1</v>
      </c>
      <c r="CT86" s="13">
        <f>IF(OR(CS86="",COUNTIF(CS85:CS88,CS86)=1),"",$BX86)</f>
        <v>0</v>
      </c>
      <c r="CU86" s="13">
        <f>IF(CQ86="","",IF(COUNTIF(CS85:CS88,CS86)=1,CS86,CS86+RANK(CT86,CT85:CT88,0)-1))</f>
        <v>1</v>
      </c>
      <c r="CV86" s="13">
        <f>IF(OR(CU86="",COUNTIF(CU85:CU88,CU86)=1),"",$BU86)</f>
        <v>0</v>
      </c>
      <c r="CW86" s="13">
        <f>IF(CQ86="","",IF(COUNTIF(CU85:CU88,CU86)=1,CU86,CU86+RANK(CV86,CV85:CV88,0)-1))</f>
        <v>1</v>
      </c>
      <c r="CX86" s="13">
        <f>IF(CF86&gt;0,BM83+RANK(CW86,CW85:CW88,1),)</f>
        <v>1</v>
      </c>
      <c r="CZ86" s="12">
        <f>IF(CC86=2,BT86,)</f>
        <v>0</v>
      </c>
      <c r="DA86" s="13">
        <f>(SUMIF($AF$4:$AF$108,$BT86,$AZ$4:$AZ$108)+SUMIF($AH$4:$AH$108,$BT86,$BA$4:$BA$108))</f>
        <v>0</v>
      </c>
      <c r="DB86" s="13">
        <f t="shared" ref="DB86:DB88" si="700">(SUMIF($AF$4:$AF$108,$BT86,$BB$4:$BB$108)+SUMIF($AH$4:$AH$108,$BT86,$BC$4:$BC$108))</f>
        <v>0</v>
      </c>
      <c r="DC86" s="13">
        <f t="shared" ref="DC86:DC88" si="701">(SUMIF($AF$4:$AF$108,$BT86,$BD$4:$BD$108)+SUMIF($AH$4:$AH$108,$BT86,$BE$4:$BE$108))</f>
        <v>0</v>
      </c>
      <c r="DD86" s="13">
        <f t="shared" ref="DD86:DD88" si="702">IFERROR(DA86*3+DB86*1,0)</f>
        <v>0</v>
      </c>
      <c r="DE86" s="13" t="str">
        <f t="shared" ref="DE86:DE88" si="703">$CB86</f>
        <v>J</v>
      </c>
      <c r="DF86" s="13">
        <f>IF(CZ86&gt;0,RANK(DD86,DD85:DD88)+CG83,)</f>
        <v>0</v>
      </c>
      <c r="DG86" s="13">
        <f>IF(AND(CZ86&gt;0,COUNTIF(DF85:DF88,DF86)&gt;1),SUMIFS($AI$4:$AI$108,$AF$4:$AF$108,$BT86,$M$4:$M$108,2)+SUMIFS($AK$4:$AK$108,$AH$4:$AH108,$BT86,$M$4:$M$108,2)-SUMIFS($AK$4:$AK$108,$AF$4:$AF$108,$BT86,$M$4:$M$108,2)-SUMIFS($AI$4:$AI$108,$AH$4:$AH$108,$BT86,$M$4:$M$108,2),)</f>
        <v>0</v>
      </c>
      <c r="DH86" s="13">
        <f>IF(AND(CZ86&gt;0,COUNTIF(DF85:DF88,DF86)&gt;1),DF86+RANK(DG86,DG85:DG88)-1,DF86)</f>
        <v>0</v>
      </c>
      <c r="DI86" s="13">
        <f>IF(AND(CZ86&gt;0,COUNTIF(DH85:DH88,DH86)&gt;1),SUMIFS($AI$4:$AI$108,$AF$4:$AF$108,$BT86,$M$4:$M$108,2)+SUMIFS($AK$4:$AK$108,$AH$4:$AH$108,$BT86,$M$4:$M$108,2),)</f>
        <v>0</v>
      </c>
      <c r="DJ86" s="13">
        <f>IF(AND(CZ86&gt;0,COUNTIF(DH85:DH88,DH86)&gt;1),DH86+RANK(DI86,DI85:DI88)-1,DH86)</f>
        <v>0</v>
      </c>
      <c r="DK86" s="75" t="str">
        <f t="shared" ref="DK86:DK88" si="704">IF(DJ86=0,"",DJ86)</f>
        <v/>
      </c>
      <c r="DL86" s="75" t="str">
        <f>IF(OR(DK86="",COUNTIF(DK85:DK88,DK86)=1),"",$BZ86)</f>
        <v/>
      </c>
      <c r="DM86" s="75" t="str">
        <f>IF(DK86="","",IF(COUNTIF(DK85:DK88,DK86)=1,DK86,DK86+RANK(DL86,DL85:DL88,0)-1))</f>
        <v/>
      </c>
      <c r="DN86" s="75" t="str">
        <f>IF(OR(DM86="",COUNTIF(DM85:DM88,DM86)=1),"",$BX86)</f>
        <v/>
      </c>
      <c r="DO86" s="75" t="str">
        <f>IF(DK86="","",IF(COUNTIF(DM85:DM88,DM86)=1,DM86,DM86+RANK(DN86,DN85:DN88,0)-1))</f>
        <v/>
      </c>
      <c r="DP86" s="75" t="str">
        <f>IF(OR(DO86="",COUNTIF(DO85:DO88,DO86)=1),"",$BU86)</f>
        <v/>
      </c>
      <c r="DQ86" s="75" t="str">
        <f>IF(DK86="","",IF(COUNTIF(DO85:DO88,DO86)=1,DO86,DO86+RANK(DP86,DP85:DP88,0)-1))</f>
        <v/>
      </c>
      <c r="DR86" s="13">
        <f>IF(CZ86&gt;0,CG83+RANK(DQ86,DQ85:DQ88,1),)</f>
        <v>0</v>
      </c>
      <c r="DT86" s="13">
        <f>IF(CC86=3,BT86,)</f>
        <v>0</v>
      </c>
      <c r="DU86" s="13">
        <f t="shared" ref="DU86:DU88" si="705">(SUMIF($AF$4:$AF$108,BT86,$BF$4:$BF$108)+SUMIF($AH$4:$AH$108,BT86,$BG$4:$BG$108))</f>
        <v>0</v>
      </c>
      <c r="DV86" s="13">
        <f t="shared" ref="DV86:DV88" si="706">(SUMIF($AF$4:$AF$108,BT86,$BH$4:$BH$108)+SUMIF($AH$4:$AH$108,BT86,$BI$4:$BI$108))</f>
        <v>0</v>
      </c>
      <c r="DW86" s="13">
        <f t="shared" ref="DW86:DW88" si="707">(SUMIF($AF$4:$AF$108,BT86,$BJ$4:$BJ$108)+SUMIF($AH$4:$AH$108,BT86,$BK$4:$BK$108))</f>
        <v>0</v>
      </c>
      <c r="DX86" s="13">
        <f>IFERROR(DU86*3+DV86*1,0)</f>
        <v>0</v>
      </c>
      <c r="DY86" s="13" t="str">
        <f t="shared" ref="DY86:DY88" si="708">CB86</f>
        <v>J</v>
      </c>
      <c r="DZ86" s="13">
        <f>IF(DT86&gt;0,RANK(DX86,DX85:DX88)+CG83+DA83,)</f>
        <v>0</v>
      </c>
      <c r="EA86" s="13">
        <f>IF(AND(DT86&gt;0,COUNTIF(DZ85:DZ88,DZ86)&gt;1),SUMIFS($AI$4:$AI$108,$AF$4:$AF$108,$BT86,$M$4:$M$108,3)+SUMIFS($AK$4:$AK$108,$AH$4:$AH$108,$BT86,$M$4:$M$108,3)-SUMIFS($AK$4:$AK$108,$AF$4:$AF$108,$BT86,$M$4:$M$108,3)-SUMIFS($AI$4:$AI$108,$AH$4:$AH$108,$BT86,$M$4:$M$108,3),)</f>
        <v>0</v>
      </c>
      <c r="EB86" s="13">
        <f>IF(AND(DT86&gt;0,COUNTIF(DZ85:DZ88,DZ86)&gt;1),DZ86+RANK(EA86,EA85:EA88)-1,DZ86)</f>
        <v>0</v>
      </c>
      <c r="EC86" s="13">
        <f>IF(AND(DT86&gt;0,COUNTIF(EB85:EB88,EB86)&gt;1),SUMIFS($AI$4:$AI$108,$AF$4:$AF$108,$BT86,$M$4:$M$108,3)+SUMIFS($AK$4:$AK$108,$AH$4:$AH$108,$BT86,$M$4:$M$108,3),)</f>
        <v>0</v>
      </c>
      <c r="ED86" s="13">
        <f>IF(AND(DT86&gt;0,COUNTIF(EB85:EB88,EB86)&gt;1),EB86+RANK(EC86,EC85:EC88)-1,EB86)</f>
        <v>0</v>
      </c>
      <c r="EE86" s="13" t="str">
        <f t="shared" ref="EE86:EE88" si="709">IF(ED86=0,"",ED86)</f>
        <v/>
      </c>
      <c r="EF86" s="13" t="str">
        <f>IF(OR(EE86="",COUNTIF(EE85:EE88,EE86)=1),"",$BZ86)</f>
        <v/>
      </c>
      <c r="EG86" s="13" t="str">
        <f>IF(EE86="","",IF(COUNTIF(EE85:EE88,EE86)=1,EE86,EE86+RANK(EF86,EF85:EF88,0)-1))</f>
        <v/>
      </c>
      <c r="EH86" s="13" t="str">
        <f>IF(OR(EG86="",COUNTIF(EG85:EG88,EG86)=1),"",$BX86)</f>
        <v/>
      </c>
      <c r="EI86" s="13" t="str">
        <f>IF(EE86="","",IF(COUNTIF(EG85:EG88,EG86)=1,EG86,EG86+RANK(EH86,EH85:EH88,0)-1))</f>
        <v/>
      </c>
      <c r="EJ86" s="13" t="str">
        <f>IF(OR(EI86="",COUNTIF(EI85:EI88,EI86)=1),"",$BU86)</f>
        <v/>
      </c>
      <c r="EK86" s="13" t="str">
        <f>IF(EE86="","",IF(COUNTIF(EI85:EI88,EI86)=1,EI86,EI86+RANK(EJ86,EJ85:EJ88,0)-1))</f>
        <v/>
      </c>
      <c r="EL86" s="13">
        <f>IF(DT86&gt;0,CG83+DA83+RANK(EK86,EK85:EK88,1),)</f>
        <v>0</v>
      </c>
      <c r="EN86" s="13">
        <f>IF(CC86=4,BT86,)</f>
        <v>0</v>
      </c>
      <c r="EO86" s="13">
        <f t="shared" ref="EO86:EO88" si="710">(SUMIF($AF$4:$AF$108,$BT86,$BL$4:$BL$108)+SUMIF($AH$4:$AH$108,$BT86,$BM$4:$BM$108))</f>
        <v>0</v>
      </c>
      <c r="EP86" s="13">
        <f t="shared" ref="EP86:EP88" si="711">(SUMIF($AF$4:$AF$108,$BT86,$BN$4:$BN$108)+SUMIF($AH$4:$AH$108,$BT86,$BO$4:$BO$108))</f>
        <v>0</v>
      </c>
      <c r="EQ86" s="13">
        <f t="shared" ref="EQ86:EQ88" si="712">(SUMIF($AF$4:$AF$108,$BT86,$BP$4:$BP$108)+SUMIF($AH$4:$AH$108,$BT86,$BQ$4:$BQ$108))</f>
        <v>0</v>
      </c>
      <c r="ER86" s="13">
        <f t="shared" ref="ER86:ER88" si="713">IFERROR(EO86*3+EP86*1,0)</f>
        <v>0</v>
      </c>
      <c r="ES86" s="13" t="str">
        <f t="shared" ref="ES86:ES88" si="714">$CB86</f>
        <v>J</v>
      </c>
      <c r="ET86" s="13">
        <f>IF(EN86&gt;0,RANK(ER86,ER85:ER88)+CG83+DA83+DU83,)</f>
        <v>0</v>
      </c>
      <c r="EU86" s="13">
        <f>IF(AND(EN86&gt;0,COUNTIF(ET85:ET88,ET86)&gt;1),SUMIFS($AI$4:$AI$108,$AF$4:$AF$108,$BT86,$M$4:$M$108,4)+SUMIFS($AK$4:$AK$108,$AH$4:$AH$108,$BT86,$M$4:$M$108,4)-SUMIFS($AK$4:$AK$108,$AF$4:$AF$108,$BT86,$M$4:$M$108,4)-SUMIFS($AI$4:$AI$108,$AH$4:$AH$108,$BT86,$M$4:$M$108,4),)</f>
        <v>0</v>
      </c>
      <c r="EV86" s="13">
        <f>IF(AND(EN86&gt;0,COUNTIF(ET85:ET88,ET86)&gt;1),ET86+RANK(EU86,EU85:EU88)-1,ET86)</f>
        <v>0</v>
      </c>
      <c r="EW86" s="13">
        <f t="shared" ref="EW86:EW88" si="715">IF(AND(EN86&gt;0,COUNTIF(EV86:EV89,EV86)&gt;1),SUMIFS($AI$4:$AI$108,$AF$4:$AF$108,$BT86,$M$4:$M$108,4)+SUMIFS($AK$4:$AK$108,$AH$4:$AH$108,$BT86,$M$4:$M$108,4),)</f>
        <v>0</v>
      </c>
      <c r="EX86" s="13">
        <f>IF(AND(EN86&gt;0,COUNTIF(EV85:EV88,EV86)&gt;1),EV86+RANK(EW86,EW85:EW88)-1,EV86)</f>
        <v>0</v>
      </c>
      <c r="EY86" s="13" t="str">
        <f t="shared" ref="EY86:EY88" si="716">IF(EX86=0,"",EX86)</f>
        <v/>
      </c>
      <c r="EZ86" s="13" t="str">
        <f>IF(OR(EY86="",COUNTIF(EY85:EY88,EY86)=1),"",$BZ86)</f>
        <v/>
      </c>
      <c r="FA86" s="13" t="str">
        <f>IF(EY86="","",IF(COUNTIF(EY85:EY88,EY86)=1,EY86,EY86+RANK(EZ86,EZ85:EZ88,0)-1))</f>
        <v/>
      </c>
      <c r="FB86" s="13" t="str">
        <f>IF(OR(FA86="",COUNTIF(FA85:FA88,FA86)=1),"",$BX86)</f>
        <v/>
      </c>
      <c r="FC86" s="13" t="str">
        <f>IF(EY86="","",IF(COUNTIF(FA85:FA88,FA86)=1,FA86,FA86+RANK(FB86,FB85:FB88,0)-1))</f>
        <v/>
      </c>
      <c r="FD86" s="13" t="str">
        <f>IF(OR(FC86="",COUNTIF(FC85:FC88,FC86)=1),"",$BU86)</f>
        <v/>
      </c>
      <c r="FE86" s="13" t="str">
        <f>IF(EY86="","",IF(COUNTIF(FC85:FC88,FC86)=1,FC86,FC86+RANK(FD86,FD85:FD88,0)-1))</f>
        <v/>
      </c>
      <c r="FF86" s="13">
        <f>IF(EN86&gt;0,CG83+DA83+DU83+RANK(FE86,FE85:FE88,1),)</f>
        <v>0</v>
      </c>
      <c r="FH86" s="13">
        <f>IFERROR(VLOOKUP(FJ86,CF84:CX88,19,FALSE),IFERROR(VLOOKUP(FJ86,CZ84:DR88,19,FALSE),IFERROR(VLOOKUP(FJ86,DT84:EL88,19,FALSE),VLOOKUP(FJ86,EN84:FF88,19,FALSE))))</f>
        <v>1</v>
      </c>
      <c r="FI86" s="13">
        <f>RANK(FH86,FH85:FH88,1)+COUNTIF(FH85:FH86,FH86)-1</f>
        <v>2</v>
      </c>
      <c r="FJ86" s="12" t="str">
        <f>BT86</f>
        <v>Algeriet</v>
      </c>
      <c r="FZ86" s="79">
        <v>84</v>
      </c>
      <c r="GA86" s="3" t="str">
        <f t="shared" si="562"/>
        <v>HJBCIFLK</v>
      </c>
      <c r="GB86" s="3" t="s">
        <v>70</v>
      </c>
      <c r="GC86" s="3" t="s">
        <v>69</v>
      </c>
      <c r="GD86" s="3" t="s">
        <v>57</v>
      </c>
      <c r="GE86" s="3" t="s">
        <v>75</v>
      </c>
      <c r="GF86" s="3" t="s">
        <v>61</v>
      </c>
      <c r="GG86" s="3" t="s">
        <v>21</v>
      </c>
      <c r="GH86" s="3" t="s">
        <v>63</v>
      </c>
      <c r="GI86" s="3" t="s">
        <v>62</v>
      </c>
      <c r="GJ86" s="9" t="str">
        <f t="shared" si="640"/>
        <v>Saudiarabien</v>
      </c>
      <c r="GK86" s="9" t="str">
        <f t="shared" si="640"/>
        <v>Österrike</v>
      </c>
      <c r="GL86" s="9" t="str">
        <f t="shared" si="640"/>
        <v>Qatar</v>
      </c>
      <c r="GM86" s="9" t="str">
        <f t="shared" si="640"/>
        <v>Haiti</v>
      </c>
      <c r="GN86" s="9" t="str">
        <f t="shared" si="640"/>
        <v>Irak</v>
      </c>
      <c r="GO86" s="9" t="str">
        <f t="shared" si="640"/>
        <v>Sverige</v>
      </c>
      <c r="GP86" s="9" t="str">
        <f t="shared" si="640"/>
        <v>Ghana</v>
      </c>
      <c r="GQ86" s="9" t="str">
        <f t="shared" si="639"/>
        <v>Uzbekistan</v>
      </c>
      <c r="GR86" s="9" t="str">
        <f t="shared" si="563"/>
        <v/>
      </c>
      <c r="GX86" s="142"/>
    </row>
    <row r="87" spans="2:206" ht="14.25" customHeight="1" x14ac:dyDescent="0.25">
      <c r="B87" s="58">
        <v>43</v>
      </c>
      <c r="C87" s="59">
        <v>46195</v>
      </c>
      <c r="D87" s="60" t="s">
        <v>130</v>
      </c>
      <c r="E87" s="61" t="s">
        <v>66</v>
      </c>
      <c r="F87" s="62" t="s">
        <v>132</v>
      </c>
      <c r="G87" s="63"/>
      <c r="H87" s="64" t="s">
        <v>66</v>
      </c>
      <c r="I87" s="63"/>
      <c r="J87" s="65" t="str">
        <f t="shared" si="690"/>
        <v/>
      </c>
      <c r="K87" s="66">
        <f>IF(OR(G87="",I87="",'[1]Resultat &amp; tabell'!G87="",'[1]Resultat &amp; tabell'!I87=""),0,IF(G87='[1]Resultat &amp; tabell'!G87,2,0)+IF(I87='[1]Resultat &amp; tabell'!I87,2,0)+IF(J87='[1]Resultat &amp; tabell'!J87,2,0))</f>
        <v>0</v>
      </c>
      <c r="L87" s="67"/>
      <c r="M87" s="29">
        <f t="shared" si="641"/>
        <v>1</v>
      </c>
      <c r="N87" s="30">
        <v>3</v>
      </c>
      <c r="O87" s="83" t="str">
        <f>VLOOKUP(N87,FI85:FJ88,2,FALSE)</f>
        <v>Österrike</v>
      </c>
      <c r="P87" s="84">
        <f t="shared" si="691"/>
        <v>0</v>
      </c>
      <c r="Q87" s="84">
        <f t="shared" si="692"/>
        <v>0</v>
      </c>
      <c r="R87" s="84">
        <f t="shared" si="693"/>
        <v>0</v>
      </c>
      <c r="S87" s="84">
        <f t="shared" si="694"/>
        <v>0</v>
      </c>
      <c r="T87" s="84">
        <f t="shared" si="695"/>
        <v>0</v>
      </c>
      <c r="U87" s="84">
        <f t="shared" si="696"/>
        <v>0</v>
      </c>
      <c r="V87" s="85">
        <f t="shared" si="697"/>
        <v>0</v>
      </c>
      <c r="X87" s="1"/>
      <c r="AE87" s="72">
        <f t="shared" si="643"/>
        <v>46195</v>
      </c>
      <c r="AF87" s="72" t="str">
        <f t="shared" si="643"/>
        <v>Argentina</v>
      </c>
      <c r="AG87" s="72" t="str">
        <f t="shared" si="643"/>
        <v>-</v>
      </c>
      <c r="AH87" s="72" t="str">
        <f t="shared" si="643"/>
        <v>Österrike</v>
      </c>
      <c r="AI87" s="63" t="str">
        <f t="shared" si="644"/>
        <v/>
      </c>
      <c r="AJ87" s="58" t="str">
        <f t="shared" si="645"/>
        <v>-</v>
      </c>
      <c r="AK87" s="63" t="str">
        <f t="shared" si="646"/>
        <v/>
      </c>
      <c r="AL87" s="65" t="str">
        <f t="shared" si="647"/>
        <v/>
      </c>
      <c r="AM87" s="73"/>
      <c r="AN87" s="13">
        <f t="shared" si="648"/>
        <v>0</v>
      </c>
      <c r="AO87" s="13">
        <f t="shared" si="649"/>
        <v>0</v>
      </c>
      <c r="AP87" s="13">
        <f t="shared" si="650"/>
        <v>0</v>
      </c>
      <c r="AQ87" s="13">
        <f t="shared" si="651"/>
        <v>0</v>
      </c>
      <c r="AR87" s="13">
        <f t="shared" si="652"/>
        <v>0</v>
      </c>
      <c r="AS87" s="13">
        <f t="shared" si="653"/>
        <v>0</v>
      </c>
      <c r="AT87" s="13">
        <f t="shared" si="654"/>
        <v>0</v>
      </c>
      <c r="AU87" s="13">
        <f t="shared" si="655"/>
        <v>0</v>
      </c>
      <c r="AV87" s="13">
        <f t="shared" si="656"/>
        <v>0</v>
      </c>
      <c r="AW87" s="13">
        <f t="shared" si="657"/>
        <v>0</v>
      </c>
      <c r="AX87" s="13">
        <f t="shared" si="658"/>
        <v>0</v>
      </c>
      <c r="AY87" s="13">
        <f t="shared" si="659"/>
        <v>0</v>
      </c>
      <c r="AZ87" s="13">
        <f t="shared" si="660"/>
        <v>0</v>
      </c>
      <c r="BA87" s="13">
        <f t="shared" si="661"/>
        <v>0</v>
      </c>
      <c r="BB87" s="13">
        <f t="shared" si="662"/>
        <v>0</v>
      </c>
      <c r="BC87" s="13">
        <f t="shared" si="663"/>
        <v>0</v>
      </c>
      <c r="BD87" s="13">
        <f t="shared" si="664"/>
        <v>0</v>
      </c>
      <c r="BE87" s="13">
        <f t="shared" si="665"/>
        <v>0</v>
      </c>
      <c r="BF87" s="13">
        <f t="shared" si="666"/>
        <v>0</v>
      </c>
      <c r="BG87" s="13">
        <f t="shared" si="667"/>
        <v>0</v>
      </c>
      <c r="BH87" s="13">
        <f t="shared" si="668"/>
        <v>0</v>
      </c>
      <c r="BI87" s="13">
        <f t="shared" si="669"/>
        <v>0</v>
      </c>
      <c r="BJ87" s="13">
        <f t="shared" si="670"/>
        <v>0</v>
      </c>
      <c r="BK87" s="13">
        <f t="shared" si="671"/>
        <v>0</v>
      </c>
      <c r="BL87" s="13">
        <f t="shared" si="672"/>
        <v>0</v>
      </c>
      <c r="BM87" s="13">
        <f t="shared" si="673"/>
        <v>0</v>
      </c>
      <c r="BN87" s="13">
        <f t="shared" si="674"/>
        <v>0</v>
      </c>
      <c r="BO87" s="13">
        <f t="shared" si="675"/>
        <v>0</v>
      </c>
      <c r="BP87" s="13">
        <f t="shared" si="676"/>
        <v>0</v>
      </c>
      <c r="BQ87" s="13">
        <f t="shared" si="677"/>
        <v>0</v>
      </c>
      <c r="BT87" s="12" t="s">
        <v>132</v>
      </c>
      <c r="BU87" s="13">
        <f t="shared" si="678"/>
        <v>0</v>
      </c>
      <c r="BV87" s="13">
        <f t="shared" si="679"/>
        <v>0</v>
      </c>
      <c r="BW87" s="13">
        <f t="shared" si="680"/>
        <v>0</v>
      </c>
      <c r="BX87" s="13">
        <f t="shared" si="681"/>
        <v>0</v>
      </c>
      <c r="BY87" s="13">
        <f t="shared" si="682"/>
        <v>0</v>
      </c>
      <c r="BZ87" s="13">
        <f t="shared" si="683"/>
        <v>0</v>
      </c>
      <c r="CA87" s="13">
        <f t="shared" si="684"/>
        <v>0</v>
      </c>
      <c r="CB87" s="13" t="s">
        <v>69</v>
      </c>
      <c r="CC87" s="74">
        <f>RANK(CA87,CA85:CA88)</f>
        <v>1</v>
      </c>
      <c r="CD87" s="13">
        <f>SUMPRODUCT((CA85:CA88=CA87)*(BZ85:BZ88&gt;BZ87))</f>
        <v>0</v>
      </c>
      <c r="CF87" s="12" t="str">
        <f>IF(CC87=1,BT87,)</f>
        <v>Österrike</v>
      </c>
      <c r="CG87" s="13">
        <f t="shared" si="685"/>
        <v>0</v>
      </c>
      <c r="CH87" s="13">
        <f t="shared" si="686"/>
        <v>0</v>
      </c>
      <c r="CI87" s="13">
        <f t="shared" si="687"/>
        <v>0</v>
      </c>
      <c r="CJ87" s="13">
        <f t="shared" si="688"/>
        <v>0</v>
      </c>
      <c r="CK87" s="13" t="str">
        <f t="shared" si="698"/>
        <v>J</v>
      </c>
      <c r="CL87" s="13">
        <f>IF(CF87&gt;0,RANK(CJ87,CJ85:CJ88),)</f>
        <v>1</v>
      </c>
      <c r="CM87" s="13">
        <f>IF(AND(CF87&gt;0,COUNTIF(CL85:CL88,CL87)&gt;1),SUMIFS($AI$4:$AI$108,$AF$4:$AF$108,$BT87,$M$4:$M$108,1)+SUMIFS($AK$4:$AK$108,$AH$4:$AH$108,$BT87,$M$4:$M$108,1)-SUMIFS($AK$4:$AK$108,$AF$4:$AF$108,$BT87,$M$4:$M$108,1)-SUMIFS($AI$4:$AI$108,$AH$4:$AH$108,$BT87,$M$4:$M$108,1),)</f>
        <v>0</v>
      </c>
      <c r="CN87" s="13">
        <f>IF(AND(CF87&gt;0,COUNTIF(CL85:CL88,CL87)&gt;1),CL87+RANK(CM87,CM85:CM88)-1,CL87)</f>
        <v>1</v>
      </c>
      <c r="CO87" s="13">
        <f>IF(AND(CF87&gt;0,COUNTIF(CN85:CN88,CN87)&gt;1),SUMIFS($AI$4:$AI$108,$AF$4:$AF$108,$BT87,$M$4:$M$108,1)+SUMIFS($AK$4:$AK$108,$AH$4:$AH$108,$BT87,$M$4:$M$108,1),)</f>
        <v>0</v>
      </c>
      <c r="CP87" s="13">
        <f>IF(AND(CF87&gt;0,COUNTIF(CN85:CN88,CN87)&gt;1),CN87+RANK(CO87,CO85:CO88)-1,CN87)</f>
        <v>1</v>
      </c>
      <c r="CQ87" s="13">
        <f t="shared" si="699"/>
        <v>1</v>
      </c>
      <c r="CR87" s="13">
        <f>IF(OR(CQ87="",COUNTIF(CQ85:CQ88,CQ87)=1),"",$BZ87)</f>
        <v>0</v>
      </c>
      <c r="CS87" s="13">
        <f>IF(CQ87="","",IF(COUNTIF(CQ85:CQ88,CQ87)=1,CQ87,CQ87+RANK(CR87,CR85:CR88,0)-1))</f>
        <v>1</v>
      </c>
      <c r="CT87" s="13">
        <f>IF(OR(CS87="",COUNTIF(CS85:CS88,CS87)=1),"",$BX87)</f>
        <v>0</v>
      </c>
      <c r="CU87" s="13">
        <f>IF(CQ87="","",IF(COUNTIF(CS85:CS88,CS87)=1,CS87,CS87+RANK(CT87,CT85:CT88,0)-1))</f>
        <v>1</v>
      </c>
      <c r="CV87" s="13">
        <f>IF(OR(CU87="",COUNTIF(CU85:CU88,CU87)=1),"",$BU87)</f>
        <v>0</v>
      </c>
      <c r="CW87" s="13">
        <f>IF(CQ87="","",IF(COUNTIF(CU85:CU88,CU87)=1,CU87,CU87+RANK(CV87,CV85:CV88,0)-1))</f>
        <v>1</v>
      </c>
      <c r="CX87" s="13">
        <f>IF(CF87&gt;0,BM83+RANK(CW87,CW85:CW88,1),)</f>
        <v>1</v>
      </c>
      <c r="CZ87" s="12">
        <f>IF(CC87=2,BT87,)</f>
        <v>0</v>
      </c>
      <c r="DA87" s="13">
        <f>(SUMIF($AF$4:$AF$108,$BT87,$AZ$4:$AZ$108)+SUMIF($AH$4:$AH$108,$BT87,$BA$4:$BA$108))</f>
        <v>0</v>
      </c>
      <c r="DB87" s="13">
        <f t="shared" si="700"/>
        <v>0</v>
      </c>
      <c r="DC87" s="13">
        <f t="shared" si="701"/>
        <v>0</v>
      </c>
      <c r="DD87" s="13">
        <f t="shared" si="702"/>
        <v>0</v>
      </c>
      <c r="DE87" s="13" t="str">
        <f t="shared" si="703"/>
        <v>J</v>
      </c>
      <c r="DF87" s="13">
        <f>IF(CZ87&gt;0,RANK(DD87,DD85:DD88)+CG83,)</f>
        <v>0</v>
      </c>
      <c r="DG87" s="13">
        <f>IF(AND(CZ87&gt;0,COUNTIF(DF85:DF88,DF87)&gt;1),SUMIFS($AI$4:$AI$108,$AF$4:$AF$108,$BT87,$M$4:$M$108,2)+SUMIFS($AK$4:$AK$108,$AH$4:$AH108,$BT87,$M$4:$M$108,2)-SUMIFS($AK$4:$AK$108,$AF$4:$AF$108,$BT87,$M$4:$M$108,2)-SUMIFS($AI$4:$AI$108,$AH$4:$AH$108,$BT87,$M$4:$M$108,2),)</f>
        <v>0</v>
      </c>
      <c r="DH87" s="13">
        <f>IF(AND(CZ87&gt;0,COUNTIF(DF85:DF88,DF87)&gt;1),DF87+RANK(DG87,DG85:DG88)-1,DF87)</f>
        <v>0</v>
      </c>
      <c r="DI87" s="13">
        <f>IF(AND(CZ87&gt;0,COUNTIF(DH85:DH88,DH87)&gt;1),SUMIFS($AI$4:$AI$108,$AF$4:$AF$108,$BT87,$M$4:$M$108,2)+SUMIFS($AK$4:$AK$108,$AH$4:$AH$108,$BT87,$M$4:$M$108,2),)</f>
        <v>0</v>
      </c>
      <c r="DJ87" s="13">
        <f>IF(AND(CZ87&gt;0,COUNTIF(DH85:DH88,DH87)&gt;1),DH87+RANK(DI87,DI85:DI88)-1,DH87)</f>
        <v>0</v>
      </c>
      <c r="DK87" s="75" t="str">
        <f t="shared" si="704"/>
        <v/>
      </c>
      <c r="DL87" s="75" t="str">
        <f>IF(OR(DK87="",COUNTIF(DK85:DK88,DK87)=1),"",$BZ87)</f>
        <v/>
      </c>
      <c r="DM87" s="75" t="str">
        <f>IF(DK87="","",IF(COUNTIF(DK85:DK88,DK87)=1,DK87,DK87+RANK(DL87,DL85:DL88,0)-1))</f>
        <v/>
      </c>
      <c r="DN87" s="75" t="str">
        <f>IF(OR(DM87="",COUNTIF(DM85:DM88,DM87)=1),"",$BX87)</f>
        <v/>
      </c>
      <c r="DO87" s="75" t="str">
        <f>IF(DK87="","",IF(COUNTIF(DM85:DM88,DM87)=1,DM87,DM87+RANK(DN87,DN85:DN88,0)-1))</f>
        <v/>
      </c>
      <c r="DP87" s="75" t="str">
        <f>IF(OR(DO87="",COUNTIF(DO85:DO88,DO87)=1),"",$BU87)</f>
        <v/>
      </c>
      <c r="DQ87" s="75" t="str">
        <f>IF(DK87="","",IF(COUNTIF(DO85:DO88,DO87)=1,DO87,DO87+RANK(DP87,DP85:DP88,0)-1))</f>
        <v/>
      </c>
      <c r="DR87" s="13">
        <f>IF(CZ87&gt;0,CG83+RANK(DQ87,DQ85:DQ88,1),)</f>
        <v>0</v>
      </c>
      <c r="DT87" s="13">
        <f>IF(CC87=3,BT87,)</f>
        <v>0</v>
      </c>
      <c r="DU87" s="13">
        <f t="shared" si="705"/>
        <v>0</v>
      </c>
      <c r="DV87" s="13">
        <f t="shared" si="706"/>
        <v>0</v>
      </c>
      <c r="DW87" s="13">
        <f t="shared" si="707"/>
        <v>0</v>
      </c>
      <c r="DX87" s="13">
        <f>IFERROR(DU87*3+DV87*1,0)</f>
        <v>0</v>
      </c>
      <c r="DY87" s="13" t="str">
        <f t="shared" si="708"/>
        <v>J</v>
      </c>
      <c r="DZ87" s="13">
        <f>IF(DT87&gt;0,RANK(DX87,DX85:DX88)+CG83+DA83,)</f>
        <v>0</v>
      </c>
      <c r="EA87" s="13">
        <f>IF(AND(DT87&gt;0,COUNTIF(DZ85:DZ88,DZ87)&gt;1),SUMIFS($AI$4:$AI$108,$AF$4:$AF$108,$BT87,$M$4:$M$108,3)+SUMIFS($AK$4:$AK$108,$AH$4:$AH$108,$BT87,$M$4:$M$108,3)-SUMIFS($AK$4:$AK$108,$AF$4:$AF$108,$BT87,$M$4:$M$108,3)-SUMIFS($AI$4:$AI$108,$AH$4:$AH$108,$BT87,$M$4:$M$108,3),)</f>
        <v>0</v>
      </c>
      <c r="EB87" s="13">
        <f>IF(AND(DT87&gt;0,COUNTIF(DZ85:DZ88,DZ87)&gt;1),DZ87+RANK(EA87,EA85:EA88)-1,DZ87)</f>
        <v>0</v>
      </c>
      <c r="EC87" s="13">
        <f>IF(AND(DT87&gt;0,COUNTIF(EB85:EB88,EB87)&gt;1),SUMIFS($AI$4:$AI$108,$AF$4:$AF$108,$BT87,$M$4:$M$108,3)+SUMIFS($AK$4:$AK$108,$AH$4:$AH$108,$BT87,$M$4:$M$108,3),)</f>
        <v>0</v>
      </c>
      <c r="ED87" s="13">
        <f>IF(AND(DT87&gt;0,COUNTIF(EB85:EB88,EB87)&gt;1),EB87+RANK(EC87,EC85:EC88)-1,EB87)</f>
        <v>0</v>
      </c>
      <c r="EE87" s="13" t="str">
        <f t="shared" si="709"/>
        <v/>
      </c>
      <c r="EF87" s="13" t="str">
        <f>IF(OR(EE87="",COUNTIF(EE85:EE88,EE87)=1),"",$BZ87)</f>
        <v/>
      </c>
      <c r="EG87" s="13" t="str">
        <f>IF(EE87="","",IF(COUNTIF(EE85:EE88,EE87)=1,EE87,EE87+RANK(EF87,EF85:EF88,0)-1))</f>
        <v/>
      </c>
      <c r="EH87" s="13" t="str">
        <f>IF(OR(EG87="",COUNTIF(EG85:EG88,EG87)=1),"",$BX87)</f>
        <v/>
      </c>
      <c r="EI87" s="13" t="str">
        <f>IF(EE87="","",IF(COUNTIF(EG85:EG88,EG87)=1,EG87,EG87+RANK(EH87,EH85:EH88,0)-1))</f>
        <v/>
      </c>
      <c r="EJ87" s="13" t="str">
        <f>IF(OR(EI87="",COUNTIF(EI85:EI88,EI87)=1),"",$BU87)</f>
        <v/>
      </c>
      <c r="EK87" s="13" t="str">
        <f>IF(EE87="","",IF(COUNTIF(EI85:EI88,EI87)=1,EI87,EI87+RANK(EJ87,EJ85:EJ88,0)-1))</f>
        <v/>
      </c>
      <c r="EL87" s="13">
        <f>IF(DT87&gt;0,CG83+DA83+RANK(EK87,EK85:EK88,1),)</f>
        <v>0</v>
      </c>
      <c r="EN87" s="13">
        <f>IF(CC87=4,BT87,)</f>
        <v>0</v>
      </c>
      <c r="EO87" s="13">
        <f t="shared" si="710"/>
        <v>0</v>
      </c>
      <c r="EP87" s="13">
        <f t="shared" si="711"/>
        <v>0</v>
      </c>
      <c r="EQ87" s="13">
        <f t="shared" si="712"/>
        <v>0</v>
      </c>
      <c r="ER87" s="13">
        <f t="shared" si="713"/>
        <v>0</v>
      </c>
      <c r="ES87" s="13" t="str">
        <f t="shared" si="714"/>
        <v>J</v>
      </c>
      <c r="ET87" s="13">
        <f>IF(EN87&gt;0,RANK(ER87,ER85:ER88)+CG83+DA83+DU83,)</f>
        <v>0</v>
      </c>
      <c r="EU87" s="13">
        <f>IF(AND(EN87&gt;0,COUNTIF(ET85:ET88,ET87)&gt;1),SUMIFS($AI$4:$AI$108,$AF$4:$AF$108,$BT87,$M$4:$M$108,4)+SUMIFS($AK$4:$AK$108,$AH$4:$AH$108,$BT87,$M$4:$M$108,4)-SUMIFS($AK$4:$AK$108,$AF$4:$AF$108,$BT87,$M$4:$M$108,4)-SUMIFS($AI$4:$AI$108,$AH$4:$AH$108,$BT87,$M$4:$M$108,4),)</f>
        <v>0</v>
      </c>
      <c r="EV87" s="13">
        <f>IF(AND(EN87&gt;0,COUNTIF(ET85:ET88,ET87)&gt;1),ET87+RANK(EU87,EU85:EU88)-1,ET87)</f>
        <v>0</v>
      </c>
      <c r="EW87" s="13">
        <f t="shared" si="715"/>
        <v>0</v>
      </c>
      <c r="EX87" s="13">
        <f>IF(AND(EN87&gt;0,COUNTIF(EV85:EV88,EV87)&gt;1),EV87+RANK(EW87,EW85:EW88)-1,EV87)</f>
        <v>0</v>
      </c>
      <c r="EY87" s="13" t="str">
        <f t="shared" si="716"/>
        <v/>
      </c>
      <c r="EZ87" s="13" t="str">
        <f>IF(OR(EY87="",COUNTIF(EY85:EY88,EY87)=1),"",$BZ87)</f>
        <v/>
      </c>
      <c r="FA87" s="13" t="str">
        <f>IF(EY87="","",IF(COUNTIF(EY85:EY88,EY87)=1,EY87,EY87+RANK(EZ87,EZ85:EZ88,0)-1))</f>
        <v/>
      </c>
      <c r="FB87" s="13" t="str">
        <f>IF(OR(FA87="",COUNTIF(FA85:FA88,FA87)=1),"",$BX87)</f>
        <v/>
      </c>
      <c r="FC87" s="13" t="str">
        <f>IF(EY87="","",IF(COUNTIF(FA85:FA88,FA87)=1,FA87,FA87+RANK(FB87,FB85:FB88,0)-1))</f>
        <v/>
      </c>
      <c r="FD87" s="13" t="str">
        <f>IF(OR(FC87="",COUNTIF(FC85:FC88,FC87)=1),"",$BU87)</f>
        <v/>
      </c>
      <c r="FE87" s="13" t="str">
        <f>IF(EY87="","",IF(COUNTIF(FC85:FC88,FC87)=1,FC87,FC87+RANK(FD87,FD85:FD88,0)-1))</f>
        <v/>
      </c>
      <c r="FF87" s="13">
        <f>IF(EN87&gt;0,CG83+DA83+DU83+RANK(FE87,FE85:FE88,1),)</f>
        <v>0</v>
      </c>
      <c r="FH87" s="13">
        <f>IFERROR(VLOOKUP(FJ87,CF84:CX88,19,FALSE),IFERROR(VLOOKUP(FJ87,CZ84:DR88,19,FALSE),IFERROR(VLOOKUP(FJ87,DT84:EL88,19,FALSE),VLOOKUP(FJ87,EN84:FF88,19,FALSE))))</f>
        <v>1</v>
      </c>
      <c r="FI87" s="13">
        <f>RANK(FH87,FH85:FH88,1)+COUNTIF(FH85:FH87,FH87)-1</f>
        <v>3</v>
      </c>
      <c r="FJ87" s="12" t="str">
        <f>BT87</f>
        <v>Österrike</v>
      </c>
      <c r="FZ87" s="79">
        <v>85</v>
      </c>
      <c r="GA87" s="3" t="str">
        <f t="shared" si="562"/>
        <v>IGBCJFLK</v>
      </c>
      <c r="GB87" s="3" t="s">
        <v>61</v>
      </c>
      <c r="GC87" s="3" t="s">
        <v>60</v>
      </c>
      <c r="GD87" s="3" t="s">
        <v>57</v>
      </c>
      <c r="GE87" s="3" t="s">
        <v>75</v>
      </c>
      <c r="GF87" s="3" t="s">
        <v>69</v>
      </c>
      <c r="GG87" s="3" t="s">
        <v>21</v>
      </c>
      <c r="GH87" s="3" t="s">
        <v>63</v>
      </c>
      <c r="GI87" s="3" t="s">
        <v>62</v>
      </c>
      <c r="GJ87" s="9" t="str">
        <f t="shared" si="640"/>
        <v>Irak</v>
      </c>
      <c r="GK87" s="9" t="str">
        <f t="shared" si="640"/>
        <v>Iran</v>
      </c>
      <c r="GL87" s="9" t="str">
        <f t="shared" si="640"/>
        <v>Qatar</v>
      </c>
      <c r="GM87" s="9" t="str">
        <f t="shared" si="640"/>
        <v>Haiti</v>
      </c>
      <c r="GN87" s="9" t="str">
        <f t="shared" si="640"/>
        <v>Österrike</v>
      </c>
      <c r="GO87" s="9" t="str">
        <f t="shared" si="640"/>
        <v>Sverige</v>
      </c>
      <c r="GP87" s="9" t="str">
        <f t="shared" si="640"/>
        <v>Ghana</v>
      </c>
      <c r="GQ87" s="9" t="str">
        <f t="shared" si="639"/>
        <v>Uzbekistan</v>
      </c>
      <c r="GR87" s="9" t="str">
        <f t="shared" si="563"/>
        <v/>
      </c>
      <c r="GX87" s="142"/>
    </row>
    <row r="88" spans="2:206" ht="14.25" customHeight="1" x14ac:dyDescent="0.25">
      <c r="B88" s="58">
        <v>44</v>
      </c>
      <c r="C88" s="59">
        <v>46196</v>
      </c>
      <c r="D88" s="60" t="s">
        <v>133</v>
      </c>
      <c r="E88" s="61" t="s">
        <v>66</v>
      </c>
      <c r="F88" s="62" t="s">
        <v>131</v>
      </c>
      <c r="G88" s="63"/>
      <c r="H88" s="64" t="s">
        <v>66</v>
      </c>
      <c r="I88" s="63"/>
      <c r="J88" s="65" t="str">
        <f t="shared" si="690"/>
        <v/>
      </c>
      <c r="K88" s="66">
        <f>IF(OR(G88="",I88="",'[1]Resultat &amp; tabell'!G88="",'[1]Resultat &amp; tabell'!I88=""),0,IF(G88='[1]Resultat &amp; tabell'!G88,2,0)+IF(I88='[1]Resultat &amp; tabell'!I88,2,0)+IF(J88='[1]Resultat &amp; tabell'!J88,2,0))</f>
        <v>0</v>
      </c>
      <c r="L88" s="67"/>
      <c r="M88" s="29">
        <f t="shared" si="641"/>
        <v>1</v>
      </c>
      <c r="N88" s="30">
        <v>4</v>
      </c>
      <c r="O88" s="86" t="str">
        <f>VLOOKUP(N88,FI85:FJ88,2,FALSE)</f>
        <v>Jordanien</v>
      </c>
      <c r="P88" s="87">
        <f t="shared" si="691"/>
        <v>0</v>
      </c>
      <c r="Q88" s="87">
        <f t="shared" si="692"/>
        <v>0</v>
      </c>
      <c r="R88" s="87">
        <f t="shared" si="693"/>
        <v>0</v>
      </c>
      <c r="S88" s="87">
        <f t="shared" si="694"/>
        <v>0</v>
      </c>
      <c r="T88" s="87">
        <f t="shared" si="695"/>
        <v>0</v>
      </c>
      <c r="U88" s="87">
        <f t="shared" si="696"/>
        <v>0</v>
      </c>
      <c r="V88" s="82">
        <f t="shared" si="697"/>
        <v>0</v>
      </c>
      <c r="X88" s="1"/>
      <c r="AE88" s="72">
        <f t="shared" si="643"/>
        <v>46196</v>
      </c>
      <c r="AF88" s="72" t="str">
        <f t="shared" si="643"/>
        <v>Jordanien</v>
      </c>
      <c r="AG88" s="72" t="str">
        <f t="shared" si="643"/>
        <v>-</v>
      </c>
      <c r="AH88" s="72" t="str">
        <f t="shared" si="643"/>
        <v>Algeriet</v>
      </c>
      <c r="AI88" s="63" t="str">
        <f t="shared" si="644"/>
        <v/>
      </c>
      <c r="AJ88" s="58" t="str">
        <f t="shared" si="645"/>
        <v>-</v>
      </c>
      <c r="AK88" s="63" t="str">
        <f t="shared" si="646"/>
        <v/>
      </c>
      <c r="AL88" s="65" t="str">
        <f t="shared" si="647"/>
        <v/>
      </c>
      <c r="AM88" s="73"/>
      <c r="AN88" s="13">
        <f t="shared" si="648"/>
        <v>0</v>
      </c>
      <c r="AO88" s="13">
        <f t="shared" si="649"/>
        <v>0</v>
      </c>
      <c r="AP88" s="13">
        <f t="shared" si="650"/>
        <v>0</v>
      </c>
      <c r="AQ88" s="13">
        <f t="shared" si="651"/>
        <v>0</v>
      </c>
      <c r="AR88" s="13">
        <f t="shared" si="652"/>
        <v>0</v>
      </c>
      <c r="AS88" s="13">
        <f t="shared" si="653"/>
        <v>0</v>
      </c>
      <c r="AT88" s="13">
        <f t="shared" si="654"/>
        <v>0</v>
      </c>
      <c r="AU88" s="13">
        <f t="shared" si="655"/>
        <v>0</v>
      </c>
      <c r="AV88" s="13">
        <f t="shared" si="656"/>
        <v>0</v>
      </c>
      <c r="AW88" s="13">
        <f t="shared" si="657"/>
        <v>0</v>
      </c>
      <c r="AX88" s="13">
        <f t="shared" si="658"/>
        <v>0</v>
      </c>
      <c r="AY88" s="13">
        <f t="shared" si="659"/>
        <v>0</v>
      </c>
      <c r="AZ88" s="13">
        <f t="shared" si="660"/>
        <v>0</v>
      </c>
      <c r="BA88" s="13">
        <f t="shared" si="661"/>
        <v>0</v>
      </c>
      <c r="BB88" s="13">
        <f t="shared" si="662"/>
        <v>0</v>
      </c>
      <c r="BC88" s="13">
        <f t="shared" si="663"/>
        <v>0</v>
      </c>
      <c r="BD88" s="13">
        <f t="shared" si="664"/>
        <v>0</v>
      </c>
      <c r="BE88" s="13">
        <f t="shared" si="665"/>
        <v>0</v>
      </c>
      <c r="BF88" s="13">
        <f t="shared" si="666"/>
        <v>0</v>
      </c>
      <c r="BG88" s="13">
        <f t="shared" si="667"/>
        <v>0</v>
      </c>
      <c r="BH88" s="13">
        <f t="shared" si="668"/>
        <v>0</v>
      </c>
      <c r="BI88" s="13">
        <f t="shared" si="669"/>
        <v>0</v>
      </c>
      <c r="BJ88" s="13">
        <f t="shared" si="670"/>
        <v>0</v>
      </c>
      <c r="BK88" s="13">
        <f t="shared" si="671"/>
        <v>0</v>
      </c>
      <c r="BL88" s="13">
        <f t="shared" si="672"/>
        <v>0</v>
      </c>
      <c r="BM88" s="13">
        <f t="shared" si="673"/>
        <v>0</v>
      </c>
      <c r="BN88" s="13">
        <f t="shared" si="674"/>
        <v>0</v>
      </c>
      <c r="BO88" s="13">
        <f t="shared" si="675"/>
        <v>0</v>
      </c>
      <c r="BP88" s="13">
        <f t="shared" si="676"/>
        <v>0</v>
      </c>
      <c r="BQ88" s="13">
        <f t="shared" si="677"/>
        <v>0</v>
      </c>
      <c r="BT88" s="88" t="s">
        <v>133</v>
      </c>
      <c r="BU88" s="13">
        <f t="shared" si="678"/>
        <v>0</v>
      </c>
      <c r="BV88" s="13">
        <f t="shared" si="679"/>
        <v>0</v>
      </c>
      <c r="BW88" s="13">
        <f t="shared" si="680"/>
        <v>0</v>
      </c>
      <c r="BX88" s="13">
        <f t="shared" si="681"/>
        <v>0</v>
      </c>
      <c r="BY88" s="13">
        <f t="shared" si="682"/>
        <v>0</v>
      </c>
      <c r="BZ88" s="13">
        <f t="shared" si="683"/>
        <v>0</v>
      </c>
      <c r="CA88" s="13">
        <f t="shared" si="684"/>
        <v>0</v>
      </c>
      <c r="CB88" s="89" t="s">
        <v>69</v>
      </c>
      <c r="CC88" s="74">
        <f>RANK(CA88,CA85:CA88)</f>
        <v>1</v>
      </c>
      <c r="CD88" s="13">
        <f>SUMPRODUCT((CA85:CA88=CA88)*(BZ85:BZ88&gt;BZ88))</f>
        <v>0</v>
      </c>
      <c r="CF88" s="88" t="str">
        <f>IF(CC88=1,BT88,)</f>
        <v>Jordanien</v>
      </c>
      <c r="CG88" s="13">
        <f t="shared" si="685"/>
        <v>0</v>
      </c>
      <c r="CH88" s="13">
        <f t="shared" si="686"/>
        <v>0</v>
      </c>
      <c r="CI88" s="13">
        <f t="shared" si="687"/>
        <v>0</v>
      </c>
      <c r="CJ88" s="13">
        <f t="shared" si="688"/>
        <v>0</v>
      </c>
      <c r="CK88" s="13" t="str">
        <f t="shared" si="698"/>
        <v>J</v>
      </c>
      <c r="CL88" s="13">
        <f>IF(CF88&gt;0,RANK(CJ88,CJ85:CJ88),)</f>
        <v>1</v>
      </c>
      <c r="CM88" s="13">
        <f>IF(AND(CF88&gt;0,COUNTIF(CL85:CL88,CL88)&gt;1),SUMIFS($AI$4:$AI$108,$AF$4:$AF$108,$BT88,$M$4:$M$108,1)+SUMIFS($AK$4:$AK$108,$AH$4:$AH$108,$BT88,$M$4:$M$108,1)-SUMIFS($AK$4:$AK$108,$AF$4:$AF$108,$BT88,$M$4:$M$108,1)-SUMIFS($AI$4:$AI$108,$AH$4:$AH$108,$BT88,$M$4:$M$108,1),)</f>
        <v>0</v>
      </c>
      <c r="CN88" s="13">
        <f>IF(AND(CF88&gt;0,COUNTIF(CL85:CL88,CL88)&gt;1),CL88+RANK(CM88,CM85:CM88)-1,CL88)</f>
        <v>1</v>
      </c>
      <c r="CO88" s="13">
        <f>IF(AND(CF88&gt;0,COUNTIF(CN85:CN88,CN88)&gt;1),SUMIFS($AI$4:$AI$108,$AF$4:$AF$108,$BT88,$M$4:$M$108,1)+SUMIFS($AK$4:$AK$108,$AH$4:$AH$108,$BT88,$M$4:$M$108,1),)</f>
        <v>0</v>
      </c>
      <c r="CP88" s="13">
        <f>IF(AND(CF88&gt;0,COUNTIF(CN85:CN88,CN88)&gt;1),CN88+RANK(CO88,CO85:CO88)-1,CN88)</f>
        <v>1</v>
      </c>
      <c r="CQ88" s="13">
        <f t="shared" si="699"/>
        <v>1</v>
      </c>
      <c r="CR88" s="13">
        <f>IF(OR(CQ88="",COUNTIF(CQ85:CQ88,CQ88)=1),"",$BZ88)</f>
        <v>0</v>
      </c>
      <c r="CS88" s="13">
        <f>IF(CQ88="","",IF(COUNTIF(CQ85:CQ88,CQ88)=1,CQ88,CQ88+RANK(CR88,CR85:CR88,0)-1))</f>
        <v>1</v>
      </c>
      <c r="CT88" s="13">
        <f>IF(OR(CS88="",COUNTIF(CS85:CS88,CS88)=1),"",$BX88)</f>
        <v>0</v>
      </c>
      <c r="CU88" s="13">
        <f>IF(CQ88="","",IF(COUNTIF(CS85:CS88,CS88)=1,CS88,CS88+RANK(CT88,CT85:CT88,0)-1))</f>
        <v>1</v>
      </c>
      <c r="CV88" s="13">
        <f>IF(OR(CU88="",COUNTIF(CU85:CU88,CU88)=1),"",$BU88)</f>
        <v>0</v>
      </c>
      <c r="CW88" s="13">
        <f>IF(CQ88="","",IF(COUNTIF(CU85:CU88,CU88)=1,CU88,CU88+RANK(CV88,CV85:CV88,0)-1))</f>
        <v>1</v>
      </c>
      <c r="CX88" s="13">
        <f>IF(CF88&gt;0,BM83+RANK(CW88,CW85:CW88,1),)</f>
        <v>1</v>
      </c>
      <c r="CZ88" s="88">
        <f>IF(CC88=2,BT88,)</f>
        <v>0</v>
      </c>
      <c r="DA88" s="13">
        <f>(SUMIF($AF$4:$AF$108,$BT88,$AZ$4:$AZ$108)+SUMIF($AH$4:$AH$108,$BT88,$BA$4:$BA$108))</f>
        <v>0</v>
      </c>
      <c r="DB88" s="13">
        <f t="shared" si="700"/>
        <v>0</v>
      </c>
      <c r="DC88" s="13">
        <f t="shared" si="701"/>
        <v>0</v>
      </c>
      <c r="DD88" s="13">
        <f t="shared" si="702"/>
        <v>0</v>
      </c>
      <c r="DE88" s="13" t="str">
        <f t="shared" si="703"/>
        <v>J</v>
      </c>
      <c r="DF88" s="13">
        <f>IF(CZ88&gt;0,RANK(DD88,DD85:DD88)+CG83,)</f>
        <v>0</v>
      </c>
      <c r="DG88" s="13">
        <f>IF(AND(CZ88&gt;0,COUNTIF(DF85:DF88,DF88)&gt;1),SUMIFS($AI$4:$AI$108,$AF$4:$AF$108,$BT88,$M$4:$M$108,2)+SUMIFS($AK$4:$AK$108,$AH$4:$AH108,$BT88,$M$4:$M$108,2)-SUMIFS($AK$4:$AK$108,$AF$4:$AF$108,$BT88,$M$4:$M$108,2)-SUMIFS($AI$4:$AI$108,$AH$4:$AH$108,$BT88,$M$4:$M$108,2),)</f>
        <v>0</v>
      </c>
      <c r="DH88" s="13">
        <f>IF(AND(CZ88&gt;0,COUNTIF(DF85:DF88,DF88)&gt;1),DF88+RANK(DG88,DG85:DG88)-1,DF88)</f>
        <v>0</v>
      </c>
      <c r="DI88" s="13">
        <f>IF(AND(CZ88&gt;0,COUNTIF(DH85:DH88,DH88)&gt;1),SUMIFS($AI$4:$AI$108,$AF$4:$AF$108,$BT88,$M$4:$M$108,2)+SUMIFS($AK$4:$AK$108,$AH$4:$AH$108,$BT88,$M$4:$M$108,2),)</f>
        <v>0</v>
      </c>
      <c r="DJ88" s="13">
        <f>IF(AND(CZ88&gt;0,COUNTIF(DH85:DH88,DH88)&gt;1),DH88+RANK(DI88,DI85:DI88)-1,DH88)</f>
        <v>0</v>
      </c>
      <c r="DK88" s="75" t="str">
        <f t="shared" si="704"/>
        <v/>
      </c>
      <c r="DL88" s="75" t="str">
        <f>IF(OR(DK88="",COUNTIF(DK85:DK88,DK88)=1),"",$BZ88)</f>
        <v/>
      </c>
      <c r="DM88" s="75" t="str">
        <f>IF(DK88="","",IF(COUNTIF(DK85:DK88,DK88)=1,DK88,DK88+RANK(DL88,DL85:DL88,0)-1))</f>
        <v/>
      </c>
      <c r="DN88" s="75" t="str">
        <f>IF(OR(DM88="",COUNTIF(DM85:DM88,DM88)=1),"",$BX88)</f>
        <v/>
      </c>
      <c r="DO88" s="75" t="str">
        <f>IF(DK88="","",IF(COUNTIF(DM85:DM88,DM88)=1,DM88,DM88+RANK(DN88,DN85:DN88,0)-1))</f>
        <v/>
      </c>
      <c r="DP88" s="75" t="str">
        <f>IF(OR(DO88="",COUNTIF(DO85:DO88,DO88)=1),"",$BU88)</f>
        <v/>
      </c>
      <c r="DQ88" s="75" t="str">
        <f>IF(DK88="","",IF(COUNTIF(DO85:DO88,DO88)=1,DO88,DO88+RANK(DP88,DP85:DP88,0)-1))</f>
        <v/>
      </c>
      <c r="DR88" s="13">
        <f>IF(CZ88&gt;0,CG83+RANK(DQ88,DQ85:DQ88,1),)</f>
        <v>0</v>
      </c>
      <c r="DT88" s="89">
        <f>IF(CC88=3,BT88,)</f>
        <v>0</v>
      </c>
      <c r="DU88" s="13">
        <f t="shared" si="705"/>
        <v>0</v>
      </c>
      <c r="DV88" s="13">
        <f t="shared" si="706"/>
        <v>0</v>
      </c>
      <c r="DW88" s="13">
        <f t="shared" si="707"/>
        <v>0</v>
      </c>
      <c r="DX88" s="13">
        <f>IFERROR(DU88*3+DV88*1,0)</f>
        <v>0</v>
      </c>
      <c r="DY88" s="13" t="str">
        <f t="shared" si="708"/>
        <v>J</v>
      </c>
      <c r="DZ88" s="13">
        <f>IF(DT88&gt;0,RANK(DX88,DX85:DX88)+CG83+DA83,)</f>
        <v>0</v>
      </c>
      <c r="EA88" s="13">
        <f>IF(AND(DT88&gt;0,COUNTIF(DZ85:DZ88,DZ88)&gt;1),SUMIFS($AI$4:$AI$108,$AF$4:$AF$108,$BT88,$M$4:$M$108,3)+SUMIFS($AK$4:$AK$108,$AH$4:$AH$108,$BT88,$M$4:$M$108,3)-SUMIFS($AK$4:$AK$108,$AF$4:$AF$108,$BT88,$M$4:$M$108,3)-SUMIFS($AI$4:$AI$108,$AH$4:$AH$108,$BT88,$M$4:$M$108,3),)</f>
        <v>0</v>
      </c>
      <c r="EB88" s="13">
        <f>IF(AND(DT88&gt;0,COUNTIF(DZ85:DZ88,DZ88)&gt;1),DZ88+RANK(EA88,EA85:EA88)-1,DZ88)</f>
        <v>0</v>
      </c>
      <c r="EC88" s="13">
        <f>IF(AND(DT88&gt;0,COUNTIF(EB85:EB88,EB88)&gt;1),SUMIFS($AI$4:$AI$108,$AF$4:$AF$108,$BT88,$M$4:$M$108,3)+SUMIFS($AK$4:$AK$108,$AH$4:$AH$108,$BT88,$M$4:$M$108,3),)</f>
        <v>0</v>
      </c>
      <c r="ED88" s="13">
        <f>IF(AND(DT88&gt;0,COUNTIF(EB85:EB88,EB88)&gt;1),EB88+RANK(EC88,EC85:EC88)-1,EB88)</f>
        <v>0</v>
      </c>
      <c r="EE88" s="13" t="str">
        <f t="shared" si="709"/>
        <v/>
      </c>
      <c r="EF88" s="13" t="str">
        <f>IF(OR(EE88="",COUNTIF(EE85:EE88,EE88)=1),"",$BZ88)</f>
        <v/>
      </c>
      <c r="EG88" s="13" t="str">
        <f>IF(EE88="","",IF(COUNTIF(EE85:EE88,EE88)=1,EE88,EE88+RANK(EF88,EF85:EF88,0)-1))</f>
        <v/>
      </c>
      <c r="EH88" s="13" t="str">
        <f>IF(OR(EG88="",COUNTIF(EG85:EG88,EG88)=1),"",$BX88)</f>
        <v/>
      </c>
      <c r="EI88" s="13" t="str">
        <f>IF(EE88="","",IF(COUNTIF(EG85:EG88,EG88)=1,EG88,EG88+RANK(EH88,EH85:EH88,0)-1))</f>
        <v/>
      </c>
      <c r="EJ88" s="13" t="str">
        <f>IF(OR(EI88="",COUNTIF(EI85:EI88,EI88)=1),"",$BU88)</f>
        <v/>
      </c>
      <c r="EK88" s="13" t="str">
        <f>IF(EE88="","",IF(COUNTIF(EI85:EI88,EI88)=1,EI88,EI88+RANK(EJ88,EJ85:EJ88,0)-1))</f>
        <v/>
      </c>
      <c r="EL88" s="13">
        <f>IF(DT88&gt;0,CG83+DA83+RANK(EK88,EK85:EK88,1),)</f>
        <v>0</v>
      </c>
      <c r="EN88" s="13">
        <f>IF(CC88=4,BT88,)</f>
        <v>0</v>
      </c>
      <c r="EO88" s="13">
        <f t="shared" si="710"/>
        <v>0</v>
      </c>
      <c r="EP88" s="13">
        <f t="shared" si="711"/>
        <v>0</v>
      </c>
      <c r="EQ88" s="13">
        <f t="shared" si="712"/>
        <v>0</v>
      </c>
      <c r="ER88" s="13">
        <f t="shared" si="713"/>
        <v>0</v>
      </c>
      <c r="ES88" s="13" t="str">
        <f t="shared" si="714"/>
        <v>J</v>
      </c>
      <c r="ET88" s="13">
        <f>IF(EN88&gt;0,RANK(ER88,ER85:ER88)+CG83+DA83+DU83,)</f>
        <v>0</v>
      </c>
      <c r="EU88" s="13">
        <f>IF(AND(EN88&gt;0,COUNTIF(ET85:ET88,ET88)&gt;1),SUMIFS($AI$4:$AI$108,$AF$4:$AF$108,$BT88,$M$4:$M$108,4)+SUMIFS($AK$4:$AK$108,$AH$4:$AH$108,$BT88,$M$4:$M$108,4)-SUMIFS($AK$4:$AK$108,$AF$4:$AF$108,$BT88,$M$4:$M$108,4)-SUMIFS($AI$4:$AI$108,$AH$4:$AH$108,$BT88,$M$4:$M$108,4),)</f>
        <v>0</v>
      </c>
      <c r="EV88" s="13">
        <f>IF(AND(EN88&gt;0,COUNTIF(ET85:ET88,ET88)&gt;1),ET88+RANK(EU88,EU85:EU88)-1,ET88)</f>
        <v>0</v>
      </c>
      <c r="EW88" s="13">
        <f t="shared" si="715"/>
        <v>0</v>
      </c>
      <c r="EX88" s="13">
        <f>IF(AND(EN88&gt;0,COUNTIF(EV85:EV88,EV88)&gt;1),EV88+RANK(EW88,EW85:EW88)-1,EV88)</f>
        <v>0</v>
      </c>
      <c r="EY88" s="13" t="str">
        <f t="shared" si="716"/>
        <v/>
      </c>
      <c r="EZ88" s="13" t="str">
        <f>IF(OR(EY88="",COUNTIF(EY85:EY88,EY88)=1),"",$BZ88)</f>
        <v/>
      </c>
      <c r="FA88" s="13" t="str">
        <f>IF(EY88="","",IF(COUNTIF(EY85:EY88,EY88)=1,EY88,EY88+RANK(EZ88,EZ85:EZ88,0)-1))</f>
        <v/>
      </c>
      <c r="FB88" s="13" t="str">
        <f>IF(OR(FA88="",COUNTIF(FA85:FA88,FA88)=1),"",$BX88)</f>
        <v/>
      </c>
      <c r="FC88" s="13" t="str">
        <f>IF(EY88="","",IF(COUNTIF(FA85:FA88,FA88)=1,FA88,FA88+RANK(FB88,FB85:FB88,0)-1))</f>
        <v/>
      </c>
      <c r="FD88" s="13" t="str">
        <f>IF(OR(FC88="",COUNTIF(FC85:FC88,FC88)=1),"",$BU88)</f>
        <v/>
      </c>
      <c r="FE88" s="13" t="str">
        <f>IF(EY88="","",IF(COUNTIF(FC85:FC88,FC88)=1,FC88,FC88+RANK(FD88,FD85:FD88,0)-1))</f>
        <v/>
      </c>
      <c r="FF88" s="13">
        <f>IF(EN88&gt;0,CG83+DA83+DU83+RANK(FE88,FE85:FE88,1),)</f>
        <v>0</v>
      </c>
      <c r="FH88" s="13">
        <f>IFERROR(VLOOKUP(FJ88,CF84:CX88,19,FALSE),IFERROR(VLOOKUP(FJ88,CZ84:DR88,19,FALSE),IFERROR(VLOOKUP(FJ88,DT84:EL88,19,FALSE),VLOOKUP(FJ88,EN84:FF88,19,FALSE))))</f>
        <v>1</v>
      </c>
      <c r="FI88" s="13">
        <f>RANK(FH88,FH85:FH88,1)+COUNTIF(FH85:FH88,FH88)-1</f>
        <v>4</v>
      </c>
      <c r="FJ88" s="12" t="str">
        <f>BT88</f>
        <v>Jordanien</v>
      </c>
      <c r="FZ88" s="79">
        <v>86</v>
      </c>
      <c r="GA88" s="3" t="str">
        <f t="shared" si="562"/>
        <v>HGBCJFLK</v>
      </c>
      <c r="GB88" s="3" t="s">
        <v>70</v>
      </c>
      <c r="GC88" s="3" t="s">
        <v>60</v>
      </c>
      <c r="GD88" s="3" t="s">
        <v>57</v>
      </c>
      <c r="GE88" s="3" t="s">
        <v>75</v>
      </c>
      <c r="GF88" s="3" t="s">
        <v>69</v>
      </c>
      <c r="GG88" s="3" t="s">
        <v>21</v>
      </c>
      <c r="GH88" s="3" t="s">
        <v>63</v>
      </c>
      <c r="GI88" s="3" t="s">
        <v>62</v>
      </c>
      <c r="GJ88" s="9" t="str">
        <f t="shared" si="640"/>
        <v>Saudiarabien</v>
      </c>
      <c r="GK88" s="9" t="str">
        <f t="shared" si="640"/>
        <v>Iran</v>
      </c>
      <c r="GL88" s="9" t="str">
        <f t="shared" si="640"/>
        <v>Qatar</v>
      </c>
      <c r="GM88" s="9" t="str">
        <f t="shared" si="640"/>
        <v>Haiti</v>
      </c>
      <c r="GN88" s="9" t="str">
        <f t="shared" si="640"/>
        <v>Österrike</v>
      </c>
      <c r="GO88" s="9" t="str">
        <f t="shared" si="640"/>
        <v>Sverige</v>
      </c>
      <c r="GP88" s="9" t="str">
        <f t="shared" si="640"/>
        <v>Ghana</v>
      </c>
      <c r="GQ88" s="9" t="str">
        <f t="shared" si="639"/>
        <v>Uzbekistan</v>
      </c>
      <c r="GR88" s="9" t="str">
        <f t="shared" si="563"/>
        <v/>
      </c>
      <c r="GX88" s="142"/>
    </row>
    <row r="89" spans="2:206" ht="14.25" customHeight="1" x14ac:dyDescent="0.25">
      <c r="B89" s="58">
        <v>69</v>
      </c>
      <c r="C89" s="59">
        <v>46201</v>
      </c>
      <c r="D89" s="60" t="s">
        <v>131</v>
      </c>
      <c r="E89" s="61" t="s">
        <v>66</v>
      </c>
      <c r="F89" s="62" t="s">
        <v>132</v>
      </c>
      <c r="G89" s="63"/>
      <c r="H89" s="64" t="s">
        <v>66</v>
      </c>
      <c r="I89" s="63"/>
      <c r="J89" s="65" t="str">
        <f t="shared" si="690"/>
        <v/>
      </c>
      <c r="K89" s="66">
        <f>IF(OR(G89="",I89="",'[1]Resultat &amp; tabell'!G89="",'[1]Resultat &amp; tabell'!I89=""),0,IF(G89='[1]Resultat &amp; tabell'!G89,2,0)+IF(I89='[1]Resultat &amp; tabell'!I89,2,0)+IF(J89='[1]Resultat &amp; tabell'!J89,2,0))</f>
        <v>0</v>
      </c>
      <c r="L89" s="67"/>
      <c r="M89" s="29">
        <f t="shared" si="641"/>
        <v>1</v>
      </c>
      <c r="O89" s="91" t="str">
        <f>IF(COUNTBLANK(G85:G90)+COUNTBLANK(I85:I90)=0,"Resultat OK","Fyll i resultat")</f>
        <v>Fyll i resultat</v>
      </c>
      <c r="P89" s="92"/>
      <c r="Q89" s="92"/>
      <c r="R89" s="92"/>
      <c r="S89" s="92"/>
      <c r="T89" s="92"/>
      <c r="U89" s="92"/>
      <c r="X89" s="1"/>
      <c r="AE89" s="72">
        <f t="shared" si="643"/>
        <v>46201</v>
      </c>
      <c r="AF89" s="72" t="str">
        <f t="shared" si="643"/>
        <v>Algeriet</v>
      </c>
      <c r="AG89" s="72" t="str">
        <f t="shared" si="643"/>
        <v>-</v>
      </c>
      <c r="AH89" s="72" t="str">
        <f t="shared" si="643"/>
        <v>Österrike</v>
      </c>
      <c r="AI89" s="63" t="str">
        <f t="shared" si="644"/>
        <v/>
      </c>
      <c r="AJ89" s="58" t="str">
        <f t="shared" si="645"/>
        <v>-</v>
      </c>
      <c r="AK89" s="63" t="str">
        <f t="shared" si="646"/>
        <v/>
      </c>
      <c r="AL89" s="65" t="str">
        <f t="shared" si="647"/>
        <v/>
      </c>
      <c r="AM89" s="73"/>
      <c r="AN89" s="13">
        <f t="shared" si="648"/>
        <v>0</v>
      </c>
      <c r="AO89" s="13">
        <f t="shared" si="649"/>
        <v>0</v>
      </c>
      <c r="AP89" s="13">
        <f t="shared" si="650"/>
        <v>0</v>
      </c>
      <c r="AQ89" s="13">
        <f t="shared" si="651"/>
        <v>0</v>
      </c>
      <c r="AR89" s="13">
        <f t="shared" si="652"/>
        <v>0</v>
      </c>
      <c r="AS89" s="13">
        <f t="shared" si="653"/>
        <v>0</v>
      </c>
      <c r="AT89" s="13">
        <f t="shared" si="654"/>
        <v>0</v>
      </c>
      <c r="AU89" s="13">
        <f t="shared" si="655"/>
        <v>0</v>
      </c>
      <c r="AV89" s="13">
        <f t="shared" si="656"/>
        <v>0</v>
      </c>
      <c r="AW89" s="13">
        <f t="shared" si="657"/>
        <v>0</v>
      </c>
      <c r="AX89" s="13">
        <f t="shared" si="658"/>
        <v>0</v>
      </c>
      <c r="AY89" s="13">
        <f t="shared" si="659"/>
        <v>0</v>
      </c>
      <c r="AZ89" s="13">
        <f t="shared" si="660"/>
        <v>0</v>
      </c>
      <c r="BA89" s="13">
        <f t="shared" si="661"/>
        <v>0</v>
      </c>
      <c r="BB89" s="13">
        <f t="shared" si="662"/>
        <v>0</v>
      </c>
      <c r="BC89" s="13">
        <f t="shared" si="663"/>
        <v>0</v>
      </c>
      <c r="BD89" s="13">
        <f t="shared" si="664"/>
        <v>0</v>
      </c>
      <c r="BE89" s="13">
        <f t="shared" si="665"/>
        <v>0</v>
      </c>
      <c r="BF89" s="13">
        <f t="shared" si="666"/>
        <v>0</v>
      </c>
      <c r="BG89" s="13">
        <f t="shared" si="667"/>
        <v>0</v>
      </c>
      <c r="BH89" s="13">
        <f t="shared" si="668"/>
        <v>0</v>
      </c>
      <c r="BI89" s="13">
        <f t="shared" si="669"/>
        <v>0</v>
      </c>
      <c r="BJ89" s="13">
        <f t="shared" si="670"/>
        <v>0</v>
      </c>
      <c r="BK89" s="13">
        <f t="shared" si="671"/>
        <v>0</v>
      </c>
      <c r="BL89" s="13">
        <f t="shared" si="672"/>
        <v>0</v>
      </c>
      <c r="BM89" s="13">
        <f t="shared" si="673"/>
        <v>0</v>
      </c>
      <c r="BN89" s="13">
        <f t="shared" si="674"/>
        <v>0</v>
      </c>
      <c r="BO89" s="13">
        <f t="shared" si="675"/>
        <v>0</v>
      </c>
      <c r="BP89" s="13">
        <f t="shared" si="676"/>
        <v>0</v>
      </c>
      <c r="BQ89" s="13">
        <f t="shared" si="677"/>
        <v>0</v>
      </c>
      <c r="FZ89" s="79">
        <v>87</v>
      </c>
      <c r="GA89" s="3" t="str">
        <f t="shared" si="562"/>
        <v>HGBCIFLK</v>
      </c>
      <c r="GB89" s="3" t="s">
        <v>70</v>
      </c>
      <c r="GC89" s="3" t="s">
        <v>60</v>
      </c>
      <c r="GD89" s="3" t="s">
        <v>57</v>
      </c>
      <c r="GE89" s="3" t="s">
        <v>75</v>
      </c>
      <c r="GF89" s="3" t="s">
        <v>61</v>
      </c>
      <c r="GG89" s="3" t="s">
        <v>21</v>
      </c>
      <c r="GH89" s="3" t="s">
        <v>63</v>
      </c>
      <c r="GI89" s="3" t="s">
        <v>62</v>
      </c>
      <c r="GJ89" s="9" t="str">
        <f t="shared" si="640"/>
        <v>Saudiarabien</v>
      </c>
      <c r="GK89" s="9" t="str">
        <f t="shared" si="640"/>
        <v>Iran</v>
      </c>
      <c r="GL89" s="9" t="str">
        <f t="shared" si="640"/>
        <v>Qatar</v>
      </c>
      <c r="GM89" s="9" t="str">
        <f t="shared" si="640"/>
        <v>Haiti</v>
      </c>
      <c r="GN89" s="9" t="str">
        <f t="shared" si="640"/>
        <v>Irak</v>
      </c>
      <c r="GO89" s="9" t="str">
        <f t="shared" si="640"/>
        <v>Sverige</v>
      </c>
      <c r="GP89" s="9" t="str">
        <f t="shared" si="640"/>
        <v>Ghana</v>
      </c>
      <c r="GQ89" s="9" t="str">
        <f t="shared" si="639"/>
        <v>Uzbekistan</v>
      </c>
      <c r="GR89" s="9" t="str">
        <f t="shared" si="563"/>
        <v/>
      </c>
      <c r="GX89" s="142"/>
    </row>
    <row r="90" spans="2:206" ht="14.25" customHeight="1" x14ac:dyDescent="0.25">
      <c r="B90" s="58">
        <v>70</v>
      </c>
      <c r="C90" s="59">
        <v>46201</v>
      </c>
      <c r="D90" s="60" t="s">
        <v>133</v>
      </c>
      <c r="E90" s="61" t="s">
        <v>66</v>
      </c>
      <c r="F90" s="62" t="s">
        <v>130</v>
      </c>
      <c r="G90" s="63"/>
      <c r="H90" s="64" t="s">
        <v>66</v>
      </c>
      <c r="I90" s="63"/>
      <c r="J90" s="65" t="str">
        <f t="shared" si="690"/>
        <v/>
      </c>
      <c r="K90" s="66">
        <f>IF(OR(G90="",I90="",'[1]Resultat &amp; tabell'!G90="",'[1]Resultat &amp; tabell'!I90=""),0,IF(G90='[1]Resultat &amp; tabell'!G90,2,0)+IF(I90='[1]Resultat &amp; tabell'!I90,2,0)+IF(J90='[1]Resultat &amp; tabell'!J90,2,0))</f>
        <v>0</v>
      </c>
      <c r="L90" s="67"/>
      <c r="M90" s="29">
        <f t="shared" si="641"/>
        <v>1</v>
      </c>
      <c r="X90" s="1"/>
      <c r="AE90" s="72">
        <f t="shared" si="643"/>
        <v>46201</v>
      </c>
      <c r="AF90" s="72" t="str">
        <f t="shared" si="643"/>
        <v>Jordanien</v>
      </c>
      <c r="AG90" s="72" t="str">
        <f t="shared" si="643"/>
        <v>-</v>
      </c>
      <c r="AH90" s="72" t="str">
        <f t="shared" si="643"/>
        <v>Argentina</v>
      </c>
      <c r="AI90" s="63" t="str">
        <f t="shared" si="644"/>
        <v/>
      </c>
      <c r="AJ90" s="58" t="str">
        <f t="shared" si="645"/>
        <v>-</v>
      </c>
      <c r="AK90" s="63" t="str">
        <f t="shared" si="646"/>
        <v/>
      </c>
      <c r="AL90" s="65" t="str">
        <f t="shared" si="647"/>
        <v/>
      </c>
      <c r="AM90" s="73"/>
      <c r="AN90" s="13">
        <f t="shared" si="648"/>
        <v>0</v>
      </c>
      <c r="AO90" s="13">
        <f t="shared" si="649"/>
        <v>0</v>
      </c>
      <c r="AP90" s="13">
        <f t="shared" si="650"/>
        <v>0</v>
      </c>
      <c r="AQ90" s="13">
        <f t="shared" si="651"/>
        <v>0</v>
      </c>
      <c r="AR90" s="13">
        <f t="shared" si="652"/>
        <v>0</v>
      </c>
      <c r="AS90" s="13">
        <f t="shared" si="653"/>
        <v>0</v>
      </c>
      <c r="AT90" s="13">
        <f t="shared" si="654"/>
        <v>0</v>
      </c>
      <c r="AU90" s="13">
        <f t="shared" si="655"/>
        <v>0</v>
      </c>
      <c r="AV90" s="13">
        <f t="shared" si="656"/>
        <v>0</v>
      </c>
      <c r="AW90" s="13">
        <f t="shared" si="657"/>
        <v>0</v>
      </c>
      <c r="AX90" s="13">
        <f t="shared" si="658"/>
        <v>0</v>
      </c>
      <c r="AY90" s="13">
        <f t="shared" si="659"/>
        <v>0</v>
      </c>
      <c r="AZ90" s="13">
        <f t="shared" si="660"/>
        <v>0</v>
      </c>
      <c r="BA90" s="13">
        <f t="shared" si="661"/>
        <v>0</v>
      </c>
      <c r="BB90" s="13">
        <f t="shared" si="662"/>
        <v>0</v>
      </c>
      <c r="BC90" s="13">
        <f t="shared" si="663"/>
        <v>0</v>
      </c>
      <c r="BD90" s="13">
        <f t="shared" si="664"/>
        <v>0</v>
      </c>
      <c r="BE90" s="13">
        <f t="shared" si="665"/>
        <v>0</v>
      </c>
      <c r="BF90" s="13">
        <f t="shared" si="666"/>
        <v>0</v>
      </c>
      <c r="BG90" s="13">
        <f t="shared" si="667"/>
        <v>0</v>
      </c>
      <c r="BH90" s="13">
        <f t="shared" si="668"/>
        <v>0</v>
      </c>
      <c r="BI90" s="13">
        <f t="shared" si="669"/>
        <v>0</v>
      </c>
      <c r="BJ90" s="13">
        <f t="shared" si="670"/>
        <v>0</v>
      </c>
      <c r="BK90" s="13">
        <f t="shared" si="671"/>
        <v>0</v>
      </c>
      <c r="BL90" s="13">
        <f t="shared" si="672"/>
        <v>0</v>
      </c>
      <c r="BM90" s="13">
        <f t="shared" si="673"/>
        <v>0</v>
      </c>
      <c r="BN90" s="13">
        <f t="shared" si="674"/>
        <v>0</v>
      </c>
      <c r="BO90" s="13">
        <f t="shared" si="675"/>
        <v>0</v>
      </c>
      <c r="BP90" s="13">
        <f t="shared" si="676"/>
        <v>0</v>
      </c>
      <c r="BQ90" s="13">
        <f t="shared" si="677"/>
        <v>0</v>
      </c>
      <c r="FZ90" s="79">
        <v>88</v>
      </c>
      <c r="GA90" s="3" t="str">
        <f t="shared" si="562"/>
        <v>HGBCJFLI</v>
      </c>
      <c r="GB90" s="3" t="s">
        <v>70</v>
      </c>
      <c r="GC90" s="3" t="s">
        <v>60</v>
      </c>
      <c r="GD90" s="3" t="s">
        <v>57</v>
      </c>
      <c r="GE90" s="3" t="s">
        <v>75</v>
      </c>
      <c r="GF90" s="3" t="s">
        <v>69</v>
      </c>
      <c r="GG90" s="3" t="s">
        <v>21</v>
      </c>
      <c r="GH90" s="3" t="s">
        <v>63</v>
      </c>
      <c r="GI90" s="3" t="s">
        <v>61</v>
      </c>
      <c r="GJ90" s="9" t="str">
        <f t="shared" si="640"/>
        <v>Saudiarabien</v>
      </c>
      <c r="GK90" s="9" t="str">
        <f t="shared" si="640"/>
        <v>Iran</v>
      </c>
      <c r="GL90" s="9" t="str">
        <f t="shared" si="640"/>
        <v>Qatar</v>
      </c>
      <c r="GM90" s="9" t="str">
        <f t="shared" si="640"/>
        <v>Haiti</v>
      </c>
      <c r="GN90" s="9" t="str">
        <f t="shared" si="640"/>
        <v>Österrike</v>
      </c>
      <c r="GO90" s="9" t="str">
        <f t="shared" si="640"/>
        <v>Sverige</v>
      </c>
      <c r="GP90" s="9" t="str">
        <f t="shared" si="640"/>
        <v>Ghana</v>
      </c>
      <c r="GQ90" s="9" t="str">
        <f t="shared" si="639"/>
        <v>Irak</v>
      </c>
      <c r="GR90" s="9" t="str">
        <f t="shared" si="563"/>
        <v/>
      </c>
      <c r="GX90" s="142"/>
    </row>
    <row r="91" spans="2:206" ht="14.25" customHeight="1" x14ac:dyDescent="0.25">
      <c r="B91" s="3"/>
      <c r="C91" s="94"/>
      <c r="D91" s="143"/>
      <c r="F91" s="143"/>
      <c r="G91" s="139"/>
      <c r="H91" s="100"/>
      <c r="I91" s="139"/>
      <c r="J91" s="79"/>
      <c r="K91" s="73"/>
      <c r="L91" s="67"/>
      <c r="X91" s="1"/>
      <c r="AE91" s="94"/>
      <c r="AF91" s="143"/>
      <c r="AG91" s="3"/>
      <c r="AH91" s="143"/>
      <c r="AI91" s="139"/>
      <c r="AJ91" s="105"/>
      <c r="AK91" s="139"/>
      <c r="AL91" s="79"/>
      <c r="AM91" s="73"/>
      <c r="FZ91" s="79">
        <v>89</v>
      </c>
      <c r="GA91" s="3" t="str">
        <f t="shared" si="562"/>
        <v>HGBCJFIK</v>
      </c>
      <c r="GB91" s="3" t="s">
        <v>70</v>
      </c>
      <c r="GC91" s="3" t="s">
        <v>60</v>
      </c>
      <c r="GD91" s="3" t="s">
        <v>57</v>
      </c>
      <c r="GE91" s="3" t="s">
        <v>75</v>
      </c>
      <c r="GF91" s="3" t="s">
        <v>69</v>
      </c>
      <c r="GG91" s="3" t="s">
        <v>21</v>
      </c>
      <c r="GH91" s="3" t="s">
        <v>61</v>
      </c>
      <c r="GI91" s="3" t="s">
        <v>62</v>
      </c>
      <c r="GJ91" s="9" t="str">
        <f t="shared" si="640"/>
        <v>Saudiarabien</v>
      </c>
      <c r="GK91" s="9" t="str">
        <f t="shared" si="640"/>
        <v>Iran</v>
      </c>
      <c r="GL91" s="9" t="str">
        <f t="shared" si="640"/>
        <v>Qatar</v>
      </c>
      <c r="GM91" s="9" t="str">
        <f t="shared" si="640"/>
        <v>Haiti</v>
      </c>
      <c r="GN91" s="9" t="str">
        <f t="shared" si="640"/>
        <v>Österrike</v>
      </c>
      <c r="GO91" s="9" t="str">
        <f t="shared" si="640"/>
        <v>Sverige</v>
      </c>
      <c r="GP91" s="9" t="str">
        <f t="shared" si="640"/>
        <v>Irak</v>
      </c>
      <c r="GQ91" s="9" t="str">
        <f t="shared" si="639"/>
        <v>Uzbekistan</v>
      </c>
      <c r="GR91" s="9" t="str">
        <f t="shared" si="563"/>
        <v/>
      </c>
      <c r="GX91" s="142"/>
    </row>
    <row r="92" spans="2:206" ht="14.25" customHeight="1" x14ac:dyDescent="0.25">
      <c r="B92" s="19" t="s">
        <v>134</v>
      </c>
      <c r="C92" s="97"/>
      <c r="D92" s="126"/>
      <c r="E92" s="33"/>
      <c r="F92" s="126"/>
      <c r="G92" s="25"/>
      <c r="H92" s="25"/>
      <c r="I92" s="25"/>
      <c r="J92" s="23"/>
      <c r="K92" s="16"/>
      <c r="L92" s="49"/>
      <c r="O92" s="19" t="s">
        <v>134</v>
      </c>
      <c r="X92" s="1"/>
      <c r="AE92" s="19" t="s">
        <v>134</v>
      </c>
      <c r="AF92" s="126"/>
      <c r="AG92" s="33"/>
      <c r="AH92" s="126"/>
      <c r="AI92" s="33"/>
      <c r="AJ92" s="33"/>
      <c r="AK92" s="33"/>
      <c r="AL92" s="23"/>
      <c r="AM92" s="16"/>
      <c r="AN92" s="16"/>
      <c r="BT92" s="39" t="s">
        <v>4</v>
      </c>
      <c r="BU92" s="34"/>
      <c r="BV92" s="34"/>
      <c r="BW92" s="34"/>
      <c r="BX92" s="34"/>
      <c r="BY92" s="34"/>
      <c r="BZ92" s="34"/>
      <c r="CA92" s="34"/>
      <c r="CB92" s="39"/>
      <c r="CC92" s="34"/>
      <c r="CD92" s="34"/>
      <c r="CF92" s="40" t="s">
        <v>5</v>
      </c>
      <c r="CG92" s="35">
        <f>COUNTIF(CC94:CC97,1)</f>
        <v>4</v>
      </c>
      <c r="CH92" s="35"/>
      <c r="CI92" s="35"/>
      <c r="CJ92" s="35"/>
      <c r="CK92" s="35"/>
      <c r="CL92" s="35"/>
      <c r="CM92" s="35"/>
      <c r="CN92" s="35"/>
      <c r="CO92" s="35"/>
      <c r="CP92" s="35"/>
      <c r="CZ92" s="41" t="s">
        <v>8</v>
      </c>
      <c r="DA92" s="36">
        <f>COUNTIF(CC94:CC97,2)</f>
        <v>0</v>
      </c>
      <c r="DB92" s="36"/>
      <c r="DC92" s="36"/>
      <c r="DD92" s="36"/>
      <c r="DE92" s="36"/>
      <c r="DF92" s="36"/>
      <c r="DG92" s="36"/>
      <c r="DH92" s="36"/>
      <c r="DI92" s="36"/>
      <c r="DJ92" s="41"/>
      <c r="DT92" s="37" t="s">
        <v>6</v>
      </c>
      <c r="DU92" s="37">
        <f>COUNTIF(CC94:CC97,3)</f>
        <v>0</v>
      </c>
      <c r="DV92" s="37"/>
      <c r="DW92" s="37"/>
      <c r="DX92" s="37"/>
      <c r="DY92" s="37"/>
      <c r="DZ92" s="37"/>
      <c r="EA92" s="37"/>
      <c r="EB92" s="37"/>
      <c r="EC92" s="37"/>
      <c r="ED92" s="37"/>
      <c r="EN92" s="38" t="s">
        <v>7</v>
      </c>
      <c r="EO92" s="38">
        <f>COUNTIF(CC94:CC97,4)</f>
        <v>0</v>
      </c>
      <c r="EP92" s="38"/>
      <c r="EQ92" s="38"/>
      <c r="ER92" s="38"/>
      <c r="ES92" s="38"/>
      <c r="ET92" s="38"/>
      <c r="EU92" s="38"/>
      <c r="EV92" s="38"/>
      <c r="EW92" s="38"/>
      <c r="EX92" s="38"/>
      <c r="FZ92" s="79">
        <v>90</v>
      </c>
      <c r="GA92" s="3" t="str">
        <f t="shared" si="562"/>
        <v>EJBCIHLK</v>
      </c>
      <c r="GB92" s="3" t="s">
        <v>59</v>
      </c>
      <c r="GC92" s="3" t="s">
        <v>69</v>
      </c>
      <c r="GD92" s="3" t="s">
        <v>57</v>
      </c>
      <c r="GE92" s="3" t="s">
        <v>75</v>
      </c>
      <c r="GF92" s="3" t="s">
        <v>61</v>
      </c>
      <c r="GG92" s="3" t="s">
        <v>70</v>
      </c>
      <c r="GH92" s="3" t="s">
        <v>63</v>
      </c>
      <c r="GI92" s="3" t="s">
        <v>62</v>
      </c>
      <c r="GJ92" s="9" t="str">
        <f t="shared" si="640"/>
        <v>Elfenbenskusten</v>
      </c>
      <c r="GK92" s="9" t="str">
        <f t="shared" si="640"/>
        <v>Österrike</v>
      </c>
      <c r="GL92" s="9" t="str">
        <f t="shared" si="640"/>
        <v>Qatar</v>
      </c>
      <c r="GM92" s="9" t="str">
        <f t="shared" si="640"/>
        <v>Haiti</v>
      </c>
      <c r="GN92" s="9" t="str">
        <f t="shared" si="640"/>
        <v>Irak</v>
      </c>
      <c r="GO92" s="9" t="str">
        <f t="shared" si="640"/>
        <v>Saudiarabien</v>
      </c>
      <c r="GP92" s="9" t="str">
        <f t="shared" si="640"/>
        <v>Ghana</v>
      </c>
      <c r="GQ92" s="9" t="str">
        <f t="shared" si="639"/>
        <v>Uzbekistan</v>
      </c>
      <c r="GR92" s="9" t="str">
        <f t="shared" si="563"/>
        <v/>
      </c>
      <c r="GX92" s="142"/>
    </row>
    <row r="93" spans="2:206" ht="14.25" customHeight="1" x14ac:dyDescent="0.25">
      <c r="B93" s="117" t="s">
        <v>12</v>
      </c>
      <c r="C93" s="107" t="s">
        <v>13</v>
      </c>
      <c r="D93" s="181" t="s">
        <v>12</v>
      </c>
      <c r="E93" s="182"/>
      <c r="F93" s="183"/>
      <c r="G93" s="184" t="s">
        <v>14</v>
      </c>
      <c r="H93" s="184"/>
      <c r="I93" s="184"/>
      <c r="J93" s="47" t="s">
        <v>15</v>
      </c>
      <c r="K93" s="48" t="s">
        <v>16</v>
      </c>
      <c r="L93" s="49"/>
      <c r="O93" s="51" t="s">
        <v>18</v>
      </c>
      <c r="P93" s="52" t="s">
        <v>19</v>
      </c>
      <c r="Q93" s="52" t="s">
        <v>20</v>
      </c>
      <c r="R93" s="52" t="s">
        <v>21</v>
      </c>
      <c r="S93" s="52" t="s">
        <v>22</v>
      </c>
      <c r="T93" s="52" t="s">
        <v>23</v>
      </c>
      <c r="U93" s="52" t="s">
        <v>24</v>
      </c>
      <c r="V93" s="53" t="s">
        <v>25</v>
      </c>
      <c r="X93" s="1"/>
      <c r="AE93" s="107" t="s">
        <v>13</v>
      </c>
      <c r="AF93" s="181" t="s">
        <v>12</v>
      </c>
      <c r="AG93" s="182"/>
      <c r="AH93" s="183"/>
      <c r="AI93" s="182" t="s">
        <v>14</v>
      </c>
      <c r="AJ93" s="182"/>
      <c r="AK93" s="182"/>
      <c r="AL93" s="47" t="s">
        <v>28</v>
      </c>
      <c r="AM93" s="16"/>
      <c r="AN93" s="34" t="s">
        <v>29</v>
      </c>
      <c r="AO93" s="34" t="s">
        <v>30</v>
      </c>
      <c r="AP93" s="34" t="s">
        <v>31</v>
      </c>
      <c r="AQ93" s="34" t="s">
        <v>32</v>
      </c>
      <c r="AR93" s="34" t="s">
        <v>33</v>
      </c>
      <c r="AS93" s="34" t="s">
        <v>34</v>
      </c>
      <c r="AT93" s="35" t="s">
        <v>29</v>
      </c>
      <c r="AU93" s="35" t="s">
        <v>30</v>
      </c>
      <c r="AV93" s="35" t="s">
        <v>31</v>
      </c>
      <c r="AW93" s="35" t="s">
        <v>32</v>
      </c>
      <c r="AX93" s="35" t="s">
        <v>33</v>
      </c>
      <c r="AY93" s="35" t="s">
        <v>34</v>
      </c>
      <c r="AZ93" s="36" t="s">
        <v>29</v>
      </c>
      <c r="BA93" s="36" t="s">
        <v>30</v>
      </c>
      <c r="BB93" s="36" t="s">
        <v>31</v>
      </c>
      <c r="BC93" s="36" t="s">
        <v>32</v>
      </c>
      <c r="BD93" s="36" t="s">
        <v>33</v>
      </c>
      <c r="BE93" s="36" t="s">
        <v>34</v>
      </c>
      <c r="BF93" s="37" t="s">
        <v>29</v>
      </c>
      <c r="BG93" s="37" t="s">
        <v>30</v>
      </c>
      <c r="BH93" s="37" t="s">
        <v>31</v>
      </c>
      <c r="BI93" s="37" t="s">
        <v>32</v>
      </c>
      <c r="BJ93" s="37" t="s">
        <v>33</v>
      </c>
      <c r="BK93" s="37" t="s">
        <v>34</v>
      </c>
      <c r="BL93" s="38" t="s">
        <v>29</v>
      </c>
      <c r="BM93" s="38" t="s">
        <v>30</v>
      </c>
      <c r="BN93" s="38" t="s">
        <v>31</v>
      </c>
      <c r="BO93" s="38" t="s">
        <v>32</v>
      </c>
      <c r="BP93" s="38" t="s">
        <v>33</v>
      </c>
      <c r="BQ93" s="38" t="s">
        <v>34</v>
      </c>
      <c r="BT93" s="39" t="s">
        <v>18</v>
      </c>
      <c r="BU93" s="34" t="s">
        <v>19</v>
      </c>
      <c r="BV93" s="34" t="s">
        <v>20</v>
      </c>
      <c r="BW93" s="34" t="s">
        <v>21</v>
      </c>
      <c r="BX93" s="34" t="s">
        <v>22</v>
      </c>
      <c r="BY93" s="34" t="s">
        <v>23</v>
      </c>
      <c r="BZ93" s="34" t="s">
        <v>24</v>
      </c>
      <c r="CA93" s="34" t="s">
        <v>25</v>
      </c>
      <c r="CB93" s="39" t="s">
        <v>35</v>
      </c>
      <c r="CC93" s="34" t="s">
        <v>36</v>
      </c>
      <c r="CD93" s="34" t="s">
        <v>37</v>
      </c>
      <c r="CF93" s="40" t="s">
        <v>18</v>
      </c>
      <c r="CG93" s="35" t="s">
        <v>19</v>
      </c>
      <c r="CH93" s="35" t="s">
        <v>20</v>
      </c>
      <c r="CI93" s="35" t="s">
        <v>21</v>
      </c>
      <c r="CJ93" s="35" t="s">
        <v>25</v>
      </c>
      <c r="CK93" s="35" t="s">
        <v>35</v>
      </c>
      <c r="CL93" s="35" t="s">
        <v>36</v>
      </c>
      <c r="CM93" s="56" t="s">
        <v>24</v>
      </c>
      <c r="CN93" s="56" t="s">
        <v>38</v>
      </c>
      <c r="CO93" s="56" t="s">
        <v>22</v>
      </c>
      <c r="CP93" s="56" t="s">
        <v>39</v>
      </c>
      <c r="CQ93" s="35" t="s">
        <v>40</v>
      </c>
      <c r="CR93" s="56" t="s">
        <v>41</v>
      </c>
      <c r="CS93" s="56" t="s">
        <v>42</v>
      </c>
      <c r="CT93" s="56" t="s">
        <v>43</v>
      </c>
      <c r="CU93" s="56" t="s">
        <v>44</v>
      </c>
      <c r="CV93" s="56" t="s">
        <v>45</v>
      </c>
      <c r="CW93" s="56" t="s">
        <v>46</v>
      </c>
      <c r="CX93" s="35" t="s">
        <v>47</v>
      </c>
      <c r="CZ93" s="41" t="s">
        <v>18</v>
      </c>
      <c r="DA93" s="36" t="s">
        <v>19</v>
      </c>
      <c r="DB93" s="36" t="s">
        <v>20</v>
      </c>
      <c r="DC93" s="36" t="s">
        <v>21</v>
      </c>
      <c r="DD93" s="36" t="s">
        <v>25</v>
      </c>
      <c r="DE93" s="36" t="s">
        <v>35</v>
      </c>
      <c r="DF93" s="36" t="s">
        <v>36</v>
      </c>
      <c r="DG93" s="36" t="s">
        <v>24</v>
      </c>
      <c r="DH93" s="36" t="s">
        <v>38</v>
      </c>
      <c r="DI93" s="36" t="s">
        <v>22</v>
      </c>
      <c r="DJ93" s="41" t="s">
        <v>39</v>
      </c>
      <c r="DK93" s="41" t="s">
        <v>40</v>
      </c>
      <c r="DL93" s="41" t="s">
        <v>41</v>
      </c>
      <c r="DM93" s="41" t="s">
        <v>42</v>
      </c>
      <c r="DN93" s="41" t="s">
        <v>43</v>
      </c>
      <c r="DO93" s="41" t="s">
        <v>44</v>
      </c>
      <c r="DP93" s="41" t="s">
        <v>45</v>
      </c>
      <c r="DQ93" s="41" t="s">
        <v>46</v>
      </c>
      <c r="DR93" s="41" t="s">
        <v>47</v>
      </c>
      <c r="DT93" s="37" t="s">
        <v>18</v>
      </c>
      <c r="DU93" s="37" t="s">
        <v>19</v>
      </c>
      <c r="DV93" s="37" t="s">
        <v>20</v>
      </c>
      <c r="DW93" s="37" t="s">
        <v>21</v>
      </c>
      <c r="DX93" s="37" t="s">
        <v>25</v>
      </c>
      <c r="DY93" s="37" t="s">
        <v>35</v>
      </c>
      <c r="DZ93" s="37" t="s">
        <v>36</v>
      </c>
      <c r="EA93" s="37" t="s">
        <v>24</v>
      </c>
      <c r="EB93" s="37" t="s">
        <v>38</v>
      </c>
      <c r="EC93" s="37" t="s">
        <v>22</v>
      </c>
      <c r="ED93" s="37" t="s">
        <v>39</v>
      </c>
      <c r="EE93" s="37" t="s">
        <v>40</v>
      </c>
      <c r="EF93" s="37" t="s">
        <v>41</v>
      </c>
      <c r="EG93" s="37" t="s">
        <v>42</v>
      </c>
      <c r="EH93" s="37" t="s">
        <v>43</v>
      </c>
      <c r="EI93" s="37" t="s">
        <v>44</v>
      </c>
      <c r="EJ93" s="37" t="s">
        <v>45</v>
      </c>
      <c r="EK93" s="37" t="s">
        <v>46</v>
      </c>
      <c r="EL93" s="37" t="s">
        <v>47</v>
      </c>
      <c r="EN93" s="38" t="s">
        <v>18</v>
      </c>
      <c r="EO93" s="38" t="s">
        <v>19</v>
      </c>
      <c r="EP93" s="38" t="s">
        <v>20</v>
      </c>
      <c r="EQ93" s="38" t="s">
        <v>21</v>
      </c>
      <c r="ER93" s="38" t="s">
        <v>25</v>
      </c>
      <c r="ES93" s="38" t="s">
        <v>35</v>
      </c>
      <c r="ET93" s="38" t="s">
        <v>36</v>
      </c>
      <c r="EU93" s="38" t="s">
        <v>24</v>
      </c>
      <c r="EV93" s="38" t="s">
        <v>38</v>
      </c>
      <c r="EW93" s="38" t="s">
        <v>22</v>
      </c>
      <c r="EX93" s="38" t="s">
        <v>39</v>
      </c>
      <c r="EY93" s="38" t="s">
        <v>40</v>
      </c>
      <c r="EZ93" s="38" t="s">
        <v>41</v>
      </c>
      <c r="FA93" s="38" t="s">
        <v>42</v>
      </c>
      <c r="FB93" s="38" t="s">
        <v>43</v>
      </c>
      <c r="FC93" s="38" t="s">
        <v>44</v>
      </c>
      <c r="FD93" s="38" t="s">
        <v>45</v>
      </c>
      <c r="FE93" s="38" t="s">
        <v>46</v>
      </c>
      <c r="FF93" s="38" t="s">
        <v>47</v>
      </c>
      <c r="FH93" s="38" t="s">
        <v>48</v>
      </c>
      <c r="FI93" s="38" t="s">
        <v>49</v>
      </c>
      <c r="FZ93" s="79">
        <v>91</v>
      </c>
      <c r="GA93" s="3" t="str">
        <f t="shared" si="562"/>
        <v>EJBCIGLK</v>
      </c>
      <c r="GB93" s="3" t="s">
        <v>59</v>
      </c>
      <c r="GC93" s="3" t="s">
        <v>69</v>
      </c>
      <c r="GD93" s="3" t="s">
        <v>57</v>
      </c>
      <c r="GE93" s="3" t="s">
        <v>75</v>
      </c>
      <c r="GF93" s="3" t="s">
        <v>61</v>
      </c>
      <c r="GG93" s="3" t="s">
        <v>60</v>
      </c>
      <c r="GH93" s="3" t="s">
        <v>63</v>
      </c>
      <c r="GI93" s="3" t="s">
        <v>62</v>
      </c>
      <c r="GJ93" s="9" t="str">
        <f t="shared" si="640"/>
        <v>Elfenbenskusten</v>
      </c>
      <c r="GK93" s="9" t="str">
        <f t="shared" si="640"/>
        <v>Österrike</v>
      </c>
      <c r="GL93" s="9" t="str">
        <f t="shared" si="640"/>
        <v>Qatar</v>
      </c>
      <c r="GM93" s="9" t="str">
        <f t="shared" si="640"/>
        <v>Haiti</v>
      </c>
      <c r="GN93" s="9" t="str">
        <f t="shared" si="640"/>
        <v>Irak</v>
      </c>
      <c r="GO93" s="9" t="str">
        <f t="shared" si="640"/>
        <v>Iran</v>
      </c>
      <c r="GP93" s="9" t="str">
        <f t="shared" si="640"/>
        <v>Ghana</v>
      </c>
      <c r="GQ93" s="9" t="str">
        <f t="shared" si="639"/>
        <v>Uzbekistan</v>
      </c>
      <c r="GR93" s="9" t="str">
        <f t="shared" si="563"/>
        <v/>
      </c>
      <c r="GX93" s="142"/>
    </row>
    <row r="94" spans="2:206" ht="14.25" customHeight="1" x14ac:dyDescent="0.25">
      <c r="B94" s="58">
        <v>23</v>
      </c>
      <c r="C94" s="59">
        <v>46190</v>
      </c>
      <c r="D94" s="60" t="s">
        <v>135</v>
      </c>
      <c r="E94" s="61" t="s">
        <v>66</v>
      </c>
      <c r="F94" s="62" t="s">
        <v>136</v>
      </c>
      <c r="G94" s="63"/>
      <c r="H94" s="64" t="s">
        <v>66</v>
      </c>
      <c r="I94" s="63"/>
      <c r="J94" s="65" t="str">
        <f>IF(OR(ISBLANK(G94),ISBLANK(I94)),"",IF(G94&gt;I94,1,IF(G94&lt;I94,2,"X")))</f>
        <v/>
      </c>
      <c r="K94" s="66">
        <f>IF(OR(G94="",I94="",'[1]Resultat &amp; tabell'!G94="",'[1]Resultat &amp; tabell'!I94=""),0,IF(G94='[1]Resultat &amp; tabell'!G94,2,0)+IF(I94='[1]Resultat &amp; tabell'!I94,2,0)+IF(J94='[1]Resultat &amp; tabell'!J94,2,0))</f>
        <v>0</v>
      </c>
      <c r="L94" s="67"/>
      <c r="M94" s="29">
        <f t="shared" ref="M94:M99" si="717">IF(VLOOKUP(D94,$BT$93:$CC$97,10,FALSE)=VLOOKUP(F94,$BT$93:$CC$97,10,FALSE),VLOOKUP(D94,$BT$93:$CC$97,10,FALSE),"-")</f>
        <v>1</v>
      </c>
      <c r="N94" s="30">
        <v>1</v>
      </c>
      <c r="O94" s="68" t="str">
        <f t="shared" ref="O94" si="718">VLOOKUP(N94,FI94:FJ97,2,FALSE)</f>
        <v>Portugal</v>
      </c>
      <c r="P94" s="69">
        <f>VLOOKUP($O94,$BT$94:$CA$97,2,FALSE)</f>
        <v>0</v>
      </c>
      <c r="Q94" s="69">
        <f>VLOOKUP($O94,$BT$94:$CA$97,3,FALSE)</f>
        <v>0</v>
      </c>
      <c r="R94" s="69">
        <f>VLOOKUP($O94,$BT$94:$CA$97,4,FALSE)</f>
        <v>0</v>
      </c>
      <c r="S94" s="69">
        <f>VLOOKUP($O94,$BT$94:$CA$97,5,FALSE)</f>
        <v>0</v>
      </c>
      <c r="T94" s="69">
        <f>VLOOKUP($O94,$BT$94:$CA$97,6,FALSE)</f>
        <v>0</v>
      </c>
      <c r="U94" s="69">
        <f>VLOOKUP($O94,$BT$94:$CA$97,7,FALSE)</f>
        <v>0</v>
      </c>
      <c r="V94" s="70">
        <f>VLOOKUP($O94,$BT$94:$CA$97,8,FALSE)</f>
        <v>0</v>
      </c>
      <c r="X94" s="1"/>
      <c r="AE94" s="72">
        <f t="shared" ref="AE94:AH99" si="719">C94</f>
        <v>46190</v>
      </c>
      <c r="AF94" s="72" t="str">
        <f t="shared" si="719"/>
        <v>Portugal</v>
      </c>
      <c r="AG94" s="72" t="str">
        <f t="shared" si="719"/>
        <v>-</v>
      </c>
      <c r="AH94" s="72" t="str">
        <f t="shared" si="719"/>
        <v>Kongo</v>
      </c>
      <c r="AI94" s="63" t="str">
        <f t="shared" ref="AI94:AI99" si="720">IF(G94="","",G94)</f>
        <v/>
      </c>
      <c r="AJ94" s="58" t="str">
        <f t="shared" ref="AJ94:AJ99" si="721">H94</f>
        <v>-</v>
      </c>
      <c r="AK94" s="63" t="str">
        <f t="shared" ref="AK94:AK99" si="722">IF(I94="","",I94)</f>
        <v/>
      </c>
      <c r="AL94" s="65" t="str">
        <f t="shared" ref="AL94:AL99" si="723">J94</f>
        <v/>
      </c>
      <c r="AM94" s="73"/>
      <c r="AN94" s="13">
        <f t="shared" ref="AN94:AN99" si="724">IF(AI94&gt;AK94,1,0)</f>
        <v>0</v>
      </c>
      <c r="AO94" s="13">
        <f t="shared" ref="AO94:AO99" si="725">IF(AK94&gt;AI94,1,0)</f>
        <v>0</v>
      </c>
      <c r="AP94" s="13">
        <f t="shared" ref="AP94:AP99" si="726">IF(AND(AI94=AK94,AI94&lt;&gt;""),1,0)</f>
        <v>0</v>
      </c>
      <c r="AQ94" s="13">
        <f t="shared" ref="AQ94:AQ99" si="727">IF(AND(AI94=AK94,AI94&lt;&gt;""),1,0)</f>
        <v>0</v>
      </c>
      <c r="AR94" s="13">
        <f t="shared" ref="AR94:AR99" si="728">IF(AI94&lt;AK94,1,0)</f>
        <v>0</v>
      </c>
      <c r="AS94" s="13">
        <f t="shared" ref="AS94:AS99" si="729">IF(AK94&lt;AI94,1,)</f>
        <v>0</v>
      </c>
      <c r="AT94" s="13">
        <f t="shared" ref="AT94:AT99" si="730">IF(ISERROR(VLOOKUP(AF94,CF:CF,1,FALSE)),0,1)*IF(ISERROR(VLOOKUP(AH94,CF:CF,1,FALSE)),0,1)*AN94</f>
        <v>0</v>
      </c>
      <c r="AU94" s="13">
        <f t="shared" ref="AU94:AU99" si="731">IF(ISERROR(VLOOKUP(AF94,CF:CF,1,FALSE)),0,1)*IF(ISERROR(VLOOKUP(AH94,CF:CF,1,FALSE)),0,1)*AO94</f>
        <v>0</v>
      </c>
      <c r="AV94" s="13">
        <f t="shared" ref="AV94:AV99" si="732">IF(ISERROR(VLOOKUP(AF94,CF:CF,1,FALSE)),0,1)*IF(ISERROR(VLOOKUP(AH94,CF:CF,1,FALSE)),0,1)*AP94</f>
        <v>0</v>
      </c>
      <c r="AW94" s="13">
        <f t="shared" ref="AW94:AW99" si="733">IF(ISERROR(VLOOKUP(AF94,CF:CF,1,FALSE)),0,1)*IF(ISERROR(VLOOKUP(AH94,CF:CF,1,FALSE)),0,1)*AQ94</f>
        <v>0</v>
      </c>
      <c r="AX94" s="13">
        <f t="shared" ref="AX94:AX99" si="734">IF(ISERROR(VLOOKUP(AF94,CF:CF,1,FALSE)),0,1)*IF(ISERROR(VLOOKUP(AH94,CF:CF,1,FALSE)),0,1)*AR94</f>
        <v>0</v>
      </c>
      <c r="AY94" s="13">
        <f t="shared" ref="AY94:AY99" si="735">IF(ISERROR(VLOOKUP(AF94,CF:CF,1,FALSE)),0,1)*IF(ISERROR(VLOOKUP(AH94,CF:CF,1,FALSE)),0,1)*AS94</f>
        <v>0</v>
      </c>
      <c r="AZ94" s="13">
        <f t="shared" ref="AZ94:AZ99" si="736">IF(ISERROR(VLOOKUP(AF94,CZ:CZ,1,FALSE)),0,1)*IF(ISERROR(VLOOKUP(AH94,CZ:CZ,1,FALSE)),0,1)*AN94</f>
        <v>0</v>
      </c>
      <c r="BA94" s="13">
        <f t="shared" ref="BA94:BA99" si="737">IF(ISERROR(VLOOKUP(AF94,CZ:CZ,1,FALSE)),0,1)*IF(ISERROR(VLOOKUP(AH94,CZ:CZ,1,FALSE)),0,1)*AO94</f>
        <v>0</v>
      </c>
      <c r="BB94" s="13">
        <f t="shared" ref="BB94:BB99" si="738">IF(ISERROR(VLOOKUP(AF94,CZ:CZ,1,FALSE)),0,1)*IF(ISERROR(VLOOKUP(AH94,CZ:CZ,1,FALSE)),0,1)*AP94</f>
        <v>0</v>
      </c>
      <c r="BC94" s="13">
        <f t="shared" ref="BC94:BC99" si="739">IF(ISERROR(VLOOKUP(AF94,CZ:CZ,1,FALSE)),0,1)*IF(ISERROR(VLOOKUP(AH94,CZ:CZ,1,FALSE)),0,1)*AQ94</f>
        <v>0</v>
      </c>
      <c r="BD94" s="13">
        <f t="shared" ref="BD94:BD99" si="740">IF(ISERROR(VLOOKUP(AF94,CZ:CZ,1,FALSE)),0,1)*IF(ISERROR(VLOOKUP(AH94,CZ:CZ,1,FALSE)),0,1)*AR94</f>
        <v>0</v>
      </c>
      <c r="BE94" s="13">
        <f t="shared" ref="BE94:BE99" si="741">IF(ISERROR(VLOOKUP(AF94,CZ:CZ,1,FALSE)),0,1)*IF(ISERROR(VLOOKUP(AH94,CZ:CZ,1,FALSE)),0,1)*AS94</f>
        <v>0</v>
      </c>
      <c r="BF94" s="13">
        <f t="shared" ref="BF94:BF99" si="742">IF(ISERROR(VLOOKUP(AF94,DT:DT,1,FALSE)),0,1)*IF(ISERROR(VLOOKUP(AH94,DT:DT,1,FALSE)),0,1)*AN94</f>
        <v>0</v>
      </c>
      <c r="BG94" s="13">
        <f t="shared" ref="BG94:BG99" si="743">IF(ISERROR(VLOOKUP(AF94,DT:DT,1,FALSE)),0,1)*IF(ISERROR(VLOOKUP(AH94,DT:DT,1,FALSE)),0,1)*AO94</f>
        <v>0</v>
      </c>
      <c r="BH94" s="13">
        <f t="shared" ref="BH94:BH99" si="744">IF(ISERROR(VLOOKUP(AF94,DT:DT,1,FALSE)),0,1)*IF(ISERROR(VLOOKUP(AH94,DT:DT,1,FALSE)),0,1)*AP94</f>
        <v>0</v>
      </c>
      <c r="BI94" s="13">
        <f t="shared" ref="BI94:BI99" si="745">IF(ISERROR(VLOOKUP(AF94,DT:DT,1,FALSE)),0,1)*IF(ISERROR(VLOOKUP(AH94,DT:DT,1,FALSE)),0,1)*AQ94</f>
        <v>0</v>
      </c>
      <c r="BJ94" s="13">
        <f t="shared" ref="BJ94:BJ99" si="746">IF(ISERROR(VLOOKUP(AF94,DT:DT,1,FALSE)),0,1)*IF(ISERROR(VLOOKUP(AH94,DT:DT,1,FALSE)),0,1)*AR94</f>
        <v>0</v>
      </c>
      <c r="BK94" s="13">
        <f t="shared" ref="BK94:BK99" si="747">IF(ISERROR(VLOOKUP(AF94,DT:DT,1,FALSE)),0,1)*IF(ISERROR(VLOOKUP(AH94,DT:DT,1,FALSE)),0,1)*AS94</f>
        <v>0</v>
      </c>
      <c r="BL94" s="13">
        <f t="shared" ref="BL94:BL99" si="748">IF(ISERROR(VLOOKUP(AF94,EN:EN,1,FALSE)),0,1)*IF(ISERROR(VLOOKUP(AH94,EN:EN,1,FALSE)),0,1)*AN94</f>
        <v>0</v>
      </c>
      <c r="BM94" s="13">
        <f t="shared" ref="BM94:BM99" si="749">IF(ISERROR(VLOOKUP(AF94,EN:EN,1,FALSE)),0,1)*IF(ISERROR(VLOOKUP(AH94,EN:EN,1,FALSE)),0,1)*AO94</f>
        <v>0</v>
      </c>
      <c r="BN94" s="13">
        <f t="shared" ref="BN94:BN99" si="750">IF(ISERROR(VLOOKUP(AF94,EN:EN,1,FALSE)),0,1)*IF(ISERROR(VLOOKUP(AH94,EN:EN,1,FALSE)),0,1)*AP94</f>
        <v>0</v>
      </c>
      <c r="BO94" s="13">
        <f t="shared" ref="BO94:BO99" si="751">IF(ISERROR(VLOOKUP(AF94,EN:EN,1,FALSE)),0,1)*IF(ISERROR(VLOOKUP(AH94,EN:EN,1,FALSE)),0,1)*AQ94</f>
        <v>0</v>
      </c>
      <c r="BP94" s="13">
        <f t="shared" ref="BP94:BP99" si="752">IF(ISERROR(VLOOKUP(AF94,EN:EN,1,FALSE)),0,1)*IF(ISERROR(VLOOKUP(AH94,EN:EN,1,FALSE)),0,1)*AR94</f>
        <v>0</v>
      </c>
      <c r="BQ94" s="13">
        <f t="shared" ref="BQ94:BQ99" si="753">IF(ISERROR(VLOOKUP(AF94,EN:EN,1,FALSE)),0,1)*IF(ISERROR(VLOOKUP(AH94,EN:EN,1,FALSE)),0,1)*AS94</f>
        <v>0</v>
      </c>
      <c r="BT94" s="12" t="s">
        <v>135</v>
      </c>
      <c r="BU94" s="13">
        <f t="shared" ref="BU94:BU97" si="754">(SUMIF(AF$4:AF$108,BT94,AN$4:AN$108)+SUMIF(AH$4:AH$108,BT94,AO$4:AO$108))</f>
        <v>0</v>
      </c>
      <c r="BV94" s="13">
        <f t="shared" ref="BV94:BV97" si="755">(SUMIF(AF$4:AF$108,BT94,AP$4:AP$108)+SUMIF(AH$4:AH$108,BT94,AQ$4:AQ$108))</f>
        <v>0</v>
      </c>
      <c r="BW94" s="13">
        <f t="shared" ref="BW94:BW97" si="756">(SUMIF(AF$4:AF$108,BT94,AR$4:AR$108)+SUMIF(AH$4:AH$108,BT94,AS$4:AS$108))</f>
        <v>0</v>
      </c>
      <c r="BX94" s="13">
        <f t="shared" ref="BX94:BX97" si="757">SUMIF($AF$4:$AF$108,BT94,$AI$4:$AI$108)+SUMIF($AH$4:$AH$108,BT94,$AK$4:$AK$108)</f>
        <v>0</v>
      </c>
      <c r="BY94" s="13">
        <f t="shared" ref="BY94:BY97" si="758">SUMIF($AF$4:$AF$108,BT94,$AK$4:$AK$108)+SUMIF($AH$4:$AH$108,BT94,$AI$4:$AI$108)</f>
        <v>0</v>
      </c>
      <c r="BZ94" s="13">
        <f t="shared" ref="BZ94:BZ97" si="759">BX94-BY94</f>
        <v>0</v>
      </c>
      <c r="CA94" s="13">
        <f t="shared" ref="CA94:CA97" si="760">IFERROR(BU94*3+BV94*1,0)</f>
        <v>0</v>
      </c>
      <c r="CB94" s="13" t="s">
        <v>62</v>
      </c>
      <c r="CC94" s="74">
        <f>RANK(CA94,CA94:CA97)</f>
        <v>1</v>
      </c>
      <c r="CD94" s="13">
        <f>SUMPRODUCT((CA94:CA97=CA94)*(BZ94:BZ97&gt;BZ94))</f>
        <v>0</v>
      </c>
      <c r="CF94" s="12" t="str">
        <f>IF(CC94=1,BT94,)</f>
        <v>Portugal</v>
      </c>
      <c r="CG94" s="13">
        <f t="shared" ref="CG94:CG97" si="761">(SUMIF($AF$4:$AF$108,$BT94,$AT$4:$AT$108)+SUMIF($AH$4:$AH$108,$BT94,$AU$4:$AU$108))</f>
        <v>0</v>
      </c>
      <c r="CH94" s="13">
        <f t="shared" ref="CH94:CH97" si="762">(SUMIF($AF$4:$AF$108,$BT94,$AV$4:$AV$108)+SUMIF($AH$4:$AH$108,$BT94,$AW$4:$AW$108))</f>
        <v>0</v>
      </c>
      <c r="CI94" s="13">
        <f t="shared" ref="CI94:CI97" si="763">(SUMIF($AF$4:$AF$108,$BT94,$AX$4:$AX$108)+SUMIF($AH$4:$AH$108,$BT94,$AY$4:$AY$108))</f>
        <v>0</v>
      </c>
      <c r="CJ94" s="13">
        <f t="shared" ref="CJ94:CJ97" si="764">IFERROR(CG94*3+CH94*1,0)</f>
        <v>0</v>
      </c>
      <c r="CK94" s="13" t="str">
        <f>CB94</f>
        <v>K</v>
      </c>
      <c r="CL94" s="13">
        <f>IF(CF94&gt;0,RANK(CJ94,CJ94:CJ97),)</f>
        <v>1</v>
      </c>
      <c r="CM94" s="13">
        <f t="shared" ref="CM94" si="765">IF(AND(CF94&gt;0,COUNTIF(CL94:CL97,CL94)&gt;1),SUMIFS($AI$4:$AI$108,$AF$4:$AF$108,$BT94,$M$4:$M$108,1)+SUMIFS($AK$4:$AK$108,$AH$4:$AH$108,$BT94,$M$4:$M$108,1)-SUMIFS($AK$4:$AK$108,$AF$4:$AF$108,$BT94,$M$4:$M$108,1)-SUMIFS($AI$4:$AI$108,$AH$4:$AH$108,$BT94,$M$4:$M$108,1),)</f>
        <v>0</v>
      </c>
      <c r="CN94" s="13">
        <f>IF(AND(CF94&gt;0,COUNTIF(CL94:CL97,CL94)&gt;1),CL94+RANK(CM94,CM94:CM97)-1,CL94)</f>
        <v>1</v>
      </c>
      <c r="CO94" s="13">
        <f>IF(AND(CF94&gt;0,COUNTIF(CN94:CN97,CN94)&gt;1),SUMIFS($AI$4:$AI$108,$AF$4:$AF$108,$BT94,$M$4:$M$108,1)+SUMIFS($AK$4:$AK$108,$AH$4:$AH$108,$BT94,$M$4:$M$108,1),)</f>
        <v>0</v>
      </c>
      <c r="CP94" s="13">
        <f>IF(AND(CF94&gt;0,COUNTIF(CN94:CN97,CN94)&gt;1),CN94+RANK(CO94,CO94:CO97)-1,CN94)</f>
        <v>1</v>
      </c>
      <c r="CQ94" s="13">
        <f>IF(CP94=0,"",CP94)</f>
        <v>1</v>
      </c>
      <c r="CR94" s="13">
        <f>IF(OR(CQ94="",COUNTIF(CQ94:CQ97,CQ94)=1),"",$BZ94)</f>
        <v>0</v>
      </c>
      <c r="CS94" s="13">
        <f>IF(CQ94="","",IF(COUNTIF(CQ94:CQ97,CQ94)=1,CQ94,CQ94+RANK(CR94,CR94:CR97,0)-1))</f>
        <v>1</v>
      </c>
      <c r="CT94" s="13">
        <f>IF(OR(CS94="",COUNTIF(CS94:CS97,CS94)=1),"",$BX94)</f>
        <v>0</v>
      </c>
      <c r="CU94" s="13">
        <f>IF(CQ94="","",IF(COUNTIF(CS94:CS97,CS94)=1,CS94,CS94+RANK(CT94,CT94:CT97,0)-1))</f>
        <v>1</v>
      </c>
      <c r="CV94" s="13">
        <f>IF(OR(CU94="",COUNTIF(CU94:CU97,CU94)=1),"",$BU94)</f>
        <v>0</v>
      </c>
      <c r="CW94" s="13">
        <f>IF(CQ94="","",IF(COUNTIF(CU94:CU97,CU94)=1,CU94,CU94+RANK(CV94,CV94:CV97,0)-1))</f>
        <v>1</v>
      </c>
      <c r="CX94" s="13">
        <f>IF(CF94&gt;0,BM92+RANK(CW94,CW94:CW97,1),)</f>
        <v>1</v>
      </c>
      <c r="CZ94" s="12">
        <f>IF(CC94=2,BT94,)</f>
        <v>0</v>
      </c>
      <c r="DA94" s="13">
        <f>(SUMIF($AF$4:$AF$108,$BT94,$AZ$4:$AZ$108)+SUMIF($AH$4:$AH$108,$BT94,$BA$4:$BA$108))</f>
        <v>0</v>
      </c>
      <c r="DB94" s="13">
        <f>(SUMIF($AF$4:$AF$108,$BT94,$BB$4:$BB$108)+SUMIF($AH$4:$AH$108,$BT94,$BC$4:$BC$108))</f>
        <v>0</v>
      </c>
      <c r="DC94" s="13">
        <f>(SUMIF($AF$4:$AF$108,$BT94,$BD$4:$BD$108)+SUMIF($AH$4:$AH$108,$BT94,$BE$4:$BE$108))</f>
        <v>0</v>
      </c>
      <c r="DD94" s="13">
        <f>IFERROR(DA94*3+DB94*1,0)</f>
        <v>0</v>
      </c>
      <c r="DE94" s="13" t="str">
        <f>$CB94</f>
        <v>K</v>
      </c>
      <c r="DF94" s="13">
        <f>IF(CZ94&gt;0,RANK(DD94,DD94:DD97)+CG92,)</f>
        <v>0</v>
      </c>
      <c r="DG94" s="13">
        <f>IF(AND(CZ94&gt;0,COUNTIF(DF94:DF97,DF94)&gt;1),SUMIFS($AI$4:$AI$108,$AF$4:$AF$108,$BT94,$M$4:$M$108,2)+SUMIFS($AK$4:$AK$108,$AH$4:$AH108,$BT94,$M$4:$M$108,2)-SUMIFS($AK$4:$AK$108,$AF$4:$AF$108,$BT94,$M$4:$M$108,2)-SUMIFS($AI$4:$AI$108,$AH$4:$AH$108,$BT94,$M$4:$M$108,2),)</f>
        <v>0</v>
      </c>
      <c r="DH94" s="13">
        <f>IF(AND(CZ94&gt;0,COUNTIF(DF94:DF97,DF94)&gt;1),DF94+RANK(DG94,DG94:DG97)-1,DF94)</f>
        <v>0</v>
      </c>
      <c r="DI94" s="13">
        <f>IF(AND(CZ94&gt;0,COUNTIF(DH94:DH97,DH94)&gt;1),SUMIFS($AI$4:$AI$108,$AF$4:$AF$108,$BT94,$M$4:$M$108,2)+SUMIFS($AK$4:$AK$108,$AH$4:$AH$108,$BT94,$M$4:$M$108,2),)</f>
        <v>0</v>
      </c>
      <c r="DJ94" s="13">
        <f>IF(AND(CZ94&gt;0,COUNTIF(DH94:DH97,DH94)&gt;1),DH94+RANK(DI94,DI94:DI97)-1,DH94)</f>
        <v>0</v>
      </c>
      <c r="DK94" s="75" t="str">
        <f>IF(DJ94=0,"",DJ94)</f>
        <v/>
      </c>
      <c r="DL94" s="75" t="str">
        <f>IF(OR(DK94="",COUNTIF(DK94:DK97,DK94)=1),"",$BZ94)</f>
        <v/>
      </c>
      <c r="DM94" s="75" t="str">
        <f>IF(DK94="","",IF(COUNTIF(DK94:DK97,DK94)=1,DK94,DK94+RANK(DL94,DL94:DL97,0)-1))</f>
        <v/>
      </c>
      <c r="DN94" s="75" t="str">
        <f>IF(OR(DM94="",COUNTIF(DM94:DM97,DM94)=1),"",$BX94)</f>
        <v/>
      </c>
      <c r="DO94" s="75" t="str">
        <f>IF(DK94="","",IF(COUNTIF(DM94:DM97,DM94)=1,DM94,DM94+RANK(DN94,DN94:DN97,0)-1))</f>
        <v/>
      </c>
      <c r="DP94" s="75" t="str">
        <f>IF(OR(DO94="",COUNTIF(DO94:DO97,DO94)=1),"",$BU94)</f>
        <v/>
      </c>
      <c r="DQ94" s="75" t="str">
        <f>IF(DK94="","",IF(COUNTIF(DO94:DO97,DO94)=1,DO94,DO94+RANK(DP94,DP94:DP97,0)-1))</f>
        <v/>
      </c>
      <c r="DR94" s="13">
        <f>IF(CZ94&gt;0,CG92+RANK(DQ94,DQ94:DQ97,1),)</f>
        <v>0</v>
      </c>
      <c r="DT94" s="13">
        <f>IF(CC94=3,BT94,)</f>
        <v>0</v>
      </c>
      <c r="DU94" s="13">
        <f>(SUMIF($AF$4:$AF$108,BT94,$BF$4:$BF$108)+SUMIF($AH$4:$AH$108,BT94,$BG$4:$BG$108))</f>
        <v>0</v>
      </c>
      <c r="DV94" s="13">
        <f>(SUMIF($AF$4:$AF$108,BT94,$BH$4:$BH$108)+SUMIF($AH$4:$AH$108,BT94,$BI$4:$BI$108))</f>
        <v>0</v>
      </c>
      <c r="DW94" s="13">
        <f>(SUMIF($AF$4:$AF$108,BT94,$BJ$4:$BJ$108)+SUMIF($AH$4:$AH$108,BT94,$BK$4:$BK$108))</f>
        <v>0</v>
      </c>
      <c r="DX94" s="13">
        <f>IFERROR(DU94*3+DV94*1,0)</f>
        <v>0</v>
      </c>
      <c r="DY94" s="13" t="str">
        <f>CB94</f>
        <v>K</v>
      </c>
      <c r="DZ94" s="13">
        <f>IF(DT94&gt;0,RANK(DX94,DX94:DX97)+CG92+DA92,)</f>
        <v>0</v>
      </c>
      <c r="EA94" s="13">
        <f>IF(AND(DT94&gt;0,COUNTIF(DZ94:DZ97,DZ94)&gt;1),SUMIFS($AI$4:$AI$108,$AF$4:$AF$108,$BT94,$M$4:$M$108,3)+SUMIFS($AK$4:$AK$108,$AH$4:$AH$108,$BT94,$M$4:$M$108,3)-SUMIFS($AK$4:$AK$108,$AF$4:$AF$108,$BT94,$M$4:$M$108,3)-SUMIFS($AI$4:$AI$108,$AH$4:$AH$108,$BT94,$M$4:$M$108,3),)</f>
        <v>0</v>
      </c>
      <c r="EB94" s="13">
        <f>IF(AND(DT94&gt;0,COUNTIF(DZ94:DZ97,DZ94)&gt;1),DZ94+RANK(EA94,EA94:EA97)-1,DZ94)</f>
        <v>0</v>
      </c>
      <c r="EC94" s="13">
        <f>IF(AND(DT94&gt;0,COUNTIF(EB94:EB97,EB94)&gt;1),SUMIFS($AI$4:$AI$108,$AF$4:$AF$108,$BT94,$M$4:$M$108,3)+SUMIFS($AK$4:$AK$108,$AH$4:$AH$108,$BT94,$M$4:$M$108,3),)</f>
        <v>0</v>
      </c>
      <c r="ED94" s="13">
        <f>IF(AND(DT94&gt;0,COUNTIF(EB94:EB97,EB94)&gt;1),EB94+RANK(EC94,EC94:EC97)-1,EB94)</f>
        <v>0</v>
      </c>
      <c r="EE94" s="13" t="str">
        <f>IF(ED94=0,"",ED94)</f>
        <v/>
      </c>
      <c r="EF94" s="13" t="str">
        <f>IF(OR(EE94="",COUNTIF(EE94:EE97,EE94)=1),"",$BZ94)</f>
        <v/>
      </c>
      <c r="EG94" s="13" t="str">
        <f>IF(EE94="","",IF(COUNTIF(EE94:EE97,EE94)=1,EE94,EE94+RANK(EF94,EF94:EF97,0)-1))</f>
        <v/>
      </c>
      <c r="EH94" s="13" t="str">
        <f>IF(OR(EG94="",COUNTIF(EG94:EG97,EG94)=1),"",$BX94)</f>
        <v/>
      </c>
      <c r="EI94" s="13" t="str">
        <f>IF(EE94="","",IF(COUNTIF(EG94:EG97,EG94)=1,EG94,EG94+RANK(EH94,EH94:EH97,0)-1))</f>
        <v/>
      </c>
      <c r="EJ94" s="13" t="str">
        <f>IF(OR(EI94="",COUNTIF(EI94:EI97,EI94)=1),"",$BU94)</f>
        <v/>
      </c>
      <c r="EK94" s="13" t="str">
        <f>IF(EE94="","",IF(COUNTIF(EI94:EI97,EI94)=1,EI94,EI94+RANK(EJ94,EJ94:EJ97,0)-1))</f>
        <v/>
      </c>
      <c r="EL94" s="13">
        <f>IF(DT94&gt;0,CG92+DA92+RANK(EK94,EK94:EK97,1),)</f>
        <v>0</v>
      </c>
      <c r="EN94" s="13">
        <f>IF(CC94=4,BT94,)</f>
        <v>0</v>
      </c>
      <c r="EO94" s="13">
        <f>(SUMIF($AF$4:$AF$108,$BT94,$BL$4:$BL$108)+SUMIF($AH$4:$AH$108,$BT94,$BM$4:$BM$108))</f>
        <v>0</v>
      </c>
      <c r="EP94" s="13">
        <f>(SUMIF($AF$4:$AF$108,$BT94,$BN$4:$BN$108)+SUMIF($AH$4:$AH$108,$BT94,$BO$4:$BO$108))</f>
        <v>0</v>
      </c>
      <c r="EQ94" s="13">
        <f>(SUMIF($AF$4:$AF$108,$BT94,$BP$4:$BP$108)+SUMIF($AH$4:$AH$108,$BT94,$BQ$4:$BQ$108))</f>
        <v>0</v>
      </c>
      <c r="ER94" s="13">
        <f>IFERROR(EO94*3+EP94*1,0)</f>
        <v>0</v>
      </c>
      <c r="ES94" s="13" t="str">
        <f>$CB94</f>
        <v>K</v>
      </c>
      <c r="ET94" s="13">
        <f>IF(EN94&gt;0,RANK(ER94,ER94:ER97)+CG92+DA92+DU92,)</f>
        <v>0</v>
      </c>
      <c r="EU94" s="13">
        <f>IF(AND(EN94&gt;0,COUNTIF(ET94:ET97,ET94)&gt;1),SUMIFS($AI$4:$AI$108,$AF$4:$AF$108,$BT94,$M$4:$M$108,4)+SUMIFS($AK$4:$AK$108,$AH$4:$AH$108,$BT94,$M$4:$M$108,4)-SUMIFS($AK$4:$AK$108,$AF$4:$AF$108,$BT94,$M$4:$M$108,4)-SUMIFS($AI$4:$AI$108,$AH$4:$AH$108,$BT94,$M$4:$M$108,4),)</f>
        <v>0</v>
      </c>
      <c r="EV94" s="13">
        <f>IF(AND(EN94&gt;0,COUNTIF(ET94:ET97,ET94)&gt;1),ET94+RANK(EU94,EU94:EU97)-1,ET94)</f>
        <v>0</v>
      </c>
      <c r="EW94" s="13">
        <f>IF(AND(EN94&gt;0,COUNTIF(EV94:EV97,EV94)&gt;1),SUMIFS($AI$4:$AI$108,$AF$4:$AF$108,$BT94,$M$4:$M$108,4)+SUMIFS($AK$4:$AK$108,$AH$4:$AH$108,$BT94,$M$4:$M$108,4),)</f>
        <v>0</v>
      </c>
      <c r="EX94" s="13">
        <f>IF(AND(EN94&gt;0,COUNTIF(EV94:EV97,EV94)&gt;1),EV94+RANK(EW94,EW94:EW97)-1,EV94)</f>
        <v>0</v>
      </c>
      <c r="EY94" s="13" t="str">
        <f>IF(EX94=0,"",EX94)</f>
        <v/>
      </c>
      <c r="EZ94" s="13" t="str">
        <f>IF(OR(EY94="",COUNTIF(EY94:EY97,EY94)=1),"",$BZ94)</f>
        <v/>
      </c>
      <c r="FA94" s="13" t="str">
        <f>IF(EY94="","",IF(COUNTIF(EY94:EY97,EY94)=1,EY94,EY94+RANK(EZ94,EZ94:EZ97,0)-1))</f>
        <v/>
      </c>
      <c r="FB94" s="13" t="str">
        <f>IF(OR(FA94="",COUNTIF(FA94:FA97,FA94)=1),"",$BX94)</f>
        <v/>
      </c>
      <c r="FC94" s="13" t="str">
        <f>IF(EY94="","",IF(COUNTIF(FA94:FA97,FA94)=1,FA94,FA94+RANK(FB94,FB94:FB97,0)-1))</f>
        <v/>
      </c>
      <c r="FD94" s="13" t="str">
        <f>IF(OR(FC94="",COUNTIF(FC94:FC97,FC94)=1),"",$BU94)</f>
        <v/>
      </c>
      <c r="FE94" s="13" t="str">
        <f>IF(EY94="","",IF(COUNTIF(FC94:FC97,FC94)=1,FC94,FC94+RANK(FD94,FD94:FD97,0)-1))</f>
        <v/>
      </c>
      <c r="FF94" s="13">
        <f>IF(EN94&gt;0,CG92+DA92+DU92+RANK(FE94,FE94:FE97,1),)</f>
        <v>0</v>
      </c>
      <c r="FH94" s="13">
        <f>IFERROR(VLOOKUP(FJ94,CF93:CX97,19,FALSE),IFERROR(VLOOKUP(FJ94,CZ93:DR97,19,FALSE),IFERROR(VLOOKUP(FJ94,DT93:EL97,19,FALSE),VLOOKUP(FJ94,EN93:FF97,19,FALSE))))</f>
        <v>1</v>
      </c>
      <c r="FI94" s="13">
        <f>RANK(FH94,FH94:FH97,1)+COUNTIF(FH94:FH94,FH94)-1</f>
        <v>1</v>
      </c>
      <c r="FJ94" s="12" t="str">
        <f>BT94</f>
        <v>Portugal</v>
      </c>
      <c r="FZ94" s="79">
        <v>92</v>
      </c>
      <c r="GA94" s="3" t="str">
        <f t="shared" si="562"/>
        <v>EJBCHGLK</v>
      </c>
      <c r="GB94" s="3" t="s">
        <v>59</v>
      </c>
      <c r="GC94" s="3" t="s">
        <v>69</v>
      </c>
      <c r="GD94" s="3" t="s">
        <v>57</v>
      </c>
      <c r="GE94" s="3" t="s">
        <v>75</v>
      </c>
      <c r="GF94" s="3" t="s">
        <v>70</v>
      </c>
      <c r="GG94" s="3" t="s">
        <v>60</v>
      </c>
      <c r="GH94" s="3" t="s">
        <v>63</v>
      </c>
      <c r="GI94" s="3" t="s">
        <v>62</v>
      </c>
      <c r="GJ94" s="9" t="str">
        <f t="shared" si="640"/>
        <v>Elfenbenskusten</v>
      </c>
      <c r="GK94" s="9" t="str">
        <f t="shared" si="640"/>
        <v>Österrike</v>
      </c>
      <c r="GL94" s="9" t="str">
        <f t="shared" si="640"/>
        <v>Qatar</v>
      </c>
      <c r="GM94" s="9" t="str">
        <f t="shared" si="640"/>
        <v>Haiti</v>
      </c>
      <c r="GN94" s="9" t="str">
        <f t="shared" si="640"/>
        <v>Saudiarabien</v>
      </c>
      <c r="GO94" s="9" t="str">
        <f t="shared" si="640"/>
        <v>Iran</v>
      </c>
      <c r="GP94" s="9" t="str">
        <f t="shared" si="640"/>
        <v>Ghana</v>
      </c>
      <c r="GQ94" s="9" t="str">
        <f t="shared" si="639"/>
        <v>Uzbekistan</v>
      </c>
      <c r="GR94" s="9" t="str">
        <f t="shared" si="563"/>
        <v/>
      </c>
      <c r="GX94" s="142"/>
    </row>
    <row r="95" spans="2:206" ht="14.25" customHeight="1" x14ac:dyDescent="0.25">
      <c r="B95" s="58">
        <v>24</v>
      </c>
      <c r="C95" s="59">
        <v>46191</v>
      </c>
      <c r="D95" s="60" t="s">
        <v>137</v>
      </c>
      <c r="E95" s="61" t="s">
        <v>66</v>
      </c>
      <c r="F95" s="62" t="s">
        <v>138</v>
      </c>
      <c r="G95" s="63"/>
      <c r="H95" s="64" t="s">
        <v>66</v>
      </c>
      <c r="I95" s="63"/>
      <c r="J95" s="65" t="str">
        <f t="shared" ref="J95:J99" si="766">IF(OR(ISBLANK(G95),ISBLANK(I95)),"",IF(G95&gt;I95,1,IF(G95&lt;I95,2,"X")))</f>
        <v/>
      </c>
      <c r="K95" s="66">
        <f>IF(OR(G95="",I95="",'[1]Resultat &amp; tabell'!G95="",'[1]Resultat &amp; tabell'!I95=""),0,IF(G95='[1]Resultat &amp; tabell'!G95,2,0)+IF(I95='[1]Resultat &amp; tabell'!I95,2,0)+IF(J95='[1]Resultat &amp; tabell'!J95,2,0))</f>
        <v>0</v>
      </c>
      <c r="L95" s="67"/>
      <c r="M95" s="29">
        <f t="shared" si="717"/>
        <v>1</v>
      </c>
      <c r="N95" s="30">
        <v>2</v>
      </c>
      <c r="O95" s="80" t="str">
        <f>VLOOKUP(N95,FI94:FJ97,2,FALSE)</f>
        <v>Kongo</v>
      </c>
      <c r="P95" s="81">
        <f t="shared" ref="P95:P97" si="767">VLOOKUP($O95,$BT$94:$CA$97,2,FALSE)</f>
        <v>0</v>
      </c>
      <c r="Q95" s="81">
        <f t="shared" ref="Q95:Q97" si="768">VLOOKUP($O95,$BT$94:$CA$97,3,FALSE)</f>
        <v>0</v>
      </c>
      <c r="R95" s="81">
        <f t="shared" ref="R95:R97" si="769">VLOOKUP($O95,$BT$94:$CA$97,4,FALSE)</f>
        <v>0</v>
      </c>
      <c r="S95" s="81">
        <f t="shared" ref="S95:S97" si="770">VLOOKUP($O95,$BT$94:$CA$97,5,FALSE)</f>
        <v>0</v>
      </c>
      <c r="T95" s="81">
        <f t="shared" ref="T95:T97" si="771">VLOOKUP($O95,$BT$94:$CA$97,6,FALSE)</f>
        <v>0</v>
      </c>
      <c r="U95" s="81">
        <f t="shared" ref="U95:U97" si="772">VLOOKUP($O95,$BT$94:$CA$97,7,FALSE)</f>
        <v>0</v>
      </c>
      <c r="V95" s="82">
        <f t="shared" ref="V95:V97" si="773">VLOOKUP($O95,$BT$94:$CA$97,8,FALSE)</f>
        <v>0</v>
      </c>
      <c r="X95" s="1"/>
      <c r="AE95" s="72">
        <f t="shared" si="719"/>
        <v>46191</v>
      </c>
      <c r="AF95" s="72" t="str">
        <f t="shared" si="719"/>
        <v>Uzbekistan</v>
      </c>
      <c r="AG95" s="72" t="str">
        <f t="shared" si="719"/>
        <v>-</v>
      </c>
      <c r="AH95" s="72" t="str">
        <f t="shared" si="719"/>
        <v>Colombia</v>
      </c>
      <c r="AI95" s="63" t="str">
        <f t="shared" si="720"/>
        <v/>
      </c>
      <c r="AJ95" s="58" t="str">
        <f t="shared" si="721"/>
        <v>-</v>
      </c>
      <c r="AK95" s="63" t="str">
        <f t="shared" si="722"/>
        <v/>
      </c>
      <c r="AL95" s="65" t="str">
        <f t="shared" si="723"/>
        <v/>
      </c>
      <c r="AM95" s="73"/>
      <c r="AN95" s="13">
        <f t="shared" si="724"/>
        <v>0</v>
      </c>
      <c r="AO95" s="13">
        <f t="shared" si="725"/>
        <v>0</v>
      </c>
      <c r="AP95" s="13">
        <f t="shared" si="726"/>
        <v>0</v>
      </c>
      <c r="AQ95" s="13">
        <f t="shared" si="727"/>
        <v>0</v>
      </c>
      <c r="AR95" s="13">
        <f t="shared" si="728"/>
        <v>0</v>
      </c>
      <c r="AS95" s="13">
        <f t="shared" si="729"/>
        <v>0</v>
      </c>
      <c r="AT95" s="13">
        <f t="shared" si="730"/>
        <v>0</v>
      </c>
      <c r="AU95" s="13">
        <f t="shared" si="731"/>
        <v>0</v>
      </c>
      <c r="AV95" s="13">
        <f t="shared" si="732"/>
        <v>0</v>
      </c>
      <c r="AW95" s="13">
        <f t="shared" si="733"/>
        <v>0</v>
      </c>
      <c r="AX95" s="13">
        <f t="shared" si="734"/>
        <v>0</v>
      </c>
      <c r="AY95" s="13">
        <f t="shared" si="735"/>
        <v>0</v>
      </c>
      <c r="AZ95" s="13">
        <f t="shared" si="736"/>
        <v>0</v>
      </c>
      <c r="BA95" s="13">
        <f t="shared" si="737"/>
        <v>0</v>
      </c>
      <c r="BB95" s="13">
        <f t="shared" si="738"/>
        <v>0</v>
      </c>
      <c r="BC95" s="13">
        <f t="shared" si="739"/>
        <v>0</v>
      </c>
      <c r="BD95" s="13">
        <f t="shared" si="740"/>
        <v>0</v>
      </c>
      <c r="BE95" s="13">
        <f t="shared" si="741"/>
        <v>0</v>
      </c>
      <c r="BF95" s="13">
        <f t="shared" si="742"/>
        <v>0</v>
      </c>
      <c r="BG95" s="13">
        <f t="shared" si="743"/>
        <v>0</v>
      </c>
      <c r="BH95" s="13">
        <f t="shared" si="744"/>
        <v>0</v>
      </c>
      <c r="BI95" s="13">
        <f t="shared" si="745"/>
        <v>0</v>
      </c>
      <c r="BJ95" s="13">
        <f t="shared" si="746"/>
        <v>0</v>
      </c>
      <c r="BK95" s="13">
        <f t="shared" si="747"/>
        <v>0</v>
      </c>
      <c r="BL95" s="13">
        <f t="shared" si="748"/>
        <v>0</v>
      </c>
      <c r="BM95" s="13">
        <f t="shared" si="749"/>
        <v>0</v>
      </c>
      <c r="BN95" s="13">
        <f t="shared" si="750"/>
        <v>0</v>
      </c>
      <c r="BO95" s="13">
        <f t="shared" si="751"/>
        <v>0</v>
      </c>
      <c r="BP95" s="13">
        <f t="shared" si="752"/>
        <v>0</v>
      </c>
      <c r="BQ95" s="13">
        <f t="shared" si="753"/>
        <v>0</v>
      </c>
      <c r="BT95" s="12" t="s">
        <v>136</v>
      </c>
      <c r="BU95" s="13">
        <f t="shared" si="754"/>
        <v>0</v>
      </c>
      <c r="BV95" s="13">
        <f t="shared" si="755"/>
        <v>0</v>
      </c>
      <c r="BW95" s="13">
        <f t="shared" si="756"/>
        <v>0</v>
      </c>
      <c r="BX95" s="13">
        <f t="shared" si="757"/>
        <v>0</v>
      </c>
      <c r="BY95" s="13">
        <f t="shared" si="758"/>
        <v>0</v>
      </c>
      <c r="BZ95" s="13">
        <f t="shared" si="759"/>
        <v>0</v>
      </c>
      <c r="CA95" s="13">
        <f t="shared" si="760"/>
        <v>0</v>
      </c>
      <c r="CB95" s="13" t="s">
        <v>62</v>
      </c>
      <c r="CC95" s="74">
        <f>RANK(CA95,CA94:CA97)</f>
        <v>1</v>
      </c>
      <c r="CD95" s="13">
        <f>SUMPRODUCT((CA94:CA97=CA95)*(BZ94:BZ97&gt;BZ95))</f>
        <v>0</v>
      </c>
      <c r="CF95" s="12" t="str">
        <f>IF(CC95=1,BT95,)</f>
        <v>Kongo</v>
      </c>
      <c r="CG95" s="13">
        <f t="shared" si="761"/>
        <v>0</v>
      </c>
      <c r="CH95" s="13">
        <f t="shared" si="762"/>
        <v>0</v>
      </c>
      <c r="CI95" s="13">
        <f t="shared" si="763"/>
        <v>0</v>
      </c>
      <c r="CJ95" s="13">
        <f t="shared" si="764"/>
        <v>0</v>
      </c>
      <c r="CK95" s="13" t="str">
        <f t="shared" ref="CK95:CK97" si="774">CB95</f>
        <v>K</v>
      </c>
      <c r="CL95" s="13">
        <f>IF(CF95&gt;0,RANK(CJ95,CJ94:CJ97),)</f>
        <v>1</v>
      </c>
      <c r="CM95" s="13">
        <f>IF(AND(CF95&gt;0,COUNTIF(CL94:CL97,CL95)&gt;1),SUMIFS($AI$4:$AI$108,$AF$4:$AF$108,$BT95,$M$4:$M$108,1)+SUMIFS($AK$4:$AK$108,$AH$4:$AH$108,$BT95,$M$4:$M$108,1)-SUMIFS($AK$4:$AK$108,$AF$4:$AF$108,$BT95,$M$4:$M$108,1)-SUMIFS($AI$4:$AI$108,$AH$4:$AH$108,$BT95,$M$4:$M$108,1),)</f>
        <v>0</v>
      </c>
      <c r="CN95" s="13">
        <f>IF(AND(CF95&gt;0,COUNTIF(CL94:CL97,CL95)&gt;1),CL95+RANK(CM95,CM94:CM97)-1,CL95)</f>
        <v>1</v>
      </c>
      <c r="CO95" s="13">
        <f>IF(AND(CF95&gt;0,COUNTIF(CN94:CN97,CN95)&gt;1),SUMIFS($AI$4:$AI$108,$AF$4:$AF$108,$BT95,$M$4:$M$108,1)+SUMIFS($AK$4:$AK$108,$AH$4:$AH$108,$BT95,$M$4:$M$108,1),)</f>
        <v>0</v>
      </c>
      <c r="CP95" s="13">
        <f>IF(AND(CF95&gt;0,COUNTIF(CN94:CN97,CN95)&gt;1),CN95+RANK(CO95,CO94:CO97)-1,CN95)</f>
        <v>1</v>
      </c>
      <c r="CQ95" s="13">
        <f t="shared" ref="CQ95:CQ97" si="775">IF(CP95=0,"",CP95)</f>
        <v>1</v>
      </c>
      <c r="CR95" s="13">
        <f>IF(OR(CQ95="",COUNTIF(CQ94:CQ97,CQ95)=1),"",$BZ95)</f>
        <v>0</v>
      </c>
      <c r="CS95" s="13">
        <f>IF(CQ95="","",IF(COUNTIF(CQ94:CQ97,CQ95)=1,CQ95,CQ95+RANK(CR95,CR94:CR97,0)-1))</f>
        <v>1</v>
      </c>
      <c r="CT95" s="13">
        <f>IF(OR(CS95="",COUNTIF(CS94:CS97,CS95)=1),"",$BX95)</f>
        <v>0</v>
      </c>
      <c r="CU95" s="13">
        <f>IF(CQ95="","",IF(COUNTIF(CS94:CS97,CS95)=1,CS95,CS95+RANK(CT95,CT94:CT97,0)-1))</f>
        <v>1</v>
      </c>
      <c r="CV95" s="13">
        <f>IF(OR(CU95="",COUNTIF(CU94:CU97,CU95)=1),"",$BU95)</f>
        <v>0</v>
      </c>
      <c r="CW95" s="13">
        <f>IF(CQ95="","",IF(COUNTIF(CU94:CU97,CU95)=1,CU95,CU95+RANK(CV95,CV94:CV97,0)-1))</f>
        <v>1</v>
      </c>
      <c r="CX95" s="13">
        <f>IF(CF95&gt;0,BM92+RANK(CW95,CW94:CW97,1),)</f>
        <v>1</v>
      </c>
      <c r="CZ95" s="12">
        <f>IF(CC95=2,BT95,)</f>
        <v>0</v>
      </c>
      <c r="DA95" s="13">
        <f>(SUMIF($AF$4:$AF$108,$BT95,$AZ$4:$AZ$108)+SUMIF($AH$4:$AH$108,$BT95,$BA$4:$BA$108))</f>
        <v>0</v>
      </c>
      <c r="DB95" s="13">
        <f t="shared" ref="DB95:DB97" si="776">(SUMIF($AF$4:$AF$108,$BT95,$BB$4:$BB$108)+SUMIF($AH$4:$AH$108,$BT95,$BC$4:$BC$108))</f>
        <v>0</v>
      </c>
      <c r="DC95" s="13">
        <f t="shared" ref="DC95:DC97" si="777">(SUMIF($AF$4:$AF$108,$BT95,$BD$4:$BD$108)+SUMIF($AH$4:$AH$108,$BT95,$BE$4:$BE$108))</f>
        <v>0</v>
      </c>
      <c r="DD95" s="13">
        <f t="shared" ref="DD95:DD97" si="778">IFERROR(DA95*3+DB95*1,0)</f>
        <v>0</v>
      </c>
      <c r="DE95" s="13" t="str">
        <f t="shared" ref="DE95:DE97" si="779">$CB95</f>
        <v>K</v>
      </c>
      <c r="DF95" s="13">
        <f>IF(CZ95&gt;0,RANK(DD95,DD94:DD97)+CG92,)</f>
        <v>0</v>
      </c>
      <c r="DG95" s="13">
        <f>IF(AND(CZ95&gt;0,COUNTIF(DF94:DF97,DF95)&gt;1),SUMIFS($AI$4:$AI$108,$AF$4:$AF$108,$BT95,$M$4:$M$108,2)+SUMIFS($AK$4:$AK$108,$AH$4:$AH108,$BT95,$M$4:$M$108,2)-SUMIFS($AK$4:$AK$108,$AF$4:$AF$108,$BT95,$M$4:$M$108,2)-SUMIFS($AI$4:$AI$108,$AH$4:$AH$108,$BT95,$M$4:$M$108,2),)</f>
        <v>0</v>
      </c>
      <c r="DH95" s="13">
        <f>IF(AND(CZ95&gt;0,COUNTIF(DF94:DF97,DF95)&gt;1),DF95+RANK(DG95,DG94:DG97)-1,DF95)</f>
        <v>0</v>
      </c>
      <c r="DI95" s="13">
        <f>IF(AND(CZ95&gt;0,COUNTIF(DH94:DH97,DH95)&gt;1),SUMIFS($AI$4:$AI$108,$AF$4:$AF$108,$BT95,$M$4:$M$108,2)+SUMIFS($AK$4:$AK$108,$AH$4:$AH$108,$BT95,$M$4:$M$108,2),)</f>
        <v>0</v>
      </c>
      <c r="DJ95" s="13">
        <f>IF(AND(CZ95&gt;0,COUNTIF(DH94:DH97,DH95)&gt;1),DH95+RANK(DI95,DI94:DI97)-1,DH95)</f>
        <v>0</v>
      </c>
      <c r="DK95" s="75" t="str">
        <f t="shared" ref="DK95:DK97" si="780">IF(DJ95=0,"",DJ95)</f>
        <v/>
      </c>
      <c r="DL95" s="75" t="str">
        <f>IF(OR(DK95="",COUNTIF(DK94:DK97,DK95)=1),"",$BZ95)</f>
        <v/>
      </c>
      <c r="DM95" s="75" t="str">
        <f>IF(DK95="","",IF(COUNTIF(DK94:DK97,DK95)=1,DK95,DK95+RANK(DL95,DL94:DL97,0)-1))</f>
        <v/>
      </c>
      <c r="DN95" s="75" t="str">
        <f>IF(OR(DM95="",COUNTIF(DM94:DM97,DM95)=1),"",$BX95)</f>
        <v/>
      </c>
      <c r="DO95" s="75" t="str">
        <f>IF(DK95="","",IF(COUNTIF(DM94:DM97,DM95)=1,DM95,DM95+RANK(DN95,DN94:DN97,0)-1))</f>
        <v/>
      </c>
      <c r="DP95" s="75" t="str">
        <f>IF(OR(DO95="",COUNTIF(DO94:DO97,DO95)=1),"",$BU95)</f>
        <v/>
      </c>
      <c r="DQ95" s="75" t="str">
        <f>IF(DK95="","",IF(COUNTIF(DO94:DO97,DO95)=1,DO95,DO95+RANK(DP95,DP94:DP97,0)-1))</f>
        <v/>
      </c>
      <c r="DR95" s="13">
        <f>IF(CZ95&gt;0,CG92+RANK(DQ95,DQ94:DQ97,1),)</f>
        <v>0</v>
      </c>
      <c r="DT95" s="13">
        <f>IF(CC95=3,BT95,)</f>
        <v>0</v>
      </c>
      <c r="DU95" s="13">
        <f t="shared" ref="DU95:DU97" si="781">(SUMIF($AF$4:$AF$108,BT95,$BF$4:$BF$108)+SUMIF($AH$4:$AH$108,BT95,$BG$4:$BG$108))</f>
        <v>0</v>
      </c>
      <c r="DV95" s="13">
        <f t="shared" ref="DV95:DV97" si="782">(SUMIF($AF$4:$AF$108,BT95,$BH$4:$BH$108)+SUMIF($AH$4:$AH$108,BT95,$BI$4:$BI$108))</f>
        <v>0</v>
      </c>
      <c r="DW95" s="13">
        <f t="shared" ref="DW95:DW97" si="783">(SUMIF($AF$4:$AF$108,BT95,$BJ$4:$BJ$108)+SUMIF($AH$4:$AH$108,BT95,$BK$4:$BK$108))</f>
        <v>0</v>
      </c>
      <c r="DX95" s="13">
        <f>IFERROR(DU95*3+DV95*1,0)</f>
        <v>0</v>
      </c>
      <c r="DY95" s="13" t="str">
        <f t="shared" ref="DY95:DY97" si="784">CB95</f>
        <v>K</v>
      </c>
      <c r="DZ95" s="13">
        <f>IF(DT95&gt;0,RANK(DX95,DX94:DX97)+CG92+DA92,)</f>
        <v>0</v>
      </c>
      <c r="EA95" s="13">
        <f>IF(AND(DT95&gt;0,COUNTIF(DZ94:DZ97,DZ95)&gt;1),SUMIFS($AI$4:$AI$108,$AF$4:$AF$108,$BT95,$M$4:$M$108,3)+SUMIFS($AK$4:$AK$108,$AH$4:$AH$108,$BT95,$M$4:$M$108,3)-SUMIFS($AK$4:$AK$108,$AF$4:$AF$108,$BT95,$M$4:$M$108,3)-SUMIFS($AI$4:$AI$108,$AH$4:$AH$108,$BT95,$M$4:$M$108,3),)</f>
        <v>0</v>
      </c>
      <c r="EB95" s="13">
        <f>IF(AND(DT95&gt;0,COUNTIF(DZ94:DZ97,DZ95)&gt;1),DZ95+RANK(EA95,EA94:EA97)-1,DZ95)</f>
        <v>0</v>
      </c>
      <c r="EC95" s="13">
        <f>IF(AND(DT95&gt;0,COUNTIF(EB94:EB97,EB95)&gt;1),SUMIFS($AI$4:$AI$108,$AF$4:$AF$108,$BT95,$M$4:$M$108,3)+SUMIFS($AK$4:$AK$108,$AH$4:$AH$108,$BT95,$M$4:$M$108,3),)</f>
        <v>0</v>
      </c>
      <c r="ED95" s="13">
        <f>IF(AND(DT95&gt;0,COUNTIF(EB94:EB97,EB95)&gt;1),EB95+RANK(EC95,EC94:EC97)-1,EB95)</f>
        <v>0</v>
      </c>
      <c r="EE95" s="13" t="str">
        <f t="shared" ref="EE95:EE97" si="785">IF(ED95=0,"",ED95)</f>
        <v/>
      </c>
      <c r="EF95" s="13" t="str">
        <f>IF(OR(EE95="",COUNTIF(EE94:EE97,EE95)=1),"",$BZ95)</f>
        <v/>
      </c>
      <c r="EG95" s="13" t="str">
        <f>IF(EE95="","",IF(COUNTIF(EE94:EE97,EE95)=1,EE95,EE95+RANK(EF95,EF94:EF97,0)-1))</f>
        <v/>
      </c>
      <c r="EH95" s="13" t="str">
        <f>IF(OR(EG95="",COUNTIF(EG94:EG97,EG95)=1),"",$BX95)</f>
        <v/>
      </c>
      <c r="EI95" s="13" t="str">
        <f>IF(EE95="","",IF(COUNTIF(EG94:EG97,EG95)=1,EG95,EG95+RANK(EH95,EH94:EH97,0)-1))</f>
        <v/>
      </c>
      <c r="EJ95" s="13" t="str">
        <f>IF(OR(EI95="",COUNTIF(EI94:EI97,EI95)=1),"",$BU95)</f>
        <v/>
      </c>
      <c r="EK95" s="13" t="str">
        <f>IF(EE95="","",IF(COUNTIF(EI94:EI97,EI95)=1,EI95,EI95+RANK(EJ95,EJ94:EJ97,0)-1))</f>
        <v/>
      </c>
      <c r="EL95" s="13">
        <f>IF(DT95&gt;0,CG92+DA92+RANK(EK95,EK94:EK97,1),)</f>
        <v>0</v>
      </c>
      <c r="EN95" s="13">
        <f>IF(CC95=4,BT95,)</f>
        <v>0</v>
      </c>
      <c r="EO95" s="13">
        <f t="shared" ref="EO95:EO97" si="786">(SUMIF($AF$4:$AF$108,$BT95,$BL$4:$BL$108)+SUMIF($AH$4:$AH$108,$BT95,$BM$4:$BM$108))</f>
        <v>0</v>
      </c>
      <c r="EP95" s="13">
        <f t="shared" ref="EP95:EP97" si="787">(SUMIF($AF$4:$AF$108,$BT95,$BN$4:$BN$108)+SUMIF($AH$4:$AH$108,$BT95,$BO$4:$BO$108))</f>
        <v>0</v>
      </c>
      <c r="EQ95" s="13">
        <f t="shared" ref="EQ95:EQ97" si="788">(SUMIF($AF$4:$AF$108,$BT95,$BP$4:$BP$108)+SUMIF($AH$4:$AH$108,$BT95,$BQ$4:$BQ$108))</f>
        <v>0</v>
      </c>
      <c r="ER95" s="13">
        <f t="shared" ref="ER95:ER97" si="789">IFERROR(EO95*3+EP95*1,0)</f>
        <v>0</v>
      </c>
      <c r="ES95" s="13" t="str">
        <f t="shared" ref="ES95:ES97" si="790">$CB95</f>
        <v>K</v>
      </c>
      <c r="ET95" s="13">
        <f>IF(EN95&gt;0,RANK(ER95,ER94:ER97)+CG92+DA92+DU92,)</f>
        <v>0</v>
      </c>
      <c r="EU95" s="13">
        <f>IF(AND(EN95&gt;0,COUNTIF(ET94:ET97,ET95)&gt;1),SUMIFS($AI$4:$AI$108,$AF$4:$AF$108,$BT95,$M$4:$M$108,4)+SUMIFS($AK$4:$AK$108,$AH$4:$AH$108,$BT95,$M$4:$M$108,4)-SUMIFS($AK$4:$AK$108,$AF$4:$AF$108,$BT95,$M$4:$M$108,4)-SUMIFS($AI$4:$AI$108,$AH$4:$AH$108,$BT95,$M$4:$M$108,4),)</f>
        <v>0</v>
      </c>
      <c r="EV95" s="13">
        <f>IF(AND(EN95&gt;0,COUNTIF(ET94:ET97,ET95)&gt;1),ET95+RANK(EU95,EU94:EU97)-1,ET95)</f>
        <v>0</v>
      </c>
      <c r="EW95" s="13">
        <f t="shared" ref="EW95:EW97" si="791">IF(AND(EN95&gt;0,COUNTIF(EV95:EV98,EV95)&gt;1),SUMIFS($AI$4:$AI$108,$AF$4:$AF$108,$BT95,$M$4:$M$108,4)+SUMIFS($AK$4:$AK$108,$AH$4:$AH$108,$BT95,$M$4:$M$108,4),)</f>
        <v>0</v>
      </c>
      <c r="EX95" s="13">
        <f>IF(AND(EN95&gt;0,COUNTIF(EV94:EV97,EV95)&gt;1),EV95+RANK(EW95,EW94:EW97)-1,EV95)</f>
        <v>0</v>
      </c>
      <c r="EY95" s="13" t="str">
        <f t="shared" ref="EY95:EY97" si="792">IF(EX95=0,"",EX95)</f>
        <v/>
      </c>
      <c r="EZ95" s="13" t="str">
        <f>IF(OR(EY95="",COUNTIF(EY94:EY97,EY95)=1),"",$BZ95)</f>
        <v/>
      </c>
      <c r="FA95" s="13" t="str">
        <f>IF(EY95="","",IF(COUNTIF(EY94:EY97,EY95)=1,EY95,EY95+RANK(EZ95,EZ94:EZ97,0)-1))</f>
        <v/>
      </c>
      <c r="FB95" s="13" t="str">
        <f>IF(OR(FA95="",COUNTIF(FA94:FA97,FA95)=1),"",$BX95)</f>
        <v/>
      </c>
      <c r="FC95" s="13" t="str">
        <f>IF(EY95="","",IF(COUNTIF(FA94:FA97,FA95)=1,FA95,FA95+RANK(FB95,FB94:FB97,0)-1))</f>
        <v/>
      </c>
      <c r="FD95" s="13" t="str">
        <f>IF(OR(FC95="",COUNTIF(FC94:FC97,FC95)=1),"",$BU95)</f>
        <v/>
      </c>
      <c r="FE95" s="13" t="str">
        <f>IF(EY95="","",IF(COUNTIF(FC94:FC97,FC95)=1,FC95,FC95+RANK(FD95,FD94:FD97,0)-1))</f>
        <v/>
      </c>
      <c r="FF95" s="13">
        <f>IF(EN95&gt;0,CG92+DA92+DU92+RANK(FE95,FE94:FE97,1),)</f>
        <v>0</v>
      </c>
      <c r="FH95" s="13">
        <f>IFERROR(VLOOKUP(FJ95,CF93:CX97,19,FALSE),IFERROR(VLOOKUP(FJ95,CZ93:DR97,19,FALSE),IFERROR(VLOOKUP(FJ95,DT93:EL97,19,FALSE),VLOOKUP(FJ95,EN93:FF97,19,FALSE))))</f>
        <v>1</v>
      </c>
      <c r="FI95" s="13">
        <f>RANK(FH95,FH94:FH97,1)+COUNTIF(FH94:FH95,FH95)-1</f>
        <v>2</v>
      </c>
      <c r="FJ95" s="12" t="str">
        <f>BT95</f>
        <v>Kongo</v>
      </c>
      <c r="FZ95" s="79">
        <v>93</v>
      </c>
      <c r="GA95" s="3" t="str">
        <f t="shared" si="562"/>
        <v>EGBCIHLK</v>
      </c>
      <c r="GB95" s="3" t="s">
        <v>59</v>
      </c>
      <c r="GC95" s="3" t="s">
        <v>60</v>
      </c>
      <c r="GD95" s="3" t="s">
        <v>57</v>
      </c>
      <c r="GE95" s="3" t="s">
        <v>75</v>
      </c>
      <c r="GF95" s="3" t="s">
        <v>61</v>
      </c>
      <c r="GG95" s="3" t="s">
        <v>70</v>
      </c>
      <c r="GH95" s="3" t="s">
        <v>63</v>
      </c>
      <c r="GI95" s="3" t="s">
        <v>62</v>
      </c>
      <c r="GJ95" s="9" t="str">
        <f t="shared" si="640"/>
        <v>Elfenbenskusten</v>
      </c>
      <c r="GK95" s="9" t="str">
        <f t="shared" si="640"/>
        <v>Iran</v>
      </c>
      <c r="GL95" s="9" t="str">
        <f t="shared" si="640"/>
        <v>Qatar</v>
      </c>
      <c r="GM95" s="9" t="str">
        <f t="shared" si="640"/>
        <v>Haiti</v>
      </c>
      <c r="GN95" s="9" t="str">
        <f t="shared" si="640"/>
        <v>Irak</v>
      </c>
      <c r="GO95" s="9" t="str">
        <f t="shared" si="640"/>
        <v>Saudiarabien</v>
      </c>
      <c r="GP95" s="9" t="str">
        <f t="shared" si="640"/>
        <v>Ghana</v>
      </c>
      <c r="GQ95" s="9" t="str">
        <f t="shared" si="639"/>
        <v>Uzbekistan</v>
      </c>
      <c r="GR95" s="9" t="str">
        <f t="shared" si="563"/>
        <v/>
      </c>
      <c r="GX95" s="142"/>
    </row>
    <row r="96" spans="2:206" ht="14.25" customHeight="1" x14ac:dyDescent="0.25">
      <c r="B96" s="58">
        <v>47</v>
      </c>
      <c r="C96" s="59">
        <v>46196</v>
      </c>
      <c r="D96" s="60" t="s">
        <v>135</v>
      </c>
      <c r="E96" s="61" t="s">
        <v>66</v>
      </c>
      <c r="F96" s="62" t="s">
        <v>137</v>
      </c>
      <c r="G96" s="63"/>
      <c r="H96" s="64" t="s">
        <v>66</v>
      </c>
      <c r="I96" s="63"/>
      <c r="J96" s="65" t="str">
        <f t="shared" si="766"/>
        <v/>
      </c>
      <c r="K96" s="66">
        <f>IF(OR(G96="",I96="",'[1]Resultat &amp; tabell'!G96="",'[1]Resultat &amp; tabell'!I96=""),0,IF(G96='[1]Resultat &amp; tabell'!G96,2,0)+IF(I96='[1]Resultat &amp; tabell'!I96,2,0)+IF(J96='[1]Resultat &amp; tabell'!J96,2,0))</f>
        <v>0</v>
      </c>
      <c r="L96" s="67"/>
      <c r="M96" s="29">
        <f t="shared" si="717"/>
        <v>1</v>
      </c>
      <c r="N96" s="30">
        <v>3</v>
      </c>
      <c r="O96" s="83" t="str">
        <f>VLOOKUP(N96,FI94:FJ97,2,FALSE)</f>
        <v>Uzbekistan</v>
      </c>
      <c r="P96" s="84">
        <f t="shared" si="767"/>
        <v>0</v>
      </c>
      <c r="Q96" s="84">
        <f t="shared" si="768"/>
        <v>0</v>
      </c>
      <c r="R96" s="84">
        <f t="shared" si="769"/>
        <v>0</v>
      </c>
      <c r="S96" s="84">
        <f t="shared" si="770"/>
        <v>0</v>
      </c>
      <c r="T96" s="84">
        <f t="shared" si="771"/>
        <v>0</v>
      </c>
      <c r="U96" s="84">
        <f t="shared" si="772"/>
        <v>0</v>
      </c>
      <c r="V96" s="85">
        <f t="shared" si="773"/>
        <v>0</v>
      </c>
      <c r="X96" s="1"/>
      <c r="AE96" s="72">
        <f t="shared" si="719"/>
        <v>46196</v>
      </c>
      <c r="AF96" s="72" t="str">
        <f t="shared" si="719"/>
        <v>Portugal</v>
      </c>
      <c r="AG96" s="72" t="str">
        <f t="shared" si="719"/>
        <v>-</v>
      </c>
      <c r="AH96" s="72" t="str">
        <f t="shared" si="719"/>
        <v>Uzbekistan</v>
      </c>
      <c r="AI96" s="63" t="str">
        <f t="shared" si="720"/>
        <v/>
      </c>
      <c r="AJ96" s="58" t="str">
        <f t="shared" si="721"/>
        <v>-</v>
      </c>
      <c r="AK96" s="63" t="str">
        <f t="shared" si="722"/>
        <v/>
      </c>
      <c r="AL96" s="65" t="str">
        <f t="shared" si="723"/>
        <v/>
      </c>
      <c r="AM96" s="73"/>
      <c r="AN96" s="13">
        <f t="shared" si="724"/>
        <v>0</v>
      </c>
      <c r="AO96" s="13">
        <f t="shared" si="725"/>
        <v>0</v>
      </c>
      <c r="AP96" s="13">
        <f t="shared" si="726"/>
        <v>0</v>
      </c>
      <c r="AQ96" s="13">
        <f t="shared" si="727"/>
        <v>0</v>
      </c>
      <c r="AR96" s="13">
        <f t="shared" si="728"/>
        <v>0</v>
      </c>
      <c r="AS96" s="13">
        <f t="shared" si="729"/>
        <v>0</v>
      </c>
      <c r="AT96" s="13">
        <f t="shared" si="730"/>
        <v>0</v>
      </c>
      <c r="AU96" s="13">
        <f t="shared" si="731"/>
        <v>0</v>
      </c>
      <c r="AV96" s="13">
        <f t="shared" si="732"/>
        <v>0</v>
      </c>
      <c r="AW96" s="13">
        <f t="shared" si="733"/>
        <v>0</v>
      </c>
      <c r="AX96" s="13">
        <f t="shared" si="734"/>
        <v>0</v>
      </c>
      <c r="AY96" s="13">
        <f t="shared" si="735"/>
        <v>0</v>
      </c>
      <c r="AZ96" s="13">
        <f t="shared" si="736"/>
        <v>0</v>
      </c>
      <c r="BA96" s="13">
        <f t="shared" si="737"/>
        <v>0</v>
      </c>
      <c r="BB96" s="13">
        <f t="shared" si="738"/>
        <v>0</v>
      </c>
      <c r="BC96" s="13">
        <f t="shared" si="739"/>
        <v>0</v>
      </c>
      <c r="BD96" s="13">
        <f t="shared" si="740"/>
        <v>0</v>
      </c>
      <c r="BE96" s="13">
        <f t="shared" si="741"/>
        <v>0</v>
      </c>
      <c r="BF96" s="13">
        <f t="shared" si="742"/>
        <v>0</v>
      </c>
      <c r="BG96" s="13">
        <f t="shared" si="743"/>
        <v>0</v>
      </c>
      <c r="BH96" s="13">
        <f t="shared" si="744"/>
        <v>0</v>
      </c>
      <c r="BI96" s="13">
        <f t="shared" si="745"/>
        <v>0</v>
      </c>
      <c r="BJ96" s="13">
        <f t="shared" si="746"/>
        <v>0</v>
      </c>
      <c r="BK96" s="13">
        <f t="shared" si="747"/>
        <v>0</v>
      </c>
      <c r="BL96" s="13">
        <f t="shared" si="748"/>
        <v>0</v>
      </c>
      <c r="BM96" s="13">
        <f t="shared" si="749"/>
        <v>0</v>
      </c>
      <c r="BN96" s="13">
        <f t="shared" si="750"/>
        <v>0</v>
      </c>
      <c r="BO96" s="13">
        <f t="shared" si="751"/>
        <v>0</v>
      </c>
      <c r="BP96" s="13">
        <f t="shared" si="752"/>
        <v>0</v>
      </c>
      <c r="BQ96" s="13">
        <f t="shared" si="753"/>
        <v>0</v>
      </c>
      <c r="BT96" s="12" t="s">
        <v>137</v>
      </c>
      <c r="BU96" s="13">
        <f t="shared" si="754"/>
        <v>0</v>
      </c>
      <c r="BV96" s="13">
        <f t="shared" si="755"/>
        <v>0</v>
      </c>
      <c r="BW96" s="13">
        <f t="shared" si="756"/>
        <v>0</v>
      </c>
      <c r="BX96" s="13">
        <f t="shared" si="757"/>
        <v>0</v>
      </c>
      <c r="BY96" s="13">
        <f t="shared" si="758"/>
        <v>0</v>
      </c>
      <c r="BZ96" s="13">
        <f t="shared" si="759"/>
        <v>0</v>
      </c>
      <c r="CA96" s="13">
        <f t="shared" si="760"/>
        <v>0</v>
      </c>
      <c r="CB96" s="13" t="s">
        <v>62</v>
      </c>
      <c r="CC96" s="74">
        <f>RANK(CA96,CA94:CA97)</f>
        <v>1</v>
      </c>
      <c r="CD96" s="13">
        <f>SUMPRODUCT((CA94:CA97=CA96)*(BZ94:BZ97&gt;BZ96))</f>
        <v>0</v>
      </c>
      <c r="CF96" s="12" t="str">
        <f>IF(CC96=1,BT96,)</f>
        <v>Uzbekistan</v>
      </c>
      <c r="CG96" s="13">
        <f t="shared" si="761"/>
        <v>0</v>
      </c>
      <c r="CH96" s="13">
        <f t="shared" si="762"/>
        <v>0</v>
      </c>
      <c r="CI96" s="13">
        <f t="shared" si="763"/>
        <v>0</v>
      </c>
      <c r="CJ96" s="13">
        <f t="shared" si="764"/>
        <v>0</v>
      </c>
      <c r="CK96" s="13" t="str">
        <f t="shared" si="774"/>
        <v>K</v>
      </c>
      <c r="CL96" s="13">
        <f>IF(CF96&gt;0,RANK(CJ96,CJ94:CJ97),)</f>
        <v>1</v>
      </c>
      <c r="CM96" s="13">
        <f>IF(AND(CF96&gt;0,COUNTIF(CL94:CL97,CL96)&gt;1),SUMIFS($AI$4:$AI$108,$AF$4:$AF$108,$BT96,$M$4:$M$108,1)+SUMIFS($AK$4:$AK$108,$AH$4:$AH$108,$BT96,$M$4:$M$108,1)-SUMIFS($AK$4:$AK$108,$AF$4:$AF$108,$BT96,$M$4:$M$108,1)-SUMIFS($AI$4:$AI$108,$AH$4:$AH$108,$BT96,$M$4:$M$108,1),)</f>
        <v>0</v>
      </c>
      <c r="CN96" s="13">
        <f>IF(AND(CF96&gt;0,COUNTIF(CL94:CL97,CL96)&gt;1),CL96+RANK(CM96,CM94:CM97)-1,CL96)</f>
        <v>1</v>
      </c>
      <c r="CO96" s="13">
        <f>IF(AND(CF96&gt;0,COUNTIF(CN94:CN97,CN96)&gt;1),SUMIFS($AI$4:$AI$108,$AF$4:$AF$108,$BT96,$M$4:$M$108,1)+SUMIFS($AK$4:$AK$108,$AH$4:$AH$108,$BT96,$M$4:$M$108,1),)</f>
        <v>0</v>
      </c>
      <c r="CP96" s="13">
        <f>IF(AND(CF96&gt;0,COUNTIF(CN94:CN97,CN96)&gt;1),CN96+RANK(CO96,CO94:CO97)-1,CN96)</f>
        <v>1</v>
      </c>
      <c r="CQ96" s="13">
        <f t="shared" si="775"/>
        <v>1</v>
      </c>
      <c r="CR96" s="13">
        <f>IF(OR(CQ96="",COUNTIF(CQ94:CQ97,CQ96)=1),"",$BZ96)</f>
        <v>0</v>
      </c>
      <c r="CS96" s="13">
        <f>IF(CQ96="","",IF(COUNTIF(CQ94:CQ97,CQ96)=1,CQ96,CQ96+RANK(CR96,CR94:CR97,0)-1))</f>
        <v>1</v>
      </c>
      <c r="CT96" s="13">
        <f>IF(OR(CS96="",COUNTIF(CS94:CS97,CS96)=1),"",$BX96)</f>
        <v>0</v>
      </c>
      <c r="CU96" s="13">
        <f>IF(CQ96="","",IF(COUNTIF(CS94:CS97,CS96)=1,CS96,CS96+RANK(CT96,CT94:CT97,0)-1))</f>
        <v>1</v>
      </c>
      <c r="CV96" s="13">
        <f>IF(OR(CU96="",COUNTIF(CU94:CU97,CU96)=1),"",$BU96)</f>
        <v>0</v>
      </c>
      <c r="CW96" s="13">
        <f>IF(CQ96="","",IF(COUNTIF(CU94:CU97,CU96)=1,CU96,CU96+RANK(CV96,CV94:CV97,0)-1))</f>
        <v>1</v>
      </c>
      <c r="CX96" s="13">
        <f>IF(CF96&gt;0,BM92+RANK(CW96,CW94:CW97,1),)</f>
        <v>1</v>
      </c>
      <c r="CZ96" s="12">
        <f>IF(CC96=2,BT96,)</f>
        <v>0</v>
      </c>
      <c r="DA96" s="13">
        <f>(SUMIF($AF$4:$AF$108,$BT96,$AZ$4:$AZ$108)+SUMIF($AH$4:$AH$108,$BT96,$BA$4:$BA$108))</f>
        <v>0</v>
      </c>
      <c r="DB96" s="13">
        <f t="shared" si="776"/>
        <v>0</v>
      </c>
      <c r="DC96" s="13">
        <f t="shared" si="777"/>
        <v>0</v>
      </c>
      <c r="DD96" s="13">
        <f t="shared" si="778"/>
        <v>0</v>
      </c>
      <c r="DE96" s="13" t="str">
        <f t="shared" si="779"/>
        <v>K</v>
      </c>
      <c r="DF96" s="13">
        <f>IF(CZ96&gt;0,RANK(DD96,DD94:DD97)+CG92,)</f>
        <v>0</v>
      </c>
      <c r="DG96" s="13">
        <f>IF(AND(CZ96&gt;0,COUNTIF(DF94:DF97,DF96)&gt;1),SUMIFS($AI$4:$AI$108,$AF$4:$AF$108,$BT96,$M$4:$M$108,2)+SUMIFS($AK$4:$AK$108,$AH$4:$AH108,$BT96,$M$4:$M$108,2)-SUMIFS($AK$4:$AK$108,$AF$4:$AF$108,$BT96,$M$4:$M$108,2)-SUMIFS($AI$4:$AI$108,$AH$4:$AH$108,$BT96,$M$4:$M$108,2),)</f>
        <v>0</v>
      </c>
      <c r="DH96" s="13">
        <f>IF(AND(CZ96&gt;0,COUNTIF(DF94:DF97,DF96)&gt;1),DF96+RANK(DG96,DG94:DG97)-1,DF96)</f>
        <v>0</v>
      </c>
      <c r="DI96" s="13">
        <f>IF(AND(CZ96&gt;0,COUNTIF(DH94:DH97,DH96)&gt;1),SUMIFS($AI$4:$AI$108,$AF$4:$AF$108,$BT96,$M$4:$M$108,2)+SUMIFS($AK$4:$AK$108,$AH$4:$AH$108,$BT96,$M$4:$M$108,2),)</f>
        <v>0</v>
      </c>
      <c r="DJ96" s="13">
        <f>IF(AND(CZ96&gt;0,COUNTIF(DH94:DH97,DH96)&gt;1),DH96+RANK(DI96,DI94:DI97)-1,DH96)</f>
        <v>0</v>
      </c>
      <c r="DK96" s="75" t="str">
        <f t="shared" si="780"/>
        <v/>
      </c>
      <c r="DL96" s="75" t="str">
        <f>IF(OR(DK96="",COUNTIF(DK94:DK97,DK96)=1),"",$BZ96)</f>
        <v/>
      </c>
      <c r="DM96" s="75" t="str">
        <f>IF(DK96="","",IF(COUNTIF(DK94:DK97,DK96)=1,DK96,DK96+RANK(DL96,DL94:DL97,0)-1))</f>
        <v/>
      </c>
      <c r="DN96" s="75" t="str">
        <f>IF(OR(DM96="",COUNTIF(DM94:DM97,DM96)=1),"",$BX96)</f>
        <v/>
      </c>
      <c r="DO96" s="75" t="str">
        <f>IF(DK96="","",IF(COUNTIF(DM94:DM97,DM96)=1,DM96,DM96+RANK(DN96,DN94:DN97,0)-1))</f>
        <v/>
      </c>
      <c r="DP96" s="75" t="str">
        <f>IF(OR(DO96="",COUNTIF(DO94:DO97,DO96)=1),"",$BU96)</f>
        <v/>
      </c>
      <c r="DQ96" s="75" t="str">
        <f>IF(DK96="","",IF(COUNTIF(DO94:DO97,DO96)=1,DO96,DO96+RANK(DP96,DP94:DP97,0)-1))</f>
        <v/>
      </c>
      <c r="DR96" s="13">
        <f>IF(CZ96&gt;0,CG92+RANK(DQ96,DQ94:DQ97,1),)</f>
        <v>0</v>
      </c>
      <c r="DT96" s="13">
        <f>IF(CC96=3,BT96,)</f>
        <v>0</v>
      </c>
      <c r="DU96" s="13">
        <f t="shared" si="781"/>
        <v>0</v>
      </c>
      <c r="DV96" s="13">
        <f t="shared" si="782"/>
        <v>0</v>
      </c>
      <c r="DW96" s="13">
        <f t="shared" si="783"/>
        <v>0</v>
      </c>
      <c r="DX96" s="13">
        <f>IFERROR(DU96*3+DV96*1,0)</f>
        <v>0</v>
      </c>
      <c r="DY96" s="13" t="str">
        <f t="shared" si="784"/>
        <v>K</v>
      </c>
      <c r="DZ96" s="13">
        <f>IF(DT96&gt;0,RANK(DX96,DX94:DX97)+CG92+DA92,)</f>
        <v>0</v>
      </c>
      <c r="EA96" s="13">
        <f>IF(AND(DT96&gt;0,COUNTIF(DZ94:DZ97,DZ96)&gt;1),SUMIFS($AI$4:$AI$108,$AF$4:$AF$108,$BT96,$M$4:$M$108,3)+SUMIFS($AK$4:$AK$108,$AH$4:$AH$108,$BT96,$M$4:$M$108,3)-SUMIFS($AK$4:$AK$108,$AF$4:$AF$108,$BT96,$M$4:$M$108,3)-SUMIFS($AI$4:$AI$108,$AH$4:$AH$108,$BT96,$M$4:$M$108,3),)</f>
        <v>0</v>
      </c>
      <c r="EB96" s="13">
        <f>IF(AND(DT96&gt;0,COUNTIF(DZ94:DZ97,DZ96)&gt;1),DZ96+RANK(EA96,EA94:EA97)-1,DZ96)</f>
        <v>0</v>
      </c>
      <c r="EC96" s="13">
        <f>IF(AND(DT96&gt;0,COUNTIF(EB94:EB97,EB96)&gt;1),SUMIFS($AI$4:$AI$108,$AF$4:$AF$108,$BT96,$M$4:$M$108,3)+SUMIFS($AK$4:$AK$108,$AH$4:$AH$108,$BT96,$M$4:$M$108,3),)</f>
        <v>0</v>
      </c>
      <c r="ED96" s="13">
        <f>IF(AND(DT96&gt;0,COUNTIF(EB94:EB97,EB96)&gt;1),EB96+RANK(EC96,EC94:EC97)-1,EB96)</f>
        <v>0</v>
      </c>
      <c r="EE96" s="13" t="str">
        <f t="shared" si="785"/>
        <v/>
      </c>
      <c r="EF96" s="13" t="str">
        <f>IF(OR(EE96="",COUNTIF(EE94:EE97,EE96)=1),"",$BZ96)</f>
        <v/>
      </c>
      <c r="EG96" s="13" t="str">
        <f>IF(EE96="","",IF(COUNTIF(EE94:EE97,EE96)=1,EE96,EE96+RANK(EF96,EF94:EF97,0)-1))</f>
        <v/>
      </c>
      <c r="EH96" s="13" t="str">
        <f>IF(OR(EG96="",COUNTIF(EG94:EG97,EG96)=1),"",$BX96)</f>
        <v/>
      </c>
      <c r="EI96" s="13" t="str">
        <f>IF(EE96="","",IF(COUNTIF(EG94:EG97,EG96)=1,EG96,EG96+RANK(EH96,EH94:EH97,0)-1))</f>
        <v/>
      </c>
      <c r="EJ96" s="13" t="str">
        <f>IF(OR(EI96="",COUNTIF(EI94:EI97,EI96)=1),"",$BU96)</f>
        <v/>
      </c>
      <c r="EK96" s="13" t="str">
        <f>IF(EE96="","",IF(COUNTIF(EI94:EI97,EI96)=1,EI96,EI96+RANK(EJ96,EJ94:EJ97,0)-1))</f>
        <v/>
      </c>
      <c r="EL96" s="13">
        <f>IF(DT96&gt;0,CG92+DA92+RANK(EK96,EK94:EK97,1),)</f>
        <v>0</v>
      </c>
      <c r="EN96" s="13">
        <f>IF(CC96=4,BT96,)</f>
        <v>0</v>
      </c>
      <c r="EO96" s="13">
        <f t="shared" si="786"/>
        <v>0</v>
      </c>
      <c r="EP96" s="13">
        <f t="shared" si="787"/>
        <v>0</v>
      </c>
      <c r="EQ96" s="13">
        <f t="shared" si="788"/>
        <v>0</v>
      </c>
      <c r="ER96" s="13">
        <f t="shared" si="789"/>
        <v>0</v>
      </c>
      <c r="ES96" s="13" t="str">
        <f t="shared" si="790"/>
        <v>K</v>
      </c>
      <c r="ET96" s="13">
        <f>IF(EN96&gt;0,RANK(ER96,ER94:ER97)+CG92+DA92+DU92,)</f>
        <v>0</v>
      </c>
      <c r="EU96" s="13">
        <f>IF(AND(EN96&gt;0,COUNTIF(ET94:ET97,ET96)&gt;1),SUMIFS($AI$4:$AI$108,$AF$4:$AF$108,$BT96,$M$4:$M$108,4)+SUMIFS($AK$4:$AK$108,$AH$4:$AH$108,$BT96,$M$4:$M$108,4)-SUMIFS($AK$4:$AK$108,$AF$4:$AF$108,$BT96,$M$4:$M$108,4)-SUMIFS($AI$4:$AI$108,$AH$4:$AH$108,$BT96,$M$4:$M$108,4),)</f>
        <v>0</v>
      </c>
      <c r="EV96" s="13">
        <f>IF(AND(EN96&gt;0,COUNTIF(ET94:ET97,ET96)&gt;1),ET96+RANK(EU96,EU94:EU97)-1,ET96)</f>
        <v>0</v>
      </c>
      <c r="EW96" s="13">
        <f t="shared" si="791"/>
        <v>0</v>
      </c>
      <c r="EX96" s="13">
        <f>IF(AND(EN96&gt;0,COUNTIF(EV94:EV97,EV96)&gt;1),EV96+RANK(EW96,EW94:EW97)-1,EV96)</f>
        <v>0</v>
      </c>
      <c r="EY96" s="13" t="str">
        <f t="shared" si="792"/>
        <v/>
      </c>
      <c r="EZ96" s="13" t="str">
        <f>IF(OR(EY96="",COUNTIF(EY94:EY97,EY96)=1),"",$BZ96)</f>
        <v/>
      </c>
      <c r="FA96" s="13" t="str">
        <f>IF(EY96="","",IF(COUNTIF(EY94:EY97,EY96)=1,EY96,EY96+RANK(EZ96,EZ94:EZ97,0)-1))</f>
        <v/>
      </c>
      <c r="FB96" s="13" t="str">
        <f>IF(OR(FA96="",COUNTIF(FA94:FA97,FA96)=1),"",$BX96)</f>
        <v/>
      </c>
      <c r="FC96" s="13" t="str">
        <f>IF(EY96="","",IF(COUNTIF(FA94:FA97,FA96)=1,FA96,FA96+RANK(FB96,FB94:FB97,0)-1))</f>
        <v/>
      </c>
      <c r="FD96" s="13" t="str">
        <f>IF(OR(FC96="",COUNTIF(FC94:FC97,FC96)=1),"",$BU96)</f>
        <v/>
      </c>
      <c r="FE96" s="13" t="str">
        <f>IF(EY96="","",IF(COUNTIF(FC94:FC97,FC96)=1,FC96,FC96+RANK(FD96,FD94:FD97,0)-1))</f>
        <v/>
      </c>
      <c r="FF96" s="13">
        <f>IF(EN96&gt;0,CG92+DA92+DU92+RANK(FE96,FE94:FE97,1),)</f>
        <v>0</v>
      </c>
      <c r="FH96" s="13">
        <f>IFERROR(VLOOKUP(FJ96,CF93:CX97,19,FALSE),IFERROR(VLOOKUP(FJ96,CZ93:DR97,19,FALSE),IFERROR(VLOOKUP(FJ96,DT93:EL97,19,FALSE),VLOOKUP(FJ96,EN93:FF97,19,FALSE))))</f>
        <v>1</v>
      </c>
      <c r="FI96" s="13">
        <f>RANK(FH96,FH94:FH97,1)+COUNTIF(FH94:FH96,FH96)-1</f>
        <v>3</v>
      </c>
      <c r="FJ96" s="12" t="str">
        <f>BT96</f>
        <v>Uzbekistan</v>
      </c>
      <c r="FZ96" s="79">
        <v>94</v>
      </c>
      <c r="GA96" s="3" t="str">
        <f t="shared" si="562"/>
        <v>EJBCHGLI</v>
      </c>
      <c r="GB96" s="3" t="s">
        <v>59</v>
      </c>
      <c r="GC96" s="3" t="s">
        <v>69</v>
      </c>
      <c r="GD96" s="3" t="s">
        <v>57</v>
      </c>
      <c r="GE96" s="3" t="s">
        <v>75</v>
      </c>
      <c r="GF96" s="3" t="s">
        <v>70</v>
      </c>
      <c r="GG96" s="3" t="s">
        <v>60</v>
      </c>
      <c r="GH96" s="3" t="s">
        <v>63</v>
      </c>
      <c r="GI96" s="3" t="s">
        <v>61</v>
      </c>
      <c r="GJ96" s="9" t="str">
        <f t="shared" si="640"/>
        <v>Elfenbenskusten</v>
      </c>
      <c r="GK96" s="9" t="str">
        <f t="shared" si="640"/>
        <v>Österrike</v>
      </c>
      <c r="GL96" s="9" t="str">
        <f t="shared" si="640"/>
        <v>Qatar</v>
      </c>
      <c r="GM96" s="9" t="str">
        <f t="shared" si="640"/>
        <v>Haiti</v>
      </c>
      <c r="GN96" s="9" t="str">
        <f t="shared" si="640"/>
        <v>Saudiarabien</v>
      </c>
      <c r="GO96" s="9" t="str">
        <f t="shared" si="640"/>
        <v>Iran</v>
      </c>
      <c r="GP96" s="9" t="str">
        <f t="shared" si="640"/>
        <v>Ghana</v>
      </c>
      <c r="GQ96" s="9" t="str">
        <f t="shared" si="639"/>
        <v>Irak</v>
      </c>
      <c r="GR96" s="9" t="str">
        <f t="shared" si="563"/>
        <v/>
      </c>
      <c r="GX96" s="142"/>
    </row>
    <row r="97" spans="2:206" ht="14.25" customHeight="1" x14ac:dyDescent="0.25">
      <c r="B97" s="58">
        <v>48</v>
      </c>
      <c r="C97" s="59">
        <v>46197</v>
      </c>
      <c r="D97" s="60" t="s">
        <v>138</v>
      </c>
      <c r="E97" s="61" t="s">
        <v>66</v>
      </c>
      <c r="F97" s="62" t="s">
        <v>136</v>
      </c>
      <c r="G97" s="63"/>
      <c r="H97" s="64" t="s">
        <v>66</v>
      </c>
      <c r="I97" s="63"/>
      <c r="J97" s="65" t="str">
        <f t="shared" si="766"/>
        <v/>
      </c>
      <c r="K97" s="66">
        <f>IF(OR(G97="",I97="",'[1]Resultat &amp; tabell'!G97="",'[1]Resultat &amp; tabell'!I97=""),0,IF(G97='[1]Resultat &amp; tabell'!G97,2,0)+IF(I97='[1]Resultat &amp; tabell'!I97,2,0)+IF(J97='[1]Resultat &amp; tabell'!J97,2,0))</f>
        <v>0</v>
      </c>
      <c r="L97" s="67"/>
      <c r="M97" s="29">
        <f t="shared" si="717"/>
        <v>1</v>
      </c>
      <c r="N97" s="30">
        <v>4</v>
      </c>
      <c r="O97" s="86" t="str">
        <f>VLOOKUP(N97,FI94:FJ97,2,FALSE)</f>
        <v>Colombia</v>
      </c>
      <c r="P97" s="87">
        <f t="shared" si="767"/>
        <v>0</v>
      </c>
      <c r="Q97" s="87">
        <f t="shared" si="768"/>
        <v>0</v>
      </c>
      <c r="R97" s="87">
        <f t="shared" si="769"/>
        <v>0</v>
      </c>
      <c r="S97" s="87">
        <f t="shared" si="770"/>
        <v>0</v>
      </c>
      <c r="T97" s="87">
        <f t="shared" si="771"/>
        <v>0</v>
      </c>
      <c r="U97" s="87">
        <f t="shared" si="772"/>
        <v>0</v>
      </c>
      <c r="V97" s="82">
        <f t="shared" si="773"/>
        <v>0</v>
      </c>
      <c r="X97" s="1"/>
      <c r="AE97" s="72">
        <f t="shared" si="719"/>
        <v>46197</v>
      </c>
      <c r="AF97" s="72" t="str">
        <f t="shared" si="719"/>
        <v>Colombia</v>
      </c>
      <c r="AG97" s="72" t="str">
        <f t="shared" si="719"/>
        <v>-</v>
      </c>
      <c r="AH97" s="72" t="str">
        <f t="shared" si="719"/>
        <v>Kongo</v>
      </c>
      <c r="AI97" s="63" t="str">
        <f t="shared" si="720"/>
        <v/>
      </c>
      <c r="AJ97" s="58" t="str">
        <f t="shared" si="721"/>
        <v>-</v>
      </c>
      <c r="AK97" s="63" t="str">
        <f t="shared" si="722"/>
        <v/>
      </c>
      <c r="AL97" s="65" t="str">
        <f t="shared" si="723"/>
        <v/>
      </c>
      <c r="AM97" s="73"/>
      <c r="AN97" s="13">
        <f t="shared" si="724"/>
        <v>0</v>
      </c>
      <c r="AO97" s="13">
        <f t="shared" si="725"/>
        <v>0</v>
      </c>
      <c r="AP97" s="13">
        <f t="shared" si="726"/>
        <v>0</v>
      </c>
      <c r="AQ97" s="13">
        <f t="shared" si="727"/>
        <v>0</v>
      </c>
      <c r="AR97" s="13">
        <f t="shared" si="728"/>
        <v>0</v>
      </c>
      <c r="AS97" s="13">
        <f t="shared" si="729"/>
        <v>0</v>
      </c>
      <c r="AT97" s="13">
        <f t="shared" si="730"/>
        <v>0</v>
      </c>
      <c r="AU97" s="13">
        <f t="shared" si="731"/>
        <v>0</v>
      </c>
      <c r="AV97" s="13">
        <f t="shared" si="732"/>
        <v>0</v>
      </c>
      <c r="AW97" s="13">
        <f t="shared" si="733"/>
        <v>0</v>
      </c>
      <c r="AX97" s="13">
        <f t="shared" si="734"/>
        <v>0</v>
      </c>
      <c r="AY97" s="13">
        <f t="shared" si="735"/>
        <v>0</v>
      </c>
      <c r="AZ97" s="13">
        <f t="shared" si="736"/>
        <v>0</v>
      </c>
      <c r="BA97" s="13">
        <f t="shared" si="737"/>
        <v>0</v>
      </c>
      <c r="BB97" s="13">
        <f t="shared" si="738"/>
        <v>0</v>
      </c>
      <c r="BC97" s="13">
        <f t="shared" si="739"/>
        <v>0</v>
      </c>
      <c r="BD97" s="13">
        <f t="shared" si="740"/>
        <v>0</v>
      </c>
      <c r="BE97" s="13">
        <f t="shared" si="741"/>
        <v>0</v>
      </c>
      <c r="BF97" s="13">
        <f t="shared" si="742"/>
        <v>0</v>
      </c>
      <c r="BG97" s="13">
        <f t="shared" si="743"/>
        <v>0</v>
      </c>
      <c r="BH97" s="13">
        <f t="shared" si="744"/>
        <v>0</v>
      </c>
      <c r="BI97" s="13">
        <f t="shared" si="745"/>
        <v>0</v>
      </c>
      <c r="BJ97" s="13">
        <f t="shared" si="746"/>
        <v>0</v>
      </c>
      <c r="BK97" s="13">
        <f t="shared" si="747"/>
        <v>0</v>
      </c>
      <c r="BL97" s="13">
        <f t="shared" si="748"/>
        <v>0</v>
      </c>
      <c r="BM97" s="13">
        <f t="shared" si="749"/>
        <v>0</v>
      </c>
      <c r="BN97" s="13">
        <f t="shared" si="750"/>
        <v>0</v>
      </c>
      <c r="BO97" s="13">
        <f t="shared" si="751"/>
        <v>0</v>
      </c>
      <c r="BP97" s="13">
        <f t="shared" si="752"/>
        <v>0</v>
      </c>
      <c r="BQ97" s="13">
        <f t="shared" si="753"/>
        <v>0</v>
      </c>
      <c r="BT97" s="88" t="s">
        <v>138</v>
      </c>
      <c r="BU97" s="13">
        <f t="shared" si="754"/>
        <v>0</v>
      </c>
      <c r="BV97" s="13">
        <f t="shared" si="755"/>
        <v>0</v>
      </c>
      <c r="BW97" s="13">
        <f t="shared" si="756"/>
        <v>0</v>
      </c>
      <c r="BX97" s="13">
        <f t="shared" si="757"/>
        <v>0</v>
      </c>
      <c r="BY97" s="13">
        <f t="shared" si="758"/>
        <v>0</v>
      </c>
      <c r="BZ97" s="13">
        <f t="shared" si="759"/>
        <v>0</v>
      </c>
      <c r="CA97" s="13">
        <f t="shared" si="760"/>
        <v>0</v>
      </c>
      <c r="CB97" s="89" t="s">
        <v>62</v>
      </c>
      <c r="CC97" s="74">
        <f>RANK(CA97,CA94:CA97)</f>
        <v>1</v>
      </c>
      <c r="CD97" s="13">
        <f>SUMPRODUCT((CA94:CA97=CA97)*(BZ94:BZ97&gt;BZ97))</f>
        <v>0</v>
      </c>
      <c r="CF97" s="88" t="str">
        <f>IF(CC97=1,BT97,)</f>
        <v>Colombia</v>
      </c>
      <c r="CG97" s="13">
        <f t="shared" si="761"/>
        <v>0</v>
      </c>
      <c r="CH97" s="13">
        <f t="shared" si="762"/>
        <v>0</v>
      </c>
      <c r="CI97" s="13">
        <f t="shared" si="763"/>
        <v>0</v>
      </c>
      <c r="CJ97" s="13">
        <f t="shared" si="764"/>
        <v>0</v>
      </c>
      <c r="CK97" s="13" t="str">
        <f t="shared" si="774"/>
        <v>K</v>
      </c>
      <c r="CL97" s="13">
        <f>IF(CF97&gt;0,RANK(CJ97,CJ94:CJ97),)</f>
        <v>1</v>
      </c>
      <c r="CM97" s="13">
        <f>IF(AND(CF97&gt;0,COUNTIF(CL94:CL97,CL97)&gt;1),SUMIFS($AI$4:$AI$108,$AF$4:$AF$108,$BT97,$M$4:$M$108,1)+SUMIFS($AK$4:$AK$108,$AH$4:$AH$108,$BT97,$M$4:$M$108,1)-SUMIFS($AK$4:$AK$108,$AF$4:$AF$108,$BT97,$M$4:$M$108,1)-SUMIFS($AI$4:$AI$108,$AH$4:$AH$108,$BT97,$M$4:$M$108,1),)</f>
        <v>0</v>
      </c>
      <c r="CN97" s="13">
        <f>IF(AND(CF97&gt;0,COUNTIF(CL94:CL97,CL97)&gt;1),CL97+RANK(CM97,CM94:CM97)-1,CL97)</f>
        <v>1</v>
      </c>
      <c r="CO97" s="13">
        <f>IF(AND(CF97&gt;0,COUNTIF(CN94:CN97,CN97)&gt;1),SUMIFS($AI$4:$AI$108,$AF$4:$AF$108,$BT97,$M$4:$M$108,1)+SUMIFS($AK$4:$AK$108,$AH$4:$AH$108,$BT97,$M$4:$M$108,1),)</f>
        <v>0</v>
      </c>
      <c r="CP97" s="13">
        <f>IF(AND(CF97&gt;0,COUNTIF(CN94:CN97,CN97)&gt;1),CN97+RANK(CO97,CO94:CO97)-1,CN97)</f>
        <v>1</v>
      </c>
      <c r="CQ97" s="13">
        <f t="shared" si="775"/>
        <v>1</v>
      </c>
      <c r="CR97" s="13">
        <f>IF(OR(CQ97="",COUNTIF(CQ94:CQ97,CQ97)=1),"",$BZ97)</f>
        <v>0</v>
      </c>
      <c r="CS97" s="13">
        <f>IF(CQ97="","",IF(COUNTIF(CQ94:CQ97,CQ97)=1,CQ97,CQ97+RANK(CR97,CR94:CR97,0)-1))</f>
        <v>1</v>
      </c>
      <c r="CT97" s="13">
        <f>IF(OR(CS97="",COUNTIF(CS94:CS97,CS97)=1),"",$BX97)</f>
        <v>0</v>
      </c>
      <c r="CU97" s="13">
        <f>IF(CQ97="","",IF(COUNTIF(CS94:CS97,CS97)=1,CS97,CS97+RANK(CT97,CT94:CT97,0)-1))</f>
        <v>1</v>
      </c>
      <c r="CV97" s="13">
        <f>IF(OR(CU97="",COUNTIF(CU94:CU97,CU97)=1),"",$BU97)</f>
        <v>0</v>
      </c>
      <c r="CW97" s="13">
        <f>IF(CQ97="","",IF(COUNTIF(CU94:CU97,CU97)=1,CU97,CU97+RANK(CV97,CV94:CV97,0)-1))</f>
        <v>1</v>
      </c>
      <c r="CX97" s="13">
        <f>IF(CF97&gt;0,BM92+RANK(CW97,CW94:CW97,1),)</f>
        <v>1</v>
      </c>
      <c r="CZ97" s="88">
        <f>IF(CC97=2,BT97,)</f>
        <v>0</v>
      </c>
      <c r="DA97" s="13">
        <f>(SUMIF($AF$4:$AF$108,$BT97,$AZ$4:$AZ$108)+SUMIF($AH$4:$AH$108,$BT97,$BA$4:$BA$108))</f>
        <v>0</v>
      </c>
      <c r="DB97" s="13">
        <f t="shared" si="776"/>
        <v>0</v>
      </c>
      <c r="DC97" s="13">
        <f t="shared" si="777"/>
        <v>0</v>
      </c>
      <c r="DD97" s="13">
        <f t="shared" si="778"/>
        <v>0</v>
      </c>
      <c r="DE97" s="13" t="str">
        <f t="shared" si="779"/>
        <v>K</v>
      </c>
      <c r="DF97" s="13">
        <f>IF(CZ97&gt;0,RANK(DD97,DD94:DD97)+CG92,)</f>
        <v>0</v>
      </c>
      <c r="DG97" s="13">
        <f>IF(AND(CZ97&gt;0,COUNTIF(DF94:DF97,DF97)&gt;1),SUMIFS($AI$4:$AI$108,$AF$4:$AF$108,$BT97,$M$4:$M$108,2)+SUMIFS($AK$4:$AK$108,$AH$4:$AH108,$BT97,$M$4:$M$108,2)-SUMIFS($AK$4:$AK$108,$AF$4:$AF$108,$BT97,$M$4:$M$108,2)-SUMIFS($AI$4:$AI$108,$AH$4:$AH$108,$BT97,$M$4:$M$108,2),)</f>
        <v>0</v>
      </c>
      <c r="DH97" s="13">
        <f>IF(AND(CZ97&gt;0,COUNTIF(DF94:DF97,DF97)&gt;1),DF97+RANK(DG97,DG94:DG97)-1,DF97)</f>
        <v>0</v>
      </c>
      <c r="DI97" s="13">
        <f>IF(AND(CZ97&gt;0,COUNTIF(DH94:DH97,DH97)&gt;1),SUMIFS($AI$4:$AI$108,$AF$4:$AF$108,$BT97,$M$4:$M$108,2)+SUMIFS($AK$4:$AK$108,$AH$4:$AH$108,$BT97,$M$4:$M$108,2),)</f>
        <v>0</v>
      </c>
      <c r="DJ97" s="13">
        <f>IF(AND(CZ97&gt;0,COUNTIF(DH94:DH97,DH97)&gt;1),DH97+RANK(DI97,DI94:DI97)-1,DH97)</f>
        <v>0</v>
      </c>
      <c r="DK97" s="75" t="str">
        <f t="shared" si="780"/>
        <v/>
      </c>
      <c r="DL97" s="75" t="str">
        <f>IF(OR(DK97="",COUNTIF(DK94:DK97,DK97)=1),"",$BZ97)</f>
        <v/>
      </c>
      <c r="DM97" s="75" t="str">
        <f>IF(DK97="","",IF(COUNTIF(DK94:DK97,DK97)=1,DK97,DK97+RANK(DL97,DL94:DL97,0)-1))</f>
        <v/>
      </c>
      <c r="DN97" s="75" t="str">
        <f>IF(OR(DM97="",COUNTIF(DM94:DM97,DM97)=1),"",$BX97)</f>
        <v/>
      </c>
      <c r="DO97" s="75" t="str">
        <f>IF(DK97="","",IF(COUNTIF(DM94:DM97,DM97)=1,DM97,DM97+RANK(DN97,DN94:DN97,0)-1))</f>
        <v/>
      </c>
      <c r="DP97" s="75" t="str">
        <f>IF(OR(DO97="",COUNTIF(DO94:DO97,DO97)=1),"",$BU97)</f>
        <v/>
      </c>
      <c r="DQ97" s="75" t="str">
        <f>IF(DK97="","",IF(COUNTIF(DO94:DO97,DO97)=1,DO97,DO97+RANK(DP97,DP94:DP97,0)-1))</f>
        <v/>
      </c>
      <c r="DR97" s="13">
        <f>IF(CZ97&gt;0,CG92+RANK(DQ97,DQ94:DQ97,1),)</f>
        <v>0</v>
      </c>
      <c r="DT97" s="89">
        <f>IF(CC97=3,BT97,)</f>
        <v>0</v>
      </c>
      <c r="DU97" s="13">
        <f t="shared" si="781"/>
        <v>0</v>
      </c>
      <c r="DV97" s="13">
        <f t="shared" si="782"/>
        <v>0</v>
      </c>
      <c r="DW97" s="13">
        <f t="shared" si="783"/>
        <v>0</v>
      </c>
      <c r="DX97" s="13">
        <f>IFERROR(DU97*3+DV97*1,0)</f>
        <v>0</v>
      </c>
      <c r="DY97" s="13" t="str">
        <f t="shared" si="784"/>
        <v>K</v>
      </c>
      <c r="DZ97" s="13">
        <f>IF(DT97&gt;0,RANK(DX97,DX94:DX97)+CG92+DA92,)</f>
        <v>0</v>
      </c>
      <c r="EA97" s="13">
        <f>IF(AND(DT97&gt;0,COUNTIF(DZ94:DZ97,DZ97)&gt;1),SUMIFS($AI$4:$AI$108,$AF$4:$AF$108,$BT97,$M$4:$M$108,3)+SUMIFS($AK$4:$AK$108,$AH$4:$AH$108,$BT97,$M$4:$M$108,3)-SUMIFS($AK$4:$AK$108,$AF$4:$AF$108,$BT97,$M$4:$M$108,3)-SUMIFS($AI$4:$AI$108,$AH$4:$AH$108,$BT97,$M$4:$M$108,3),)</f>
        <v>0</v>
      </c>
      <c r="EB97" s="13">
        <f>IF(AND(DT97&gt;0,COUNTIF(DZ94:DZ97,DZ97)&gt;1),DZ97+RANK(EA97,EA94:EA97)-1,DZ97)</f>
        <v>0</v>
      </c>
      <c r="EC97" s="13">
        <f>IF(AND(DT97&gt;0,COUNTIF(EB94:EB97,EB97)&gt;1),SUMIFS($AI$4:$AI$108,$AF$4:$AF$108,$BT97,$M$4:$M$108,3)+SUMIFS($AK$4:$AK$108,$AH$4:$AH$108,$BT97,$M$4:$M$108,3),)</f>
        <v>0</v>
      </c>
      <c r="ED97" s="13">
        <f>IF(AND(DT97&gt;0,COUNTIF(EB94:EB97,EB97)&gt;1),EB97+RANK(EC97,EC94:EC97)-1,EB97)</f>
        <v>0</v>
      </c>
      <c r="EE97" s="13" t="str">
        <f t="shared" si="785"/>
        <v/>
      </c>
      <c r="EF97" s="13" t="str">
        <f>IF(OR(EE97="",COUNTIF(EE94:EE97,EE97)=1),"",$BZ97)</f>
        <v/>
      </c>
      <c r="EG97" s="13" t="str">
        <f>IF(EE97="","",IF(COUNTIF(EE94:EE97,EE97)=1,EE97,EE97+RANK(EF97,EF94:EF97,0)-1))</f>
        <v/>
      </c>
      <c r="EH97" s="13" t="str">
        <f>IF(OR(EG97="",COUNTIF(EG94:EG97,EG97)=1),"",$BX97)</f>
        <v/>
      </c>
      <c r="EI97" s="13" t="str">
        <f>IF(EE97="","",IF(COUNTIF(EG94:EG97,EG97)=1,EG97,EG97+RANK(EH97,EH94:EH97,0)-1))</f>
        <v/>
      </c>
      <c r="EJ97" s="13" t="str">
        <f>IF(OR(EI97="",COUNTIF(EI94:EI97,EI97)=1),"",$BU97)</f>
        <v/>
      </c>
      <c r="EK97" s="13" t="str">
        <f>IF(EE97="","",IF(COUNTIF(EI94:EI97,EI97)=1,EI97,EI97+RANK(EJ97,EJ94:EJ97,0)-1))</f>
        <v/>
      </c>
      <c r="EL97" s="13">
        <f>IF(DT97&gt;0,CG92+DA92+RANK(EK97,EK94:EK97,1),)</f>
        <v>0</v>
      </c>
      <c r="EN97" s="13">
        <f>IF(CC97=4,BT97,)</f>
        <v>0</v>
      </c>
      <c r="EO97" s="13">
        <f t="shared" si="786"/>
        <v>0</v>
      </c>
      <c r="EP97" s="13">
        <f t="shared" si="787"/>
        <v>0</v>
      </c>
      <c r="EQ97" s="13">
        <f t="shared" si="788"/>
        <v>0</v>
      </c>
      <c r="ER97" s="13">
        <f t="shared" si="789"/>
        <v>0</v>
      </c>
      <c r="ES97" s="13" t="str">
        <f t="shared" si="790"/>
        <v>K</v>
      </c>
      <c r="ET97" s="13">
        <f>IF(EN97&gt;0,RANK(ER97,ER94:ER97)+CG92+DA92+DU92,)</f>
        <v>0</v>
      </c>
      <c r="EU97" s="13">
        <f>IF(AND(EN97&gt;0,COUNTIF(ET94:ET97,ET97)&gt;1),SUMIFS($AI$4:$AI$108,$AF$4:$AF$108,$BT97,$M$4:$M$108,4)+SUMIFS($AK$4:$AK$108,$AH$4:$AH$108,$BT97,$M$4:$M$108,4)-SUMIFS($AK$4:$AK$108,$AF$4:$AF$108,$BT97,$M$4:$M$108,4)-SUMIFS($AI$4:$AI$108,$AH$4:$AH$108,$BT97,$M$4:$M$108,4),)</f>
        <v>0</v>
      </c>
      <c r="EV97" s="13">
        <f>IF(AND(EN97&gt;0,COUNTIF(ET94:ET97,ET97)&gt;1),ET97+RANK(EU97,EU94:EU97)-1,ET97)</f>
        <v>0</v>
      </c>
      <c r="EW97" s="13">
        <f t="shared" si="791"/>
        <v>0</v>
      </c>
      <c r="EX97" s="13">
        <f>IF(AND(EN97&gt;0,COUNTIF(EV94:EV97,EV97)&gt;1),EV97+RANK(EW97,EW94:EW97)-1,EV97)</f>
        <v>0</v>
      </c>
      <c r="EY97" s="13" t="str">
        <f t="shared" si="792"/>
        <v/>
      </c>
      <c r="EZ97" s="13" t="str">
        <f>IF(OR(EY97="",COUNTIF(EY94:EY97,EY97)=1),"",$BZ97)</f>
        <v/>
      </c>
      <c r="FA97" s="13" t="str">
        <f>IF(EY97="","",IF(COUNTIF(EY94:EY97,EY97)=1,EY97,EY97+RANK(EZ97,EZ94:EZ97,0)-1))</f>
        <v/>
      </c>
      <c r="FB97" s="13" t="str">
        <f>IF(OR(FA97="",COUNTIF(FA94:FA97,FA97)=1),"",$BX97)</f>
        <v/>
      </c>
      <c r="FC97" s="13" t="str">
        <f>IF(EY97="","",IF(COUNTIF(FA94:FA97,FA97)=1,FA97,FA97+RANK(FB97,FB94:FB97,0)-1))</f>
        <v/>
      </c>
      <c r="FD97" s="13" t="str">
        <f>IF(OR(FC97="",COUNTIF(FC94:FC97,FC97)=1),"",$BU97)</f>
        <v/>
      </c>
      <c r="FE97" s="13" t="str">
        <f>IF(EY97="","",IF(COUNTIF(FC94:FC97,FC97)=1,FC97,FC97+RANK(FD97,FD94:FD97,0)-1))</f>
        <v/>
      </c>
      <c r="FF97" s="13">
        <f>IF(EN97&gt;0,CG92+DA92+DU92+RANK(FE97,FE94:FE97,1),)</f>
        <v>0</v>
      </c>
      <c r="FH97" s="13">
        <f>IFERROR(VLOOKUP(FJ97,CF93:CX97,19,FALSE),IFERROR(VLOOKUP(FJ97,CZ93:DR97,19,FALSE),IFERROR(VLOOKUP(FJ97,DT93:EL97,19,FALSE),VLOOKUP(FJ97,EN93:FF97,19,FALSE))))</f>
        <v>1</v>
      </c>
      <c r="FI97" s="13">
        <f>RANK(FH97,FH94:FH97,1)+COUNTIF(FH94:FH97,FH97)-1</f>
        <v>4</v>
      </c>
      <c r="FJ97" s="12" t="str">
        <f>BT97</f>
        <v>Colombia</v>
      </c>
      <c r="FZ97" s="79">
        <v>95</v>
      </c>
      <c r="GA97" s="3" t="str">
        <f t="shared" si="562"/>
        <v>EJBCHGIK</v>
      </c>
      <c r="GB97" s="3" t="s">
        <v>59</v>
      </c>
      <c r="GC97" s="3" t="s">
        <v>69</v>
      </c>
      <c r="GD97" s="3" t="s">
        <v>57</v>
      </c>
      <c r="GE97" s="3" t="s">
        <v>75</v>
      </c>
      <c r="GF97" s="3" t="s">
        <v>70</v>
      </c>
      <c r="GG97" s="3" t="s">
        <v>60</v>
      </c>
      <c r="GH97" s="3" t="s">
        <v>61</v>
      </c>
      <c r="GI97" s="3" t="s">
        <v>62</v>
      </c>
      <c r="GJ97" s="9" t="str">
        <f t="shared" si="640"/>
        <v>Elfenbenskusten</v>
      </c>
      <c r="GK97" s="9" t="str">
        <f t="shared" si="640"/>
        <v>Österrike</v>
      </c>
      <c r="GL97" s="9" t="str">
        <f t="shared" si="640"/>
        <v>Qatar</v>
      </c>
      <c r="GM97" s="9" t="str">
        <f t="shared" si="640"/>
        <v>Haiti</v>
      </c>
      <c r="GN97" s="9" t="str">
        <f t="shared" si="640"/>
        <v>Saudiarabien</v>
      </c>
      <c r="GO97" s="9" t="str">
        <f t="shared" si="640"/>
        <v>Iran</v>
      </c>
      <c r="GP97" s="9" t="str">
        <f t="shared" si="640"/>
        <v>Irak</v>
      </c>
      <c r="GQ97" s="9" t="str">
        <f t="shared" si="639"/>
        <v>Uzbekistan</v>
      </c>
      <c r="GR97" s="9" t="str">
        <f t="shared" si="563"/>
        <v/>
      </c>
      <c r="GX97" s="142"/>
    </row>
    <row r="98" spans="2:206" ht="14.25" customHeight="1" x14ac:dyDescent="0.25">
      <c r="B98" s="58">
        <v>71</v>
      </c>
      <c r="C98" s="59">
        <v>46201</v>
      </c>
      <c r="D98" s="60" t="s">
        <v>138</v>
      </c>
      <c r="E98" s="61" t="s">
        <v>66</v>
      </c>
      <c r="F98" s="62" t="s">
        <v>135</v>
      </c>
      <c r="G98" s="63"/>
      <c r="H98" s="64" t="s">
        <v>66</v>
      </c>
      <c r="I98" s="63"/>
      <c r="J98" s="65" t="str">
        <f t="shared" si="766"/>
        <v/>
      </c>
      <c r="K98" s="66">
        <f>IF(OR(G98="",I98="",'[1]Resultat &amp; tabell'!G98="",'[1]Resultat &amp; tabell'!I98=""),0,IF(G98='[1]Resultat &amp; tabell'!G98,2,0)+IF(I98='[1]Resultat &amp; tabell'!I98,2,0)+IF(J98='[1]Resultat &amp; tabell'!J98,2,0))</f>
        <v>0</v>
      </c>
      <c r="L98" s="67"/>
      <c r="M98" s="29">
        <f t="shared" si="717"/>
        <v>1</v>
      </c>
      <c r="O98" s="91" t="str">
        <f>IF(COUNTBLANK(G94:G99)+COUNTBLANK(I94:I99)=0,"Resultat OK","Fyll i resultat")</f>
        <v>Fyll i resultat</v>
      </c>
      <c r="P98" s="92"/>
      <c r="Q98" s="92"/>
      <c r="R98" s="92"/>
      <c r="S98" s="92"/>
      <c r="T98" s="92"/>
      <c r="U98" s="92"/>
      <c r="X98" s="1"/>
      <c r="AE98" s="72">
        <f t="shared" si="719"/>
        <v>46201</v>
      </c>
      <c r="AF98" s="72" t="str">
        <f t="shared" si="719"/>
        <v>Colombia</v>
      </c>
      <c r="AG98" s="72" t="str">
        <f t="shared" si="719"/>
        <v>-</v>
      </c>
      <c r="AH98" s="72" t="str">
        <f t="shared" si="719"/>
        <v>Portugal</v>
      </c>
      <c r="AI98" s="63" t="str">
        <f t="shared" si="720"/>
        <v/>
      </c>
      <c r="AJ98" s="58" t="str">
        <f t="shared" si="721"/>
        <v>-</v>
      </c>
      <c r="AK98" s="63" t="str">
        <f t="shared" si="722"/>
        <v/>
      </c>
      <c r="AL98" s="65" t="str">
        <f t="shared" si="723"/>
        <v/>
      </c>
      <c r="AM98" s="73"/>
      <c r="AN98" s="13">
        <f t="shared" si="724"/>
        <v>0</v>
      </c>
      <c r="AO98" s="13">
        <f t="shared" si="725"/>
        <v>0</v>
      </c>
      <c r="AP98" s="13">
        <f t="shared" si="726"/>
        <v>0</v>
      </c>
      <c r="AQ98" s="13">
        <f t="shared" si="727"/>
        <v>0</v>
      </c>
      <c r="AR98" s="13">
        <f t="shared" si="728"/>
        <v>0</v>
      </c>
      <c r="AS98" s="13">
        <f t="shared" si="729"/>
        <v>0</v>
      </c>
      <c r="AT98" s="13">
        <f t="shared" si="730"/>
        <v>0</v>
      </c>
      <c r="AU98" s="13">
        <f t="shared" si="731"/>
        <v>0</v>
      </c>
      <c r="AV98" s="13">
        <f t="shared" si="732"/>
        <v>0</v>
      </c>
      <c r="AW98" s="13">
        <f t="shared" si="733"/>
        <v>0</v>
      </c>
      <c r="AX98" s="13">
        <f t="shared" si="734"/>
        <v>0</v>
      </c>
      <c r="AY98" s="13">
        <f t="shared" si="735"/>
        <v>0</v>
      </c>
      <c r="AZ98" s="13">
        <f t="shared" si="736"/>
        <v>0</v>
      </c>
      <c r="BA98" s="13">
        <f t="shared" si="737"/>
        <v>0</v>
      </c>
      <c r="BB98" s="13">
        <f t="shared" si="738"/>
        <v>0</v>
      </c>
      <c r="BC98" s="13">
        <f t="shared" si="739"/>
        <v>0</v>
      </c>
      <c r="BD98" s="13">
        <f t="shared" si="740"/>
        <v>0</v>
      </c>
      <c r="BE98" s="13">
        <f t="shared" si="741"/>
        <v>0</v>
      </c>
      <c r="BF98" s="13">
        <f t="shared" si="742"/>
        <v>0</v>
      </c>
      <c r="BG98" s="13">
        <f t="shared" si="743"/>
        <v>0</v>
      </c>
      <c r="BH98" s="13">
        <f t="shared" si="744"/>
        <v>0</v>
      </c>
      <c r="BI98" s="13">
        <f t="shared" si="745"/>
        <v>0</v>
      </c>
      <c r="BJ98" s="13">
        <f t="shared" si="746"/>
        <v>0</v>
      </c>
      <c r="BK98" s="13">
        <f t="shared" si="747"/>
        <v>0</v>
      </c>
      <c r="BL98" s="13">
        <f t="shared" si="748"/>
        <v>0</v>
      </c>
      <c r="BM98" s="13">
        <f t="shared" si="749"/>
        <v>0</v>
      </c>
      <c r="BN98" s="13">
        <f t="shared" si="750"/>
        <v>0</v>
      </c>
      <c r="BO98" s="13">
        <f t="shared" si="751"/>
        <v>0</v>
      </c>
      <c r="BP98" s="13">
        <f t="shared" si="752"/>
        <v>0</v>
      </c>
      <c r="BQ98" s="13">
        <f t="shared" si="753"/>
        <v>0</v>
      </c>
      <c r="FZ98" s="79">
        <v>96</v>
      </c>
      <c r="GA98" s="3" t="str">
        <f t="shared" si="562"/>
        <v>EJBCIFLK</v>
      </c>
      <c r="GB98" s="3" t="s">
        <v>59</v>
      </c>
      <c r="GC98" s="3" t="s">
        <v>69</v>
      </c>
      <c r="GD98" s="3" t="s">
        <v>57</v>
      </c>
      <c r="GE98" s="3" t="s">
        <v>75</v>
      </c>
      <c r="GF98" s="3" t="s">
        <v>61</v>
      </c>
      <c r="GG98" s="3" t="s">
        <v>21</v>
      </c>
      <c r="GH98" s="3" t="s">
        <v>63</v>
      </c>
      <c r="GI98" s="3" t="s">
        <v>62</v>
      </c>
      <c r="GJ98" s="9" t="str">
        <f t="shared" si="640"/>
        <v>Elfenbenskusten</v>
      </c>
      <c r="GK98" s="9" t="str">
        <f t="shared" si="640"/>
        <v>Österrike</v>
      </c>
      <c r="GL98" s="9" t="str">
        <f t="shared" si="640"/>
        <v>Qatar</v>
      </c>
      <c r="GM98" s="9" t="str">
        <f t="shared" si="640"/>
        <v>Haiti</v>
      </c>
      <c r="GN98" s="9" t="str">
        <f t="shared" si="640"/>
        <v>Irak</v>
      </c>
      <c r="GO98" s="9" t="str">
        <f t="shared" si="640"/>
        <v>Sverige</v>
      </c>
      <c r="GP98" s="9" t="str">
        <f t="shared" si="640"/>
        <v>Ghana</v>
      </c>
      <c r="GQ98" s="9" t="str">
        <f t="shared" si="639"/>
        <v>Uzbekistan</v>
      </c>
      <c r="GR98" s="9" t="str">
        <f t="shared" si="563"/>
        <v/>
      </c>
      <c r="GX98" s="142"/>
    </row>
    <row r="99" spans="2:206" ht="14.25" customHeight="1" x14ac:dyDescent="0.25">
      <c r="B99" s="58">
        <v>72</v>
      </c>
      <c r="C99" s="59">
        <v>46201</v>
      </c>
      <c r="D99" s="60" t="s">
        <v>136</v>
      </c>
      <c r="E99" s="61" t="s">
        <v>66</v>
      </c>
      <c r="F99" s="62" t="s">
        <v>137</v>
      </c>
      <c r="G99" s="63"/>
      <c r="H99" s="64" t="s">
        <v>66</v>
      </c>
      <c r="I99" s="63"/>
      <c r="J99" s="65" t="str">
        <f t="shared" si="766"/>
        <v/>
      </c>
      <c r="K99" s="66">
        <f>IF(OR(G99="",I99="",'[1]Resultat &amp; tabell'!G99="",'[1]Resultat &amp; tabell'!I99=""),0,IF(G99='[1]Resultat &amp; tabell'!G99,2,0)+IF(I99='[1]Resultat &amp; tabell'!I99,2,0)+IF(J99='[1]Resultat &amp; tabell'!J99,2,0))</f>
        <v>0</v>
      </c>
      <c r="L99" s="67"/>
      <c r="M99" s="29">
        <f t="shared" si="717"/>
        <v>1</v>
      </c>
      <c r="X99" s="1"/>
      <c r="AE99" s="72">
        <f t="shared" si="719"/>
        <v>46201</v>
      </c>
      <c r="AF99" s="72" t="str">
        <f t="shared" si="719"/>
        <v>Kongo</v>
      </c>
      <c r="AG99" s="72" t="str">
        <f t="shared" si="719"/>
        <v>-</v>
      </c>
      <c r="AH99" s="72" t="str">
        <f t="shared" si="719"/>
        <v>Uzbekistan</v>
      </c>
      <c r="AI99" s="63" t="str">
        <f t="shared" si="720"/>
        <v/>
      </c>
      <c r="AJ99" s="58" t="str">
        <f t="shared" si="721"/>
        <v>-</v>
      </c>
      <c r="AK99" s="63" t="str">
        <f t="shared" si="722"/>
        <v/>
      </c>
      <c r="AL99" s="65" t="str">
        <f t="shared" si="723"/>
        <v/>
      </c>
      <c r="AM99" s="73"/>
      <c r="AN99" s="13">
        <f t="shared" si="724"/>
        <v>0</v>
      </c>
      <c r="AO99" s="13">
        <f t="shared" si="725"/>
        <v>0</v>
      </c>
      <c r="AP99" s="13">
        <f t="shared" si="726"/>
        <v>0</v>
      </c>
      <c r="AQ99" s="13">
        <f t="shared" si="727"/>
        <v>0</v>
      </c>
      <c r="AR99" s="13">
        <f t="shared" si="728"/>
        <v>0</v>
      </c>
      <c r="AS99" s="13">
        <f t="shared" si="729"/>
        <v>0</v>
      </c>
      <c r="AT99" s="13">
        <f t="shared" si="730"/>
        <v>0</v>
      </c>
      <c r="AU99" s="13">
        <f t="shared" si="731"/>
        <v>0</v>
      </c>
      <c r="AV99" s="13">
        <f t="shared" si="732"/>
        <v>0</v>
      </c>
      <c r="AW99" s="13">
        <f t="shared" si="733"/>
        <v>0</v>
      </c>
      <c r="AX99" s="13">
        <f t="shared" si="734"/>
        <v>0</v>
      </c>
      <c r="AY99" s="13">
        <f t="shared" si="735"/>
        <v>0</v>
      </c>
      <c r="AZ99" s="13">
        <f t="shared" si="736"/>
        <v>0</v>
      </c>
      <c r="BA99" s="13">
        <f t="shared" si="737"/>
        <v>0</v>
      </c>
      <c r="BB99" s="13">
        <f t="shared" si="738"/>
        <v>0</v>
      </c>
      <c r="BC99" s="13">
        <f t="shared" si="739"/>
        <v>0</v>
      </c>
      <c r="BD99" s="13">
        <f t="shared" si="740"/>
        <v>0</v>
      </c>
      <c r="BE99" s="13">
        <f t="shared" si="741"/>
        <v>0</v>
      </c>
      <c r="BF99" s="13">
        <f t="shared" si="742"/>
        <v>0</v>
      </c>
      <c r="BG99" s="13">
        <f t="shared" si="743"/>
        <v>0</v>
      </c>
      <c r="BH99" s="13">
        <f t="shared" si="744"/>
        <v>0</v>
      </c>
      <c r="BI99" s="13">
        <f t="shared" si="745"/>
        <v>0</v>
      </c>
      <c r="BJ99" s="13">
        <f t="shared" si="746"/>
        <v>0</v>
      </c>
      <c r="BK99" s="13">
        <f t="shared" si="747"/>
        <v>0</v>
      </c>
      <c r="BL99" s="13">
        <f t="shared" si="748"/>
        <v>0</v>
      </c>
      <c r="BM99" s="13">
        <f t="shared" si="749"/>
        <v>0</v>
      </c>
      <c r="BN99" s="13">
        <f t="shared" si="750"/>
        <v>0</v>
      </c>
      <c r="BO99" s="13">
        <f t="shared" si="751"/>
        <v>0</v>
      </c>
      <c r="BP99" s="13">
        <f t="shared" si="752"/>
        <v>0</v>
      </c>
      <c r="BQ99" s="13">
        <f t="shared" si="753"/>
        <v>0</v>
      </c>
      <c r="FZ99" s="79">
        <v>97</v>
      </c>
      <c r="GA99" s="3" t="str">
        <f t="shared" si="562"/>
        <v>EJBCHFLK</v>
      </c>
      <c r="GB99" s="3" t="s">
        <v>59</v>
      </c>
      <c r="GC99" s="3" t="s">
        <v>69</v>
      </c>
      <c r="GD99" s="3" t="s">
        <v>57</v>
      </c>
      <c r="GE99" s="3" t="s">
        <v>75</v>
      </c>
      <c r="GF99" s="3" t="s">
        <v>70</v>
      </c>
      <c r="GG99" s="3" t="s">
        <v>21</v>
      </c>
      <c r="GH99" s="3" t="s">
        <v>63</v>
      </c>
      <c r="GI99" s="3" t="s">
        <v>62</v>
      </c>
      <c r="GJ99" s="9" t="str">
        <f t="shared" si="640"/>
        <v>Elfenbenskusten</v>
      </c>
      <c r="GK99" s="9" t="str">
        <f t="shared" si="640"/>
        <v>Österrike</v>
      </c>
      <c r="GL99" s="9" t="str">
        <f t="shared" si="640"/>
        <v>Qatar</v>
      </c>
      <c r="GM99" s="9" t="str">
        <f t="shared" si="640"/>
        <v>Haiti</v>
      </c>
      <c r="GN99" s="9" t="str">
        <f t="shared" si="640"/>
        <v>Saudiarabien</v>
      </c>
      <c r="GO99" s="9" t="str">
        <f t="shared" si="640"/>
        <v>Sverige</v>
      </c>
      <c r="GP99" s="9" t="str">
        <f t="shared" si="640"/>
        <v>Ghana</v>
      </c>
      <c r="GQ99" s="9" t="str">
        <f t="shared" si="639"/>
        <v>Uzbekistan</v>
      </c>
      <c r="GR99" s="9" t="str">
        <f t="shared" si="563"/>
        <v/>
      </c>
      <c r="GX99" s="142"/>
    </row>
    <row r="100" spans="2:206" ht="14.25" customHeight="1" x14ac:dyDescent="0.25">
      <c r="B100" s="3"/>
      <c r="C100" s="94"/>
      <c r="D100" s="143"/>
      <c r="F100" s="143"/>
      <c r="G100" s="139"/>
      <c r="H100" s="100"/>
      <c r="I100" s="139"/>
      <c r="J100" s="79"/>
      <c r="K100" s="73"/>
      <c r="L100" s="67"/>
      <c r="X100" s="1"/>
      <c r="AE100" s="94"/>
      <c r="AF100" s="143"/>
      <c r="AG100" s="3"/>
      <c r="AH100" s="143"/>
      <c r="AI100" s="139"/>
      <c r="AJ100" s="105"/>
      <c r="AK100" s="139"/>
      <c r="AL100" s="79"/>
      <c r="AM100" s="73"/>
      <c r="FZ100" s="79">
        <v>98</v>
      </c>
      <c r="GA100" s="3" t="str">
        <f t="shared" si="562"/>
        <v>EIBCHFLK</v>
      </c>
      <c r="GB100" s="3" t="s">
        <v>59</v>
      </c>
      <c r="GC100" s="3" t="s">
        <v>61</v>
      </c>
      <c r="GD100" s="3" t="s">
        <v>57</v>
      </c>
      <c r="GE100" s="3" t="s">
        <v>75</v>
      </c>
      <c r="GF100" s="3" t="s">
        <v>70</v>
      </c>
      <c r="GG100" s="3" t="s">
        <v>21</v>
      </c>
      <c r="GH100" s="3" t="s">
        <v>63</v>
      </c>
      <c r="GI100" s="3" t="s">
        <v>62</v>
      </c>
      <c r="GJ100" s="9" t="str">
        <f t="shared" si="640"/>
        <v>Elfenbenskusten</v>
      </c>
      <c r="GK100" s="9" t="str">
        <f t="shared" si="640"/>
        <v>Irak</v>
      </c>
      <c r="GL100" s="9" t="str">
        <f t="shared" si="640"/>
        <v>Qatar</v>
      </c>
      <c r="GM100" s="9" t="str">
        <f t="shared" si="640"/>
        <v>Haiti</v>
      </c>
      <c r="GN100" s="9" t="str">
        <f t="shared" si="640"/>
        <v>Saudiarabien</v>
      </c>
      <c r="GO100" s="9" t="str">
        <f t="shared" si="640"/>
        <v>Sverige</v>
      </c>
      <c r="GP100" s="9" t="str">
        <f t="shared" si="640"/>
        <v>Ghana</v>
      </c>
      <c r="GQ100" s="9" t="str">
        <f t="shared" si="639"/>
        <v>Uzbekistan</v>
      </c>
      <c r="GR100" s="9" t="str">
        <f t="shared" si="563"/>
        <v/>
      </c>
      <c r="GX100" s="142"/>
    </row>
    <row r="101" spans="2:206" ht="14.25" customHeight="1" x14ac:dyDescent="0.25">
      <c r="B101" s="19" t="s">
        <v>139</v>
      </c>
      <c r="C101" s="97"/>
      <c r="D101" s="126"/>
      <c r="E101" s="33"/>
      <c r="F101" s="126"/>
      <c r="G101" s="25"/>
      <c r="H101" s="25"/>
      <c r="I101" s="25"/>
      <c r="J101" s="23"/>
      <c r="K101" s="16"/>
      <c r="L101" s="49"/>
      <c r="O101" s="19" t="s">
        <v>139</v>
      </c>
      <c r="X101" s="1"/>
      <c r="AE101" s="19" t="s">
        <v>139</v>
      </c>
      <c r="AF101" s="126"/>
      <c r="AG101" s="33"/>
      <c r="AH101" s="126"/>
      <c r="AI101" s="33"/>
      <c r="AJ101" s="33"/>
      <c r="AK101" s="33"/>
      <c r="AL101" s="23"/>
      <c r="AM101" s="16"/>
      <c r="AN101" s="16"/>
      <c r="BT101" s="39" t="s">
        <v>4</v>
      </c>
      <c r="BU101" s="34"/>
      <c r="BV101" s="34"/>
      <c r="BW101" s="34"/>
      <c r="BX101" s="34"/>
      <c r="BY101" s="34"/>
      <c r="BZ101" s="34"/>
      <c r="CA101" s="34"/>
      <c r="CB101" s="39"/>
      <c r="CC101" s="34"/>
      <c r="CD101" s="34"/>
      <c r="CF101" s="40" t="s">
        <v>5</v>
      </c>
      <c r="CG101" s="35">
        <f>COUNTIF(CC103:CC106,1)</f>
        <v>4</v>
      </c>
      <c r="CH101" s="35"/>
      <c r="CI101" s="35"/>
      <c r="CJ101" s="35"/>
      <c r="CK101" s="35"/>
      <c r="CL101" s="35"/>
      <c r="CM101" s="35"/>
      <c r="CN101" s="35"/>
      <c r="CO101" s="35"/>
      <c r="CP101" s="35"/>
      <c r="CZ101" s="41" t="s">
        <v>8</v>
      </c>
      <c r="DA101" s="36">
        <f>COUNTIF(CC103:CC106,2)</f>
        <v>0</v>
      </c>
      <c r="DB101" s="36"/>
      <c r="DC101" s="36"/>
      <c r="DD101" s="36"/>
      <c r="DE101" s="36"/>
      <c r="DF101" s="36"/>
      <c r="DG101" s="36"/>
      <c r="DH101" s="36"/>
      <c r="DI101" s="36"/>
      <c r="DJ101" s="41"/>
      <c r="DT101" s="37" t="s">
        <v>6</v>
      </c>
      <c r="DU101" s="37">
        <f>COUNTIF(CC103:CC106,3)</f>
        <v>0</v>
      </c>
      <c r="DV101" s="37"/>
      <c r="DW101" s="37"/>
      <c r="DX101" s="37"/>
      <c r="DY101" s="37"/>
      <c r="DZ101" s="37"/>
      <c r="EA101" s="37"/>
      <c r="EB101" s="37"/>
      <c r="EC101" s="37"/>
      <c r="ED101" s="37"/>
      <c r="EN101" s="38" t="s">
        <v>7</v>
      </c>
      <c r="EO101" s="38">
        <f>COUNTIF(CC103:CC106,4)</f>
        <v>0</v>
      </c>
      <c r="EP101" s="38"/>
      <c r="EQ101" s="38"/>
      <c r="ER101" s="38"/>
      <c r="ES101" s="38"/>
      <c r="ET101" s="38"/>
      <c r="EU101" s="38"/>
      <c r="EV101" s="38"/>
      <c r="EW101" s="38"/>
      <c r="EX101" s="38"/>
      <c r="FZ101" s="79">
        <v>99</v>
      </c>
      <c r="GA101" s="3" t="str">
        <f t="shared" si="562"/>
        <v>EJBCHFLI</v>
      </c>
      <c r="GB101" s="3" t="s">
        <v>59</v>
      </c>
      <c r="GC101" s="3" t="s">
        <v>69</v>
      </c>
      <c r="GD101" s="3" t="s">
        <v>57</v>
      </c>
      <c r="GE101" s="3" t="s">
        <v>75</v>
      </c>
      <c r="GF101" s="3" t="s">
        <v>70</v>
      </c>
      <c r="GG101" s="3" t="s">
        <v>21</v>
      </c>
      <c r="GH101" s="3" t="s">
        <v>63</v>
      </c>
      <c r="GI101" s="3" t="s">
        <v>61</v>
      </c>
      <c r="GJ101" s="9" t="str">
        <f t="shared" si="640"/>
        <v>Elfenbenskusten</v>
      </c>
      <c r="GK101" s="9" t="str">
        <f t="shared" si="640"/>
        <v>Österrike</v>
      </c>
      <c r="GL101" s="9" t="str">
        <f t="shared" si="640"/>
        <v>Qatar</v>
      </c>
      <c r="GM101" s="9" t="str">
        <f t="shared" si="640"/>
        <v>Haiti</v>
      </c>
      <c r="GN101" s="9" t="str">
        <f t="shared" si="640"/>
        <v>Saudiarabien</v>
      </c>
      <c r="GO101" s="9" t="str">
        <f t="shared" si="640"/>
        <v>Sverige</v>
      </c>
      <c r="GP101" s="9" t="str">
        <f t="shared" si="640"/>
        <v>Ghana</v>
      </c>
      <c r="GQ101" s="9" t="str">
        <f t="shared" si="639"/>
        <v>Irak</v>
      </c>
      <c r="GR101" s="9" t="str">
        <f t="shared" si="563"/>
        <v/>
      </c>
      <c r="GX101" s="142"/>
    </row>
    <row r="102" spans="2:206" ht="14.25" customHeight="1" x14ac:dyDescent="0.25">
      <c r="B102" s="117" t="s">
        <v>12</v>
      </c>
      <c r="C102" s="107" t="s">
        <v>13</v>
      </c>
      <c r="D102" s="181" t="s">
        <v>12</v>
      </c>
      <c r="E102" s="182"/>
      <c r="F102" s="183"/>
      <c r="G102" s="184" t="s">
        <v>14</v>
      </c>
      <c r="H102" s="184"/>
      <c r="I102" s="184"/>
      <c r="J102" s="47" t="s">
        <v>15</v>
      </c>
      <c r="K102" s="48" t="s">
        <v>16</v>
      </c>
      <c r="L102" s="49"/>
      <c r="O102" s="51" t="s">
        <v>18</v>
      </c>
      <c r="P102" s="52" t="s">
        <v>19</v>
      </c>
      <c r="Q102" s="52" t="s">
        <v>20</v>
      </c>
      <c r="R102" s="52" t="s">
        <v>21</v>
      </c>
      <c r="S102" s="52" t="s">
        <v>22</v>
      </c>
      <c r="T102" s="52" t="s">
        <v>23</v>
      </c>
      <c r="U102" s="52" t="s">
        <v>24</v>
      </c>
      <c r="V102" s="53" t="s">
        <v>25</v>
      </c>
      <c r="X102" s="1"/>
      <c r="AE102" s="107" t="s">
        <v>13</v>
      </c>
      <c r="AF102" s="181" t="s">
        <v>12</v>
      </c>
      <c r="AG102" s="182"/>
      <c r="AH102" s="183"/>
      <c r="AI102" s="182" t="s">
        <v>14</v>
      </c>
      <c r="AJ102" s="182"/>
      <c r="AK102" s="182"/>
      <c r="AL102" s="47" t="s">
        <v>28</v>
      </c>
      <c r="AM102" s="16"/>
      <c r="AN102" s="34" t="s">
        <v>29</v>
      </c>
      <c r="AO102" s="34" t="s">
        <v>30</v>
      </c>
      <c r="AP102" s="34" t="s">
        <v>31</v>
      </c>
      <c r="AQ102" s="34" t="s">
        <v>32</v>
      </c>
      <c r="AR102" s="34" t="s">
        <v>33</v>
      </c>
      <c r="AS102" s="34" t="s">
        <v>34</v>
      </c>
      <c r="AT102" s="35" t="s">
        <v>29</v>
      </c>
      <c r="AU102" s="35" t="s">
        <v>30</v>
      </c>
      <c r="AV102" s="35" t="s">
        <v>31</v>
      </c>
      <c r="AW102" s="35" t="s">
        <v>32</v>
      </c>
      <c r="AX102" s="35" t="s">
        <v>33</v>
      </c>
      <c r="AY102" s="35" t="s">
        <v>34</v>
      </c>
      <c r="AZ102" s="36" t="s">
        <v>29</v>
      </c>
      <c r="BA102" s="36" t="s">
        <v>30</v>
      </c>
      <c r="BB102" s="36" t="s">
        <v>31</v>
      </c>
      <c r="BC102" s="36" t="s">
        <v>32</v>
      </c>
      <c r="BD102" s="36" t="s">
        <v>33</v>
      </c>
      <c r="BE102" s="36" t="s">
        <v>34</v>
      </c>
      <c r="BF102" s="37" t="s">
        <v>29</v>
      </c>
      <c r="BG102" s="37" t="s">
        <v>30</v>
      </c>
      <c r="BH102" s="37" t="s">
        <v>31</v>
      </c>
      <c r="BI102" s="37" t="s">
        <v>32</v>
      </c>
      <c r="BJ102" s="37" t="s">
        <v>33</v>
      </c>
      <c r="BK102" s="37" t="s">
        <v>34</v>
      </c>
      <c r="BL102" s="38" t="s">
        <v>29</v>
      </c>
      <c r="BM102" s="38" t="s">
        <v>30</v>
      </c>
      <c r="BN102" s="38" t="s">
        <v>31</v>
      </c>
      <c r="BO102" s="38" t="s">
        <v>32</v>
      </c>
      <c r="BP102" s="38" t="s">
        <v>33</v>
      </c>
      <c r="BQ102" s="38" t="s">
        <v>34</v>
      </c>
      <c r="BT102" s="39" t="s">
        <v>18</v>
      </c>
      <c r="BU102" s="34" t="s">
        <v>19</v>
      </c>
      <c r="BV102" s="34" t="s">
        <v>20</v>
      </c>
      <c r="BW102" s="34" t="s">
        <v>21</v>
      </c>
      <c r="BX102" s="34" t="s">
        <v>22</v>
      </c>
      <c r="BY102" s="34" t="s">
        <v>23</v>
      </c>
      <c r="BZ102" s="34" t="s">
        <v>24</v>
      </c>
      <c r="CA102" s="34" t="s">
        <v>25</v>
      </c>
      <c r="CB102" s="39" t="s">
        <v>35</v>
      </c>
      <c r="CC102" s="34" t="s">
        <v>36</v>
      </c>
      <c r="CD102" s="34" t="s">
        <v>37</v>
      </c>
      <c r="CF102" s="40" t="s">
        <v>18</v>
      </c>
      <c r="CG102" s="35" t="s">
        <v>19</v>
      </c>
      <c r="CH102" s="35" t="s">
        <v>20</v>
      </c>
      <c r="CI102" s="35" t="s">
        <v>21</v>
      </c>
      <c r="CJ102" s="35" t="s">
        <v>25</v>
      </c>
      <c r="CK102" s="35" t="s">
        <v>35</v>
      </c>
      <c r="CL102" s="35" t="s">
        <v>36</v>
      </c>
      <c r="CM102" s="56" t="s">
        <v>24</v>
      </c>
      <c r="CN102" s="56" t="s">
        <v>38</v>
      </c>
      <c r="CO102" s="56" t="s">
        <v>22</v>
      </c>
      <c r="CP102" s="56" t="s">
        <v>39</v>
      </c>
      <c r="CQ102" s="35" t="s">
        <v>40</v>
      </c>
      <c r="CR102" s="56" t="s">
        <v>41</v>
      </c>
      <c r="CS102" s="56" t="s">
        <v>42</v>
      </c>
      <c r="CT102" s="56" t="s">
        <v>43</v>
      </c>
      <c r="CU102" s="56" t="s">
        <v>44</v>
      </c>
      <c r="CV102" s="56" t="s">
        <v>45</v>
      </c>
      <c r="CW102" s="56" t="s">
        <v>46</v>
      </c>
      <c r="CX102" s="35" t="s">
        <v>47</v>
      </c>
      <c r="CZ102" s="41" t="s">
        <v>18</v>
      </c>
      <c r="DA102" s="36" t="s">
        <v>19</v>
      </c>
      <c r="DB102" s="36" t="s">
        <v>20</v>
      </c>
      <c r="DC102" s="36" t="s">
        <v>21</v>
      </c>
      <c r="DD102" s="36" t="s">
        <v>25</v>
      </c>
      <c r="DE102" s="36" t="s">
        <v>35</v>
      </c>
      <c r="DF102" s="36" t="s">
        <v>36</v>
      </c>
      <c r="DG102" s="36" t="s">
        <v>24</v>
      </c>
      <c r="DH102" s="36" t="s">
        <v>38</v>
      </c>
      <c r="DI102" s="36" t="s">
        <v>22</v>
      </c>
      <c r="DJ102" s="41" t="s">
        <v>39</v>
      </c>
      <c r="DK102" s="41" t="s">
        <v>40</v>
      </c>
      <c r="DL102" s="41" t="s">
        <v>41</v>
      </c>
      <c r="DM102" s="41" t="s">
        <v>42</v>
      </c>
      <c r="DN102" s="41" t="s">
        <v>43</v>
      </c>
      <c r="DO102" s="41" t="s">
        <v>44</v>
      </c>
      <c r="DP102" s="41" t="s">
        <v>45</v>
      </c>
      <c r="DQ102" s="41" t="s">
        <v>46</v>
      </c>
      <c r="DR102" s="41" t="s">
        <v>47</v>
      </c>
      <c r="DT102" s="37" t="s">
        <v>18</v>
      </c>
      <c r="DU102" s="37" t="s">
        <v>19</v>
      </c>
      <c r="DV102" s="37" t="s">
        <v>20</v>
      </c>
      <c r="DW102" s="37" t="s">
        <v>21</v>
      </c>
      <c r="DX102" s="37" t="s">
        <v>25</v>
      </c>
      <c r="DY102" s="37" t="s">
        <v>35</v>
      </c>
      <c r="DZ102" s="37" t="s">
        <v>36</v>
      </c>
      <c r="EA102" s="37" t="s">
        <v>24</v>
      </c>
      <c r="EB102" s="37" t="s">
        <v>38</v>
      </c>
      <c r="EC102" s="37" t="s">
        <v>22</v>
      </c>
      <c r="ED102" s="37" t="s">
        <v>39</v>
      </c>
      <c r="EE102" s="37" t="s">
        <v>40</v>
      </c>
      <c r="EF102" s="37" t="s">
        <v>41</v>
      </c>
      <c r="EG102" s="37" t="s">
        <v>42</v>
      </c>
      <c r="EH102" s="37" t="s">
        <v>43</v>
      </c>
      <c r="EI102" s="37" t="s">
        <v>44</v>
      </c>
      <c r="EJ102" s="37" t="s">
        <v>45</v>
      </c>
      <c r="EK102" s="37" t="s">
        <v>46</v>
      </c>
      <c r="EL102" s="37" t="s">
        <v>47</v>
      </c>
      <c r="EN102" s="38" t="s">
        <v>18</v>
      </c>
      <c r="EO102" s="38" t="s">
        <v>19</v>
      </c>
      <c r="EP102" s="38" t="s">
        <v>20</v>
      </c>
      <c r="EQ102" s="38" t="s">
        <v>21</v>
      </c>
      <c r="ER102" s="38" t="s">
        <v>25</v>
      </c>
      <c r="ES102" s="38" t="s">
        <v>35</v>
      </c>
      <c r="ET102" s="38" t="s">
        <v>36</v>
      </c>
      <c r="EU102" s="38" t="s">
        <v>24</v>
      </c>
      <c r="EV102" s="38" t="s">
        <v>38</v>
      </c>
      <c r="EW102" s="38" t="s">
        <v>22</v>
      </c>
      <c r="EX102" s="38" t="s">
        <v>39</v>
      </c>
      <c r="EY102" s="38" t="s">
        <v>40</v>
      </c>
      <c r="EZ102" s="38" t="s">
        <v>41</v>
      </c>
      <c r="FA102" s="38" t="s">
        <v>42</v>
      </c>
      <c r="FB102" s="38" t="s">
        <v>43</v>
      </c>
      <c r="FC102" s="38" t="s">
        <v>44</v>
      </c>
      <c r="FD102" s="38" t="s">
        <v>45</v>
      </c>
      <c r="FE102" s="38" t="s">
        <v>46</v>
      </c>
      <c r="FF102" s="38" t="s">
        <v>47</v>
      </c>
      <c r="FH102" s="38" t="s">
        <v>48</v>
      </c>
      <c r="FI102" s="38" t="s">
        <v>49</v>
      </c>
      <c r="FZ102" s="79">
        <v>100</v>
      </c>
      <c r="GA102" s="3" t="str">
        <f t="shared" si="562"/>
        <v>EJBCHFIK</v>
      </c>
      <c r="GB102" s="3" t="s">
        <v>59</v>
      </c>
      <c r="GC102" s="3" t="s">
        <v>69</v>
      </c>
      <c r="GD102" s="3" t="s">
        <v>57</v>
      </c>
      <c r="GE102" s="3" t="s">
        <v>75</v>
      </c>
      <c r="GF102" s="3" t="s">
        <v>70</v>
      </c>
      <c r="GG102" s="3" t="s">
        <v>21</v>
      </c>
      <c r="GH102" s="3" t="s">
        <v>61</v>
      </c>
      <c r="GI102" s="3" t="s">
        <v>62</v>
      </c>
      <c r="GJ102" s="9" t="str">
        <f t="shared" si="640"/>
        <v>Elfenbenskusten</v>
      </c>
      <c r="GK102" s="9" t="str">
        <f t="shared" si="640"/>
        <v>Österrike</v>
      </c>
      <c r="GL102" s="9" t="str">
        <f t="shared" si="640"/>
        <v>Qatar</v>
      </c>
      <c r="GM102" s="9" t="str">
        <f t="shared" si="640"/>
        <v>Haiti</v>
      </c>
      <c r="GN102" s="9" t="str">
        <f t="shared" si="640"/>
        <v>Saudiarabien</v>
      </c>
      <c r="GO102" s="9" t="str">
        <f t="shared" si="640"/>
        <v>Sverige</v>
      </c>
      <c r="GP102" s="9" t="str">
        <f t="shared" si="640"/>
        <v>Irak</v>
      </c>
      <c r="GQ102" s="9" t="str">
        <f t="shared" si="639"/>
        <v>Uzbekistan</v>
      </c>
      <c r="GR102" s="9" t="str">
        <f t="shared" si="563"/>
        <v/>
      </c>
      <c r="GX102" s="142"/>
    </row>
    <row r="103" spans="2:206" ht="14.25" customHeight="1" x14ac:dyDescent="0.25">
      <c r="B103" s="58">
        <v>22</v>
      </c>
      <c r="C103" s="59">
        <v>46190</v>
      </c>
      <c r="D103" s="60" t="s">
        <v>140</v>
      </c>
      <c r="E103" s="61" t="s">
        <v>66</v>
      </c>
      <c r="F103" s="62" t="s">
        <v>141</v>
      </c>
      <c r="G103" s="63"/>
      <c r="H103" s="64" t="s">
        <v>66</v>
      </c>
      <c r="I103" s="63"/>
      <c r="J103" s="65" t="str">
        <f>IF(OR(ISBLANK(G103),ISBLANK(I103)),"",IF(G103&gt;I103,1,IF(G103&lt;I103,2,"X")))</f>
        <v/>
      </c>
      <c r="K103" s="66">
        <f>IF(OR(G103="",I103="",'[1]Resultat &amp; tabell'!G103="",'[1]Resultat &amp; tabell'!I103=""),0,IF(G103='[1]Resultat &amp; tabell'!G103,2,0)+IF(I103='[1]Resultat &amp; tabell'!I103,2,0)+IF(J103='[1]Resultat &amp; tabell'!J103,2,0))</f>
        <v>0</v>
      </c>
      <c r="L103" s="67"/>
      <c r="M103" s="29">
        <f t="shared" ref="M103:M108" si="793">IF(VLOOKUP(D103,$BT$102:$CC$106,10,FALSE)=VLOOKUP(F103,$BT$102:$CC$106,10,FALSE),VLOOKUP(D103,$BT$102:$CC$106,10,FALSE),"-")</f>
        <v>1</v>
      </c>
      <c r="N103" s="30">
        <v>1</v>
      </c>
      <c r="O103" s="68" t="str">
        <f t="shared" ref="O103" si="794">VLOOKUP(N103,FI103:FJ106,2,FALSE)</f>
        <v>England</v>
      </c>
      <c r="P103" s="69">
        <f>VLOOKUP($O103,$BT$103:$CA$106,2,FALSE)</f>
        <v>0</v>
      </c>
      <c r="Q103" s="69">
        <f>VLOOKUP($O103,$BT$103:$CA$106,3,FALSE)</f>
        <v>0</v>
      </c>
      <c r="R103" s="69">
        <f>VLOOKUP($O103,$BT$103:$CA$106,4,FALSE)</f>
        <v>0</v>
      </c>
      <c r="S103" s="69">
        <f>VLOOKUP($O103,$BT$103:$CA$106,5,FALSE)</f>
        <v>0</v>
      </c>
      <c r="T103" s="69">
        <f>VLOOKUP($O103,$BT$103:$CA$106,6,FALSE)</f>
        <v>0</v>
      </c>
      <c r="U103" s="69">
        <f>VLOOKUP($O103,$BT$103:$CA$106,7,FALSE)</f>
        <v>0</v>
      </c>
      <c r="V103" s="70">
        <f>VLOOKUP($O103,$BT$103:$CA$106,8,FALSE)</f>
        <v>0</v>
      </c>
      <c r="X103" s="1"/>
      <c r="AE103" s="72">
        <f t="shared" ref="AE103:AH108" si="795">C103</f>
        <v>46190</v>
      </c>
      <c r="AF103" s="72" t="str">
        <f t="shared" si="795"/>
        <v>England</v>
      </c>
      <c r="AG103" s="72" t="str">
        <f t="shared" si="795"/>
        <v>-</v>
      </c>
      <c r="AH103" s="72" t="str">
        <f t="shared" si="795"/>
        <v>Kroatien</v>
      </c>
      <c r="AI103" s="63" t="str">
        <f t="shared" ref="AI103:AI108" si="796">IF(G103="","",G103)</f>
        <v/>
      </c>
      <c r="AJ103" s="58" t="str">
        <f t="shared" ref="AJ103:AJ108" si="797">H103</f>
        <v>-</v>
      </c>
      <c r="AK103" s="63" t="str">
        <f t="shared" ref="AK103:AK108" si="798">IF(I103="","",I103)</f>
        <v/>
      </c>
      <c r="AL103" s="65" t="str">
        <f t="shared" ref="AL103:AL108" si="799">J103</f>
        <v/>
      </c>
      <c r="AM103" s="73"/>
      <c r="AN103" s="13">
        <f t="shared" ref="AN103:AN108" si="800">IF(AI103&gt;AK103,1,0)</f>
        <v>0</v>
      </c>
      <c r="AO103" s="13">
        <f t="shared" ref="AO103:AO108" si="801">IF(AK103&gt;AI103,1,0)</f>
        <v>0</v>
      </c>
      <c r="AP103" s="13">
        <f t="shared" ref="AP103:AP108" si="802">IF(AND(AI103=AK103,AI103&lt;&gt;""),1,0)</f>
        <v>0</v>
      </c>
      <c r="AQ103" s="13">
        <f t="shared" ref="AQ103:AQ108" si="803">IF(AND(AI103=AK103,AI103&lt;&gt;""),1,0)</f>
        <v>0</v>
      </c>
      <c r="AR103" s="13">
        <f t="shared" ref="AR103:AR108" si="804">IF(AI103&lt;AK103,1,0)</f>
        <v>0</v>
      </c>
      <c r="AS103" s="13">
        <f t="shared" ref="AS103:AS108" si="805">IF(AK103&lt;AI103,1,)</f>
        <v>0</v>
      </c>
      <c r="AT103" s="13">
        <f t="shared" ref="AT103:AT108" si="806">IF(ISERROR(VLOOKUP(AF103,CF:CF,1,FALSE)),0,1)*IF(ISERROR(VLOOKUP(AH103,CF:CF,1,FALSE)),0,1)*AN103</f>
        <v>0</v>
      </c>
      <c r="AU103" s="13">
        <f t="shared" ref="AU103:AU108" si="807">IF(ISERROR(VLOOKUP(AF103,CF:CF,1,FALSE)),0,1)*IF(ISERROR(VLOOKUP(AH103,CF:CF,1,FALSE)),0,1)*AO103</f>
        <v>0</v>
      </c>
      <c r="AV103" s="13">
        <f t="shared" ref="AV103:AV108" si="808">IF(ISERROR(VLOOKUP(AF103,CF:CF,1,FALSE)),0,1)*IF(ISERROR(VLOOKUP(AH103,CF:CF,1,FALSE)),0,1)*AP103</f>
        <v>0</v>
      </c>
      <c r="AW103" s="13">
        <f t="shared" ref="AW103:AW108" si="809">IF(ISERROR(VLOOKUP(AF103,CF:CF,1,FALSE)),0,1)*IF(ISERROR(VLOOKUP(AH103,CF:CF,1,FALSE)),0,1)*AQ103</f>
        <v>0</v>
      </c>
      <c r="AX103" s="13">
        <f t="shared" ref="AX103:AX108" si="810">IF(ISERROR(VLOOKUP(AF103,CF:CF,1,FALSE)),0,1)*IF(ISERROR(VLOOKUP(AH103,CF:CF,1,FALSE)),0,1)*AR103</f>
        <v>0</v>
      </c>
      <c r="AY103" s="13">
        <f t="shared" ref="AY103:AY108" si="811">IF(ISERROR(VLOOKUP(AF103,CF:CF,1,FALSE)),0,1)*IF(ISERROR(VLOOKUP(AH103,CF:CF,1,FALSE)),0,1)*AS103</f>
        <v>0</v>
      </c>
      <c r="AZ103" s="13">
        <f t="shared" ref="AZ103:AZ108" si="812">IF(ISERROR(VLOOKUP(AF103,CZ:CZ,1,FALSE)),0,1)*IF(ISERROR(VLOOKUP(AH103,CZ:CZ,1,FALSE)),0,1)*AN103</f>
        <v>0</v>
      </c>
      <c r="BA103" s="13">
        <f t="shared" ref="BA103:BA108" si="813">IF(ISERROR(VLOOKUP(AF103,CZ:CZ,1,FALSE)),0,1)*IF(ISERROR(VLOOKUP(AH103,CZ:CZ,1,FALSE)),0,1)*AO103</f>
        <v>0</v>
      </c>
      <c r="BB103" s="13">
        <f t="shared" ref="BB103:BB108" si="814">IF(ISERROR(VLOOKUP(AF103,CZ:CZ,1,FALSE)),0,1)*IF(ISERROR(VLOOKUP(AH103,CZ:CZ,1,FALSE)),0,1)*AP103</f>
        <v>0</v>
      </c>
      <c r="BC103" s="13">
        <f t="shared" ref="BC103:BC108" si="815">IF(ISERROR(VLOOKUP(AF103,CZ:CZ,1,FALSE)),0,1)*IF(ISERROR(VLOOKUP(AH103,CZ:CZ,1,FALSE)),0,1)*AQ103</f>
        <v>0</v>
      </c>
      <c r="BD103" s="13">
        <f t="shared" ref="BD103:BD108" si="816">IF(ISERROR(VLOOKUP(AF103,CZ:CZ,1,FALSE)),0,1)*IF(ISERROR(VLOOKUP(AH103,CZ:CZ,1,FALSE)),0,1)*AR103</f>
        <v>0</v>
      </c>
      <c r="BE103" s="13">
        <f t="shared" ref="BE103:BE108" si="817">IF(ISERROR(VLOOKUP(AF103,CZ:CZ,1,FALSE)),0,1)*IF(ISERROR(VLOOKUP(AH103,CZ:CZ,1,FALSE)),0,1)*AS103</f>
        <v>0</v>
      </c>
      <c r="BF103" s="13">
        <f t="shared" ref="BF103:BF108" si="818">IF(ISERROR(VLOOKUP(AF103,DT:DT,1,FALSE)),0,1)*IF(ISERROR(VLOOKUP(AH103,DT:DT,1,FALSE)),0,1)*AN103</f>
        <v>0</v>
      </c>
      <c r="BG103" s="13">
        <f t="shared" ref="BG103:BG108" si="819">IF(ISERROR(VLOOKUP(AF103,DT:DT,1,FALSE)),0,1)*IF(ISERROR(VLOOKUP(AH103,DT:DT,1,FALSE)),0,1)*AO103</f>
        <v>0</v>
      </c>
      <c r="BH103" s="13">
        <f t="shared" ref="BH103:BH108" si="820">IF(ISERROR(VLOOKUP(AF103,DT:DT,1,FALSE)),0,1)*IF(ISERROR(VLOOKUP(AH103,DT:DT,1,FALSE)),0,1)*AP103</f>
        <v>0</v>
      </c>
      <c r="BI103" s="13">
        <f t="shared" ref="BI103:BI108" si="821">IF(ISERROR(VLOOKUP(AF103,DT:DT,1,FALSE)),0,1)*IF(ISERROR(VLOOKUP(AH103,DT:DT,1,FALSE)),0,1)*AQ103</f>
        <v>0</v>
      </c>
      <c r="BJ103" s="13">
        <f t="shared" ref="BJ103:BJ108" si="822">IF(ISERROR(VLOOKUP(AF103,DT:DT,1,FALSE)),0,1)*IF(ISERROR(VLOOKUP(AH103,DT:DT,1,FALSE)),0,1)*AR103</f>
        <v>0</v>
      </c>
      <c r="BK103" s="13">
        <f t="shared" ref="BK103:BK108" si="823">IF(ISERROR(VLOOKUP(AF103,DT:DT,1,FALSE)),0,1)*IF(ISERROR(VLOOKUP(AH103,DT:DT,1,FALSE)),0,1)*AS103</f>
        <v>0</v>
      </c>
      <c r="BL103" s="13">
        <f t="shared" ref="BL103:BL108" si="824">IF(ISERROR(VLOOKUP(AF103,EN:EN,1,FALSE)),0,1)*IF(ISERROR(VLOOKUP(AH103,EN:EN,1,FALSE)),0,1)*AN103</f>
        <v>0</v>
      </c>
      <c r="BM103" s="13">
        <f t="shared" ref="BM103:BM108" si="825">IF(ISERROR(VLOOKUP(AF103,EN:EN,1,FALSE)),0,1)*IF(ISERROR(VLOOKUP(AH103,EN:EN,1,FALSE)),0,1)*AO103</f>
        <v>0</v>
      </c>
      <c r="BN103" s="13">
        <f t="shared" ref="BN103:BN108" si="826">IF(ISERROR(VLOOKUP(AF103,EN:EN,1,FALSE)),0,1)*IF(ISERROR(VLOOKUP(AH103,EN:EN,1,FALSE)),0,1)*AP103</f>
        <v>0</v>
      </c>
      <c r="BO103" s="13">
        <f t="shared" ref="BO103:BO108" si="827">IF(ISERROR(VLOOKUP(AF103,EN:EN,1,FALSE)),0,1)*IF(ISERROR(VLOOKUP(AH103,EN:EN,1,FALSE)),0,1)*AQ103</f>
        <v>0</v>
      </c>
      <c r="BP103" s="13">
        <f t="shared" ref="BP103:BP108" si="828">IF(ISERROR(VLOOKUP(AF103,EN:EN,1,FALSE)),0,1)*IF(ISERROR(VLOOKUP(AH103,EN:EN,1,FALSE)),0,1)*AR103</f>
        <v>0</v>
      </c>
      <c r="BQ103" s="13">
        <f t="shared" ref="BQ103:BQ108" si="829">IF(ISERROR(VLOOKUP(AF103,EN:EN,1,FALSE)),0,1)*IF(ISERROR(VLOOKUP(AH103,EN:EN,1,FALSE)),0,1)*AS103</f>
        <v>0</v>
      </c>
      <c r="BT103" s="12" t="s">
        <v>140</v>
      </c>
      <c r="BU103" s="13">
        <f t="shared" ref="BU103:BU106" si="830">(SUMIF(AF$4:AF$108,BT103,AN$4:AN$108)+SUMIF(AH$4:AH$108,BT103,AO$4:AO$108))</f>
        <v>0</v>
      </c>
      <c r="BV103" s="13">
        <f t="shared" ref="BV103:BV106" si="831">(SUMIF(AF$4:AF$108,BT103,AP$4:AP$108)+SUMIF(AH$4:AH$108,BT103,AQ$4:AQ$108))</f>
        <v>0</v>
      </c>
      <c r="BW103" s="13">
        <f t="shared" ref="BW103:BW106" si="832">(SUMIF(AF$4:AF$108,BT103,AR$4:AR$108)+SUMIF(AH$4:AH$108,BT103,AS$4:AS$108))</f>
        <v>0</v>
      </c>
      <c r="BX103" s="13">
        <f t="shared" ref="BX103:BX106" si="833">SUMIF($AF$4:$AF$108,BT103,$AI$4:$AI$108)+SUMIF($AH$4:$AH$108,BT103,$AK$4:$AK$108)</f>
        <v>0</v>
      </c>
      <c r="BY103" s="13">
        <f t="shared" ref="BY103:BY106" si="834">SUMIF($AF$4:$AF$108,BT103,$AK$4:$AK$108)+SUMIF($AH$4:$AH$108,BT103,$AI$4:$AI$108)</f>
        <v>0</v>
      </c>
      <c r="BZ103" s="13">
        <f t="shared" ref="BZ103:BZ106" si="835">BX103-BY103</f>
        <v>0</v>
      </c>
      <c r="CA103" s="13">
        <f t="shared" ref="CA103:CA106" si="836">IFERROR(BU103*3+BV103*1,0)</f>
        <v>0</v>
      </c>
      <c r="CB103" s="13" t="s">
        <v>63</v>
      </c>
      <c r="CC103" s="74">
        <f>RANK(CA103,CA103:CA106)</f>
        <v>1</v>
      </c>
      <c r="CD103" s="13">
        <f>SUMPRODUCT((CA103:CA106=CA103)*(BZ103:BZ106&gt;BZ103))</f>
        <v>0</v>
      </c>
      <c r="CF103" s="12" t="str">
        <f>IF(CC103=1,BT103,)</f>
        <v>England</v>
      </c>
      <c r="CG103" s="13">
        <f t="shared" ref="CG103:CG106" si="837">(SUMIF($AF$4:$AF$108,$BT103,$AT$4:$AT$108)+SUMIF($AH$4:$AH$108,$BT103,$AU$4:$AU$108))</f>
        <v>0</v>
      </c>
      <c r="CH103" s="13">
        <f t="shared" ref="CH103:CH106" si="838">(SUMIF($AF$4:$AF$108,$BT103,$AV$4:$AV$108)+SUMIF($AH$4:$AH$108,$BT103,$AW$4:$AW$108))</f>
        <v>0</v>
      </c>
      <c r="CI103" s="13">
        <f t="shared" ref="CI103:CI106" si="839">(SUMIF($AF$4:$AF$108,$BT103,$AX$4:$AX$108)+SUMIF($AH$4:$AH$108,$BT103,$AY$4:$AY$108))</f>
        <v>0</v>
      </c>
      <c r="CJ103" s="13">
        <f t="shared" ref="CJ103:CJ106" si="840">IFERROR(CG103*3+CH103*1,0)</f>
        <v>0</v>
      </c>
      <c r="CK103" s="13" t="str">
        <f>CB103</f>
        <v>L</v>
      </c>
      <c r="CL103" s="13">
        <f>IF(CF103&gt;0,RANK(CJ103,CJ103:CJ106),)</f>
        <v>1</v>
      </c>
      <c r="CM103" s="13">
        <f t="shared" ref="CM103" si="841">IF(AND(CF103&gt;0,COUNTIF(CL103:CL106,CL103)&gt;1),SUMIFS($AI$4:$AI$108,$AF$4:$AF$108,$BT103,$M$4:$M$108,1)+SUMIFS($AK$4:$AK$108,$AH$4:$AH$108,$BT103,$M$4:$M$108,1)-SUMIFS($AK$4:$AK$108,$AF$4:$AF$108,$BT103,$M$4:$M$108,1)-SUMIFS($AI$4:$AI$108,$AH$4:$AH$108,$BT103,$M$4:$M$108,1),)</f>
        <v>0</v>
      </c>
      <c r="CN103" s="13">
        <f>IF(AND(CF103&gt;0,COUNTIF(CL103:CL106,CL103)&gt;1),CL103+RANK(CM103,CM103:CM106)-1,CL103)</f>
        <v>1</v>
      </c>
      <c r="CO103" s="13">
        <f>IF(AND(CF103&gt;0,COUNTIF(CN103:CN106,CN103)&gt;1),SUMIFS($AI$4:$AI$108,$AF$4:$AF$108,$BT103,$M$4:$M$108,1)+SUMIFS($AK$4:$AK$108,$AH$4:$AH$108,$BT103,$M$4:$M$108,1),)</f>
        <v>0</v>
      </c>
      <c r="CP103" s="13">
        <f>IF(AND(CF103&gt;0,COUNTIF(CN103:CN106,CN103)&gt;1),CN103+RANK(CO103,CO103:CO106)-1,CN103)</f>
        <v>1</v>
      </c>
      <c r="CQ103" s="13">
        <f>IF(CP103=0,"",CP103)</f>
        <v>1</v>
      </c>
      <c r="CR103" s="13">
        <f>IF(OR(CQ103="",COUNTIF(CQ103:CQ106,CQ103)=1),"",$BZ103)</f>
        <v>0</v>
      </c>
      <c r="CS103" s="13">
        <f>IF(CQ103="","",IF(COUNTIF(CQ103:CQ106,CQ103)=1,CQ103,CQ103+RANK(CR103,CR103:CR106,0)-1))</f>
        <v>1</v>
      </c>
      <c r="CT103" s="13">
        <f>IF(OR(CS103="",COUNTIF(CS103:CS106,CS103)=1),"",$BX103)</f>
        <v>0</v>
      </c>
      <c r="CU103" s="13">
        <f>IF(CQ103="","",IF(COUNTIF(CS103:CS106,CS103)=1,CS103,CS103+RANK(CT103,CT103:CT106,0)-1))</f>
        <v>1</v>
      </c>
      <c r="CV103" s="13">
        <f>IF(OR(CU103="",COUNTIF(CU103:CU106,CU103)=1),"",$BU103)</f>
        <v>0</v>
      </c>
      <c r="CW103" s="13">
        <f>IF(CQ103="","",IF(COUNTIF(CU103:CU106,CU103)=1,CU103,CU103+RANK(CV103,CV103:CV106,0)-1))</f>
        <v>1</v>
      </c>
      <c r="CX103" s="13">
        <f>IF(CF103&gt;0,BM101+RANK(CW103,CW103:CW106,1),)</f>
        <v>1</v>
      </c>
      <c r="CZ103" s="12">
        <f>IF(CC103=2,BT103,)</f>
        <v>0</v>
      </c>
      <c r="DA103" s="13">
        <f>(SUMIF($AF$4:$AF$108,$BT103,$AZ$4:$AZ$108)+SUMIF($AH$4:$AH$108,$BT103,$BA$4:$BA$108))</f>
        <v>0</v>
      </c>
      <c r="DB103" s="13">
        <f>(SUMIF($AF$4:$AF$108,$BT103,$BB$4:$BB$108)+SUMIF($AH$4:$AH$108,$BT103,$BC$4:$BC$108))</f>
        <v>0</v>
      </c>
      <c r="DC103" s="13">
        <f>(SUMIF($AF$4:$AF$108,$BT103,$BD$4:$BD$108)+SUMIF($AH$4:$AH$108,$BT103,$BE$4:$BE$108))</f>
        <v>0</v>
      </c>
      <c r="DD103" s="13">
        <f>IFERROR(DA103*3+DB103*1,0)</f>
        <v>0</v>
      </c>
      <c r="DE103" s="13" t="str">
        <f>$CB103</f>
        <v>L</v>
      </c>
      <c r="DF103" s="13">
        <f>IF(CZ103&gt;0,RANK(DD103,DD103:DD106)+CG101,)</f>
        <v>0</v>
      </c>
      <c r="DG103" s="13">
        <f>IF(AND(CZ103&gt;0,COUNTIF(DF103:DF106,DF103)&gt;1),SUMIFS($AI$4:$AI$108,$AF$4:$AF$108,$BT103,$M$4:$M$108,2)+SUMIFS($AK$4:$AK$108,$AH$4:$AH108,$BT103,$M$4:$M$108,2)-SUMIFS($AK$4:$AK$108,$AF$4:$AF$108,$BT103,$M$4:$M$108,2)-SUMIFS($AI$4:$AI$108,$AH$4:$AH$108,$BT103,$M$4:$M$108,2),)</f>
        <v>0</v>
      </c>
      <c r="DH103" s="13">
        <f>IF(AND(CZ103&gt;0,COUNTIF(DF103:DF106,DF103)&gt;1),DF103+RANK(DG103,DG103:DG106)-1,DF103)</f>
        <v>0</v>
      </c>
      <c r="DI103" s="13">
        <f>IF(AND(CZ103&gt;0,COUNTIF(DH103:DH106,DH103)&gt;1),SUMIFS($AI$4:$AI$108,$AF$4:$AF$108,$BT103,$M$4:$M$108,2)+SUMIFS($AK$4:$AK$108,$AH$4:$AH$108,$BT103,$M$4:$M$108,2),)</f>
        <v>0</v>
      </c>
      <c r="DJ103" s="13">
        <f>IF(AND(CZ103&gt;0,COUNTIF(DH103:DH106,DH103)&gt;1),DH103+RANK(DI103,DI103:DI106)-1,DH103)</f>
        <v>0</v>
      </c>
      <c r="DK103" s="75" t="str">
        <f>IF(DJ103=0,"",DJ103)</f>
        <v/>
      </c>
      <c r="DL103" s="75" t="str">
        <f>IF(OR(DK103="",COUNTIF(DK103:DK106,DK103)=1),"",$BZ103)</f>
        <v/>
      </c>
      <c r="DM103" s="75" t="str">
        <f>IF(DK103="","",IF(COUNTIF(DK103:DK106,DK103)=1,DK103,DK103+RANK(DL103,DL103:DL106,0)-1))</f>
        <v/>
      </c>
      <c r="DN103" s="75" t="str">
        <f>IF(OR(DM103="",COUNTIF(DM103:DM106,DM103)=1),"",$BX103)</f>
        <v/>
      </c>
      <c r="DO103" s="75" t="str">
        <f>IF(DK103="","",IF(COUNTIF(DM103:DM106,DM103)=1,DM103,DM103+RANK(DN103,DN103:DN106,0)-1))</f>
        <v/>
      </c>
      <c r="DP103" s="75" t="str">
        <f>IF(OR(DO103="",COUNTIF(DO103:DO106,DO103)=1),"",$BU103)</f>
        <v/>
      </c>
      <c r="DQ103" s="75" t="str">
        <f>IF(DK103="","",IF(COUNTIF(DO103:DO106,DO103)=1,DO103,DO103+RANK(DP103,DP103:DP106,0)-1))</f>
        <v/>
      </c>
      <c r="DR103" s="13">
        <f>IF(CZ103&gt;0,CG101+RANK(DQ103,DQ103:DQ106,1),)</f>
        <v>0</v>
      </c>
      <c r="DT103" s="13">
        <f>IF(CC103=3,BT103,)</f>
        <v>0</v>
      </c>
      <c r="DU103" s="13">
        <f>(SUMIF($AF$4:$AF$108,BT103,$BF$4:$BF$108)+SUMIF($AH$4:$AH$108,BT103,$BG$4:$BG$108))</f>
        <v>0</v>
      </c>
      <c r="DV103" s="13">
        <f>(SUMIF($AF$4:$AF$108,BT103,$BH$4:$BH$108)+SUMIF($AH$4:$AH$108,BT103,$BI$4:$BI$108))</f>
        <v>0</v>
      </c>
      <c r="DW103" s="13">
        <f>(SUMIF($AF$4:$AF$108,BT103,$BJ$4:$BJ$108)+SUMIF($AH$4:$AH$108,BT103,$BK$4:$BK$108))</f>
        <v>0</v>
      </c>
      <c r="DX103" s="13">
        <f>IFERROR(DU103*3+DV103*1,0)</f>
        <v>0</v>
      </c>
      <c r="DY103" s="13" t="str">
        <f>CB103</f>
        <v>L</v>
      </c>
      <c r="DZ103" s="13">
        <f>IF(DT103&gt;0,RANK(DX103,DX103:DX106)+CG101+DA101,)</f>
        <v>0</v>
      </c>
      <c r="EA103" s="13">
        <f>IF(AND(DT103&gt;0,COUNTIF(DZ103:DZ106,DZ103)&gt;1),SUMIFS($AI$4:$AI$108,$AF$4:$AF$108,$BT103,$M$4:$M$108,3)+SUMIFS($AK$4:$AK$108,$AH$4:$AH$108,$BT103,$M$4:$M$108,3)-SUMIFS($AK$4:$AK$108,$AF$4:$AF$108,$BT103,$M$4:$M$108,3)-SUMIFS($AI$4:$AI$108,$AH$4:$AH$108,$BT103,$M$4:$M$108,3),)</f>
        <v>0</v>
      </c>
      <c r="EB103" s="13">
        <f>IF(AND(DT103&gt;0,COUNTIF(DZ103:DZ106,DZ103)&gt;1),DZ103+RANK(EA103,EA103:EA106)-1,DZ103)</f>
        <v>0</v>
      </c>
      <c r="EC103" s="13">
        <f>IF(AND(DT103&gt;0,COUNTIF(EB103:EB106,EB103)&gt;1),SUMIFS($AI$4:$AI$108,$AF$4:$AF$108,$BT103,$M$4:$M$108,3)+SUMIFS($AK$4:$AK$108,$AH$4:$AH$108,$BT103,$M$4:$M$108,3),)</f>
        <v>0</v>
      </c>
      <c r="ED103" s="13">
        <f>IF(AND(DT103&gt;0,COUNTIF(EB103:EB106,EB103)&gt;1),EB103+RANK(EC103,EC103:EC106)-1,EB103)</f>
        <v>0</v>
      </c>
      <c r="EE103" s="13" t="str">
        <f>IF(ED103=0,"",ED103)</f>
        <v/>
      </c>
      <c r="EF103" s="13" t="str">
        <f>IF(OR(EE103="",COUNTIF(EE103:EE106,EE103)=1),"",$BZ103)</f>
        <v/>
      </c>
      <c r="EG103" s="13" t="str">
        <f>IF(EE103="","",IF(COUNTIF(EE103:EE106,EE103)=1,EE103,EE103+RANK(EF103,EF103:EF106,0)-1))</f>
        <v/>
      </c>
      <c r="EH103" s="13" t="str">
        <f>IF(OR(EG103="",COUNTIF(EG103:EG106,EG103)=1),"",$BX103)</f>
        <v/>
      </c>
      <c r="EI103" s="13" t="str">
        <f>IF(EE103="","",IF(COUNTIF(EG103:EG106,EG103)=1,EG103,EG103+RANK(EH103,EH103:EH106,0)-1))</f>
        <v/>
      </c>
      <c r="EJ103" s="13" t="str">
        <f>IF(OR(EI103="",COUNTIF(EI103:EI106,EI103)=1),"",$BU103)</f>
        <v/>
      </c>
      <c r="EK103" s="13" t="str">
        <f>IF(EE103="","",IF(COUNTIF(EI103:EI106,EI103)=1,EI103,EI103+RANK(EJ103,EJ103:EJ106,0)-1))</f>
        <v/>
      </c>
      <c r="EL103" s="13">
        <f>IF(DT103&gt;0,CG101+DA101+RANK(EK103,EK103:EK106,1),)</f>
        <v>0</v>
      </c>
      <c r="EN103" s="13">
        <f>IF(CC103=4,BT103,)</f>
        <v>0</v>
      </c>
      <c r="EO103" s="13">
        <f>(SUMIF($AF$4:$AF$108,$BT103,$BL$4:$BL$108)+SUMIF($AH$4:$AH$108,$BT103,$BM$4:$BM$108))</f>
        <v>0</v>
      </c>
      <c r="EP103" s="13">
        <f>(SUMIF($AF$4:$AF$108,$BT103,$BN$4:$BN$108)+SUMIF($AH$4:$AH$108,$BT103,$BO$4:$BO$108))</f>
        <v>0</v>
      </c>
      <c r="EQ103" s="13">
        <f>(SUMIF($AF$4:$AF$108,$BT103,$BP$4:$BP$108)+SUMIF($AH$4:$AH$108,$BT103,$BQ$4:$BQ$108))</f>
        <v>0</v>
      </c>
      <c r="ER103" s="13">
        <f>IFERROR(EO103*3+EP103*1,0)</f>
        <v>0</v>
      </c>
      <c r="ES103" s="13" t="str">
        <f>$CB103</f>
        <v>L</v>
      </c>
      <c r="ET103" s="13">
        <f>IF(EN103&gt;0,RANK(ER103,ER103:ER106)+CG101+DA101+DU101,)</f>
        <v>0</v>
      </c>
      <c r="EU103" s="13">
        <f>IF(AND(EN103&gt;0,COUNTIF(ET103:ET106,ET103)&gt;1),SUMIFS($AI$4:$AI$108,$AF$4:$AF$108,$BT103,$M$4:$M$108,4)+SUMIFS($AK$4:$AK$108,$AH$4:$AH$108,$BT103,$M$4:$M$108,4)-SUMIFS($AK$4:$AK$108,$AF$4:$AF$108,$BT103,$M$4:$M$108,4)-SUMIFS($AI$4:$AI$108,$AH$4:$AH$108,$BT103,$M$4:$M$108,4),)</f>
        <v>0</v>
      </c>
      <c r="EV103" s="13">
        <f>IF(AND(EN103&gt;0,COUNTIF(ET103:ET106,ET103)&gt;1),ET103+RANK(EU103,EU103:EU106)-1,ET103)</f>
        <v>0</v>
      </c>
      <c r="EW103" s="13">
        <f>IF(AND(EN103&gt;0,COUNTIF(EV103:EV106,EV103)&gt;1),SUMIFS($AI$4:$AI$108,$AF$4:$AF$108,$BT103,$M$4:$M$108,4)+SUMIFS($AK$4:$AK$108,$AH$4:$AH$108,$BT103,$M$4:$M$108,4),)</f>
        <v>0</v>
      </c>
      <c r="EX103" s="13">
        <f>IF(AND(EN103&gt;0,COUNTIF(EV103:EV106,EV103)&gt;1),EV103+RANK(EW103,EW103:EW106)-1,EV103)</f>
        <v>0</v>
      </c>
      <c r="EY103" s="13" t="str">
        <f>IF(EX103=0,"",EX103)</f>
        <v/>
      </c>
      <c r="EZ103" s="13" t="str">
        <f>IF(OR(EY103="",COUNTIF(EY103:EY106,EY103)=1),"",$BZ103)</f>
        <v/>
      </c>
      <c r="FA103" s="13" t="str">
        <f>IF(EY103="","",IF(COUNTIF(EY103:EY106,EY103)=1,EY103,EY103+RANK(EZ103,EZ103:EZ106,0)-1))</f>
        <v/>
      </c>
      <c r="FB103" s="13" t="str">
        <f>IF(OR(FA103="",COUNTIF(FA103:FA106,FA103)=1),"",$BX103)</f>
        <v/>
      </c>
      <c r="FC103" s="13" t="str">
        <f>IF(EY103="","",IF(COUNTIF(FA103:FA106,FA103)=1,FA103,FA103+RANK(FB103,FB103:FB106,0)-1))</f>
        <v/>
      </c>
      <c r="FD103" s="13" t="str">
        <f>IF(OR(FC103="",COUNTIF(FC103:FC106,FC103)=1),"",$BU103)</f>
        <v/>
      </c>
      <c r="FE103" s="13" t="str">
        <f>IF(EY103="","",IF(COUNTIF(FC103:FC106,FC103)=1,FC103,FC103+RANK(FD103,FD103:FD106,0)-1))</f>
        <v/>
      </c>
      <c r="FF103" s="13">
        <f>IF(EN103&gt;0,CG101+DA101+DU101+RANK(FE103,FE103:FE106,1),)</f>
        <v>0</v>
      </c>
      <c r="FH103" s="13">
        <f>IFERROR(VLOOKUP(FJ103,CF102:CX106,19,FALSE),IFERROR(VLOOKUP(FJ103,CZ102:DR106,19,FALSE),IFERROR(VLOOKUP(FJ103,DT102:EL106,19,FALSE),VLOOKUP(FJ103,EN102:FF106,19,FALSE))))</f>
        <v>1</v>
      </c>
      <c r="FI103" s="13">
        <f>RANK(FH103,FH103:FH106,1)+COUNTIF(FH103:FH103,FH103)-1</f>
        <v>1</v>
      </c>
      <c r="FJ103" s="12" t="str">
        <f>BT103</f>
        <v>England</v>
      </c>
      <c r="FZ103" s="79">
        <v>101</v>
      </c>
      <c r="GA103" s="3" t="str">
        <f t="shared" si="562"/>
        <v>EGBCJFLK</v>
      </c>
      <c r="GB103" s="3" t="s">
        <v>59</v>
      </c>
      <c r="GC103" s="3" t="s">
        <v>60</v>
      </c>
      <c r="GD103" s="3" t="s">
        <v>57</v>
      </c>
      <c r="GE103" s="3" t="s">
        <v>75</v>
      </c>
      <c r="GF103" s="3" t="s">
        <v>69</v>
      </c>
      <c r="GG103" s="3" t="s">
        <v>21</v>
      </c>
      <c r="GH103" s="3" t="s">
        <v>63</v>
      </c>
      <c r="GI103" s="3" t="s">
        <v>62</v>
      </c>
      <c r="GJ103" s="9" t="str">
        <f t="shared" si="640"/>
        <v>Elfenbenskusten</v>
      </c>
      <c r="GK103" s="9" t="str">
        <f t="shared" si="640"/>
        <v>Iran</v>
      </c>
      <c r="GL103" s="9" t="str">
        <f t="shared" si="640"/>
        <v>Qatar</v>
      </c>
      <c r="GM103" s="9" t="str">
        <f t="shared" si="640"/>
        <v>Haiti</v>
      </c>
      <c r="GN103" s="9" t="str">
        <f t="shared" si="640"/>
        <v>Österrike</v>
      </c>
      <c r="GO103" s="9" t="str">
        <f t="shared" si="640"/>
        <v>Sverige</v>
      </c>
      <c r="GP103" s="9" t="str">
        <f t="shared" si="640"/>
        <v>Ghana</v>
      </c>
      <c r="GQ103" s="9" t="str">
        <f t="shared" si="639"/>
        <v>Uzbekistan</v>
      </c>
      <c r="GR103" s="9" t="str">
        <f t="shared" si="563"/>
        <v/>
      </c>
      <c r="GX103" s="142"/>
    </row>
    <row r="104" spans="2:206" ht="14.25" customHeight="1" x14ac:dyDescent="0.25">
      <c r="B104" s="58">
        <v>21</v>
      </c>
      <c r="C104" s="59">
        <v>46191</v>
      </c>
      <c r="D104" s="60" t="s">
        <v>142</v>
      </c>
      <c r="E104" s="61" t="s">
        <v>66</v>
      </c>
      <c r="F104" s="62" t="s">
        <v>143</v>
      </c>
      <c r="G104" s="63"/>
      <c r="H104" s="64" t="s">
        <v>66</v>
      </c>
      <c r="I104" s="63"/>
      <c r="J104" s="65" t="str">
        <f t="shared" ref="J104:J108" si="842">IF(OR(ISBLANK(G104),ISBLANK(I104)),"",IF(G104&gt;I104,1,IF(G104&lt;I104,2,"X")))</f>
        <v/>
      </c>
      <c r="K104" s="66">
        <f>IF(OR(G104="",I104="",'[1]Resultat &amp; tabell'!G104="",'[1]Resultat &amp; tabell'!I104=""),0,IF(G104='[1]Resultat &amp; tabell'!G104,2,0)+IF(I104='[1]Resultat &amp; tabell'!I104,2,0)+IF(J104='[1]Resultat &amp; tabell'!J104,2,0))</f>
        <v>0</v>
      </c>
      <c r="L104" s="67"/>
      <c r="M104" s="29">
        <f t="shared" si="793"/>
        <v>1</v>
      </c>
      <c r="N104" s="30">
        <v>2</v>
      </c>
      <c r="O104" s="80" t="str">
        <f>VLOOKUP(N104,FI103:FJ106,2,FALSE)</f>
        <v>Kroatien</v>
      </c>
      <c r="P104" s="81">
        <f t="shared" ref="P104:P106" si="843">VLOOKUP($O104,$BT$103:$CA$106,2,FALSE)</f>
        <v>0</v>
      </c>
      <c r="Q104" s="81">
        <f t="shared" ref="Q104:Q106" si="844">VLOOKUP($O104,$BT$103:$CA$106,3,FALSE)</f>
        <v>0</v>
      </c>
      <c r="R104" s="81">
        <f t="shared" ref="R104:R106" si="845">VLOOKUP($O104,$BT$103:$CA$106,4,FALSE)</f>
        <v>0</v>
      </c>
      <c r="S104" s="81">
        <f t="shared" ref="S104:S106" si="846">VLOOKUP($O104,$BT$103:$CA$106,5,FALSE)</f>
        <v>0</v>
      </c>
      <c r="T104" s="81">
        <f t="shared" ref="T104:T106" si="847">VLOOKUP($O104,$BT$103:$CA$106,6,FALSE)</f>
        <v>0</v>
      </c>
      <c r="U104" s="81">
        <f t="shared" ref="U104:U106" si="848">VLOOKUP($O104,$BT$103:$CA$106,7,FALSE)</f>
        <v>0</v>
      </c>
      <c r="V104" s="82">
        <f t="shared" ref="V104:V106" si="849">VLOOKUP($O104,$BT$103:$CA$106,8,FALSE)</f>
        <v>0</v>
      </c>
      <c r="X104" s="1"/>
      <c r="AE104" s="72">
        <f t="shared" si="795"/>
        <v>46191</v>
      </c>
      <c r="AF104" s="72" t="str">
        <f t="shared" si="795"/>
        <v>Ghana</v>
      </c>
      <c r="AG104" s="72" t="str">
        <f t="shared" si="795"/>
        <v>-</v>
      </c>
      <c r="AH104" s="72" t="str">
        <f t="shared" si="795"/>
        <v>Panama</v>
      </c>
      <c r="AI104" s="63" t="str">
        <f t="shared" si="796"/>
        <v/>
      </c>
      <c r="AJ104" s="58" t="str">
        <f t="shared" si="797"/>
        <v>-</v>
      </c>
      <c r="AK104" s="63" t="str">
        <f t="shared" si="798"/>
        <v/>
      </c>
      <c r="AL104" s="65" t="str">
        <f t="shared" si="799"/>
        <v/>
      </c>
      <c r="AM104" s="73"/>
      <c r="AN104" s="13">
        <f t="shared" si="800"/>
        <v>0</v>
      </c>
      <c r="AO104" s="13">
        <f t="shared" si="801"/>
        <v>0</v>
      </c>
      <c r="AP104" s="13">
        <f t="shared" si="802"/>
        <v>0</v>
      </c>
      <c r="AQ104" s="13">
        <f t="shared" si="803"/>
        <v>0</v>
      </c>
      <c r="AR104" s="13">
        <f t="shared" si="804"/>
        <v>0</v>
      </c>
      <c r="AS104" s="13">
        <f t="shared" si="805"/>
        <v>0</v>
      </c>
      <c r="AT104" s="13">
        <f t="shared" si="806"/>
        <v>0</v>
      </c>
      <c r="AU104" s="13">
        <f t="shared" si="807"/>
        <v>0</v>
      </c>
      <c r="AV104" s="13">
        <f t="shared" si="808"/>
        <v>0</v>
      </c>
      <c r="AW104" s="13">
        <f t="shared" si="809"/>
        <v>0</v>
      </c>
      <c r="AX104" s="13">
        <f t="shared" si="810"/>
        <v>0</v>
      </c>
      <c r="AY104" s="13">
        <f t="shared" si="811"/>
        <v>0</v>
      </c>
      <c r="AZ104" s="13">
        <f t="shared" si="812"/>
        <v>0</v>
      </c>
      <c r="BA104" s="13">
        <f t="shared" si="813"/>
        <v>0</v>
      </c>
      <c r="BB104" s="13">
        <f t="shared" si="814"/>
        <v>0</v>
      </c>
      <c r="BC104" s="13">
        <f t="shared" si="815"/>
        <v>0</v>
      </c>
      <c r="BD104" s="13">
        <f t="shared" si="816"/>
        <v>0</v>
      </c>
      <c r="BE104" s="13">
        <f t="shared" si="817"/>
        <v>0</v>
      </c>
      <c r="BF104" s="13">
        <f t="shared" si="818"/>
        <v>0</v>
      </c>
      <c r="BG104" s="13">
        <f t="shared" si="819"/>
        <v>0</v>
      </c>
      <c r="BH104" s="13">
        <f t="shared" si="820"/>
        <v>0</v>
      </c>
      <c r="BI104" s="13">
        <f t="shared" si="821"/>
        <v>0</v>
      </c>
      <c r="BJ104" s="13">
        <f t="shared" si="822"/>
        <v>0</v>
      </c>
      <c r="BK104" s="13">
        <f t="shared" si="823"/>
        <v>0</v>
      </c>
      <c r="BL104" s="13">
        <f t="shared" si="824"/>
        <v>0</v>
      </c>
      <c r="BM104" s="13">
        <f t="shared" si="825"/>
        <v>0</v>
      </c>
      <c r="BN104" s="13">
        <f t="shared" si="826"/>
        <v>0</v>
      </c>
      <c r="BO104" s="13">
        <f t="shared" si="827"/>
        <v>0</v>
      </c>
      <c r="BP104" s="13">
        <f t="shared" si="828"/>
        <v>0</v>
      </c>
      <c r="BQ104" s="13">
        <f t="shared" si="829"/>
        <v>0</v>
      </c>
      <c r="BT104" s="12" t="s">
        <v>141</v>
      </c>
      <c r="BU104" s="13">
        <f t="shared" si="830"/>
        <v>0</v>
      </c>
      <c r="BV104" s="13">
        <f t="shared" si="831"/>
        <v>0</v>
      </c>
      <c r="BW104" s="13">
        <f t="shared" si="832"/>
        <v>0</v>
      </c>
      <c r="BX104" s="13">
        <f t="shared" si="833"/>
        <v>0</v>
      </c>
      <c r="BY104" s="13">
        <f t="shared" si="834"/>
        <v>0</v>
      </c>
      <c r="BZ104" s="13">
        <f t="shared" si="835"/>
        <v>0</v>
      </c>
      <c r="CA104" s="13">
        <f t="shared" si="836"/>
        <v>0</v>
      </c>
      <c r="CB104" s="13" t="s">
        <v>63</v>
      </c>
      <c r="CC104" s="74">
        <f>RANK(CA104,CA103:CA106)</f>
        <v>1</v>
      </c>
      <c r="CD104" s="13">
        <f>SUMPRODUCT((CA103:CA106=CA104)*(BZ103:BZ106&gt;BZ104))</f>
        <v>0</v>
      </c>
      <c r="CF104" s="12" t="str">
        <f>IF(CC104=1,BT104,)</f>
        <v>Kroatien</v>
      </c>
      <c r="CG104" s="13">
        <f t="shared" si="837"/>
        <v>0</v>
      </c>
      <c r="CH104" s="13">
        <f t="shared" si="838"/>
        <v>0</v>
      </c>
      <c r="CI104" s="13">
        <f t="shared" si="839"/>
        <v>0</v>
      </c>
      <c r="CJ104" s="13">
        <f t="shared" si="840"/>
        <v>0</v>
      </c>
      <c r="CK104" s="13" t="str">
        <f t="shared" ref="CK104:CK106" si="850">CB104</f>
        <v>L</v>
      </c>
      <c r="CL104" s="13">
        <f>IF(CF104&gt;0,RANK(CJ104,CJ103:CJ106),)</f>
        <v>1</v>
      </c>
      <c r="CM104" s="13">
        <f>IF(AND(CF104&gt;0,COUNTIF(CL103:CL106,CL104)&gt;1),SUMIFS($AI$4:$AI$108,$AF$4:$AF$108,$BT104,$M$4:$M$108,1)+SUMIFS($AK$4:$AK$108,$AH$4:$AH$108,$BT104,$M$4:$M$108,1)-SUMIFS($AK$4:$AK$108,$AF$4:$AF$108,$BT104,$M$4:$M$108,1)-SUMIFS($AI$4:$AI$108,$AH$4:$AH$108,$BT104,$M$4:$M$108,1),)</f>
        <v>0</v>
      </c>
      <c r="CN104" s="13">
        <f>IF(AND(CF104&gt;0,COUNTIF(CL103:CL106,CL104)&gt;1),CL104+RANK(CM104,CM103:CM106)-1,CL104)</f>
        <v>1</v>
      </c>
      <c r="CO104" s="13">
        <f>IF(AND(CF104&gt;0,COUNTIF(CN103:CN106,CN104)&gt;1),SUMIFS($AI$4:$AI$108,$AF$4:$AF$108,$BT104,$M$4:$M$108,1)+SUMIFS($AK$4:$AK$108,$AH$4:$AH$108,$BT104,$M$4:$M$108,1),)</f>
        <v>0</v>
      </c>
      <c r="CP104" s="13">
        <f>IF(AND(CF104&gt;0,COUNTIF(CN103:CN106,CN104)&gt;1),CN104+RANK(CO104,CO103:CO106)-1,CN104)</f>
        <v>1</v>
      </c>
      <c r="CQ104" s="13">
        <f t="shared" ref="CQ104:CQ106" si="851">IF(CP104=0,"",CP104)</f>
        <v>1</v>
      </c>
      <c r="CR104" s="13">
        <f>IF(OR(CQ104="",COUNTIF(CQ103:CQ106,CQ104)=1),"",$BZ104)</f>
        <v>0</v>
      </c>
      <c r="CS104" s="13">
        <f>IF(CQ104="","",IF(COUNTIF(CQ103:CQ106,CQ104)=1,CQ104,CQ104+RANK(CR104,CR103:CR106,0)-1))</f>
        <v>1</v>
      </c>
      <c r="CT104" s="13">
        <f>IF(OR(CS104="",COUNTIF(CS103:CS106,CS104)=1),"",$BX104)</f>
        <v>0</v>
      </c>
      <c r="CU104" s="13">
        <f>IF(CQ104="","",IF(COUNTIF(CS103:CS106,CS104)=1,CS104,CS104+RANK(CT104,CT103:CT106,0)-1))</f>
        <v>1</v>
      </c>
      <c r="CV104" s="13">
        <f>IF(OR(CU104="",COUNTIF(CU103:CU106,CU104)=1),"",$BU104)</f>
        <v>0</v>
      </c>
      <c r="CW104" s="13">
        <f>IF(CQ104="","",IF(COUNTIF(CU103:CU106,CU104)=1,CU104,CU104+RANK(CV104,CV103:CV106,0)-1))</f>
        <v>1</v>
      </c>
      <c r="CX104" s="13">
        <f>IF(CF104&gt;0,BM101+RANK(CW104,CW103:CW106,1),)</f>
        <v>1</v>
      </c>
      <c r="CZ104" s="12">
        <f>IF(CC104=2,BT104,)</f>
        <v>0</v>
      </c>
      <c r="DA104" s="13">
        <f>(SUMIF($AF$4:$AF$108,$BT104,$AZ$4:$AZ$108)+SUMIF($AH$4:$AH$108,$BT104,$BA$4:$BA$108))</f>
        <v>0</v>
      </c>
      <c r="DB104" s="13">
        <f t="shared" ref="DB104:DB106" si="852">(SUMIF($AF$4:$AF$108,$BT104,$BB$4:$BB$108)+SUMIF($AH$4:$AH$108,$BT104,$BC$4:$BC$108))</f>
        <v>0</v>
      </c>
      <c r="DC104" s="13">
        <f t="shared" ref="DC104:DC106" si="853">(SUMIF($AF$4:$AF$108,$BT104,$BD$4:$BD$108)+SUMIF($AH$4:$AH$108,$BT104,$BE$4:$BE$108))</f>
        <v>0</v>
      </c>
      <c r="DD104" s="13">
        <f t="shared" ref="DD104:DD106" si="854">IFERROR(DA104*3+DB104*1,0)</f>
        <v>0</v>
      </c>
      <c r="DE104" s="13" t="str">
        <f t="shared" ref="DE104:DE106" si="855">$CB104</f>
        <v>L</v>
      </c>
      <c r="DF104" s="13">
        <f>IF(CZ104&gt;0,RANK(DD104,DD103:DD106)+CG101,)</f>
        <v>0</v>
      </c>
      <c r="DG104" s="13">
        <f>IF(AND(CZ104&gt;0,COUNTIF(DF103:DF106,DF104)&gt;1),SUMIFS($AI$4:$AI$108,$AF$4:$AF$108,$BT104,$M$4:$M$108,2)+SUMIFS($AK$4:$AK$108,$AH$4:$AH108,$BT104,$M$4:$M$108,2)-SUMIFS($AK$4:$AK$108,$AF$4:$AF$108,$BT104,$M$4:$M$108,2)-SUMIFS($AI$4:$AI$108,$AH$4:$AH$108,$BT104,$M$4:$M$108,2),)</f>
        <v>0</v>
      </c>
      <c r="DH104" s="13">
        <f>IF(AND(CZ104&gt;0,COUNTIF(DF103:DF106,DF104)&gt;1),DF104+RANK(DG104,DG103:DG106)-1,DF104)</f>
        <v>0</v>
      </c>
      <c r="DI104" s="13">
        <f>IF(AND(CZ104&gt;0,COUNTIF(DH103:DH106,DH104)&gt;1),SUMIFS($AI$4:$AI$108,$AF$4:$AF$108,$BT104,$M$4:$M$108,2)+SUMIFS($AK$4:$AK$108,$AH$4:$AH$108,$BT104,$M$4:$M$108,2),)</f>
        <v>0</v>
      </c>
      <c r="DJ104" s="13">
        <f>IF(AND(CZ104&gt;0,COUNTIF(DH103:DH106,DH104)&gt;1),DH104+RANK(DI104,DI103:DI106)-1,DH104)</f>
        <v>0</v>
      </c>
      <c r="DK104" s="75" t="str">
        <f t="shared" ref="DK104:DK106" si="856">IF(DJ104=0,"",DJ104)</f>
        <v/>
      </c>
      <c r="DL104" s="75" t="str">
        <f>IF(OR(DK104="",COUNTIF(DK103:DK106,DK104)=1),"",$BZ104)</f>
        <v/>
      </c>
      <c r="DM104" s="75" t="str">
        <f>IF(DK104="","",IF(COUNTIF(DK103:DK106,DK104)=1,DK104,DK104+RANK(DL104,DL103:DL106,0)-1))</f>
        <v/>
      </c>
      <c r="DN104" s="75" t="str">
        <f>IF(OR(DM104="",COUNTIF(DM103:DM106,DM104)=1),"",$BX104)</f>
        <v/>
      </c>
      <c r="DO104" s="75" t="str">
        <f>IF(DK104="","",IF(COUNTIF(DM103:DM106,DM104)=1,DM104,DM104+RANK(DN104,DN103:DN106,0)-1))</f>
        <v/>
      </c>
      <c r="DP104" s="75" t="str">
        <f>IF(OR(DO104="",COUNTIF(DO103:DO106,DO104)=1),"",$BU104)</f>
        <v/>
      </c>
      <c r="DQ104" s="75" t="str">
        <f>IF(DK104="","",IF(COUNTIF(DO103:DO106,DO104)=1,DO104,DO104+RANK(DP104,DP103:DP106,0)-1))</f>
        <v/>
      </c>
      <c r="DR104" s="13">
        <f>IF(CZ104&gt;0,CG101+RANK(DQ104,DQ103:DQ106,1),)</f>
        <v>0</v>
      </c>
      <c r="DT104" s="13">
        <f>IF(CC104=3,BT104,)</f>
        <v>0</v>
      </c>
      <c r="DU104" s="13">
        <f t="shared" ref="DU104:DU106" si="857">(SUMIF($AF$4:$AF$108,BT104,$BF$4:$BF$108)+SUMIF($AH$4:$AH$108,BT104,$BG$4:$BG$108))</f>
        <v>0</v>
      </c>
      <c r="DV104" s="13">
        <f t="shared" ref="DV104:DV106" si="858">(SUMIF($AF$4:$AF$108,BT104,$BH$4:$BH$108)+SUMIF($AH$4:$AH$108,BT104,$BI$4:$BI$108))</f>
        <v>0</v>
      </c>
      <c r="DW104" s="13">
        <f t="shared" ref="DW104:DW106" si="859">(SUMIF($AF$4:$AF$108,BT104,$BJ$4:$BJ$108)+SUMIF($AH$4:$AH$108,BT104,$BK$4:$BK$108))</f>
        <v>0</v>
      </c>
      <c r="DX104" s="13">
        <f>IFERROR(DU104*3+DV104*1,0)</f>
        <v>0</v>
      </c>
      <c r="DY104" s="13" t="str">
        <f t="shared" ref="DY104:DY106" si="860">CB104</f>
        <v>L</v>
      </c>
      <c r="DZ104" s="13">
        <f>IF(DT104&gt;0,RANK(DX104,DX103:DX106)+CG101+DA101,)</f>
        <v>0</v>
      </c>
      <c r="EA104" s="13">
        <f>IF(AND(DT104&gt;0,COUNTIF(DZ103:DZ106,DZ104)&gt;1),SUMIFS($AI$4:$AI$108,$AF$4:$AF$108,$BT104,$M$4:$M$108,3)+SUMIFS($AK$4:$AK$108,$AH$4:$AH$108,$BT104,$M$4:$M$108,3)-SUMIFS($AK$4:$AK$108,$AF$4:$AF$108,$BT104,$M$4:$M$108,3)-SUMIFS($AI$4:$AI$108,$AH$4:$AH$108,$BT104,$M$4:$M$108,3),)</f>
        <v>0</v>
      </c>
      <c r="EB104" s="13">
        <f>IF(AND(DT104&gt;0,COUNTIF(DZ103:DZ106,DZ104)&gt;1),DZ104+RANK(EA104,EA103:EA106)-1,DZ104)</f>
        <v>0</v>
      </c>
      <c r="EC104" s="13">
        <f>IF(AND(DT104&gt;0,COUNTIF(EB103:EB106,EB104)&gt;1),SUMIFS($AI$4:$AI$108,$AF$4:$AF$108,$BT104,$M$4:$M$108,3)+SUMIFS($AK$4:$AK$108,$AH$4:$AH$108,$BT104,$M$4:$M$108,3),)</f>
        <v>0</v>
      </c>
      <c r="ED104" s="13">
        <f>IF(AND(DT104&gt;0,COUNTIF(EB103:EB106,EB104)&gt;1),EB104+RANK(EC104,EC103:EC106)-1,EB104)</f>
        <v>0</v>
      </c>
      <c r="EE104" s="13" t="str">
        <f t="shared" ref="EE104:EE106" si="861">IF(ED104=0,"",ED104)</f>
        <v/>
      </c>
      <c r="EF104" s="13" t="str">
        <f>IF(OR(EE104="",COUNTIF(EE103:EE106,EE104)=1),"",$BZ104)</f>
        <v/>
      </c>
      <c r="EG104" s="13" t="str">
        <f>IF(EE104="","",IF(COUNTIF(EE103:EE106,EE104)=1,EE104,EE104+RANK(EF104,EF103:EF106,0)-1))</f>
        <v/>
      </c>
      <c r="EH104" s="13" t="str">
        <f>IF(OR(EG104="",COUNTIF(EG103:EG106,EG104)=1),"",$BX104)</f>
        <v/>
      </c>
      <c r="EI104" s="13" t="str">
        <f>IF(EE104="","",IF(COUNTIF(EG103:EG106,EG104)=1,EG104,EG104+RANK(EH104,EH103:EH106,0)-1))</f>
        <v/>
      </c>
      <c r="EJ104" s="13" t="str">
        <f>IF(OR(EI104="",COUNTIF(EI103:EI106,EI104)=1),"",$BU104)</f>
        <v/>
      </c>
      <c r="EK104" s="13" t="str">
        <f>IF(EE104="","",IF(COUNTIF(EI103:EI106,EI104)=1,EI104,EI104+RANK(EJ104,EJ103:EJ106,0)-1))</f>
        <v/>
      </c>
      <c r="EL104" s="13">
        <f>IF(DT104&gt;0,CG101+DA101+RANK(EK104,EK103:EK106,1),)</f>
        <v>0</v>
      </c>
      <c r="EN104" s="13">
        <f>IF(CC104=4,BT104,)</f>
        <v>0</v>
      </c>
      <c r="EO104" s="13">
        <f t="shared" ref="EO104:EO106" si="862">(SUMIF($AF$4:$AF$108,$BT104,$BL$4:$BL$108)+SUMIF($AH$4:$AH$108,$BT104,$BM$4:$BM$108))</f>
        <v>0</v>
      </c>
      <c r="EP104" s="13">
        <f t="shared" ref="EP104:EP106" si="863">(SUMIF($AF$4:$AF$108,$BT104,$BN$4:$BN$108)+SUMIF($AH$4:$AH$108,$BT104,$BO$4:$BO$108))</f>
        <v>0</v>
      </c>
      <c r="EQ104" s="13">
        <f t="shared" ref="EQ104:EQ106" si="864">(SUMIF($AF$4:$AF$108,$BT104,$BP$4:$BP$108)+SUMIF($AH$4:$AH$108,$BT104,$BQ$4:$BQ$108))</f>
        <v>0</v>
      </c>
      <c r="ER104" s="13">
        <f t="shared" ref="ER104:ER106" si="865">IFERROR(EO104*3+EP104*1,0)</f>
        <v>0</v>
      </c>
      <c r="ES104" s="13" t="str">
        <f t="shared" ref="ES104:ES106" si="866">$CB104</f>
        <v>L</v>
      </c>
      <c r="ET104" s="13">
        <f>IF(EN104&gt;0,RANK(ER104,ER103:ER106)+CG101+DA101+DU101,)</f>
        <v>0</v>
      </c>
      <c r="EU104" s="13">
        <f>IF(AND(EN104&gt;0,COUNTIF(ET103:ET106,ET104)&gt;1),SUMIFS($AI$4:$AI$108,$AF$4:$AF$108,$BT104,$M$4:$M$108,4)+SUMIFS($AK$4:$AK$108,$AH$4:$AH$108,$BT104,$M$4:$M$108,4)-SUMIFS($AK$4:$AK$108,$AF$4:$AF$108,$BT104,$M$4:$M$108,4)-SUMIFS($AI$4:$AI$108,$AH$4:$AH$108,$BT104,$M$4:$M$108,4),)</f>
        <v>0</v>
      </c>
      <c r="EV104" s="13">
        <f>IF(AND(EN104&gt;0,COUNTIF(ET103:ET106,ET104)&gt;1),ET104+RANK(EU104,EU103:EU106)-1,ET104)</f>
        <v>0</v>
      </c>
      <c r="EW104" s="13">
        <f t="shared" ref="EW104:EW106" si="867">IF(AND(EN104&gt;0,COUNTIF(EV104:EV107,EV104)&gt;1),SUMIFS($AI$4:$AI$108,$AF$4:$AF$108,$BT104,$M$4:$M$108,4)+SUMIFS($AK$4:$AK$108,$AH$4:$AH$108,$BT104,$M$4:$M$108,4),)</f>
        <v>0</v>
      </c>
      <c r="EX104" s="13">
        <f>IF(AND(EN104&gt;0,COUNTIF(EV103:EV106,EV104)&gt;1),EV104+RANK(EW104,EW103:EW106)-1,EV104)</f>
        <v>0</v>
      </c>
      <c r="EY104" s="13" t="str">
        <f t="shared" ref="EY104:EY106" si="868">IF(EX104=0,"",EX104)</f>
        <v/>
      </c>
      <c r="EZ104" s="13" t="str">
        <f>IF(OR(EY104="",COUNTIF(EY103:EY106,EY104)=1),"",$BZ104)</f>
        <v/>
      </c>
      <c r="FA104" s="13" t="str">
        <f>IF(EY104="","",IF(COUNTIF(EY103:EY106,EY104)=1,EY104,EY104+RANK(EZ104,EZ103:EZ106,0)-1))</f>
        <v/>
      </c>
      <c r="FB104" s="13" t="str">
        <f>IF(OR(FA104="",COUNTIF(FA103:FA106,FA104)=1),"",$BX104)</f>
        <v/>
      </c>
      <c r="FC104" s="13" t="str">
        <f>IF(EY104="","",IF(COUNTIF(FA103:FA106,FA104)=1,FA104,FA104+RANK(FB104,FB103:FB106,0)-1))</f>
        <v/>
      </c>
      <c r="FD104" s="13" t="str">
        <f>IF(OR(FC104="",COUNTIF(FC103:FC106,FC104)=1),"",$BU104)</f>
        <v/>
      </c>
      <c r="FE104" s="13" t="str">
        <f>IF(EY104="","",IF(COUNTIF(FC103:FC106,FC104)=1,FC104,FC104+RANK(FD104,FD103:FD106,0)-1))</f>
        <v/>
      </c>
      <c r="FF104" s="13">
        <f>IF(EN104&gt;0,CG101+DA101+DU101+RANK(FE104,FE103:FE106,1),)</f>
        <v>0</v>
      </c>
      <c r="FH104" s="13">
        <f>IFERROR(VLOOKUP(FJ104,CF102:CX106,19,FALSE),IFERROR(VLOOKUP(FJ104,CZ102:DR106,19,FALSE),IFERROR(VLOOKUP(FJ104,DT102:EL106,19,FALSE),VLOOKUP(FJ104,EN102:FF106,19,FALSE))))</f>
        <v>1</v>
      </c>
      <c r="FI104" s="13">
        <f>RANK(FH104,FH103:FH106,1)+COUNTIF(FH103:FH104,FH104)-1</f>
        <v>2</v>
      </c>
      <c r="FJ104" s="12" t="str">
        <f>BT104</f>
        <v>Kroatien</v>
      </c>
      <c r="FZ104" s="79">
        <v>102</v>
      </c>
      <c r="GA104" s="3" t="str">
        <f t="shared" si="562"/>
        <v>EGBCIFLK</v>
      </c>
      <c r="GB104" s="3" t="s">
        <v>59</v>
      </c>
      <c r="GC104" s="3" t="s">
        <v>60</v>
      </c>
      <c r="GD104" s="3" t="s">
        <v>57</v>
      </c>
      <c r="GE104" s="3" t="s">
        <v>75</v>
      </c>
      <c r="GF104" s="3" t="s">
        <v>61</v>
      </c>
      <c r="GG104" s="3" t="s">
        <v>21</v>
      </c>
      <c r="GH104" s="3" t="s">
        <v>63</v>
      </c>
      <c r="GI104" s="3" t="s">
        <v>62</v>
      </c>
      <c r="GJ104" s="9" t="str">
        <f t="shared" si="640"/>
        <v>Elfenbenskusten</v>
      </c>
      <c r="GK104" s="9" t="str">
        <f t="shared" si="640"/>
        <v>Iran</v>
      </c>
      <c r="GL104" s="9" t="str">
        <f t="shared" si="640"/>
        <v>Qatar</v>
      </c>
      <c r="GM104" s="9" t="str">
        <f t="shared" si="640"/>
        <v>Haiti</v>
      </c>
      <c r="GN104" s="9" t="str">
        <f t="shared" si="640"/>
        <v>Irak</v>
      </c>
      <c r="GO104" s="9" t="str">
        <f t="shared" si="640"/>
        <v>Sverige</v>
      </c>
      <c r="GP104" s="9" t="str">
        <f t="shared" si="640"/>
        <v>Ghana</v>
      </c>
      <c r="GQ104" s="9" t="str">
        <f t="shared" si="639"/>
        <v>Uzbekistan</v>
      </c>
      <c r="GR104" s="9" t="str">
        <f t="shared" si="563"/>
        <v/>
      </c>
      <c r="GX104" s="142"/>
    </row>
    <row r="105" spans="2:206" ht="14.25" customHeight="1" x14ac:dyDescent="0.25">
      <c r="B105" s="58">
        <v>45</v>
      </c>
      <c r="C105" s="59">
        <v>46196</v>
      </c>
      <c r="D105" s="60" t="s">
        <v>140</v>
      </c>
      <c r="E105" s="61" t="s">
        <v>66</v>
      </c>
      <c r="F105" s="62" t="s">
        <v>142</v>
      </c>
      <c r="G105" s="63"/>
      <c r="H105" s="64" t="s">
        <v>66</v>
      </c>
      <c r="I105" s="63"/>
      <c r="J105" s="65" t="str">
        <f t="shared" si="842"/>
        <v/>
      </c>
      <c r="K105" s="66">
        <f>IF(OR(G105="",I105="",'[1]Resultat &amp; tabell'!G105="",'[1]Resultat &amp; tabell'!I105=""),0,IF(G105='[1]Resultat &amp; tabell'!G105,2,0)+IF(I105='[1]Resultat &amp; tabell'!I105,2,0)+IF(J105='[1]Resultat &amp; tabell'!J105,2,0))</f>
        <v>0</v>
      </c>
      <c r="L105" s="67"/>
      <c r="M105" s="29">
        <f t="shared" si="793"/>
        <v>1</v>
      </c>
      <c r="N105" s="30">
        <v>3</v>
      </c>
      <c r="O105" s="83" t="str">
        <f>VLOOKUP(N105,FI103:FJ106,2,FALSE)</f>
        <v>Ghana</v>
      </c>
      <c r="P105" s="84">
        <f t="shared" si="843"/>
        <v>0</v>
      </c>
      <c r="Q105" s="84">
        <f t="shared" si="844"/>
        <v>0</v>
      </c>
      <c r="R105" s="84">
        <f t="shared" si="845"/>
        <v>0</v>
      </c>
      <c r="S105" s="84">
        <f t="shared" si="846"/>
        <v>0</v>
      </c>
      <c r="T105" s="84">
        <f t="shared" si="847"/>
        <v>0</v>
      </c>
      <c r="U105" s="84">
        <f t="shared" si="848"/>
        <v>0</v>
      </c>
      <c r="V105" s="85">
        <f t="shared" si="849"/>
        <v>0</v>
      </c>
      <c r="X105" s="1"/>
      <c r="AE105" s="72">
        <f t="shared" si="795"/>
        <v>46196</v>
      </c>
      <c r="AF105" s="72" t="str">
        <f t="shared" si="795"/>
        <v>England</v>
      </c>
      <c r="AG105" s="72" t="str">
        <f t="shared" si="795"/>
        <v>-</v>
      </c>
      <c r="AH105" s="72" t="str">
        <f t="shared" si="795"/>
        <v>Ghana</v>
      </c>
      <c r="AI105" s="63" t="str">
        <f t="shared" si="796"/>
        <v/>
      </c>
      <c r="AJ105" s="58" t="str">
        <f t="shared" si="797"/>
        <v>-</v>
      </c>
      <c r="AK105" s="63" t="str">
        <f t="shared" si="798"/>
        <v/>
      </c>
      <c r="AL105" s="65" t="str">
        <f t="shared" si="799"/>
        <v/>
      </c>
      <c r="AM105" s="73"/>
      <c r="AN105" s="13">
        <f t="shared" si="800"/>
        <v>0</v>
      </c>
      <c r="AO105" s="13">
        <f t="shared" si="801"/>
        <v>0</v>
      </c>
      <c r="AP105" s="13">
        <f t="shared" si="802"/>
        <v>0</v>
      </c>
      <c r="AQ105" s="13">
        <f t="shared" si="803"/>
        <v>0</v>
      </c>
      <c r="AR105" s="13">
        <f t="shared" si="804"/>
        <v>0</v>
      </c>
      <c r="AS105" s="13">
        <f t="shared" si="805"/>
        <v>0</v>
      </c>
      <c r="AT105" s="13">
        <f t="shared" si="806"/>
        <v>0</v>
      </c>
      <c r="AU105" s="13">
        <f t="shared" si="807"/>
        <v>0</v>
      </c>
      <c r="AV105" s="13">
        <f t="shared" si="808"/>
        <v>0</v>
      </c>
      <c r="AW105" s="13">
        <f t="shared" si="809"/>
        <v>0</v>
      </c>
      <c r="AX105" s="13">
        <f t="shared" si="810"/>
        <v>0</v>
      </c>
      <c r="AY105" s="13">
        <f t="shared" si="811"/>
        <v>0</v>
      </c>
      <c r="AZ105" s="13">
        <f t="shared" si="812"/>
        <v>0</v>
      </c>
      <c r="BA105" s="13">
        <f t="shared" si="813"/>
        <v>0</v>
      </c>
      <c r="BB105" s="13">
        <f t="shared" si="814"/>
        <v>0</v>
      </c>
      <c r="BC105" s="13">
        <f t="shared" si="815"/>
        <v>0</v>
      </c>
      <c r="BD105" s="13">
        <f t="shared" si="816"/>
        <v>0</v>
      </c>
      <c r="BE105" s="13">
        <f t="shared" si="817"/>
        <v>0</v>
      </c>
      <c r="BF105" s="13">
        <f t="shared" si="818"/>
        <v>0</v>
      </c>
      <c r="BG105" s="13">
        <f t="shared" si="819"/>
        <v>0</v>
      </c>
      <c r="BH105" s="13">
        <f t="shared" si="820"/>
        <v>0</v>
      </c>
      <c r="BI105" s="13">
        <f t="shared" si="821"/>
        <v>0</v>
      </c>
      <c r="BJ105" s="13">
        <f t="shared" si="822"/>
        <v>0</v>
      </c>
      <c r="BK105" s="13">
        <f t="shared" si="823"/>
        <v>0</v>
      </c>
      <c r="BL105" s="13">
        <f t="shared" si="824"/>
        <v>0</v>
      </c>
      <c r="BM105" s="13">
        <f t="shared" si="825"/>
        <v>0</v>
      </c>
      <c r="BN105" s="13">
        <f t="shared" si="826"/>
        <v>0</v>
      </c>
      <c r="BO105" s="13">
        <f t="shared" si="827"/>
        <v>0</v>
      </c>
      <c r="BP105" s="13">
        <f t="shared" si="828"/>
        <v>0</v>
      </c>
      <c r="BQ105" s="13">
        <f t="shared" si="829"/>
        <v>0</v>
      </c>
      <c r="BT105" s="12" t="s">
        <v>142</v>
      </c>
      <c r="BU105" s="13">
        <f t="shared" si="830"/>
        <v>0</v>
      </c>
      <c r="BV105" s="13">
        <f t="shared" si="831"/>
        <v>0</v>
      </c>
      <c r="BW105" s="13">
        <f t="shared" si="832"/>
        <v>0</v>
      </c>
      <c r="BX105" s="13">
        <f t="shared" si="833"/>
        <v>0</v>
      </c>
      <c r="BY105" s="13">
        <f t="shared" si="834"/>
        <v>0</v>
      </c>
      <c r="BZ105" s="13">
        <f t="shared" si="835"/>
        <v>0</v>
      </c>
      <c r="CA105" s="13">
        <f t="shared" si="836"/>
        <v>0</v>
      </c>
      <c r="CB105" s="13" t="s">
        <v>63</v>
      </c>
      <c r="CC105" s="74">
        <f>RANK(CA105,CA103:CA106)</f>
        <v>1</v>
      </c>
      <c r="CD105" s="13">
        <f>SUMPRODUCT((CA103:CA106=CA105)*(BZ103:BZ106&gt;BZ105))</f>
        <v>0</v>
      </c>
      <c r="CF105" s="12" t="str">
        <f>IF(CC105=1,BT105,)</f>
        <v>Ghana</v>
      </c>
      <c r="CG105" s="13">
        <f t="shared" si="837"/>
        <v>0</v>
      </c>
      <c r="CH105" s="13">
        <f t="shared" si="838"/>
        <v>0</v>
      </c>
      <c r="CI105" s="13">
        <f t="shared" si="839"/>
        <v>0</v>
      </c>
      <c r="CJ105" s="13">
        <f t="shared" si="840"/>
        <v>0</v>
      </c>
      <c r="CK105" s="13" t="str">
        <f t="shared" si="850"/>
        <v>L</v>
      </c>
      <c r="CL105" s="13">
        <f>IF(CF105&gt;0,RANK(CJ105,CJ103:CJ106),)</f>
        <v>1</v>
      </c>
      <c r="CM105" s="13">
        <f>IF(AND(CF105&gt;0,COUNTIF(CL103:CL106,CL105)&gt;1),SUMIFS($AI$4:$AI$108,$AF$4:$AF$108,$BT105,$M$4:$M$108,1)+SUMIFS($AK$4:$AK$108,$AH$4:$AH$108,$BT105,$M$4:$M$108,1)-SUMIFS($AK$4:$AK$108,$AF$4:$AF$108,$BT105,$M$4:$M$108,1)-SUMIFS($AI$4:$AI$108,$AH$4:$AH$108,$BT105,$M$4:$M$108,1),)</f>
        <v>0</v>
      </c>
      <c r="CN105" s="13">
        <f>IF(AND(CF105&gt;0,COUNTIF(CL103:CL106,CL105)&gt;1),CL105+RANK(CM105,CM103:CM106)-1,CL105)</f>
        <v>1</v>
      </c>
      <c r="CO105" s="13">
        <f>IF(AND(CF105&gt;0,COUNTIF(CN103:CN106,CN105)&gt;1),SUMIFS($AI$4:$AI$108,$AF$4:$AF$108,$BT105,$M$4:$M$108,1)+SUMIFS($AK$4:$AK$108,$AH$4:$AH$108,$BT105,$M$4:$M$108,1),)</f>
        <v>0</v>
      </c>
      <c r="CP105" s="13">
        <f>IF(AND(CF105&gt;0,COUNTIF(CN103:CN106,CN105)&gt;1),CN105+RANK(CO105,CO103:CO106)-1,CN105)</f>
        <v>1</v>
      </c>
      <c r="CQ105" s="13">
        <f t="shared" si="851"/>
        <v>1</v>
      </c>
      <c r="CR105" s="13">
        <f>IF(OR(CQ105="",COUNTIF(CQ103:CQ106,CQ105)=1),"",$BZ105)</f>
        <v>0</v>
      </c>
      <c r="CS105" s="13">
        <f>IF(CQ105="","",IF(COUNTIF(CQ103:CQ106,CQ105)=1,CQ105,CQ105+RANK(CR105,CR103:CR106,0)-1))</f>
        <v>1</v>
      </c>
      <c r="CT105" s="13">
        <f>IF(OR(CS105="",COUNTIF(CS103:CS106,CS105)=1),"",$BX105)</f>
        <v>0</v>
      </c>
      <c r="CU105" s="13">
        <f>IF(CQ105="","",IF(COUNTIF(CS103:CS106,CS105)=1,CS105,CS105+RANK(CT105,CT103:CT106,0)-1))</f>
        <v>1</v>
      </c>
      <c r="CV105" s="13">
        <f>IF(OR(CU105="",COUNTIF(CU103:CU106,CU105)=1),"",$BU105)</f>
        <v>0</v>
      </c>
      <c r="CW105" s="13">
        <f>IF(CQ105="","",IF(COUNTIF(CU103:CU106,CU105)=1,CU105,CU105+RANK(CV105,CV103:CV106,0)-1))</f>
        <v>1</v>
      </c>
      <c r="CX105" s="13">
        <f>IF(CF105&gt;0,BM101+RANK(CW105,CW103:CW106,1),)</f>
        <v>1</v>
      </c>
      <c r="CZ105" s="12">
        <f>IF(CC105=2,BT105,)</f>
        <v>0</v>
      </c>
      <c r="DA105" s="13">
        <f>(SUMIF($AF$4:$AF$108,$BT105,$AZ$4:$AZ$108)+SUMIF($AH$4:$AH$108,$BT105,$BA$4:$BA$108))</f>
        <v>0</v>
      </c>
      <c r="DB105" s="13">
        <f t="shared" si="852"/>
        <v>0</v>
      </c>
      <c r="DC105" s="13">
        <f t="shared" si="853"/>
        <v>0</v>
      </c>
      <c r="DD105" s="13">
        <f t="shared" si="854"/>
        <v>0</v>
      </c>
      <c r="DE105" s="13" t="str">
        <f t="shared" si="855"/>
        <v>L</v>
      </c>
      <c r="DF105" s="13">
        <f>IF(CZ105&gt;0,RANK(DD105,DD103:DD106)+CG101,)</f>
        <v>0</v>
      </c>
      <c r="DG105" s="13">
        <f>IF(AND(CZ105&gt;0,COUNTIF(DF103:DF106,DF105)&gt;1),SUMIFS($AI$4:$AI$108,$AF$4:$AF$108,$BT105,$M$4:$M$108,2)+SUMIFS($AK$4:$AK$108,$AH$4:$AH108,$BT105,$M$4:$M$108,2)-SUMIFS($AK$4:$AK$108,$AF$4:$AF$108,$BT105,$M$4:$M$108,2)-SUMIFS($AI$4:$AI$108,$AH$4:$AH$108,$BT105,$M$4:$M$108,2),)</f>
        <v>0</v>
      </c>
      <c r="DH105" s="13">
        <f>IF(AND(CZ105&gt;0,COUNTIF(DF103:DF106,DF105)&gt;1),DF105+RANK(DG105,DG103:DG106)-1,DF105)</f>
        <v>0</v>
      </c>
      <c r="DI105" s="13">
        <f>IF(AND(CZ105&gt;0,COUNTIF(DH103:DH106,DH105)&gt;1),SUMIFS($AI$4:$AI$108,$AF$4:$AF$108,$BT105,$M$4:$M$108,2)+SUMIFS($AK$4:$AK$108,$AH$4:$AH$108,$BT105,$M$4:$M$108,2),)</f>
        <v>0</v>
      </c>
      <c r="DJ105" s="13">
        <f>IF(AND(CZ105&gt;0,COUNTIF(DH103:DH106,DH105)&gt;1),DH105+RANK(DI105,DI103:DI106)-1,DH105)</f>
        <v>0</v>
      </c>
      <c r="DK105" s="75" t="str">
        <f t="shared" si="856"/>
        <v/>
      </c>
      <c r="DL105" s="75" t="str">
        <f>IF(OR(DK105="",COUNTIF(DK103:DK106,DK105)=1),"",$BZ105)</f>
        <v/>
      </c>
      <c r="DM105" s="75" t="str">
        <f>IF(DK105="","",IF(COUNTIF(DK103:DK106,DK105)=1,DK105,DK105+RANK(DL105,DL103:DL106,0)-1))</f>
        <v/>
      </c>
      <c r="DN105" s="75" t="str">
        <f>IF(OR(DM105="",COUNTIF(DM103:DM106,DM105)=1),"",$BX105)</f>
        <v/>
      </c>
      <c r="DO105" s="75" t="str">
        <f>IF(DK105="","",IF(COUNTIF(DM103:DM106,DM105)=1,DM105,DM105+RANK(DN105,DN103:DN106,0)-1))</f>
        <v/>
      </c>
      <c r="DP105" s="75" t="str">
        <f>IF(OR(DO105="",COUNTIF(DO103:DO106,DO105)=1),"",$BU105)</f>
        <v/>
      </c>
      <c r="DQ105" s="75" t="str">
        <f>IF(DK105="","",IF(COUNTIF(DO103:DO106,DO105)=1,DO105,DO105+RANK(DP105,DP103:DP106,0)-1))</f>
        <v/>
      </c>
      <c r="DR105" s="13">
        <f>IF(CZ105&gt;0,CG101+RANK(DQ105,DQ103:DQ106,1),)</f>
        <v>0</v>
      </c>
      <c r="DT105" s="13">
        <f>IF(CC105=3,BT105,)</f>
        <v>0</v>
      </c>
      <c r="DU105" s="13">
        <f t="shared" si="857"/>
        <v>0</v>
      </c>
      <c r="DV105" s="13">
        <f t="shared" si="858"/>
        <v>0</v>
      </c>
      <c r="DW105" s="13">
        <f t="shared" si="859"/>
        <v>0</v>
      </c>
      <c r="DX105" s="13">
        <f>IFERROR(DU105*3+DV105*1,0)</f>
        <v>0</v>
      </c>
      <c r="DY105" s="13" t="str">
        <f t="shared" si="860"/>
        <v>L</v>
      </c>
      <c r="DZ105" s="13">
        <f>IF(DT105&gt;0,RANK(DX105,DX103:DX106)+CG101+DA101,)</f>
        <v>0</v>
      </c>
      <c r="EA105" s="13">
        <f>IF(AND(DT105&gt;0,COUNTIF(DZ103:DZ106,DZ105)&gt;1),SUMIFS($AI$4:$AI$108,$AF$4:$AF$108,$BT105,$M$4:$M$108,3)+SUMIFS($AK$4:$AK$108,$AH$4:$AH$108,$BT105,$M$4:$M$108,3)-SUMIFS($AK$4:$AK$108,$AF$4:$AF$108,$BT105,$M$4:$M$108,3)-SUMIFS($AI$4:$AI$108,$AH$4:$AH$108,$BT105,$M$4:$M$108,3),)</f>
        <v>0</v>
      </c>
      <c r="EB105" s="13">
        <f>IF(AND(DT105&gt;0,COUNTIF(DZ103:DZ106,DZ105)&gt;1),DZ105+RANK(EA105,EA103:EA106)-1,DZ105)</f>
        <v>0</v>
      </c>
      <c r="EC105" s="13">
        <f>IF(AND(DT105&gt;0,COUNTIF(EB103:EB106,EB105)&gt;1),SUMIFS($AI$4:$AI$108,$AF$4:$AF$108,$BT105,$M$4:$M$108,3)+SUMIFS($AK$4:$AK$108,$AH$4:$AH$108,$BT105,$M$4:$M$108,3),)</f>
        <v>0</v>
      </c>
      <c r="ED105" s="13">
        <f>IF(AND(DT105&gt;0,COUNTIF(EB103:EB106,EB105)&gt;1),EB105+RANK(EC105,EC103:EC106)-1,EB105)</f>
        <v>0</v>
      </c>
      <c r="EE105" s="13" t="str">
        <f t="shared" si="861"/>
        <v/>
      </c>
      <c r="EF105" s="13" t="str">
        <f>IF(OR(EE105="",COUNTIF(EE103:EE106,EE105)=1),"",$BZ105)</f>
        <v/>
      </c>
      <c r="EG105" s="13" t="str">
        <f>IF(EE105="","",IF(COUNTIF(EE103:EE106,EE105)=1,EE105,EE105+RANK(EF105,EF103:EF106,0)-1))</f>
        <v/>
      </c>
      <c r="EH105" s="13" t="str">
        <f>IF(OR(EG105="",COUNTIF(EG103:EG106,EG105)=1),"",$BX105)</f>
        <v/>
      </c>
      <c r="EI105" s="13" t="str">
        <f>IF(EE105="","",IF(COUNTIF(EG103:EG106,EG105)=1,EG105,EG105+RANK(EH105,EH103:EH106,0)-1))</f>
        <v/>
      </c>
      <c r="EJ105" s="13" t="str">
        <f>IF(OR(EI105="",COUNTIF(EI103:EI106,EI105)=1),"",$BU105)</f>
        <v/>
      </c>
      <c r="EK105" s="13" t="str">
        <f>IF(EE105="","",IF(COUNTIF(EI103:EI106,EI105)=1,EI105,EI105+RANK(EJ105,EJ103:EJ106,0)-1))</f>
        <v/>
      </c>
      <c r="EL105" s="13">
        <f>IF(DT105&gt;0,CG101+DA101+RANK(EK105,EK103:EK106,1),)</f>
        <v>0</v>
      </c>
      <c r="EN105" s="13">
        <f>IF(CC105=4,BT105,)</f>
        <v>0</v>
      </c>
      <c r="EO105" s="13">
        <f t="shared" si="862"/>
        <v>0</v>
      </c>
      <c r="EP105" s="13">
        <f t="shared" si="863"/>
        <v>0</v>
      </c>
      <c r="EQ105" s="13">
        <f t="shared" si="864"/>
        <v>0</v>
      </c>
      <c r="ER105" s="13">
        <f t="shared" si="865"/>
        <v>0</v>
      </c>
      <c r="ES105" s="13" t="str">
        <f t="shared" si="866"/>
        <v>L</v>
      </c>
      <c r="ET105" s="13">
        <f>IF(EN105&gt;0,RANK(ER105,ER103:ER106)+CG101+DA101+DU101,)</f>
        <v>0</v>
      </c>
      <c r="EU105" s="13">
        <f>IF(AND(EN105&gt;0,COUNTIF(ET103:ET106,ET105)&gt;1),SUMIFS($AI$4:$AI$108,$AF$4:$AF$108,$BT105,$M$4:$M$108,4)+SUMIFS($AK$4:$AK$108,$AH$4:$AH$108,$BT105,$M$4:$M$108,4)-SUMIFS($AK$4:$AK$108,$AF$4:$AF$108,$BT105,$M$4:$M$108,4)-SUMIFS($AI$4:$AI$108,$AH$4:$AH$108,$BT105,$M$4:$M$108,4),)</f>
        <v>0</v>
      </c>
      <c r="EV105" s="13">
        <f>IF(AND(EN105&gt;0,COUNTIF(ET103:ET106,ET105)&gt;1),ET105+RANK(EU105,EU103:EU106)-1,ET105)</f>
        <v>0</v>
      </c>
      <c r="EW105" s="13">
        <f t="shared" si="867"/>
        <v>0</v>
      </c>
      <c r="EX105" s="13">
        <f>IF(AND(EN105&gt;0,COUNTIF(EV103:EV106,EV105)&gt;1),EV105+RANK(EW105,EW103:EW106)-1,EV105)</f>
        <v>0</v>
      </c>
      <c r="EY105" s="13" t="str">
        <f t="shared" si="868"/>
        <v/>
      </c>
      <c r="EZ105" s="13" t="str">
        <f>IF(OR(EY105="",COUNTIF(EY103:EY106,EY105)=1),"",$BZ105)</f>
        <v/>
      </c>
      <c r="FA105" s="13" t="str">
        <f>IF(EY105="","",IF(COUNTIF(EY103:EY106,EY105)=1,EY105,EY105+RANK(EZ105,EZ103:EZ106,0)-1))</f>
        <v/>
      </c>
      <c r="FB105" s="13" t="str">
        <f>IF(OR(FA105="",COUNTIF(FA103:FA106,FA105)=1),"",$BX105)</f>
        <v/>
      </c>
      <c r="FC105" s="13" t="str">
        <f>IF(EY105="","",IF(COUNTIF(FA103:FA106,FA105)=1,FA105,FA105+RANK(FB105,FB103:FB106,0)-1))</f>
        <v/>
      </c>
      <c r="FD105" s="13" t="str">
        <f>IF(OR(FC105="",COUNTIF(FC103:FC106,FC105)=1),"",$BU105)</f>
        <v/>
      </c>
      <c r="FE105" s="13" t="str">
        <f>IF(EY105="","",IF(COUNTIF(FC103:FC106,FC105)=1,FC105,FC105+RANK(FD105,FD103:FD106,0)-1))</f>
        <v/>
      </c>
      <c r="FF105" s="13">
        <f>IF(EN105&gt;0,CG101+DA101+DU101+RANK(FE105,FE103:FE106,1),)</f>
        <v>0</v>
      </c>
      <c r="FH105" s="13">
        <f>IFERROR(VLOOKUP(FJ105,CF102:CX106,19,FALSE),IFERROR(VLOOKUP(FJ105,CZ102:DR106,19,FALSE),IFERROR(VLOOKUP(FJ105,DT102:EL106,19,FALSE),VLOOKUP(FJ105,EN102:FF106,19,FALSE))))</f>
        <v>1</v>
      </c>
      <c r="FI105" s="13">
        <f>RANK(FH105,FH103:FH106,1)+COUNTIF(FH103:FH105,FH105)-1</f>
        <v>3</v>
      </c>
      <c r="FJ105" s="12" t="str">
        <f>BT105</f>
        <v>Ghana</v>
      </c>
      <c r="FZ105" s="79">
        <v>103</v>
      </c>
      <c r="GA105" s="3" t="str">
        <f t="shared" si="562"/>
        <v>EGBCJFLI</v>
      </c>
      <c r="GB105" s="3" t="s">
        <v>59</v>
      </c>
      <c r="GC105" s="3" t="s">
        <v>60</v>
      </c>
      <c r="GD105" s="3" t="s">
        <v>57</v>
      </c>
      <c r="GE105" s="3" t="s">
        <v>75</v>
      </c>
      <c r="GF105" s="3" t="s">
        <v>69</v>
      </c>
      <c r="GG105" s="3" t="s">
        <v>21</v>
      </c>
      <c r="GH105" s="3" t="s">
        <v>63</v>
      </c>
      <c r="GI105" s="3" t="s">
        <v>61</v>
      </c>
      <c r="GJ105" s="9" t="str">
        <f t="shared" si="640"/>
        <v>Elfenbenskusten</v>
      </c>
      <c r="GK105" s="9" t="str">
        <f t="shared" si="640"/>
        <v>Iran</v>
      </c>
      <c r="GL105" s="9" t="str">
        <f t="shared" si="640"/>
        <v>Qatar</v>
      </c>
      <c r="GM105" s="9" t="str">
        <f t="shared" si="640"/>
        <v>Haiti</v>
      </c>
      <c r="GN105" s="9" t="str">
        <f t="shared" si="640"/>
        <v>Österrike</v>
      </c>
      <c r="GO105" s="9" t="str">
        <f t="shared" si="640"/>
        <v>Sverige</v>
      </c>
      <c r="GP105" s="9" t="str">
        <f t="shared" si="640"/>
        <v>Ghana</v>
      </c>
      <c r="GQ105" s="9" t="str">
        <f t="shared" si="639"/>
        <v>Irak</v>
      </c>
      <c r="GR105" s="9" t="str">
        <f t="shared" si="563"/>
        <v/>
      </c>
      <c r="GX105" s="142"/>
    </row>
    <row r="106" spans="2:206" ht="14.25" customHeight="1" x14ac:dyDescent="0.25">
      <c r="B106" s="58">
        <v>46</v>
      </c>
      <c r="C106" s="59">
        <v>46197</v>
      </c>
      <c r="D106" s="60" t="s">
        <v>143</v>
      </c>
      <c r="E106" s="61" t="s">
        <v>66</v>
      </c>
      <c r="F106" s="62" t="s">
        <v>141</v>
      </c>
      <c r="G106" s="63"/>
      <c r="H106" s="64" t="s">
        <v>66</v>
      </c>
      <c r="I106" s="63"/>
      <c r="J106" s="65" t="str">
        <f t="shared" si="842"/>
        <v/>
      </c>
      <c r="K106" s="66">
        <f>IF(OR(G106="",I106="",'[1]Resultat &amp; tabell'!G106="",'[1]Resultat &amp; tabell'!I106=""),0,IF(G106='[1]Resultat &amp; tabell'!G106,2,0)+IF(I106='[1]Resultat &amp; tabell'!I106,2,0)+IF(J106='[1]Resultat &amp; tabell'!J106,2,0))</f>
        <v>0</v>
      </c>
      <c r="L106" s="67"/>
      <c r="M106" s="29">
        <f t="shared" si="793"/>
        <v>1</v>
      </c>
      <c r="N106" s="30">
        <v>4</v>
      </c>
      <c r="O106" s="86" t="str">
        <f>VLOOKUP(N106,FI103:FJ106,2,FALSE)</f>
        <v>Panama</v>
      </c>
      <c r="P106" s="87">
        <f t="shared" si="843"/>
        <v>0</v>
      </c>
      <c r="Q106" s="87">
        <f t="shared" si="844"/>
        <v>0</v>
      </c>
      <c r="R106" s="87">
        <f t="shared" si="845"/>
        <v>0</v>
      </c>
      <c r="S106" s="87">
        <f t="shared" si="846"/>
        <v>0</v>
      </c>
      <c r="T106" s="87">
        <f t="shared" si="847"/>
        <v>0</v>
      </c>
      <c r="U106" s="87">
        <f t="shared" si="848"/>
        <v>0</v>
      </c>
      <c r="V106" s="82">
        <f t="shared" si="849"/>
        <v>0</v>
      </c>
      <c r="X106" s="1"/>
      <c r="AE106" s="72">
        <f t="shared" si="795"/>
        <v>46197</v>
      </c>
      <c r="AF106" s="72" t="str">
        <f t="shared" si="795"/>
        <v>Panama</v>
      </c>
      <c r="AG106" s="72" t="str">
        <f t="shared" si="795"/>
        <v>-</v>
      </c>
      <c r="AH106" s="72" t="str">
        <f t="shared" si="795"/>
        <v>Kroatien</v>
      </c>
      <c r="AI106" s="63" t="str">
        <f t="shared" si="796"/>
        <v/>
      </c>
      <c r="AJ106" s="58" t="str">
        <f t="shared" si="797"/>
        <v>-</v>
      </c>
      <c r="AK106" s="63" t="str">
        <f t="shared" si="798"/>
        <v/>
      </c>
      <c r="AL106" s="65" t="str">
        <f t="shared" si="799"/>
        <v/>
      </c>
      <c r="AM106" s="73"/>
      <c r="AN106" s="13">
        <f t="shared" si="800"/>
        <v>0</v>
      </c>
      <c r="AO106" s="13">
        <f t="shared" si="801"/>
        <v>0</v>
      </c>
      <c r="AP106" s="13">
        <f t="shared" si="802"/>
        <v>0</v>
      </c>
      <c r="AQ106" s="13">
        <f t="shared" si="803"/>
        <v>0</v>
      </c>
      <c r="AR106" s="13">
        <f t="shared" si="804"/>
        <v>0</v>
      </c>
      <c r="AS106" s="13">
        <f t="shared" si="805"/>
        <v>0</v>
      </c>
      <c r="AT106" s="13">
        <f t="shared" si="806"/>
        <v>0</v>
      </c>
      <c r="AU106" s="13">
        <f t="shared" si="807"/>
        <v>0</v>
      </c>
      <c r="AV106" s="13">
        <f t="shared" si="808"/>
        <v>0</v>
      </c>
      <c r="AW106" s="13">
        <f t="shared" si="809"/>
        <v>0</v>
      </c>
      <c r="AX106" s="13">
        <f t="shared" si="810"/>
        <v>0</v>
      </c>
      <c r="AY106" s="13">
        <f t="shared" si="811"/>
        <v>0</v>
      </c>
      <c r="AZ106" s="13">
        <f t="shared" si="812"/>
        <v>0</v>
      </c>
      <c r="BA106" s="13">
        <f t="shared" si="813"/>
        <v>0</v>
      </c>
      <c r="BB106" s="13">
        <f t="shared" si="814"/>
        <v>0</v>
      </c>
      <c r="BC106" s="13">
        <f t="shared" si="815"/>
        <v>0</v>
      </c>
      <c r="BD106" s="13">
        <f t="shared" si="816"/>
        <v>0</v>
      </c>
      <c r="BE106" s="13">
        <f t="shared" si="817"/>
        <v>0</v>
      </c>
      <c r="BF106" s="13">
        <f t="shared" si="818"/>
        <v>0</v>
      </c>
      <c r="BG106" s="13">
        <f t="shared" si="819"/>
        <v>0</v>
      </c>
      <c r="BH106" s="13">
        <f t="shared" si="820"/>
        <v>0</v>
      </c>
      <c r="BI106" s="13">
        <f t="shared" si="821"/>
        <v>0</v>
      </c>
      <c r="BJ106" s="13">
        <f t="shared" si="822"/>
        <v>0</v>
      </c>
      <c r="BK106" s="13">
        <f t="shared" si="823"/>
        <v>0</v>
      </c>
      <c r="BL106" s="13">
        <f t="shared" si="824"/>
        <v>0</v>
      </c>
      <c r="BM106" s="13">
        <f t="shared" si="825"/>
        <v>0</v>
      </c>
      <c r="BN106" s="13">
        <f t="shared" si="826"/>
        <v>0</v>
      </c>
      <c r="BO106" s="13">
        <f t="shared" si="827"/>
        <v>0</v>
      </c>
      <c r="BP106" s="13">
        <f t="shared" si="828"/>
        <v>0</v>
      </c>
      <c r="BQ106" s="13">
        <f t="shared" si="829"/>
        <v>0</v>
      </c>
      <c r="BT106" s="88" t="s">
        <v>143</v>
      </c>
      <c r="BU106" s="13">
        <f t="shared" si="830"/>
        <v>0</v>
      </c>
      <c r="BV106" s="13">
        <f t="shared" si="831"/>
        <v>0</v>
      </c>
      <c r="BW106" s="13">
        <f t="shared" si="832"/>
        <v>0</v>
      </c>
      <c r="BX106" s="13">
        <f t="shared" si="833"/>
        <v>0</v>
      </c>
      <c r="BY106" s="13">
        <f t="shared" si="834"/>
        <v>0</v>
      </c>
      <c r="BZ106" s="13">
        <f t="shared" si="835"/>
        <v>0</v>
      </c>
      <c r="CA106" s="13">
        <f t="shared" si="836"/>
        <v>0</v>
      </c>
      <c r="CB106" s="89" t="s">
        <v>63</v>
      </c>
      <c r="CC106" s="74">
        <f>RANK(CA106,CA103:CA106)</f>
        <v>1</v>
      </c>
      <c r="CD106" s="13">
        <f>SUMPRODUCT((CA103:CA106=CA106)*(BZ103:BZ106&gt;BZ106))</f>
        <v>0</v>
      </c>
      <c r="CF106" s="88" t="str">
        <f>IF(CC106=1,BT106,)</f>
        <v>Panama</v>
      </c>
      <c r="CG106" s="13">
        <f t="shared" si="837"/>
        <v>0</v>
      </c>
      <c r="CH106" s="13">
        <f t="shared" si="838"/>
        <v>0</v>
      </c>
      <c r="CI106" s="13">
        <f t="shared" si="839"/>
        <v>0</v>
      </c>
      <c r="CJ106" s="13">
        <f t="shared" si="840"/>
        <v>0</v>
      </c>
      <c r="CK106" s="13" t="str">
        <f t="shared" si="850"/>
        <v>L</v>
      </c>
      <c r="CL106" s="13">
        <f>IF(CF106&gt;0,RANK(CJ106,CJ103:CJ106),)</f>
        <v>1</v>
      </c>
      <c r="CM106" s="13">
        <f>IF(AND(CF106&gt;0,COUNTIF(CL103:CL106,CL106)&gt;1),SUMIFS($AI$4:$AI$108,$AF$4:$AF$108,$BT106,$M$4:$M$108,1)+SUMIFS($AK$4:$AK$108,$AH$4:$AH$108,$BT106,$M$4:$M$108,1)-SUMIFS($AK$4:$AK$108,$AF$4:$AF$108,$BT106,$M$4:$M$108,1)-SUMIFS($AI$4:$AI$108,$AH$4:$AH$108,$BT106,$M$4:$M$108,1),)</f>
        <v>0</v>
      </c>
      <c r="CN106" s="13">
        <f>IF(AND(CF106&gt;0,COUNTIF(CL103:CL106,CL106)&gt;1),CL106+RANK(CM106,CM103:CM106)-1,CL106)</f>
        <v>1</v>
      </c>
      <c r="CO106" s="13">
        <f>IF(AND(CF106&gt;0,COUNTIF(CN103:CN106,CN106)&gt;1),SUMIFS($AI$4:$AI$108,$AF$4:$AF$108,$BT106,$M$4:$M$108,1)+SUMIFS($AK$4:$AK$108,$AH$4:$AH$108,$BT106,$M$4:$M$108,1),)</f>
        <v>0</v>
      </c>
      <c r="CP106" s="13">
        <f>IF(AND(CF106&gt;0,COUNTIF(CN103:CN106,CN106)&gt;1),CN106+RANK(CO106,CO103:CO106)-1,CN106)</f>
        <v>1</v>
      </c>
      <c r="CQ106" s="13">
        <f t="shared" si="851"/>
        <v>1</v>
      </c>
      <c r="CR106" s="13">
        <f>IF(OR(CQ106="",COUNTIF(CQ103:CQ106,CQ106)=1),"",$BZ106)</f>
        <v>0</v>
      </c>
      <c r="CS106" s="13">
        <f>IF(CQ106="","",IF(COUNTIF(CQ103:CQ106,CQ106)=1,CQ106,CQ106+RANK(CR106,CR103:CR106,0)-1))</f>
        <v>1</v>
      </c>
      <c r="CT106" s="13">
        <f>IF(OR(CS106="",COUNTIF(CS103:CS106,CS106)=1),"",$BX106)</f>
        <v>0</v>
      </c>
      <c r="CU106" s="13">
        <f>IF(CQ106="","",IF(COUNTIF(CS103:CS106,CS106)=1,CS106,CS106+RANK(CT106,CT103:CT106,0)-1))</f>
        <v>1</v>
      </c>
      <c r="CV106" s="13">
        <f>IF(OR(CU106="",COUNTIF(CU103:CU106,CU106)=1),"",$BU106)</f>
        <v>0</v>
      </c>
      <c r="CW106" s="13">
        <f>IF(CQ106="","",IF(COUNTIF(CU103:CU106,CU106)=1,CU106,CU106+RANK(CV106,CV103:CV106,0)-1))</f>
        <v>1</v>
      </c>
      <c r="CX106" s="13">
        <f>IF(CF106&gt;0,BM101+RANK(CW106,CW103:CW106,1),)</f>
        <v>1</v>
      </c>
      <c r="CZ106" s="88">
        <f>IF(CC106=2,BT106,)</f>
        <v>0</v>
      </c>
      <c r="DA106" s="13">
        <f>(SUMIF($AF$4:$AF$108,$BT106,$AZ$4:$AZ$108)+SUMIF($AH$4:$AH$108,$BT106,$BA$4:$BA$108))</f>
        <v>0</v>
      </c>
      <c r="DB106" s="13">
        <f t="shared" si="852"/>
        <v>0</v>
      </c>
      <c r="DC106" s="13">
        <f t="shared" si="853"/>
        <v>0</v>
      </c>
      <c r="DD106" s="13">
        <f t="shared" si="854"/>
        <v>0</v>
      </c>
      <c r="DE106" s="13" t="str">
        <f t="shared" si="855"/>
        <v>L</v>
      </c>
      <c r="DF106" s="13">
        <f>IF(CZ106&gt;0,RANK(DD106,DD103:DD106)+CG101,)</f>
        <v>0</v>
      </c>
      <c r="DG106" s="13">
        <f>IF(AND(CZ106&gt;0,COUNTIF(DF103:DF106,DF106)&gt;1),SUMIFS($AI$4:$AI$108,$AF$4:$AF$108,$BT106,$M$4:$M$108,2)+SUMIFS($AK$4:$AK$108,$AH$4:$AH108,$BT106,$M$4:$M$108,2)-SUMIFS($AK$4:$AK$108,$AF$4:$AF$108,$BT106,$M$4:$M$108,2)-SUMIFS($AI$4:$AI$108,$AH$4:$AH$108,$BT106,$M$4:$M$108,2),)</f>
        <v>0</v>
      </c>
      <c r="DH106" s="13">
        <f>IF(AND(CZ106&gt;0,COUNTIF(DF103:DF106,DF106)&gt;1),DF106+RANK(DG106,DG103:DG106)-1,DF106)</f>
        <v>0</v>
      </c>
      <c r="DI106" s="13">
        <f>IF(AND(CZ106&gt;0,COUNTIF(DH103:DH106,DH106)&gt;1),SUMIFS($AI$4:$AI$108,$AF$4:$AF$108,$BT106,$M$4:$M$108,2)+SUMIFS($AK$4:$AK$108,$AH$4:$AH$108,$BT106,$M$4:$M$108,2),)</f>
        <v>0</v>
      </c>
      <c r="DJ106" s="13">
        <f>IF(AND(CZ106&gt;0,COUNTIF(DH103:DH106,DH106)&gt;1),DH106+RANK(DI106,DI103:DI106)-1,DH106)</f>
        <v>0</v>
      </c>
      <c r="DK106" s="75" t="str">
        <f t="shared" si="856"/>
        <v/>
      </c>
      <c r="DL106" s="75" t="str">
        <f>IF(OR(DK106="",COUNTIF(DK103:DK106,DK106)=1),"",$BZ106)</f>
        <v/>
      </c>
      <c r="DM106" s="75" t="str">
        <f>IF(DK106="","",IF(COUNTIF(DK103:DK106,DK106)=1,DK106,DK106+RANK(DL106,DL103:DL106,0)-1))</f>
        <v/>
      </c>
      <c r="DN106" s="75" t="str">
        <f>IF(OR(DM106="",COUNTIF(DM103:DM106,DM106)=1),"",$BX106)</f>
        <v/>
      </c>
      <c r="DO106" s="75" t="str">
        <f>IF(DK106="","",IF(COUNTIF(DM103:DM106,DM106)=1,DM106,DM106+RANK(DN106,DN103:DN106,0)-1))</f>
        <v/>
      </c>
      <c r="DP106" s="75" t="str">
        <f>IF(OR(DO106="",COUNTIF(DO103:DO106,DO106)=1),"",$BU106)</f>
        <v/>
      </c>
      <c r="DQ106" s="75" t="str">
        <f>IF(DK106="","",IF(COUNTIF(DO103:DO106,DO106)=1,DO106,DO106+RANK(DP106,DP103:DP106,0)-1))</f>
        <v/>
      </c>
      <c r="DR106" s="13">
        <f>IF(CZ106&gt;0,CG101+RANK(DQ106,DQ103:DQ106,1),)</f>
        <v>0</v>
      </c>
      <c r="DT106" s="89">
        <f>IF(CC106=3,BT106,)</f>
        <v>0</v>
      </c>
      <c r="DU106" s="13">
        <f t="shared" si="857"/>
        <v>0</v>
      </c>
      <c r="DV106" s="13">
        <f t="shared" si="858"/>
        <v>0</v>
      </c>
      <c r="DW106" s="13">
        <f t="shared" si="859"/>
        <v>0</v>
      </c>
      <c r="DX106" s="13">
        <f>IFERROR(DU106*3+DV106*1,0)</f>
        <v>0</v>
      </c>
      <c r="DY106" s="13" t="str">
        <f t="shared" si="860"/>
        <v>L</v>
      </c>
      <c r="DZ106" s="13">
        <f>IF(DT106&gt;0,RANK(DX106,DX103:DX106)+CG101+DA101,)</f>
        <v>0</v>
      </c>
      <c r="EA106" s="13">
        <f>IF(AND(DT106&gt;0,COUNTIF(DZ103:DZ106,DZ106)&gt;1),SUMIFS($AI$4:$AI$108,$AF$4:$AF$108,$BT106,$M$4:$M$108,3)+SUMIFS($AK$4:$AK$108,$AH$4:$AH$108,$BT106,$M$4:$M$108,3)-SUMIFS($AK$4:$AK$108,$AF$4:$AF$108,$BT106,$M$4:$M$108,3)-SUMIFS($AI$4:$AI$108,$AH$4:$AH$108,$BT106,$M$4:$M$108,3),)</f>
        <v>0</v>
      </c>
      <c r="EB106" s="13">
        <f>IF(AND(DT106&gt;0,COUNTIF(DZ103:DZ106,DZ106)&gt;1),DZ106+RANK(EA106,EA103:EA106)-1,DZ106)</f>
        <v>0</v>
      </c>
      <c r="EC106" s="13">
        <f>IF(AND(DT106&gt;0,COUNTIF(EB103:EB106,EB106)&gt;1),SUMIFS($AI$4:$AI$108,$AF$4:$AF$108,$BT106,$M$4:$M$108,3)+SUMIFS($AK$4:$AK$108,$AH$4:$AH$108,$BT106,$M$4:$M$108,3),)</f>
        <v>0</v>
      </c>
      <c r="ED106" s="13">
        <f>IF(AND(DT106&gt;0,COUNTIF(EB103:EB106,EB106)&gt;1),EB106+RANK(EC106,EC103:EC106)-1,EB106)</f>
        <v>0</v>
      </c>
      <c r="EE106" s="13" t="str">
        <f t="shared" si="861"/>
        <v/>
      </c>
      <c r="EF106" s="13" t="str">
        <f>IF(OR(EE106="",COUNTIF(EE103:EE106,EE106)=1),"",$BZ106)</f>
        <v/>
      </c>
      <c r="EG106" s="13" t="str">
        <f>IF(EE106="","",IF(COUNTIF(EE103:EE106,EE106)=1,EE106,EE106+RANK(EF106,EF103:EF106,0)-1))</f>
        <v/>
      </c>
      <c r="EH106" s="13" t="str">
        <f>IF(OR(EG106="",COUNTIF(EG103:EG106,EG106)=1),"",$BX106)</f>
        <v/>
      </c>
      <c r="EI106" s="13" t="str">
        <f>IF(EE106="","",IF(COUNTIF(EG103:EG106,EG106)=1,EG106,EG106+RANK(EH106,EH103:EH106,0)-1))</f>
        <v/>
      </c>
      <c r="EJ106" s="13" t="str">
        <f>IF(OR(EI106="",COUNTIF(EI103:EI106,EI106)=1),"",$BU106)</f>
        <v/>
      </c>
      <c r="EK106" s="13" t="str">
        <f>IF(EE106="","",IF(COUNTIF(EI103:EI106,EI106)=1,EI106,EI106+RANK(EJ106,EJ103:EJ106,0)-1))</f>
        <v/>
      </c>
      <c r="EL106" s="13">
        <f>IF(DT106&gt;0,CG101+DA101+RANK(EK106,EK103:EK106,1),)</f>
        <v>0</v>
      </c>
      <c r="EN106" s="13">
        <f>IF(CC106=4,BT106,)</f>
        <v>0</v>
      </c>
      <c r="EO106" s="13">
        <f t="shared" si="862"/>
        <v>0</v>
      </c>
      <c r="EP106" s="13">
        <f t="shared" si="863"/>
        <v>0</v>
      </c>
      <c r="EQ106" s="13">
        <f t="shared" si="864"/>
        <v>0</v>
      </c>
      <c r="ER106" s="13">
        <f t="shared" si="865"/>
        <v>0</v>
      </c>
      <c r="ES106" s="13" t="str">
        <f t="shared" si="866"/>
        <v>L</v>
      </c>
      <c r="ET106" s="13">
        <f>IF(EN106&gt;0,RANK(ER106,ER103:ER106)+CG101+DA101+DU101,)</f>
        <v>0</v>
      </c>
      <c r="EU106" s="13">
        <f>IF(AND(EN106&gt;0,COUNTIF(ET103:ET106,ET106)&gt;1),SUMIFS($AI$4:$AI$108,$AF$4:$AF$108,$BT106,$M$4:$M$108,4)+SUMIFS($AK$4:$AK$108,$AH$4:$AH$108,$BT106,$M$4:$M$108,4)-SUMIFS($AK$4:$AK$108,$AF$4:$AF$108,$BT106,$M$4:$M$108,4)-SUMIFS($AI$4:$AI$108,$AH$4:$AH$108,$BT106,$M$4:$M$108,4),)</f>
        <v>0</v>
      </c>
      <c r="EV106" s="13">
        <f>IF(AND(EN106&gt;0,COUNTIF(ET103:ET106,ET106)&gt;1),ET106+RANK(EU106,EU103:EU106)-1,ET106)</f>
        <v>0</v>
      </c>
      <c r="EW106" s="13">
        <f t="shared" si="867"/>
        <v>0</v>
      </c>
      <c r="EX106" s="13">
        <f>IF(AND(EN106&gt;0,COUNTIF(EV103:EV106,EV106)&gt;1),EV106+RANK(EW106,EW103:EW106)-1,EV106)</f>
        <v>0</v>
      </c>
      <c r="EY106" s="13" t="str">
        <f t="shared" si="868"/>
        <v/>
      </c>
      <c r="EZ106" s="13" t="str">
        <f>IF(OR(EY106="",COUNTIF(EY103:EY106,EY106)=1),"",$BZ106)</f>
        <v/>
      </c>
      <c r="FA106" s="13" t="str">
        <f>IF(EY106="","",IF(COUNTIF(EY103:EY106,EY106)=1,EY106,EY106+RANK(EZ106,EZ103:EZ106,0)-1))</f>
        <v/>
      </c>
      <c r="FB106" s="13" t="str">
        <f>IF(OR(FA106="",COUNTIF(FA103:FA106,FA106)=1),"",$BX106)</f>
        <v/>
      </c>
      <c r="FC106" s="13" t="str">
        <f>IF(EY106="","",IF(COUNTIF(FA103:FA106,FA106)=1,FA106,FA106+RANK(FB106,FB103:FB106,0)-1))</f>
        <v/>
      </c>
      <c r="FD106" s="13" t="str">
        <f>IF(OR(FC106="",COUNTIF(FC103:FC106,FC106)=1),"",$BU106)</f>
        <v/>
      </c>
      <c r="FE106" s="13" t="str">
        <f>IF(EY106="","",IF(COUNTIF(FC103:FC106,FC106)=1,FC106,FC106+RANK(FD106,FD103:FD106,0)-1))</f>
        <v/>
      </c>
      <c r="FF106" s="13">
        <f>IF(EN106&gt;0,CG101+DA101+DU101+RANK(FE106,FE103:FE106,1),)</f>
        <v>0</v>
      </c>
      <c r="FH106" s="13">
        <f>IFERROR(VLOOKUP(FJ106,CF102:CX106,19,FALSE),IFERROR(VLOOKUP(FJ106,CZ102:DR106,19,FALSE),IFERROR(VLOOKUP(FJ106,DT102:EL106,19,FALSE),VLOOKUP(FJ106,EN102:FF106,19,FALSE))))</f>
        <v>1</v>
      </c>
      <c r="FI106" s="13">
        <f>RANK(FH106,FH103:FH106,1)+COUNTIF(FH103:FH106,FH106)-1</f>
        <v>4</v>
      </c>
      <c r="FJ106" s="12" t="str">
        <f>BT106</f>
        <v>Panama</v>
      </c>
      <c r="FZ106" s="79">
        <v>104</v>
      </c>
      <c r="GA106" s="3" t="str">
        <f t="shared" si="562"/>
        <v>EGBCJFIK</v>
      </c>
      <c r="GB106" s="3" t="s">
        <v>59</v>
      </c>
      <c r="GC106" s="3" t="s">
        <v>60</v>
      </c>
      <c r="GD106" s="3" t="s">
        <v>57</v>
      </c>
      <c r="GE106" s="3" t="s">
        <v>75</v>
      </c>
      <c r="GF106" s="3" t="s">
        <v>69</v>
      </c>
      <c r="GG106" s="3" t="s">
        <v>21</v>
      </c>
      <c r="GH106" s="3" t="s">
        <v>61</v>
      </c>
      <c r="GI106" s="3" t="s">
        <v>62</v>
      </c>
      <c r="GJ106" s="9" t="str">
        <f t="shared" si="640"/>
        <v>Elfenbenskusten</v>
      </c>
      <c r="GK106" s="9" t="str">
        <f t="shared" si="640"/>
        <v>Iran</v>
      </c>
      <c r="GL106" s="9" t="str">
        <f t="shared" si="640"/>
        <v>Qatar</v>
      </c>
      <c r="GM106" s="9" t="str">
        <f t="shared" si="640"/>
        <v>Haiti</v>
      </c>
      <c r="GN106" s="9" t="str">
        <f t="shared" si="640"/>
        <v>Österrike</v>
      </c>
      <c r="GO106" s="9" t="str">
        <f t="shared" si="640"/>
        <v>Sverige</v>
      </c>
      <c r="GP106" s="9" t="str">
        <f t="shared" si="640"/>
        <v>Irak</v>
      </c>
      <c r="GQ106" s="9" t="str">
        <f t="shared" si="639"/>
        <v>Uzbekistan</v>
      </c>
      <c r="GR106" s="9" t="str">
        <f t="shared" si="563"/>
        <v/>
      </c>
      <c r="GX106" s="142"/>
    </row>
    <row r="107" spans="2:206" ht="14.25" customHeight="1" x14ac:dyDescent="0.25">
      <c r="B107" s="58">
        <v>67</v>
      </c>
      <c r="C107" s="59">
        <v>46200</v>
      </c>
      <c r="D107" s="60" t="s">
        <v>143</v>
      </c>
      <c r="E107" s="61" t="s">
        <v>66</v>
      </c>
      <c r="F107" s="62" t="s">
        <v>140</v>
      </c>
      <c r="G107" s="63"/>
      <c r="H107" s="64" t="s">
        <v>66</v>
      </c>
      <c r="I107" s="63"/>
      <c r="J107" s="65" t="str">
        <f t="shared" si="842"/>
        <v/>
      </c>
      <c r="K107" s="66">
        <f>IF(OR(G107="",I107="",'[1]Resultat &amp; tabell'!G107="",'[1]Resultat &amp; tabell'!I107=""),0,IF(G107='[1]Resultat &amp; tabell'!G107,2,0)+IF(I107='[1]Resultat &amp; tabell'!I107,2,0)+IF(J107='[1]Resultat &amp; tabell'!J107,2,0))</f>
        <v>0</v>
      </c>
      <c r="L107" s="67"/>
      <c r="M107" s="29">
        <f t="shared" si="793"/>
        <v>1</v>
      </c>
      <c r="O107" s="91" t="str">
        <f>IF(COUNTBLANK(G103:G108)+COUNTBLANK(I103:I108)=0,"Resultat OK","Fyll i resultat")</f>
        <v>Fyll i resultat</v>
      </c>
      <c r="P107" s="92"/>
      <c r="Q107" s="92"/>
      <c r="R107" s="92"/>
      <c r="S107" s="92"/>
      <c r="T107" s="92"/>
      <c r="U107" s="92"/>
      <c r="AE107" s="72">
        <f t="shared" si="795"/>
        <v>46200</v>
      </c>
      <c r="AF107" s="72" t="str">
        <f t="shared" si="795"/>
        <v>Panama</v>
      </c>
      <c r="AG107" s="72" t="str">
        <f t="shared" si="795"/>
        <v>-</v>
      </c>
      <c r="AH107" s="72" t="str">
        <f t="shared" si="795"/>
        <v>England</v>
      </c>
      <c r="AI107" s="63" t="str">
        <f t="shared" si="796"/>
        <v/>
      </c>
      <c r="AJ107" s="58" t="str">
        <f t="shared" si="797"/>
        <v>-</v>
      </c>
      <c r="AK107" s="63" t="str">
        <f t="shared" si="798"/>
        <v/>
      </c>
      <c r="AL107" s="65" t="str">
        <f t="shared" si="799"/>
        <v/>
      </c>
      <c r="AM107" s="73"/>
      <c r="AN107" s="13">
        <f t="shared" si="800"/>
        <v>0</v>
      </c>
      <c r="AO107" s="13">
        <f t="shared" si="801"/>
        <v>0</v>
      </c>
      <c r="AP107" s="13">
        <f t="shared" si="802"/>
        <v>0</v>
      </c>
      <c r="AQ107" s="13">
        <f t="shared" si="803"/>
        <v>0</v>
      </c>
      <c r="AR107" s="13">
        <f t="shared" si="804"/>
        <v>0</v>
      </c>
      <c r="AS107" s="13">
        <f t="shared" si="805"/>
        <v>0</v>
      </c>
      <c r="AT107" s="13">
        <f t="shared" si="806"/>
        <v>0</v>
      </c>
      <c r="AU107" s="13">
        <f t="shared" si="807"/>
        <v>0</v>
      </c>
      <c r="AV107" s="13">
        <f t="shared" si="808"/>
        <v>0</v>
      </c>
      <c r="AW107" s="13">
        <f t="shared" si="809"/>
        <v>0</v>
      </c>
      <c r="AX107" s="13">
        <f t="shared" si="810"/>
        <v>0</v>
      </c>
      <c r="AY107" s="13">
        <f t="shared" si="811"/>
        <v>0</v>
      </c>
      <c r="AZ107" s="13">
        <f t="shared" si="812"/>
        <v>0</v>
      </c>
      <c r="BA107" s="13">
        <f t="shared" si="813"/>
        <v>0</v>
      </c>
      <c r="BB107" s="13">
        <f t="shared" si="814"/>
        <v>0</v>
      </c>
      <c r="BC107" s="13">
        <f t="shared" si="815"/>
        <v>0</v>
      </c>
      <c r="BD107" s="13">
        <f t="shared" si="816"/>
        <v>0</v>
      </c>
      <c r="BE107" s="13">
        <f t="shared" si="817"/>
        <v>0</v>
      </c>
      <c r="BF107" s="13">
        <f t="shared" si="818"/>
        <v>0</v>
      </c>
      <c r="BG107" s="13">
        <f t="shared" si="819"/>
        <v>0</v>
      </c>
      <c r="BH107" s="13">
        <f t="shared" si="820"/>
        <v>0</v>
      </c>
      <c r="BI107" s="13">
        <f t="shared" si="821"/>
        <v>0</v>
      </c>
      <c r="BJ107" s="13">
        <f t="shared" si="822"/>
        <v>0</v>
      </c>
      <c r="BK107" s="13">
        <f t="shared" si="823"/>
        <v>0</v>
      </c>
      <c r="BL107" s="13">
        <f t="shared" si="824"/>
        <v>0</v>
      </c>
      <c r="BM107" s="13">
        <f t="shared" si="825"/>
        <v>0</v>
      </c>
      <c r="BN107" s="13">
        <f t="shared" si="826"/>
        <v>0</v>
      </c>
      <c r="BO107" s="13">
        <f t="shared" si="827"/>
        <v>0</v>
      </c>
      <c r="BP107" s="13">
        <f t="shared" si="828"/>
        <v>0</v>
      </c>
      <c r="BQ107" s="13">
        <f t="shared" si="829"/>
        <v>0</v>
      </c>
      <c r="FZ107" s="79">
        <v>105</v>
      </c>
      <c r="GA107" s="3" t="str">
        <f t="shared" si="562"/>
        <v>EGBCHFLK</v>
      </c>
      <c r="GB107" s="3" t="s">
        <v>59</v>
      </c>
      <c r="GC107" s="3" t="s">
        <v>60</v>
      </c>
      <c r="GD107" s="3" t="s">
        <v>57</v>
      </c>
      <c r="GE107" s="3" t="s">
        <v>75</v>
      </c>
      <c r="GF107" s="3" t="s">
        <v>70</v>
      </c>
      <c r="GG107" s="3" t="s">
        <v>21</v>
      </c>
      <c r="GH107" s="3" t="s">
        <v>63</v>
      </c>
      <c r="GI107" s="3" t="s">
        <v>62</v>
      </c>
      <c r="GJ107" s="9" t="str">
        <f t="shared" si="640"/>
        <v>Elfenbenskusten</v>
      </c>
      <c r="GK107" s="9" t="str">
        <f t="shared" si="640"/>
        <v>Iran</v>
      </c>
      <c r="GL107" s="9" t="str">
        <f t="shared" si="640"/>
        <v>Qatar</v>
      </c>
      <c r="GM107" s="9" t="str">
        <f t="shared" si="640"/>
        <v>Haiti</v>
      </c>
      <c r="GN107" s="9" t="str">
        <f t="shared" si="640"/>
        <v>Saudiarabien</v>
      </c>
      <c r="GO107" s="9" t="str">
        <f t="shared" si="640"/>
        <v>Sverige</v>
      </c>
      <c r="GP107" s="9" t="str">
        <f t="shared" si="640"/>
        <v>Ghana</v>
      </c>
      <c r="GQ107" s="9" t="str">
        <f t="shared" si="639"/>
        <v>Uzbekistan</v>
      </c>
      <c r="GR107" s="9" t="str">
        <f t="shared" si="563"/>
        <v/>
      </c>
      <c r="GX107" s="142"/>
    </row>
    <row r="108" spans="2:206" ht="14.25" customHeight="1" x14ac:dyDescent="0.25">
      <c r="B108" s="58">
        <v>68</v>
      </c>
      <c r="C108" s="59">
        <v>46200</v>
      </c>
      <c r="D108" s="60" t="s">
        <v>141</v>
      </c>
      <c r="E108" s="61" t="s">
        <v>66</v>
      </c>
      <c r="F108" s="62" t="s">
        <v>142</v>
      </c>
      <c r="G108" s="63"/>
      <c r="H108" s="64" t="s">
        <v>66</v>
      </c>
      <c r="I108" s="63"/>
      <c r="J108" s="65" t="str">
        <f t="shared" si="842"/>
        <v/>
      </c>
      <c r="K108" s="66">
        <f>IF(OR(G108="",I108="",'[1]Resultat &amp; tabell'!G108="",'[1]Resultat &amp; tabell'!I108=""),0,IF(G108='[1]Resultat &amp; tabell'!G108,2,0)+IF(I108='[1]Resultat &amp; tabell'!I108,2,0)+IF(J108='[1]Resultat &amp; tabell'!J108,2,0))</f>
        <v>0</v>
      </c>
      <c r="L108" s="67"/>
      <c r="M108" s="29">
        <f t="shared" si="793"/>
        <v>1</v>
      </c>
      <c r="AE108" s="72">
        <f t="shared" si="795"/>
        <v>46200</v>
      </c>
      <c r="AF108" s="72" t="str">
        <f t="shared" si="795"/>
        <v>Kroatien</v>
      </c>
      <c r="AG108" s="72" t="str">
        <f t="shared" si="795"/>
        <v>-</v>
      </c>
      <c r="AH108" s="72" t="str">
        <f t="shared" si="795"/>
        <v>Ghana</v>
      </c>
      <c r="AI108" s="63" t="str">
        <f t="shared" si="796"/>
        <v/>
      </c>
      <c r="AJ108" s="58" t="str">
        <f t="shared" si="797"/>
        <v>-</v>
      </c>
      <c r="AK108" s="63" t="str">
        <f t="shared" si="798"/>
        <v/>
      </c>
      <c r="AL108" s="65" t="str">
        <f t="shared" si="799"/>
        <v/>
      </c>
      <c r="AM108" s="73"/>
      <c r="AN108" s="13">
        <f t="shared" si="800"/>
        <v>0</v>
      </c>
      <c r="AO108" s="13">
        <f t="shared" si="801"/>
        <v>0</v>
      </c>
      <c r="AP108" s="13">
        <f t="shared" si="802"/>
        <v>0</v>
      </c>
      <c r="AQ108" s="13">
        <f t="shared" si="803"/>
        <v>0</v>
      </c>
      <c r="AR108" s="13">
        <f t="shared" si="804"/>
        <v>0</v>
      </c>
      <c r="AS108" s="13">
        <f t="shared" si="805"/>
        <v>0</v>
      </c>
      <c r="AT108" s="13">
        <f t="shared" si="806"/>
        <v>0</v>
      </c>
      <c r="AU108" s="13">
        <f t="shared" si="807"/>
        <v>0</v>
      </c>
      <c r="AV108" s="13">
        <f t="shared" si="808"/>
        <v>0</v>
      </c>
      <c r="AW108" s="13">
        <f t="shared" si="809"/>
        <v>0</v>
      </c>
      <c r="AX108" s="13">
        <f t="shared" si="810"/>
        <v>0</v>
      </c>
      <c r="AY108" s="13">
        <f t="shared" si="811"/>
        <v>0</v>
      </c>
      <c r="AZ108" s="13">
        <f t="shared" si="812"/>
        <v>0</v>
      </c>
      <c r="BA108" s="13">
        <f t="shared" si="813"/>
        <v>0</v>
      </c>
      <c r="BB108" s="13">
        <f t="shared" si="814"/>
        <v>0</v>
      </c>
      <c r="BC108" s="13">
        <f t="shared" si="815"/>
        <v>0</v>
      </c>
      <c r="BD108" s="13">
        <f t="shared" si="816"/>
        <v>0</v>
      </c>
      <c r="BE108" s="13">
        <f t="shared" si="817"/>
        <v>0</v>
      </c>
      <c r="BF108" s="13">
        <f t="shared" si="818"/>
        <v>0</v>
      </c>
      <c r="BG108" s="13">
        <f t="shared" si="819"/>
        <v>0</v>
      </c>
      <c r="BH108" s="13">
        <f t="shared" si="820"/>
        <v>0</v>
      </c>
      <c r="BI108" s="13">
        <f t="shared" si="821"/>
        <v>0</v>
      </c>
      <c r="BJ108" s="13">
        <f t="shared" si="822"/>
        <v>0</v>
      </c>
      <c r="BK108" s="13">
        <f t="shared" si="823"/>
        <v>0</v>
      </c>
      <c r="BL108" s="13">
        <f t="shared" si="824"/>
        <v>0</v>
      </c>
      <c r="BM108" s="13">
        <f t="shared" si="825"/>
        <v>0</v>
      </c>
      <c r="BN108" s="13">
        <f t="shared" si="826"/>
        <v>0</v>
      </c>
      <c r="BO108" s="13">
        <f t="shared" si="827"/>
        <v>0</v>
      </c>
      <c r="BP108" s="13">
        <f t="shared" si="828"/>
        <v>0</v>
      </c>
      <c r="BQ108" s="13">
        <f t="shared" si="829"/>
        <v>0</v>
      </c>
      <c r="FZ108" s="79">
        <v>106</v>
      </c>
      <c r="GA108" s="3" t="str">
        <f t="shared" si="562"/>
        <v>HGBCJFLE</v>
      </c>
      <c r="GB108" s="3" t="s">
        <v>70</v>
      </c>
      <c r="GC108" s="3" t="s">
        <v>60</v>
      </c>
      <c r="GD108" s="3" t="s">
        <v>57</v>
      </c>
      <c r="GE108" s="3" t="s">
        <v>75</v>
      </c>
      <c r="GF108" s="3" t="s">
        <v>69</v>
      </c>
      <c r="GG108" s="3" t="s">
        <v>21</v>
      </c>
      <c r="GH108" s="3" t="s">
        <v>63</v>
      </c>
      <c r="GI108" s="3" t="s">
        <v>59</v>
      </c>
      <c r="GJ108" s="9" t="str">
        <f t="shared" si="640"/>
        <v>Saudiarabien</v>
      </c>
      <c r="GK108" s="9" t="str">
        <f t="shared" si="640"/>
        <v>Iran</v>
      </c>
      <c r="GL108" s="9" t="str">
        <f t="shared" si="640"/>
        <v>Qatar</v>
      </c>
      <c r="GM108" s="9" t="str">
        <f t="shared" si="640"/>
        <v>Haiti</v>
      </c>
      <c r="GN108" s="9" t="str">
        <f t="shared" si="640"/>
        <v>Österrike</v>
      </c>
      <c r="GO108" s="9" t="str">
        <f t="shared" si="640"/>
        <v>Sverige</v>
      </c>
      <c r="GP108" s="9" t="str">
        <f t="shared" si="640"/>
        <v>Ghana</v>
      </c>
      <c r="GQ108" s="9" t="str">
        <f t="shared" si="639"/>
        <v>Elfenbenskusten</v>
      </c>
      <c r="GR108" s="9" t="str">
        <f t="shared" si="563"/>
        <v/>
      </c>
      <c r="GX108" s="142"/>
    </row>
    <row r="109" spans="2:206" ht="14.25" customHeight="1" x14ac:dyDescent="0.25">
      <c r="B109" s="3"/>
      <c r="C109" s="94"/>
      <c r="D109" s="143"/>
      <c r="F109" s="143"/>
      <c r="G109" s="139"/>
      <c r="H109" s="100"/>
      <c r="I109" s="139"/>
      <c r="J109" s="79"/>
      <c r="K109" s="73"/>
      <c r="L109" s="67"/>
      <c r="AI109" s="139"/>
      <c r="AJ109" s="105"/>
      <c r="AK109" s="139"/>
      <c r="AL109" s="73"/>
      <c r="AM109" s="73"/>
      <c r="FZ109" s="79">
        <v>107</v>
      </c>
      <c r="GA109" s="3" t="str">
        <f t="shared" si="562"/>
        <v>HGBCJFEK</v>
      </c>
      <c r="GB109" s="3" t="s">
        <v>70</v>
      </c>
      <c r="GC109" s="3" t="s">
        <v>60</v>
      </c>
      <c r="GD109" s="3" t="s">
        <v>57</v>
      </c>
      <c r="GE109" s="3" t="s">
        <v>75</v>
      </c>
      <c r="GF109" s="3" t="s">
        <v>69</v>
      </c>
      <c r="GG109" s="3" t="s">
        <v>21</v>
      </c>
      <c r="GH109" s="3" t="s">
        <v>59</v>
      </c>
      <c r="GI109" s="3" t="s">
        <v>62</v>
      </c>
      <c r="GJ109" s="9" t="str">
        <f t="shared" si="640"/>
        <v>Saudiarabien</v>
      </c>
      <c r="GK109" s="9" t="str">
        <f t="shared" si="640"/>
        <v>Iran</v>
      </c>
      <c r="GL109" s="9" t="str">
        <f t="shared" si="640"/>
        <v>Qatar</v>
      </c>
      <c r="GM109" s="9" t="str">
        <f t="shared" si="640"/>
        <v>Haiti</v>
      </c>
      <c r="GN109" s="9" t="str">
        <f t="shared" si="640"/>
        <v>Österrike</v>
      </c>
      <c r="GO109" s="9" t="str">
        <f t="shared" si="640"/>
        <v>Sverige</v>
      </c>
      <c r="GP109" s="9" t="str">
        <f t="shared" si="640"/>
        <v>Elfenbenskusten</v>
      </c>
      <c r="GQ109" s="9" t="str">
        <f t="shared" si="639"/>
        <v>Uzbekistan</v>
      </c>
      <c r="GR109" s="9" t="str">
        <f t="shared" si="563"/>
        <v/>
      </c>
      <c r="GX109" s="142"/>
    </row>
    <row r="110" spans="2:206" ht="14.25" customHeight="1" x14ac:dyDescent="0.25">
      <c r="B110" s="19" t="s">
        <v>144</v>
      </c>
      <c r="C110" s="94"/>
      <c r="J110" s="23"/>
      <c r="K110" s="16"/>
      <c r="L110" s="49"/>
      <c r="V110" s="20"/>
      <c r="W110" s="108"/>
      <c r="AD110" s="19" t="s">
        <v>93</v>
      </c>
      <c r="AE110" s="94"/>
      <c r="AF110" s="95"/>
      <c r="AG110" s="3"/>
      <c r="AH110" s="95"/>
      <c r="AL110" s="23"/>
      <c r="BQ110" s="19" t="s">
        <v>93</v>
      </c>
      <c r="FZ110" s="79">
        <v>108</v>
      </c>
      <c r="GA110" s="3" t="str">
        <f t="shared" si="562"/>
        <v>EGBCHFLI</v>
      </c>
      <c r="GB110" s="3" t="s">
        <v>59</v>
      </c>
      <c r="GC110" s="3" t="s">
        <v>60</v>
      </c>
      <c r="GD110" s="3" t="s">
        <v>57</v>
      </c>
      <c r="GE110" s="3" t="s">
        <v>75</v>
      </c>
      <c r="GF110" s="3" t="s">
        <v>70</v>
      </c>
      <c r="GG110" s="3" t="s">
        <v>21</v>
      </c>
      <c r="GH110" s="3" t="s">
        <v>63</v>
      </c>
      <c r="GI110" s="3" t="s">
        <v>61</v>
      </c>
      <c r="GJ110" s="9" t="str">
        <f t="shared" si="640"/>
        <v>Elfenbenskusten</v>
      </c>
      <c r="GK110" s="9" t="str">
        <f t="shared" si="640"/>
        <v>Iran</v>
      </c>
      <c r="GL110" s="9" t="str">
        <f t="shared" si="640"/>
        <v>Qatar</v>
      </c>
      <c r="GM110" s="9" t="str">
        <f t="shared" si="640"/>
        <v>Haiti</v>
      </c>
      <c r="GN110" s="9" t="str">
        <f t="shared" si="640"/>
        <v>Saudiarabien</v>
      </c>
      <c r="GO110" s="9" t="str">
        <f t="shared" si="640"/>
        <v>Sverige</v>
      </c>
      <c r="GP110" s="9" t="str">
        <f t="shared" si="640"/>
        <v>Ghana</v>
      </c>
      <c r="GQ110" s="9" t="str">
        <f t="shared" si="639"/>
        <v>Irak</v>
      </c>
      <c r="GR110" s="9" t="str">
        <f t="shared" si="563"/>
        <v/>
      </c>
      <c r="GX110" s="142"/>
    </row>
    <row r="111" spans="2:206" ht="14.25" customHeight="1" x14ac:dyDescent="0.25">
      <c r="B111" s="117" t="s">
        <v>12</v>
      </c>
      <c r="C111" s="107" t="s">
        <v>13</v>
      </c>
      <c r="D111" s="181" t="s">
        <v>12</v>
      </c>
      <c r="E111" s="182"/>
      <c r="F111" s="183"/>
      <c r="G111" s="184" t="s">
        <v>14</v>
      </c>
      <c r="H111" s="184"/>
      <c r="I111" s="184"/>
      <c r="J111" s="47" t="s">
        <v>15</v>
      </c>
      <c r="K111" s="48" t="s">
        <v>16</v>
      </c>
      <c r="L111" s="49"/>
      <c r="O111" s="145" t="s">
        <v>145</v>
      </c>
      <c r="P111" s="145"/>
      <c r="Q111" s="16"/>
      <c r="R111" s="191" t="s">
        <v>146</v>
      </c>
      <c r="S111" s="192"/>
      <c r="T111" s="192"/>
      <c r="U111" s="192"/>
      <c r="V111" s="27"/>
      <c r="W111" s="27"/>
      <c r="AD111" s="117" t="s">
        <v>12</v>
      </c>
      <c r="AE111" s="107" t="s">
        <v>13</v>
      </c>
      <c r="AF111" s="181" t="s">
        <v>12</v>
      </c>
      <c r="AG111" s="182"/>
      <c r="AH111" s="183"/>
      <c r="AI111" s="182" t="s">
        <v>14</v>
      </c>
      <c r="AJ111" s="182"/>
      <c r="AK111" s="182"/>
      <c r="AL111" s="47" t="s">
        <v>15</v>
      </c>
      <c r="BQ111" s="146" t="s">
        <v>12</v>
      </c>
      <c r="BR111" s="26" t="s">
        <v>147</v>
      </c>
      <c r="BS111" s="147" t="s">
        <v>148</v>
      </c>
      <c r="BT111" s="147" t="s">
        <v>149</v>
      </c>
      <c r="BU111" s="147" t="s">
        <v>150</v>
      </c>
      <c r="BV111" s="147" t="s">
        <v>16</v>
      </c>
      <c r="FZ111" s="79">
        <v>109</v>
      </c>
      <c r="GA111" s="3" t="str">
        <f t="shared" si="562"/>
        <v>EGBCHFIK</v>
      </c>
      <c r="GB111" s="3" t="s">
        <v>59</v>
      </c>
      <c r="GC111" s="3" t="s">
        <v>60</v>
      </c>
      <c r="GD111" s="3" t="s">
        <v>57</v>
      </c>
      <c r="GE111" s="3" t="s">
        <v>75</v>
      </c>
      <c r="GF111" s="3" t="s">
        <v>70</v>
      </c>
      <c r="GG111" s="3" t="s">
        <v>21</v>
      </c>
      <c r="GH111" s="3" t="s">
        <v>61</v>
      </c>
      <c r="GI111" s="3" t="s">
        <v>62</v>
      </c>
      <c r="GJ111" s="9" t="str">
        <f t="shared" si="640"/>
        <v>Elfenbenskusten</v>
      </c>
      <c r="GK111" s="9" t="str">
        <f t="shared" si="640"/>
        <v>Iran</v>
      </c>
      <c r="GL111" s="9" t="str">
        <f t="shared" si="640"/>
        <v>Qatar</v>
      </c>
      <c r="GM111" s="9" t="str">
        <f t="shared" si="640"/>
        <v>Haiti</v>
      </c>
      <c r="GN111" s="9" t="str">
        <f t="shared" si="640"/>
        <v>Saudiarabien</v>
      </c>
      <c r="GO111" s="9" t="str">
        <f t="shared" si="640"/>
        <v>Sverige</v>
      </c>
      <c r="GP111" s="9" t="str">
        <f t="shared" si="640"/>
        <v>Irak</v>
      </c>
      <c r="GQ111" s="9" t="str">
        <f t="shared" si="639"/>
        <v>Uzbekistan</v>
      </c>
      <c r="GR111" s="9" t="str">
        <f t="shared" si="563"/>
        <v/>
      </c>
      <c r="GX111" s="142"/>
    </row>
    <row r="112" spans="2:206" ht="14.25" customHeight="1" x14ac:dyDescent="0.25">
      <c r="B112" s="58">
        <v>73</v>
      </c>
      <c r="C112" s="59">
        <v>46201</v>
      </c>
      <c r="D112" s="148" t="str">
        <f>IF($O$8="Resultat OK",$O$5,"Tvåa grupp A")</f>
        <v>Tvåa grupp A</v>
      </c>
      <c r="E112" s="61" t="s">
        <v>66</v>
      </c>
      <c r="F112" s="149" t="str">
        <f>IF($O$17="Resultat OK",$O$14,"Tvåa grupp B")</f>
        <v>Tvåa grupp B</v>
      </c>
      <c r="G112" s="63"/>
      <c r="H112" s="64" t="s">
        <v>66</v>
      </c>
      <c r="I112" s="63"/>
      <c r="J112" s="65" t="str">
        <f t="shared" ref="J112:J127" si="869">IF(OR(ISBLANK(G112),ISBLANK(I112)),"",IF(G112&gt;I112,1,IF(G112&lt;I112,2,"X")))</f>
        <v/>
      </c>
      <c r="K112" s="66">
        <f>IF(OR(G112="",I112="",'[1]Resultat &amp; tabell'!G112="",'[1]Resultat &amp; tabell'!I112=""),0,IF(G112='[1]Resultat &amp; tabell'!G112,2,0)+IF(I112='[1]Resultat &amp; tabell'!I112,2,0)+IF(J112='[1]Resultat &amp; tabell'!J112,2,0))</f>
        <v>0</v>
      </c>
      <c r="L112" s="67"/>
      <c r="O112" s="150"/>
      <c r="P112" s="151" t="str">
        <f>IF(OR(ISBLANK(D112),ISBLANK(F112),J112="",O112=""),"",IF(OR(AND(J112=1,O112=D112),AND(J112=2,O112=F112),AND(J112="X",OR(O112=D112,O112=F112))),"","Ej OK"))</f>
        <v/>
      </c>
      <c r="R112" s="178">
        <f>BV144</f>
        <v>0</v>
      </c>
      <c r="S112" s="179"/>
      <c r="T112" s="179"/>
      <c r="U112" s="180"/>
      <c r="V112" s="27"/>
      <c r="W112" s="152"/>
      <c r="X112" s="152"/>
      <c r="AD112" s="58">
        <v>73</v>
      </c>
      <c r="AE112" s="59">
        <v>46201</v>
      </c>
      <c r="AF112" s="153" t="str">
        <f>IF($O$8="Resultat OK",$O$5,"Tvåa grupp A")</f>
        <v>Tvåa grupp A</v>
      </c>
      <c r="AG112" s="61" t="s">
        <v>66</v>
      </c>
      <c r="AH112" s="154" t="str">
        <f>IF($O$17="Resultat OK",$O$14,"Tvåa grupp B")</f>
        <v>Tvåa grupp B</v>
      </c>
      <c r="AI112" s="63"/>
      <c r="AJ112" s="58" t="s">
        <v>66</v>
      </c>
      <c r="AK112" s="63"/>
      <c r="AL112" s="65" t="str">
        <f t="shared" ref="AL112:AL127" si="870">IF(OR(ISBLANK(AI112),ISBLANK(AK112)),"",IF(AI112&gt;AK112,1,IF(AI112&lt;AK112,2,"X")))</f>
        <v/>
      </c>
      <c r="BQ112" s="13">
        <f>B112</f>
        <v>73</v>
      </c>
      <c r="BR112" s="155" t="str">
        <f>D112</f>
        <v>Tvåa grupp A</v>
      </c>
      <c r="BS112" s="156" t="str">
        <f>IF(OR('[1]Resultat &amp; tabell'!G112="",'[1]Resultat &amp; tabell'!I112=""),"",'[1]Resultat &amp; tabell'!D112)</f>
        <v/>
      </c>
      <c r="BT112" s="157">
        <f>IF(ISERROR(VLOOKUP(BR112,$BS$112:$BS$143,1,FALSE)),0,1)</f>
        <v>0</v>
      </c>
      <c r="BU112" s="158">
        <f>BT112</f>
        <v>0</v>
      </c>
      <c r="BV112" s="79">
        <f>BU112*1</f>
        <v>0</v>
      </c>
      <c r="FZ112" s="79">
        <v>110</v>
      </c>
      <c r="GA112" s="3" t="str">
        <f t="shared" si="562"/>
        <v>HGBCJFEI</v>
      </c>
      <c r="GB112" s="3" t="s">
        <v>70</v>
      </c>
      <c r="GC112" s="3" t="s">
        <v>60</v>
      </c>
      <c r="GD112" s="3" t="s">
        <v>57</v>
      </c>
      <c r="GE112" s="3" t="s">
        <v>75</v>
      </c>
      <c r="GF112" s="3" t="s">
        <v>69</v>
      </c>
      <c r="GG112" s="3" t="s">
        <v>21</v>
      </c>
      <c r="GH112" s="3" t="s">
        <v>59</v>
      </c>
      <c r="GI112" s="3" t="s">
        <v>61</v>
      </c>
      <c r="GJ112" s="9" t="str">
        <f t="shared" si="640"/>
        <v>Saudiarabien</v>
      </c>
      <c r="GK112" s="9" t="str">
        <f t="shared" si="640"/>
        <v>Iran</v>
      </c>
      <c r="GL112" s="9" t="str">
        <f t="shared" si="640"/>
        <v>Qatar</v>
      </c>
      <c r="GM112" s="9" t="str">
        <f t="shared" si="640"/>
        <v>Haiti</v>
      </c>
      <c r="GN112" s="9" t="str">
        <f t="shared" si="640"/>
        <v>Österrike</v>
      </c>
      <c r="GO112" s="9" t="str">
        <f t="shared" si="640"/>
        <v>Sverige</v>
      </c>
      <c r="GP112" s="9" t="str">
        <f t="shared" si="640"/>
        <v>Elfenbenskusten</v>
      </c>
      <c r="GQ112" s="9" t="str">
        <f t="shared" si="639"/>
        <v>Irak</v>
      </c>
      <c r="GR112" s="9" t="str">
        <f t="shared" si="563"/>
        <v/>
      </c>
      <c r="GX112" s="142"/>
    </row>
    <row r="113" spans="2:206" ht="14.25" customHeight="1" x14ac:dyDescent="0.25">
      <c r="B113" s="58">
        <v>74</v>
      </c>
      <c r="C113" s="59">
        <v>46202</v>
      </c>
      <c r="D113" s="148" t="str">
        <f>IF($O$44="Resultat OK",$O$40,"Vinnare grupp E")</f>
        <v>Vinnare grupp E</v>
      </c>
      <c r="E113" s="61" t="s">
        <v>66</v>
      </c>
      <c r="F113" s="149" t="str">
        <f>IF($FN$19=TRUE,"Bästa trea ABCDF",HLOOKUP("E",$GJ$3:$GQ$498,$GA$3,FALSE))</f>
        <v>Bästa trea ABCDF</v>
      </c>
      <c r="G113" s="63"/>
      <c r="H113" s="64" t="s">
        <v>66</v>
      </c>
      <c r="I113" s="63"/>
      <c r="J113" s="65" t="str">
        <f t="shared" si="869"/>
        <v/>
      </c>
      <c r="K113" s="66">
        <f>IF(OR(G113="",I113="",'[1]Resultat &amp; tabell'!G113="",'[1]Resultat &amp; tabell'!I113=""),0,IF(G113='[1]Resultat &amp; tabell'!G113,2,0)+IF(I113='[1]Resultat &amp; tabell'!I113,2,0)+IF(J113='[1]Resultat &amp; tabell'!J113,2,0))</f>
        <v>0</v>
      </c>
      <c r="L113" s="67"/>
      <c r="O113" s="150"/>
      <c r="P113" s="151" t="str">
        <f t="shared" ref="P113:P127" si="871">IF(OR(ISBLANK(D113),ISBLANK(F113),J113="",O113=""),"",IF(OR(AND(J113=1,O113=D113),AND(J113=2,O113=F113),AND(J113="X",OR(O113=D113,O113=F113))),"","Ej OK"))</f>
        <v/>
      </c>
      <c r="Q113" s="159"/>
      <c r="R113" s="160"/>
      <c r="S113" s="160"/>
      <c r="T113" s="160"/>
      <c r="U113" s="160"/>
      <c r="V113" s="160"/>
      <c r="W113" s="152"/>
      <c r="X113" s="152"/>
      <c r="AD113" s="58">
        <v>74</v>
      </c>
      <c r="AE113" s="59">
        <v>46202</v>
      </c>
      <c r="AF113" s="153" t="str">
        <f>IF($O$44="Resultat OK",$O$40,"Vinnare grupp E")</f>
        <v>Vinnare grupp E</v>
      </c>
      <c r="AG113" s="61" t="s">
        <v>66</v>
      </c>
      <c r="AH113" s="154" t="str">
        <f>IF($FN$19=TRUE,"Bästa trea ABCDF",HLOOKUP("E",$GJ$3:$GQ$498,$GA$3,FALSE))</f>
        <v>Bästa trea ABCDF</v>
      </c>
      <c r="AI113" s="63"/>
      <c r="AJ113" s="58" t="s">
        <v>66</v>
      </c>
      <c r="AK113" s="63"/>
      <c r="AL113" s="65" t="str">
        <f t="shared" si="870"/>
        <v/>
      </c>
      <c r="BQ113" s="13">
        <f t="shared" ref="BQ113:BQ127" si="872">B113</f>
        <v>74</v>
      </c>
      <c r="BR113" s="155" t="str">
        <f t="shared" ref="BR113:BR127" si="873">D113</f>
        <v>Vinnare grupp E</v>
      </c>
      <c r="BS113" s="156" t="str">
        <f>IF(OR('[1]Resultat &amp; tabell'!G113="",'[1]Resultat &amp; tabell'!I113=""),"",'[1]Resultat &amp; tabell'!D113)</f>
        <v/>
      </c>
      <c r="BT113" s="157">
        <f t="shared" ref="BT113:BT143" si="874">IF(ISERROR(VLOOKUP(BR113,$BS$112:$BS$143,1,FALSE)),0,1)</f>
        <v>0</v>
      </c>
      <c r="BU113" s="158">
        <f t="shared" ref="BU113:BU143" si="875">BT113</f>
        <v>0</v>
      </c>
      <c r="BV113" s="79">
        <f t="shared" ref="BV113:BV143" si="876">BU113*1</f>
        <v>0</v>
      </c>
      <c r="FZ113" s="79">
        <v>111</v>
      </c>
      <c r="GA113" s="3" t="str">
        <f t="shared" si="562"/>
        <v>HJBCIDLK</v>
      </c>
      <c r="GB113" s="3" t="s">
        <v>70</v>
      </c>
      <c r="GC113" s="3" t="s">
        <v>69</v>
      </c>
      <c r="GD113" s="3" t="s">
        <v>57</v>
      </c>
      <c r="GE113" s="3" t="s">
        <v>75</v>
      </c>
      <c r="GF113" s="3" t="s">
        <v>61</v>
      </c>
      <c r="GG113" s="3" t="s">
        <v>58</v>
      </c>
      <c r="GH113" s="3" t="s">
        <v>63</v>
      </c>
      <c r="GI113" s="3" t="s">
        <v>62</v>
      </c>
      <c r="GJ113" s="9" t="str">
        <f t="shared" si="640"/>
        <v>Saudiarabien</v>
      </c>
      <c r="GK113" s="9" t="str">
        <f t="shared" si="640"/>
        <v>Österrike</v>
      </c>
      <c r="GL113" s="9" t="str">
        <f t="shared" si="640"/>
        <v>Qatar</v>
      </c>
      <c r="GM113" s="9" t="str">
        <f t="shared" si="640"/>
        <v>Haiti</v>
      </c>
      <c r="GN113" s="9" t="str">
        <f t="shared" si="640"/>
        <v>Irak</v>
      </c>
      <c r="GO113" s="9" t="str">
        <f t="shared" si="640"/>
        <v>Australien</v>
      </c>
      <c r="GP113" s="9" t="str">
        <f t="shared" si="640"/>
        <v>Ghana</v>
      </c>
      <c r="GQ113" s="9" t="str">
        <f t="shared" si="639"/>
        <v>Uzbekistan</v>
      </c>
      <c r="GR113" s="9" t="str">
        <f t="shared" si="563"/>
        <v/>
      </c>
      <c r="GX113" s="142"/>
    </row>
    <row r="114" spans="2:206" ht="14.25" customHeight="1" x14ac:dyDescent="0.25">
      <c r="B114" s="58">
        <v>75</v>
      </c>
      <c r="C114" s="59">
        <v>46203</v>
      </c>
      <c r="D114" s="148" t="str">
        <f>IF($O53="Resultat OK",$O$49,"Vinnare grupp F")</f>
        <v>Vinnare grupp F</v>
      </c>
      <c r="E114" s="61" t="s">
        <v>66</v>
      </c>
      <c r="F114" s="149" t="str">
        <f>IF($O$26="Resultat OK",$O$23,"Tvåa grupp C")</f>
        <v>Tvåa grupp C</v>
      </c>
      <c r="G114" s="63"/>
      <c r="H114" s="64" t="s">
        <v>66</v>
      </c>
      <c r="I114" s="63"/>
      <c r="J114" s="65" t="str">
        <f t="shared" si="869"/>
        <v/>
      </c>
      <c r="K114" s="66">
        <f>IF(OR(G114="",I114="",'[1]Resultat &amp; tabell'!G114="",'[1]Resultat &amp; tabell'!I114=""),0,IF(G114='[1]Resultat &amp; tabell'!G114,2,0)+IF(I114='[1]Resultat &amp; tabell'!I114,2,0)+IF(J114='[1]Resultat &amp; tabell'!J114,2,0))</f>
        <v>0</v>
      </c>
      <c r="L114" s="67"/>
      <c r="O114" s="150"/>
      <c r="P114" s="151" t="str">
        <f t="shared" si="871"/>
        <v/>
      </c>
      <c r="Q114" s="159"/>
      <c r="R114" s="160"/>
      <c r="S114" s="160"/>
      <c r="T114" s="160"/>
      <c r="U114" s="160"/>
      <c r="V114" s="160"/>
      <c r="W114" s="152"/>
      <c r="X114" s="152"/>
      <c r="AD114" s="58">
        <v>75</v>
      </c>
      <c r="AE114" s="59">
        <v>46203</v>
      </c>
      <c r="AF114" s="153" t="str">
        <f>IF($O53="Resultat OK",$O$49,"Vinnare grupp F")</f>
        <v>Vinnare grupp F</v>
      </c>
      <c r="AG114" s="61" t="s">
        <v>66</v>
      </c>
      <c r="AH114" s="154" t="str">
        <f>IF($O$26="Resultat OK",$O$23,"Tvåa grupp C")</f>
        <v>Tvåa grupp C</v>
      </c>
      <c r="AI114" s="63"/>
      <c r="AJ114" s="58" t="s">
        <v>66</v>
      </c>
      <c r="AK114" s="63"/>
      <c r="AL114" s="65" t="str">
        <f t="shared" si="870"/>
        <v/>
      </c>
      <c r="BQ114" s="13">
        <f t="shared" si="872"/>
        <v>75</v>
      </c>
      <c r="BR114" s="155" t="str">
        <f t="shared" si="873"/>
        <v>Vinnare grupp F</v>
      </c>
      <c r="BS114" s="156" t="str">
        <f>IF(OR('[1]Resultat &amp; tabell'!G114="",'[1]Resultat &amp; tabell'!I114=""),"",'[1]Resultat &amp; tabell'!D114)</f>
        <v/>
      </c>
      <c r="BT114" s="157">
        <f t="shared" si="874"/>
        <v>0</v>
      </c>
      <c r="BU114" s="158">
        <f t="shared" si="875"/>
        <v>0</v>
      </c>
      <c r="BV114" s="79">
        <f t="shared" si="876"/>
        <v>0</v>
      </c>
      <c r="FZ114" s="79">
        <v>112</v>
      </c>
      <c r="GA114" s="3" t="str">
        <f t="shared" si="562"/>
        <v>IGBCJDLK</v>
      </c>
      <c r="GB114" s="3" t="s">
        <v>61</v>
      </c>
      <c r="GC114" s="3" t="s">
        <v>60</v>
      </c>
      <c r="GD114" s="3" t="s">
        <v>57</v>
      </c>
      <c r="GE114" s="3" t="s">
        <v>75</v>
      </c>
      <c r="GF114" s="3" t="s">
        <v>69</v>
      </c>
      <c r="GG114" s="3" t="s">
        <v>58</v>
      </c>
      <c r="GH114" s="3" t="s">
        <v>63</v>
      </c>
      <c r="GI114" s="3" t="s">
        <v>62</v>
      </c>
      <c r="GJ114" s="9" t="str">
        <f t="shared" si="640"/>
        <v>Irak</v>
      </c>
      <c r="GK114" s="9" t="str">
        <f t="shared" si="640"/>
        <v>Iran</v>
      </c>
      <c r="GL114" s="9" t="str">
        <f t="shared" si="640"/>
        <v>Qatar</v>
      </c>
      <c r="GM114" s="9" t="str">
        <f t="shared" si="640"/>
        <v>Haiti</v>
      </c>
      <c r="GN114" s="9" t="str">
        <f t="shared" si="640"/>
        <v>Österrike</v>
      </c>
      <c r="GO114" s="9" t="str">
        <f t="shared" si="640"/>
        <v>Australien</v>
      </c>
      <c r="GP114" s="9" t="str">
        <f t="shared" si="640"/>
        <v>Ghana</v>
      </c>
      <c r="GQ114" s="9" t="str">
        <f t="shared" si="639"/>
        <v>Uzbekistan</v>
      </c>
      <c r="GR114" s="9" t="str">
        <f t="shared" si="563"/>
        <v/>
      </c>
      <c r="GX114" s="142"/>
    </row>
    <row r="115" spans="2:206" ht="14.25" customHeight="1" x14ac:dyDescent="0.25">
      <c r="B115" s="58">
        <v>76</v>
      </c>
      <c r="C115" s="59">
        <v>46202</v>
      </c>
      <c r="D115" s="148" t="str">
        <f>IF($O$26="Resultat OK",$O$22,"Vinnare grupp C")</f>
        <v>Vinnare grupp C</v>
      </c>
      <c r="E115" s="61" t="s">
        <v>66</v>
      </c>
      <c r="F115" s="149" t="str">
        <f>IF($O$53="Resultat OK",$O$50,"Tvåa grupp F")</f>
        <v>Tvåa grupp F</v>
      </c>
      <c r="G115" s="63"/>
      <c r="H115" s="64" t="s">
        <v>66</v>
      </c>
      <c r="I115" s="63"/>
      <c r="J115" s="65" t="str">
        <f t="shared" si="869"/>
        <v/>
      </c>
      <c r="K115" s="66">
        <f>IF(OR(G115="",I115="",'[1]Resultat &amp; tabell'!G115="",'[1]Resultat &amp; tabell'!I115=""),0,IF(G115='[1]Resultat &amp; tabell'!G115,2,0)+IF(I115='[1]Resultat &amp; tabell'!I115,2,0)+IF(J115='[1]Resultat &amp; tabell'!J115,2,0))</f>
        <v>0</v>
      </c>
      <c r="L115" s="67"/>
      <c r="O115" s="150"/>
      <c r="P115" s="151" t="str">
        <f t="shared" si="871"/>
        <v/>
      </c>
      <c r="Q115" s="159"/>
      <c r="R115" s="160"/>
      <c r="S115" s="160"/>
      <c r="T115" s="160"/>
      <c r="U115" s="160"/>
      <c r="V115" s="160"/>
      <c r="W115" s="152"/>
      <c r="X115" s="152"/>
      <c r="AD115" s="58">
        <v>76</v>
      </c>
      <c r="AE115" s="59">
        <v>46202</v>
      </c>
      <c r="AF115" s="153" t="str">
        <f>IF($O$22="Resultat OK",$O$26,"Vinnare grupp C")</f>
        <v>Vinnare grupp C</v>
      </c>
      <c r="AG115" s="61" t="s">
        <v>66</v>
      </c>
      <c r="AH115" s="154" t="str">
        <f>IF($O$53="Resultat OK",$O$50,"Tvåa grupp F")</f>
        <v>Tvåa grupp F</v>
      </c>
      <c r="AI115" s="63"/>
      <c r="AJ115" s="58" t="s">
        <v>66</v>
      </c>
      <c r="AK115" s="63"/>
      <c r="AL115" s="65" t="str">
        <f t="shared" si="870"/>
        <v/>
      </c>
      <c r="BQ115" s="13">
        <f t="shared" si="872"/>
        <v>76</v>
      </c>
      <c r="BR115" s="155" t="str">
        <f t="shared" si="873"/>
        <v>Vinnare grupp C</v>
      </c>
      <c r="BS115" s="156" t="str">
        <f>IF(OR('[1]Resultat &amp; tabell'!G115="",'[1]Resultat &amp; tabell'!I115=""),"",'[1]Resultat &amp; tabell'!D115)</f>
        <v/>
      </c>
      <c r="BT115" s="157">
        <f t="shared" si="874"/>
        <v>0</v>
      </c>
      <c r="BU115" s="158">
        <f t="shared" si="875"/>
        <v>0</v>
      </c>
      <c r="BV115" s="79">
        <f t="shared" si="876"/>
        <v>0</v>
      </c>
      <c r="FZ115" s="79">
        <v>113</v>
      </c>
      <c r="GA115" s="3" t="str">
        <f t="shared" si="562"/>
        <v>HGBCJDLK</v>
      </c>
      <c r="GB115" s="3" t="s">
        <v>70</v>
      </c>
      <c r="GC115" s="3" t="s">
        <v>60</v>
      </c>
      <c r="GD115" s="3" t="s">
        <v>57</v>
      </c>
      <c r="GE115" s="3" t="s">
        <v>75</v>
      </c>
      <c r="GF115" s="3" t="s">
        <v>69</v>
      </c>
      <c r="GG115" s="3" t="s">
        <v>58</v>
      </c>
      <c r="GH115" s="3" t="s">
        <v>63</v>
      </c>
      <c r="GI115" s="3" t="s">
        <v>62</v>
      </c>
      <c r="GJ115" s="9" t="str">
        <f t="shared" si="640"/>
        <v>Saudiarabien</v>
      </c>
      <c r="GK115" s="9" t="str">
        <f t="shared" si="640"/>
        <v>Iran</v>
      </c>
      <c r="GL115" s="9" t="str">
        <f t="shared" si="640"/>
        <v>Qatar</v>
      </c>
      <c r="GM115" s="9" t="str">
        <f t="shared" si="640"/>
        <v>Haiti</v>
      </c>
      <c r="GN115" s="9" t="str">
        <f t="shared" si="640"/>
        <v>Österrike</v>
      </c>
      <c r="GO115" s="9" t="str">
        <f t="shared" si="640"/>
        <v>Australien</v>
      </c>
      <c r="GP115" s="9" t="str">
        <f t="shared" si="640"/>
        <v>Ghana</v>
      </c>
      <c r="GQ115" s="9" t="str">
        <f t="shared" si="639"/>
        <v>Uzbekistan</v>
      </c>
      <c r="GR115" s="9" t="str">
        <f t="shared" si="563"/>
        <v/>
      </c>
      <c r="GX115" s="142"/>
    </row>
    <row r="116" spans="2:206" ht="14.25" customHeight="1" x14ac:dyDescent="0.25">
      <c r="B116" s="58">
        <v>77</v>
      </c>
      <c r="C116" s="59">
        <v>46203</v>
      </c>
      <c r="D116" s="148" t="str">
        <f>IF($O$80="Resultat OK",$O$76,"Vinnare grupp I")</f>
        <v>Vinnare grupp I</v>
      </c>
      <c r="E116" s="61" t="s">
        <v>66</v>
      </c>
      <c r="F116" s="149" t="str">
        <f>IF($FN$19=TRUE,"Bästa trea CDFGH",HLOOKUP("I",$GJ$3:$GQ$498,$GA$3,FALSE))</f>
        <v>Bästa trea CDFGH</v>
      </c>
      <c r="G116" s="63"/>
      <c r="H116" s="64" t="s">
        <v>66</v>
      </c>
      <c r="I116" s="63"/>
      <c r="J116" s="65" t="str">
        <f t="shared" si="869"/>
        <v/>
      </c>
      <c r="K116" s="66">
        <f>IF(OR(G116="",I116="",'[1]Resultat &amp; tabell'!G116="",'[1]Resultat &amp; tabell'!I116=""),0,IF(G116='[1]Resultat &amp; tabell'!G116,2,0)+IF(I116='[1]Resultat &amp; tabell'!I116,2,0)+IF(J116='[1]Resultat &amp; tabell'!J116,2,0))</f>
        <v>0</v>
      </c>
      <c r="L116" s="67"/>
      <c r="O116" s="150"/>
      <c r="P116" s="151" t="str">
        <f t="shared" si="871"/>
        <v/>
      </c>
      <c r="Q116" s="159"/>
      <c r="R116" s="160"/>
      <c r="S116" s="160"/>
      <c r="T116" s="160"/>
      <c r="U116" s="160"/>
      <c r="V116" s="160"/>
      <c r="W116" s="152"/>
      <c r="X116" s="152"/>
      <c r="AD116" s="58">
        <v>77</v>
      </c>
      <c r="AE116" s="59">
        <v>46203</v>
      </c>
      <c r="AF116" s="153" t="str">
        <f>IF($O$80="Resultat OK",$O$76,"Vinnare grupp I")</f>
        <v>Vinnare grupp I</v>
      </c>
      <c r="AG116" s="61" t="s">
        <v>66</v>
      </c>
      <c r="AH116" s="154" t="str">
        <f>IF($FN$19=TRUE,"Bästa trea CDFGH",HLOOKUP("I",$GJ$3:$GQ$498,$GA$3,FALSE))</f>
        <v>Bästa trea CDFGH</v>
      </c>
      <c r="AI116" s="63"/>
      <c r="AJ116" s="58" t="s">
        <v>66</v>
      </c>
      <c r="AK116" s="63"/>
      <c r="AL116" s="65" t="str">
        <f t="shared" si="870"/>
        <v/>
      </c>
      <c r="BQ116" s="13">
        <f t="shared" si="872"/>
        <v>77</v>
      </c>
      <c r="BR116" s="155" t="str">
        <f t="shared" si="873"/>
        <v>Vinnare grupp I</v>
      </c>
      <c r="BS116" s="156" t="str">
        <f>IF(OR('[1]Resultat &amp; tabell'!G116="",'[1]Resultat &amp; tabell'!I116=""),"",'[1]Resultat &amp; tabell'!D116)</f>
        <v/>
      </c>
      <c r="BT116" s="157">
        <f t="shared" si="874"/>
        <v>0</v>
      </c>
      <c r="BU116" s="158">
        <f t="shared" si="875"/>
        <v>0</v>
      </c>
      <c r="BV116" s="79">
        <f t="shared" si="876"/>
        <v>0</v>
      </c>
      <c r="FZ116" s="79">
        <v>114</v>
      </c>
      <c r="GA116" s="3" t="str">
        <f t="shared" si="562"/>
        <v>HGBCIDLK</v>
      </c>
      <c r="GB116" s="3" t="s">
        <v>70</v>
      </c>
      <c r="GC116" s="3" t="s">
        <v>60</v>
      </c>
      <c r="GD116" s="3" t="s">
        <v>57</v>
      </c>
      <c r="GE116" s="3" t="s">
        <v>75</v>
      </c>
      <c r="GF116" s="3" t="s">
        <v>61</v>
      </c>
      <c r="GG116" s="3" t="s">
        <v>58</v>
      </c>
      <c r="GH116" s="3" t="s">
        <v>63</v>
      </c>
      <c r="GI116" s="3" t="s">
        <v>62</v>
      </c>
      <c r="GJ116" s="9" t="str">
        <f t="shared" si="640"/>
        <v>Saudiarabien</v>
      </c>
      <c r="GK116" s="9" t="str">
        <f t="shared" si="640"/>
        <v>Iran</v>
      </c>
      <c r="GL116" s="9" t="str">
        <f t="shared" si="640"/>
        <v>Qatar</v>
      </c>
      <c r="GM116" s="9" t="str">
        <f t="shared" si="640"/>
        <v>Haiti</v>
      </c>
      <c r="GN116" s="9" t="str">
        <f t="shared" si="640"/>
        <v>Irak</v>
      </c>
      <c r="GO116" s="9" t="str">
        <f t="shared" si="640"/>
        <v>Australien</v>
      </c>
      <c r="GP116" s="9" t="str">
        <f t="shared" si="640"/>
        <v>Ghana</v>
      </c>
      <c r="GQ116" s="9" t="str">
        <f t="shared" si="639"/>
        <v>Uzbekistan</v>
      </c>
      <c r="GR116" s="9" t="str">
        <f t="shared" si="563"/>
        <v/>
      </c>
      <c r="GX116" s="142"/>
    </row>
    <row r="117" spans="2:206" ht="14.25" customHeight="1" x14ac:dyDescent="0.25">
      <c r="B117" s="58">
        <v>78</v>
      </c>
      <c r="C117" s="59">
        <v>46203</v>
      </c>
      <c r="D117" s="148" t="str">
        <f>IF($O$44="Resultat OK",$O$41,"Tvåa grupp E")</f>
        <v>Tvåa grupp E</v>
      </c>
      <c r="E117" s="61" t="s">
        <v>66</v>
      </c>
      <c r="F117" s="149" t="str">
        <f>IF($O$80="Resultat OK",$O$77,"Tvåa grupp I")</f>
        <v>Tvåa grupp I</v>
      </c>
      <c r="G117" s="63"/>
      <c r="H117" s="64" t="s">
        <v>66</v>
      </c>
      <c r="I117" s="63"/>
      <c r="J117" s="65" t="str">
        <f t="shared" si="869"/>
        <v/>
      </c>
      <c r="K117" s="66">
        <f>IF(OR(G117="",I117="",'[1]Resultat &amp; tabell'!G117="",'[1]Resultat &amp; tabell'!I117=""),0,IF(G117='[1]Resultat &amp; tabell'!G117,2,0)+IF(I117='[1]Resultat &amp; tabell'!I117,2,0)+IF(J117='[1]Resultat &amp; tabell'!J117,2,0))</f>
        <v>0</v>
      </c>
      <c r="L117" s="67"/>
      <c r="O117" s="150"/>
      <c r="P117" s="151" t="str">
        <f t="shared" si="871"/>
        <v/>
      </c>
      <c r="Q117" s="159"/>
      <c r="R117" s="160"/>
      <c r="S117" s="160"/>
      <c r="T117" s="160"/>
      <c r="U117" s="160"/>
      <c r="V117" s="160"/>
      <c r="W117" s="152"/>
      <c r="X117" s="152"/>
      <c r="AD117" s="58">
        <v>78</v>
      </c>
      <c r="AE117" s="59">
        <v>46203</v>
      </c>
      <c r="AF117" s="153" t="str">
        <f>IF($O$44="Resultat OK",$O$41,"Tvåa grupp E")</f>
        <v>Tvåa grupp E</v>
      </c>
      <c r="AG117" s="61" t="s">
        <v>66</v>
      </c>
      <c r="AH117" s="154" t="str">
        <f>IF($O$80="Resultat OK",$O$77,"Tvåa grupp I")</f>
        <v>Tvåa grupp I</v>
      </c>
      <c r="AI117" s="63"/>
      <c r="AJ117" s="58" t="s">
        <v>66</v>
      </c>
      <c r="AK117" s="63"/>
      <c r="AL117" s="65" t="str">
        <f t="shared" si="870"/>
        <v/>
      </c>
      <c r="BI117" s="161"/>
      <c r="BJ117" s="161"/>
      <c r="BK117" s="188"/>
      <c r="BL117" s="188"/>
      <c r="BM117" s="188"/>
      <c r="BN117" s="188"/>
      <c r="BO117" s="188"/>
      <c r="BP117" s="188"/>
      <c r="BQ117" s="13">
        <f t="shared" si="872"/>
        <v>78</v>
      </c>
      <c r="BR117" s="155" t="str">
        <f t="shared" si="873"/>
        <v>Tvåa grupp E</v>
      </c>
      <c r="BS117" s="156" t="str">
        <f>IF(OR('[1]Resultat &amp; tabell'!G117="",'[1]Resultat &amp; tabell'!I117=""),"",'[1]Resultat &amp; tabell'!D117)</f>
        <v/>
      </c>
      <c r="BT117" s="157">
        <f t="shared" si="874"/>
        <v>0</v>
      </c>
      <c r="BU117" s="158">
        <f t="shared" si="875"/>
        <v>0</v>
      </c>
      <c r="BV117" s="79">
        <f t="shared" si="876"/>
        <v>0</v>
      </c>
      <c r="FZ117" s="79">
        <v>115</v>
      </c>
      <c r="GA117" s="3" t="str">
        <f t="shared" si="562"/>
        <v>HGBCJDLI</v>
      </c>
      <c r="GB117" s="3" t="s">
        <v>70</v>
      </c>
      <c r="GC117" s="3" t="s">
        <v>60</v>
      </c>
      <c r="GD117" s="3" t="s">
        <v>57</v>
      </c>
      <c r="GE117" s="3" t="s">
        <v>75</v>
      </c>
      <c r="GF117" s="3" t="s">
        <v>69</v>
      </c>
      <c r="GG117" s="3" t="s">
        <v>58</v>
      </c>
      <c r="GH117" s="3" t="s">
        <v>63</v>
      </c>
      <c r="GI117" s="3" t="s">
        <v>61</v>
      </c>
      <c r="GJ117" s="9" t="str">
        <f t="shared" si="640"/>
        <v>Saudiarabien</v>
      </c>
      <c r="GK117" s="9" t="str">
        <f t="shared" si="640"/>
        <v>Iran</v>
      </c>
      <c r="GL117" s="9" t="str">
        <f t="shared" si="640"/>
        <v>Qatar</v>
      </c>
      <c r="GM117" s="9" t="str">
        <f t="shared" si="640"/>
        <v>Haiti</v>
      </c>
      <c r="GN117" s="9" t="str">
        <f t="shared" si="640"/>
        <v>Österrike</v>
      </c>
      <c r="GO117" s="9" t="str">
        <f t="shared" si="640"/>
        <v>Australien</v>
      </c>
      <c r="GP117" s="9" t="str">
        <f t="shared" si="640"/>
        <v>Ghana</v>
      </c>
      <c r="GQ117" s="9" t="str">
        <f t="shared" si="639"/>
        <v>Irak</v>
      </c>
      <c r="GR117" s="9" t="str">
        <f t="shared" si="563"/>
        <v/>
      </c>
      <c r="GX117" s="142"/>
    </row>
    <row r="118" spans="2:206" ht="14.25" customHeight="1" x14ac:dyDescent="0.25">
      <c r="B118" s="58">
        <v>79</v>
      </c>
      <c r="C118" s="59">
        <v>46204</v>
      </c>
      <c r="D118" s="148" t="str">
        <f>IF($O$8="Resultat OK",$O$4,"Vinnare grupp A")</f>
        <v>Vinnare grupp A</v>
      </c>
      <c r="E118" s="61" t="s">
        <v>66</v>
      </c>
      <c r="F118" s="149" t="str">
        <f>IF($FN$19=TRUE,"Bästa trea CEFHI",HLOOKUP("A",$GJ$3:$GQ$498,$GA$3,FALSE))</f>
        <v>Bästa trea CEFHI</v>
      </c>
      <c r="G118" s="63"/>
      <c r="H118" s="64" t="s">
        <v>66</v>
      </c>
      <c r="I118" s="63"/>
      <c r="J118" s="65" t="str">
        <f t="shared" si="869"/>
        <v/>
      </c>
      <c r="K118" s="66">
        <f>IF(OR(G118="",I118="",'[1]Resultat &amp; tabell'!G118="",'[1]Resultat &amp; tabell'!I118=""),0,IF(G118='[1]Resultat &amp; tabell'!G118,2,0)+IF(I118='[1]Resultat &amp; tabell'!I118,2,0)+IF(J118='[1]Resultat &amp; tabell'!J118,2,0))</f>
        <v>0</v>
      </c>
      <c r="L118" s="67"/>
      <c r="O118" s="150"/>
      <c r="P118" s="151" t="str">
        <f t="shared" si="871"/>
        <v/>
      </c>
      <c r="Q118" s="159"/>
      <c r="R118" s="160"/>
      <c r="S118" s="160"/>
      <c r="T118" s="160"/>
      <c r="U118" s="160"/>
      <c r="V118" s="160"/>
      <c r="W118" s="152"/>
      <c r="X118" s="152"/>
      <c r="AD118" s="58">
        <v>79</v>
      </c>
      <c r="AE118" s="59">
        <v>46204</v>
      </c>
      <c r="AF118" s="153" t="str">
        <f>IF($O$8="Resultat OK",$O$4,"Vinnare grupp A")</f>
        <v>Vinnare grupp A</v>
      </c>
      <c r="AG118" s="61" t="s">
        <v>66</v>
      </c>
      <c r="AH118" s="154" t="str">
        <f>IF($FN$19=TRUE,"Bästa trea CEFHI",HLOOKUP("A",$GJ$3:$GQ$498,$GA$3,FALSE))</f>
        <v>Bästa trea CEFHI</v>
      </c>
      <c r="AI118" s="63"/>
      <c r="AJ118" s="58" t="s">
        <v>66</v>
      </c>
      <c r="AK118" s="63"/>
      <c r="AL118" s="65" t="str">
        <f t="shared" si="870"/>
        <v/>
      </c>
      <c r="BQ118" s="13">
        <f t="shared" si="872"/>
        <v>79</v>
      </c>
      <c r="BR118" s="155" t="str">
        <f t="shared" si="873"/>
        <v>Vinnare grupp A</v>
      </c>
      <c r="BS118" s="156" t="str">
        <f>IF(OR('[1]Resultat &amp; tabell'!G118="",'[1]Resultat &amp; tabell'!I118=""),"",'[1]Resultat &amp; tabell'!D118)</f>
        <v/>
      </c>
      <c r="BT118" s="157">
        <f t="shared" si="874"/>
        <v>0</v>
      </c>
      <c r="BU118" s="158">
        <f t="shared" si="875"/>
        <v>0</v>
      </c>
      <c r="BV118" s="79">
        <f t="shared" si="876"/>
        <v>0</v>
      </c>
      <c r="FZ118" s="79">
        <v>116</v>
      </c>
      <c r="GA118" s="3" t="str">
        <f t="shared" si="562"/>
        <v>HGBCJDIK</v>
      </c>
      <c r="GB118" s="3" t="s">
        <v>70</v>
      </c>
      <c r="GC118" s="3" t="s">
        <v>60</v>
      </c>
      <c r="GD118" s="3" t="s">
        <v>57</v>
      </c>
      <c r="GE118" s="3" t="s">
        <v>75</v>
      </c>
      <c r="GF118" s="3" t="s">
        <v>69</v>
      </c>
      <c r="GG118" s="3" t="s">
        <v>58</v>
      </c>
      <c r="GH118" s="3" t="s">
        <v>61</v>
      </c>
      <c r="GI118" s="3" t="s">
        <v>62</v>
      </c>
      <c r="GJ118" s="9" t="str">
        <f t="shared" si="640"/>
        <v>Saudiarabien</v>
      </c>
      <c r="GK118" s="9" t="str">
        <f t="shared" si="640"/>
        <v>Iran</v>
      </c>
      <c r="GL118" s="9" t="str">
        <f t="shared" si="640"/>
        <v>Qatar</v>
      </c>
      <c r="GM118" s="9" t="str">
        <f t="shared" ref="GM118:GQ174" si="877">VLOOKUP(GE118,$FM$3:$FN$15,2,FALSE)</f>
        <v>Haiti</v>
      </c>
      <c r="GN118" s="9" t="str">
        <f t="shared" si="877"/>
        <v>Österrike</v>
      </c>
      <c r="GO118" s="9" t="str">
        <f t="shared" si="877"/>
        <v>Australien</v>
      </c>
      <c r="GP118" s="9" t="str">
        <f t="shared" si="877"/>
        <v>Irak</v>
      </c>
      <c r="GQ118" s="9" t="str">
        <f t="shared" si="639"/>
        <v>Uzbekistan</v>
      </c>
      <c r="GR118" s="9" t="str">
        <f t="shared" si="563"/>
        <v/>
      </c>
      <c r="GX118" s="142"/>
    </row>
    <row r="119" spans="2:206" ht="14.25" customHeight="1" x14ac:dyDescent="0.25">
      <c r="B119" s="58">
        <v>80</v>
      </c>
      <c r="C119" s="59">
        <v>46204</v>
      </c>
      <c r="D119" s="148" t="str">
        <f>IF($O$107="Resultat OK",$O$103,"Vinnare grupp L")</f>
        <v>Vinnare grupp L</v>
      </c>
      <c r="E119" s="61" t="s">
        <v>66</v>
      </c>
      <c r="F119" s="149" t="str">
        <f>IF($FN$19=TRUE,"Bästa trea EHIJK",HLOOKUP("L",$GJ$3:$GQ$498,$GA$3,FALSE))</f>
        <v>Bästa trea EHIJK</v>
      </c>
      <c r="G119" s="63"/>
      <c r="H119" s="64" t="s">
        <v>66</v>
      </c>
      <c r="I119" s="63"/>
      <c r="J119" s="65" t="str">
        <f t="shared" si="869"/>
        <v/>
      </c>
      <c r="K119" s="66">
        <f>IF(OR(G119="",I119="",'[1]Resultat &amp; tabell'!G119="",'[1]Resultat &amp; tabell'!I119=""),0,IF(G119='[1]Resultat &amp; tabell'!G119,2,0)+IF(I119='[1]Resultat &amp; tabell'!I119,2,0)+IF(J119='[1]Resultat &amp; tabell'!J119,2,0))</f>
        <v>0</v>
      </c>
      <c r="L119" s="67"/>
      <c r="O119" s="150"/>
      <c r="P119" s="151" t="str">
        <f t="shared" si="871"/>
        <v/>
      </c>
      <c r="Q119" s="159"/>
      <c r="R119" s="160"/>
      <c r="S119" s="160"/>
      <c r="T119" s="160"/>
      <c r="U119" s="160"/>
      <c r="V119" s="160"/>
      <c r="W119" s="152"/>
      <c r="X119" s="152"/>
      <c r="AD119" s="58">
        <v>80</v>
      </c>
      <c r="AE119" s="59">
        <v>46204</v>
      </c>
      <c r="AF119" s="153" t="str">
        <f>IF($O$107="Resultat OK",$O$103,"Vinnare grupp L")</f>
        <v>Vinnare grupp L</v>
      </c>
      <c r="AG119" s="61" t="s">
        <v>66</v>
      </c>
      <c r="AH119" s="154" t="str">
        <f>IF($FN$19=TRUE,"Bästa trea EHIJK",HLOOKUP("L",$GJ$3:$GQ$498,$GA$3,FALSE))</f>
        <v>Bästa trea EHIJK</v>
      </c>
      <c r="AI119" s="63"/>
      <c r="AJ119" s="58" t="s">
        <v>66</v>
      </c>
      <c r="AK119" s="63"/>
      <c r="AL119" s="65" t="str">
        <f t="shared" si="870"/>
        <v/>
      </c>
      <c r="BQ119" s="13">
        <f t="shared" si="872"/>
        <v>80</v>
      </c>
      <c r="BR119" s="155" t="str">
        <f t="shared" si="873"/>
        <v>Vinnare grupp L</v>
      </c>
      <c r="BS119" s="156" t="str">
        <f>IF(OR('[1]Resultat &amp; tabell'!G119="",'[1]Resultat &amp; tabell'!I119=""),"",'[1]Resultat &amp; tabell'!D119)</f>
        <v/>
      </c>
      <c r="BT119" s="157">
        <f t="shared" si="874"/>
        <v>0</v>
      </c>
      <c r="BU119" s="158">
        <f t="shared" si="875"/>
        <v>0</v>
      </c>
      <c r="BV119" s="79">
        <f t="shared" si="876"/>
        <v>0</v>
      </c>
      <c r="FZ119" s="79">
        <v>117</v>
      </c>
      <c r="GA119" s="3" t="str">
        <f t="shared" si="562"/>
        <v>CJBDIFLK</v>
      </c>
      <c r="GB119" s="3" t="s">
        <v>75</v>
      </c>
      <c r="GC119" s="3" t="s">
        <v>69</v>
      </c>
      <c r="GD119" s="3" t="s">
        <v>57</v>
      </c>
      <c r="GE119" s="3" t="s">
        <v>58</v>
      </c>
      <c r="GF119" s="3" t="s">
        <v>61</v>
      </c>
      <c r="GG119" s="3" t="s">
        <v>21</v>
      </c>
      <c r="GH119" s="3" t="s">
        <v>63</v>
      </c>
      <c r="GI119" s="3" t="s">
        <v>62</v>
      </c>
      <c r="GJ119" s="9" t="str">
        <f t="shared" ref="GJ119:GN182" si="878">VLOOKUP(GB119,$FM$3:$FN$15,2,FALSE)</f>
        <v>Haiti</v>
      </c>
      <c r="GK119" s="9" t="str">
        <f t="shared" si="878"/>
        <v>Österrike</v>
      </c>
      <c r="GL119" s="9" t="str">
        <f t="shared" si="878"/>
        <v>Qatar</v>
      </c>
      <c r="GM119" s="9" t="str">
        <f t="shared" si="877"/>
        <v>Australien</v>
      </c>
      <c r="GN119" s="9" t="str">
        <f t="shared" si="877"/>
        <v>Irak</v>
      </c>
      <c r="GO119" s="9" t="str">
        <f t="shared" si="877"/>
        <v>Sverige</v>
      </c>
      <c r="GP119" s="9" t="str">
        <f t="shared" si="877"/>
        <v>Ghana</v>
      </c>
      <c r="GQ119" s="9" t="str">
        <f t="shared" si="639"/>
        <v>Uzbekistan</v>
      </c>
      <c r="GR119" s="9" t="str">
        <f t="shared" si="563"/>
        <v/>
      </c>
      <c r="GX119" s="142"/>
    </row>
    <row r="120" spans="2:206" ht="14.25" customHeight="1" x14ac:dyDescent="0.25">
      <c r="B120" s="58">
        <v>81</v>
      </c>
      <c r="C120" s="59">
        <v>46205</v>
      </c>
      <c r="D120" s="148" t="str">
        <f>IF($O$35="Resultat OK",$O$31,"Vinnare grupp D")</f>
        <v>Vinnare grupp D</v>
      </c>
      <c r="E120" s="61" t="s">
        <v>66</v>
      </c>
      <c r="F120" s="149" t="str">
        <f>IF($FN$19=TRUE,"Bästa trea BEFIJ",HLOOKUP("D",$GJ$3:$GQ$498,$GA$3,FALSE))</f>
        <v>Bästa trea BEFIJ</v>
      </c>
      <c r="G120" s="63"/>
      <c r="H120" s="64" t="s">
        <v>66</v>
      </c>
      <c r="I120" s="63"/>
      <c r="J120" s="65" t="str">
        <f t="shared" si="869"/>
        <v/>
      </c>
      <c r="K120" s="66">
        <f>IF(OR(G120="",I120="",'[1]Resultat &amp; tabell'!G120="",'[1]Resultat &amp; tabell'!I120=""),0,IF(G120='[1]Resultat &amp; tabell'!G120,2,0)+IF(I120='[1]Resultat &amp; tabell'!I120,2,0)+IF(J120='[1]Resultat &amp; tabell'!J120,2,0))</f>
        <v>0</v>
      </c>
      <c r="L120" s="67"/>
      <c r="O120" s="150"/>
      <c r="P120" s="151" t="str">
        <f t="shared" si="871"/>
        <v/>
      </c>
      <c r="Q120" s="159"/>
      <c r="R120" s="160"/>
      <c r="S120" s="160"/>
      <c r="T120" s="160"/>
      <c r="U120" s="160"/>
      <c r="V120" s="160"/>
      <c r="Z120" s="162"/>
      <c r="AA120" s="162"/>
      <c r="AB120" s="114"/>
      <c r="AC120" s="12"/>
      <c r="AD120" s="58">
        <v>81</v>
      </c>
      <c r="AE120" s="59">
        <v>46205</v>
      </c>
      <c r="AF120" s="153" t="str">
        <f>IF($O$35="Resultat OK",$O$31,"Vinnare grupp D")</f>
        <v>Vinnare grupp D</v>
      </c>
      <c r="AG120" s="61" t="s">
        <v>66</v>
      </c>
      <c r="AH120" s="154" t="str">
        <f>IF($FN$19=TRUE,"Bästa trea BEFIJ",HLOOKUP("D",$GJ$3:$GQ$498,$GA$3,FALSE))</f>
        <v>Bästa trea BEFIJ</v>
      </c>
      <c r="AI120" s="63"/>
      <c r="AJ120" s="58" t="s">
        <v>66</v>
      </c>
      <c r="AK120" s="63"/>
      <c r="AL120" s="65" t="str">
        <f t="shared" si="870"/>
        <v/>
      </c>
      <c r="BQ120" s="13">
        <f t="shared" si="872"/>
        <v>81</v>
      </c>
      <c r="BR120" s="155" t="str">
        <f t="shared" si="873"/>
        <v>Vinnare grupp D</v>
      </c>
      <c r="BS120" s="156" t="str">
        <f>IF(OR('[1]Resultat &amp; tabell'!G120="",'[1]Resultat &amp; tabell'!I120=""),"",'[1]Resultat &amp; tabell'!D120)</f>
        <v/>
      </c>
      <c r="BT120" s="157">
        <f t="shared" si="874"/>
        <v>0</v>
      </c>
      <c r="BU120" s="158">
        <f t="shared" si="875"/>
        <v>0</v>
      </c>
      <c r="BV120" s="79">
        <f t="shared" si="876"/>
        <v>0</v>
      </c>
      <c r="FZ120" s="79">
        <v>118</v>
      </c>
      <c r="GA120" s="3" t="str">
        <f t="shared" si="562"/>
        <v>CJBDHFLK</v>
      </c>
      <c r="GB120" s="3" t="s">
        <v>75</v>
      </c>
      <c r="GC120" s="3" t="s">
        <v>69</v>
      </c>
      <c r="GD120" s="3" t="s">
        <v>57</v>
      </c>
      <c r="GE120" s="3" t="s">
        <v>58</v>
      </c>
      <c r="GF120" s="3" t="s">
        <v>70</v>
      </c>
      <c r="GG120" s="3" t="s">
        <v>21</v>
      </c>
      <c r="GH120" s="3" t="s">
        <v>63</v>
      </c>
      <c r="GI120" s="3" t="s">
        <v>62</v>
      </c>
      <c r="GJ120" s="9" t="str">
        <f t="shared" si="878"/>
        <v>Haiti</v>
      </c>
      <c r="GK120" s="9" t="str">
        <f t="shared" si="878"/>
        <v>Österrike</v>
      </c>
      <c r="GL120" s="9" t="str">
        <f t="shared" si="878"/>
        <v>Qatar</v>
      </c>
      <c r="GM120" s="9" t="str">
        <f t="shared" si="877"/>
        <v>Australien</v>
      </c>
      <c r="GN120" s="9" t="str">
        <f t="shared" si="877"/>
        <v>Saudiarabien</v>
      </c>
      <c r="GO120" s="9" t="str">
        <f t="shared" si="877"/>
        <v>Sverige</v>
      </c>
      <c r="GP120" s="9" t="str">
        <f t="shared" si="877"/>
        <v>Ghana</v>
      </c>
      <c r="GQ120" s="9" t="str">
        <f t="shared" si="639"/>
        <v>Uzbekistan</v>
      </c>
      <c r="GR120" s="9" t="str">
        <f t="shared" si="563"/>
        <v/>
      </c>
      <c r="GX120" s="142"/>
    </row>
    <row r="121" spans="2:206" ht="14.25" customHeight="1" x14ac:dyDescent="0.25">
      <c r="B121" s="58">
        <v>82</v>
      </c>
      <c r="C121" s="59">
        <v>46204</v>
      </c>
      <c r="D121" s="148" t="str">
        <f>IF($O$62="Resultat OK",$O$58,"Vinnare grupp G")</f>
        <v>Vinnare grupp G</v>
      </c>
      <c r="E121" s="61" t="s">
        <v>66</v>
      </c>
      <c r="F121" s="149" t="str">
        <f>IF($FN$19=TRUE,"Bästa trea AEHIJ",HLOOKUP("G",$GJ$3:$GQ$498,$GA$3,FALSE))</f>
        <v>Bästa trea AEHIJ</v>
      </c>
      <c r="G121" s="63"/>
      <c r="H121" s="64" t="s">
        <v>66</v>
      </c>
      <c r="I121" s="63"/>
      <c r="J121" s="65" t="str">
        <f t="shared" si="869"/>
        <v/>
      </c>
      <c r="K121" s="66">
        <f>IF(OR(G121="",I121="",'[1]Resultat &amp; tabell'!G121="",'[1]Resultat &amp; tabell'!I121=""),0,IF(G121='[1]Resultat &amp; tabell'!G121,2,0)+IF(I121='[1]Resultat &amp; tabell'!I121,2,0)+IF(J121='[1]Resultat &amp; tabell'!J121,2,0))</f>
        <v>0</v>
      </c>
      <c r="L121" s="67"/>
      <c r="O121" s="150"/>
      <c r="P121" s="151" t="str">
        <f t="shared" si="871"/>
        <v/>
      </c>
      <c r="Q121" s="159"/>
      <c r="R121" s="160"/>
      <c r="S121" s="160"/>
      <c r="T121" s="160"/>
      <c r="U121" s="160"/>
      <c r="V121" s="160"/>
      <c r="Z121" s="163"/>
      <c r="AA121" s="163"/>
      <c r="AB121" s="163"/>
      <c r="AC121" s="164"/>
      <c r="AD121" s="58">
        <v>82</v>
      </c>
      <c r="AE121" s="59">
        <v>46204</v>
      </c>
      <c r="AF121" s="153" t="str">
        <f>IF($O$62="Resultat OK",$O$58,"Vinnare grupp G")</f>
        <v>Vinnare grupp G</v>
      </c>
      <c r="AG121" s="61" t="s">
        <v>66</v>
      </c>
      <c r="AH121" s="154" t="str">
        <f>IF($FN$19=TRUE,"Bästa trea AEHIJ",HLOOKUP("G",$GJ$3:$GQ$498,$GA$3,FALSE))</f>
        <v>Bästa trea AEHIJ</v>
      </c>
      <c r="AI121" s="63"/>
      <c r="AJ121" s="58" t="s">
        <v>66</v>
      </c>
      <c r="AK121" s="63"/>
      <c r="AL121" s="65" t="str">
        <f t="shared" si="870"/>
        <v/>
      </c>
      <c r="BQ121" s="13">
        <f t="shared" si="872"/>
        <v>82</v>
      </c>
      <c r="BR121" s="155" t="str">
        <f t="shared" si="873"/>
        <v>Vinnare grupp G</v>
      </c>
      <c r="BS121" s="156" t="str">
        <f>IF(OR('[1]Resultat &amp; tabell'!G121="",'[1]Resultat &amp; tabell'!I121=""),"",'[1]Resultat &amp; tabell'!D121)</f>
        <v/>
      </c>
      <c r="BT121" s="157">
        <f t="shared" si="874"/>
        <v>0</v>
      </c>
      <c r="BU121" s="158">
        <f t="shared" si="875"/>
        <v>0</v>
      </c>
      <c r="BV121" s="79">
        <f t="shared" si="876"/>
        <v>0</v>
      </c>
      <c r="FZ121" s="79">
        <v>119</v>
      </c>
      <c r="GA121" s="3" t="str">
        <f t="shared" si="562"/>
        <v>CIBDHFLK</v>
      </c>
      <c r="GB121" s="3" t="s">
        <v>75</v>
      </c>
      <c r="GC121" s="3" t="s">
        <v>61</v>
      </c>
      <c r="GD121" s="3" t="s">
        <v>57</v>
      </c>
      <c r="GE121" s="3" t="s">
        <v>58</v>
      </c>
      <c r="GF121" s="3" t="s">
        <v>70</v>
      </c>
      <c r="GG121" s="3" t="s">
        <v>21</v>
      </c>
      <c r="GH121" s="3" t="s">
        <v>63</v>
      </c>
      <c r="GI121" s="3" t="s">
        <v>62</v>
      </c>
      <c r="GJ121" s="9" t="str">
        <f t="shared" si="878"/>
        <v>Haiti</v>
      </c>
      <c r="GK121" s="9" t="str">
        <f t="shared" si="878"/>
        <v>Irak</v>
      </c>
      <c r="GL121" s="9" t="str">
        <f t="shared" si="878"/>
        <v>Qatar</v>
      </c>
      <c r="GM121" s="9" t="str">
        <f t="shared" si="877"/>
        <v>Australien</v>
      </c>
      <c r="GN121" s="9" t="str">
        <f t="shared" si="877"/>
        <v>Saudiarabien</v>
      </c>
      <c r="GO121" s="9" t="str">
        <f t="shared" si="877"/>
        <v>Sverige</v>
      </c>
      <c r="GP121" s="9" t="str">
        <f t="shared" si="877"/>
        <v>Ghana</v>
      </c>
      <c r="GQ121" s="9" t="str">
        <f t="shared" si="639"/>
        <v>Uzbekistan</v>
      </c>
      <c r="GR121" s="9" t="str">
        <f t="shared" si="563"/>
        <v/>
      </c>
      <c r="GX121" s="142"/>
    </row>
    <row r="122" spans="2:206" ht="14.25" customHeight="1" x14ac:dyDescent="0.25">
      <c r="B122" s="58">
        <v>83</v>
      </c>
      <c r="C122" s="59">
        <v>46206</v>
      </c>
      <c r="D122" s="148" t="str">
        <f>IF($O$98="Resultat OK",$O$95,"Tvåa grupp K")</f>
        <v>Tvåa grupp K</v>
      </c>
      <c r="E122" s="61" t="s">
        <v>66</v>
      </c>
      <c r="F122" s="149" t="str">
        <f>IF($O$107="Resultat OK",$O$104,"Tvåa grupp L")</f>
        <v>Tvåa grupp L</v>
      </c>
      <c r="G122" s="63"/>
      <c r="H122" s="64" t="s">
        <v>66</v>
      </c>
      <c r="I122" s="63"/>
      <c r="J122" s="65" t="str">
        <f t="shared" si="869"/>
        <v/>
      </c>
      <c r="K122" s="66">
        <f>IF(OR(G122="",I122="",'[1]Resultat &amp; tabell'!G122="",'[1]Resultat &amp; tabell'!I122=""),0,IF(G122='[1]Resultat &amp; tabell'!G122,2,0)+IF(I122='[1]Resultat &amp; tabell'!I122,2,0)+IF(J122='[1]Resultat &amp; tabell'!J122,2,0))</f>
        <v>0</v>
      </c>
      <c r="L122" s="67"/>
      <c r="O122" s="150"/>
      <c r="P122" s="151" t="str">
        <f t="shared" si="871"/>
        <v/>
      </c>
      <c r="Q122" s="159"/>
      <c r="R122" s="160"/>
      <c r="S122" s="160"/>
      <c r="T122" s="160"/>
      <c r="U122" s="160"/>
      <c r="V122" s="160"/>
      <c r="Z122" s="163"/>
      <c r="AA122" s="163"/>
      <c r="AB122" s="163"/>
      <c r="AC122" s="164"/>
      <c r="AD122" s="58">
        <v>83</v>
      </c>
      <c r="AE122" s="59">
        <v>46206</v>
      </c>
      <c r="AF122" s="153" t="str">
        <f>IF($O$98="Resultat OK",$O$95,"Tvåa grupp K")</f>
        <v>Tvåa grupp K</v>
      </c>
      <c r="AG122" s="61" t="s">
        <v>66</v>
      </c>
      <c r="AH122" s="154" t="str">
        <f>IF($O$107="Resultat OK",$O$104,"Tvåa grupp L")</f>
        <v>Tvåa grupp L</v>
      </c>
      <c r="AI122" s="63"/>
      <c r="AJ122" s="58" t="s">
        <v>66</v>
      </c>
      <c r="AK122" s="63"/>
      <c r="AL122" s="65" t="str">
        <f t="shared" si="870"/>
        <v/>
      </c>
      <c r="BQ122" s="13">
        <f t="shared" si="872"/>
        <v>83</v>
      </c>
      <c r="BR122" s="155" t="str">
        <f t="shared" si="873"/>
        <v>Tvåa grupp K</v>
      </c>
      <c r="BS122" s="156" t="str">
        <f>IF(OR('[1]Resultat &amp; tabell'!G122="",'[1]Resultat &amp; tabell'!I122=""),"",'[1]Resultat &amp; tabell'!D122)</f>
        <v/>
      </c>
      <c r="BT122" s="157">
        <f t="shared" si="874"/>
        <v>0</v>
      </c>
      <c r="BU122" s="158">
        <f t="shared" si="875"/>
        <v>0</v>
      </c>
      <c r="BV122" s="79">
        <f t="shared" si="876"/>
        <v>0</v>
      </c>
      <c r="FZ122" s="79">
        <v>120</v>
      </c>
      <c r="GA122" s="3" t="str">
        <f t="shared" si="562"/>
        <v>CJBDHFLI</v>
      </c>
      <c r="GB122" s="3" t="s">
        <v>75</v>
      </c>
      <c r="GC122" s="3" t="s">
        <v>69</v>
      </c>
      <c r="GD122" s="3" t="s">
        <v>57</v>
      </c>
      <c r="GE122" s="3" t="s">
        <v>58</v>
      </c>
      <c r="GF122" s="3" t="s">
        <v>70</v>
      </c>
      <c r="GG122" s="3" t="s">
        <v>21</v>
      </c>
      <c r="GH122" s="3" t="s">
        <v>63</v>
      </c>
      <c r="GI122" s="3" t="s">
        <v>61</v>
      </c>
      <c r="GJ122" s="9" t="str">
        <f t="shared" si="878"/>
        <v>Haiti</v>
      </c>
      <c r="GK122" s="9" t="str">
        <f t="shared" si="878"/>
        <v>Österrike</v>
      </c>
      <c r="GL122" s="9" t="str">
        <f t="shared" si="878"/>
        <v>Qatar</v>
      </c>
      <c r="GM122" s="9" t="str">
        <f t="shared" si="877"/>
        <v>Australien</v>
      </c>
      <c r="GN122" s="9" t="str">
        <f t="shared" si="877"/>
        <v>Saudiarabien</v>
      </c>
      <c r="GO122" s="9" t="str">
        <f t="shared" si="877"/>
        <v>Sverige</v>
      </c>
      <c r="GP122" s="9" t="str">
        <f t="shared" si="877"/>
        <v>Ghana</v>
      </c>
      <c r="GQ122" s="9" t="str">
        <f t="shared" si="639"/>
        <v>Irak</v>
      </c>
      <c r="GR122" s="9" t="str">
        <f t="shared" si="563"/>
        <v/>
      </c>
      <c r="GX122" s="142"/>
    </row>
    <row r="123" spans="2:206" ht="14.25" customHeight="1" x14ac:dyDescent="0.25">
      <c r="B123" s="58">
        <v>84</v>
      </c>
      <c r="C123" s="59">
        <v>46205</v>
      </c>
      <c r="D123" s="148" t="str">
        <f>IF($O$71="Resultat OK",$O$67,"Vinnare grupp H")</f>
        <v>Vinnare grupp H</v>
      </c>
      <c r="E123" s="61" t="s">
        <v>66</v>
      </c>
      <c r="F123" s="149" t="str">
        <f>IF($O$89="Resultat OK",$O$86,"Tvåa grupp J")</f>
        <v>Tvåa grupp J</v>
      </c>
      <c r="G123" s="63"/>
      <c r="H123" s="64" t="s">
        <v>66</v>
      </c>
      <c r="I123" s="63"/>
      <c r="J123" s="65" t="str">
        <f t="shared" si="869"/>
        <v/>
      </c>
      <c r="K123" s="66">
        <f>IF(OR(G123="",I123="",'[1]Resultat &amp; tabell'!G123="",'[1]Resultat &amp; tabell'!I123=""),0,IF(G123='[1]Resultat &amp; tabell'!G123,2,0)+IF(I123='[1]Resultat &amp; tabell'!I123,2,0)+IF(J123='[1]Resultat &amp; tabell'!J123,2,0))</f>
        <v>0</v>
      </c>
      <c r="L123" s="67"/>
      <c r="O123" s="150"/>
      <c r="P123" s="151" t="str">
        <f t="shared" si="871"/>
        <v/>
      </c>
      <c r="Q123" s="159"/>
      <c r="R123" s="160"/>
      <c r="S123" s="160"/>
      <c r="T123" s="160"/>
      <c r="U123" s="160"/>
      <c r="V123" s="160"/>
      <c r="Z123" s="163"/>
      <c r="AA123" s="163"/>
      <c r="AB123" s="163"/>
      <c r="AC123" s="164"/>
      <c r="AD123" s="58">
        <v>84</v>
      </c>
      <c r="AE123" s="59">
        <v>46205</v>
      </c>
      <c r="AF123" s="153" t="str">
        <f>IF($O$71="Resultat OK",$O$67,"Vinnare grupp H")</f>
        <v>Vinnare grupp H</v>
      </c>
      <c r="AG123" s="61" t="s">
        <v>66</v>
      </c>
      <c r="AH123" s="154" t="str">
        <f>IF($O$89="Resultat OK",$O$86,"Tvåa grupp J")</f>
        <v>Tvåa grupp J</v>
      </c>
      <c r="AI123" s="63"/>
      <c r="AJ123" s="58" t="s">
        <v>66</v>
      </c>
      <c r="AK123" s="63"/>
      <c r="AL123" s="65" t="str">
        <f t="shared" si="870"/>
        <v/>
      </c>
      <c r="BQ123" s="13">
        <f t="shared" si="872"/>
        <v>84</v>
      </c>
      <c r="BR123" s="155" t="str">
        <f t="shared" si="873"/>
        <v>Vinnare grupp H</v>
      </c>
      <c r="BS123" s="156" t="str">
        <f>IF(OR('[1]Resultat &amp; tabell'!G123="",'[1]Resultat &amp; tabell'!I123=""),"",'[1]Resultat &amp; tabell'!D123)</f>
        <v/>
      </c>
      <c r="BT123" s="157">
        <f t="shared" si="874"/>
        <v>0</v>
      </c>
      <c r="BU123" s="158">
        <f t="shared" si="875"/>
        <v>0</v>
      </c>
      <c r="BV123" s="79">
        <f t="shared" si="876"/>
        <v>0</v>
      </c>
      <c r="FZ123" s="79">
        <v>121</v>
      </c>
      <c r="GA123" s="3" t="str">
        <f t="shared" si="562"/>
        <v>CJBDHFIK</v>
      </c>
      <c r="GB123" s="3" t="s">
        <v>75</v>
      </c>
      <c r="GC123" s="3" t="s">
        <v>69</v>
      </c>
      <c r="GD123" s="3" t="s">
        <v>57</v>
      </c>
      <c r="GE123" s="3" t="s">
        <v>58</v>
      </c>
      <c r="GF123" s="3" t="s">
        <v>70</v>
      </c>
      <c r="GG123" s="3" t="s">
        <v>21</v>
      </c>
      <c r="GH123" s="3" t="s">
        <v>61</v>
      </c>
      <c r="GI123" s="3" t="s">
        <v>62</v>
      </c>
      <c r="GJ123" s="9" t="str">
        <f t="shared" si="878"/>
        <v>Haiti</v>
      </c>
      <c r="GK123" s="9" t="str">
        <f t="shared" si="878"/>
        <v>Österrike</v>
      </c>
      <c r="GL123" s="9" t="str">
        <f t="shared" si="878"/>
        <v>Qatar</v>
      </c>
      <c r="GM123" s="9" t="str">
        <f t="shared" si="877"/>
        <v>Australien</v>
      </c>
      <c r="GN123" s="9" t="str">
        <f t="shared" si="877"/>
        <v>Saudiarabien</v>
      </c>
      <c r="GO123" s="9" t="str">
        <f t="shared" si="877"/>
        <v>Sverige</v>
      </c>
      <c r="GP123" s="9" t="str">
        <f t="shared" si="877"/>
        <v>Irak</v>
      </c>
      <c r="GQ123" s="9" t="str">
        <f t="shared" si="639"/>
        <v>Uzbekistan</v>
      </c>
      <c r="GR123" s="9" t="str">
        <f t="shared" si="563"/>
        <v/>
      </c>
      <c r="GX123" s="142"/>
    </row>
    <row r="124" spans="2:206" ht="14.25" customHeight="1" x14ac:dyDescent="0.25">
      <c r="B124" s="58">
        <v>85</v>
      </c>
      <c r="C124" s="59">
        <v>46206</v>
      </c>
      <c r="D124" s="148" t="str">
        <f>IF($O$17="Resultat OK",$O$13,"Vinnare grupp B")</f>
        <v>Vinnare grupp B</v>
      </c>
      <c r="E124" s="61" t="s">
        <v>66</v>
      </c>
      <c r="F124" s="149" t="str">
        <f>IF($FN$19=TRUE,"Bästa trea EFGIJ",HLOOKUP("B",$GJ$3:$GQ$498,$GA$3,FALSE))</f>
        <v>Bästa trea EFGIJ</v>
      </c>
      <c r="G124" s="63"/>
      <c r="H124" s="64" t="s">
        <v>66</v>
      </c>
      <c r="I124" s="63"/>
      <c r="J124" s="65" t="str">
        <f t="shared" si="869"/>
        <v/>
      </c>
      <c r="K124" s="66">
        <f>IF(OR(G124="",I124="",'[1]Resultat &amp; tabell'!G124="",'[1]Resultat &amp; tabell'!I124=""),0,IF(G124='[1]Resultat &amp; tabell'!G124,2,0)+IF(I124='[1]Resultat &amp; tabell'!I124,2,0)+IF(J124='[1]Resultat &amp; tabell'!J124,2,0))</f>
        <v>0</v>
      </c>
      <c r="L124" s="67"/>
      <c r="O124" s="150"/>
      <c r="P124" s="151" t="str">
        <f t="shared" si="871"/>
        <v/>
      </c>
      <c r="Q124" s="159"/>
      <c r="R124" s="160"/>
      <c r="S124" s="160"/>
      <c r="T124" s="160"/>
      <c r="U124" s="160"/>
      <c r="V124" s="160"/>
      <c r="Z124" s="163"/>
      <c r="AA124" s="163"/>
      <c r="AB124" s="163"/>
      <c r="AC124" s="164"/>
      <c r="AD124" s="58">
        <v>85</v>
      </c>
      <c r="AE124" s="59">
        <v>46206</v>
      </c>
      <c r="AF124" s="153" t="str">
        <f>IF($O$17="Resultat OK",$O$13,"Vinnare grupp B")</f>
        <v>Vinnare grupp B</v>
      </c>
      <c r="AG124" s="61" t="s">
        <v>66</v>
      </c>
      <c r="AH124" s="154" t="str">
        <f>IF($FN$19=TRUE,"Bästa trea EFGIJ",HLOOKUP("B",$GJ$3:$GQ$498,$GA$3,FALSE))</f>
        <v>Bästa trea EFGIJ</v>
      </c>
      <c r="AI124" s="63"/>
      <c r="AJ124" s="58" t="s">
        <v>66</v>
      </c>
      <c r="AK124" s="63"/>
      <c r="AL124" s="65" t="str">
        <f t="shared" si="870"/>
        <v/>
      </c>
      <c r="BQ124" s="13">
        <f t="shared" si="872"/>
        <v>85</v>
      </c>
      <c r="BR124" s="155" t="str">
        <f t="shared" si="873"/>
        <v>Vinnare grupp B</v>
      </c>
      <c r="BS124" s="156" t="str">
        <f>IF(OR('[1]Resultat &amp; tabell'!G124="",'[1]Resultat &amp; tabell'!I124=""),"",'[1]Resultat &amp; tabell'!D124)</f>
        <v/>
      </c>
      <c r="BT124" s="157">
        <f t="shared" si="874"/>
        <v>0</v>
      </c>
      <c r="BU124" s="158">
        <f t="shared" si="875"/>
        <v>0</v>
      </c>
      <c r="BV124" s="79">
        <f t="shared" si="876"/>
        <v>0</v>
      </c>
      <c r="FZ124" s="79">
        <v>122</v>
      </c>
      <c r="GA124" s="3" t="str">
        <f t="shared" si="562"/>
        <v>CGBDJFLK</v>
      </c>
      <c r="GB124" s="3" t="s">
        <v>75</v>
      </c>
      <c r="GC124" s="3" t="s">
        <v>60</v>
      </c>
      <c r="GD124" s="3" t="s">
        <v>57</v>
      </c>
      <c r="GE124" s="3" t="s">
        <v>58</v>
      </c>
      <c r="GF124" s="3" t="s">
        <v>69</v>
      </c>
      <c r="GG124" s="3" t="s">
        <v>21</v>
      </c>
      <c r="GH124" s="3" t="s">
        <v>63</v>
      </c>
      <c r="GI124" s="3" t="s">
        <v>62</v>
      </c>
      <c r="GJ124" s="9" t="str">
        <f t="shared" si="878"/>
        <v>Haiti</v>
      </c>
      <c r="GK124" s="9" t="str">
        <f t="shared" si="878"/>
        <v>Iran</v>
      </c>
      <c r="GL124" s="9" t="str">
        <f t="shared" si="878"/>
        <v>Qatar</v>
      </c>
      <c r="GM124" s="9" t="str">
        <f t="shared" si="877"/>
        <v>Australien</v>
      </c>
      <c r="GN124" s="9" t="str">
        <f t="shared" si="877"/>
        <v>Österrike</v>
      </c>
      <c r="GO124" s="9" t="str">
        <f t="shared" si="877"/>
        <v>Sverige</v>
      </c>
      <c r="GP124" s="9" t="str">
        <f t="shared" si="877"/>
        <v>Ghana</v>
      </c>
      <c r="GQ124" s="9" t="str">
        <f t="shared" si="639"/>
        <v>Uzbekistan</v>
      </c>
      <c r="GR124" s="9" t="str">
        <f t="shared" si="563"/>
        <v/>
      </c>
      <c r="GX124" s="142"/>
    </row>
    <row r="125" spans="2:206" ht="14.25" customHeight="1" x14ac:dyDescent="0.25">
      <c r="B125" s="58">
        <v>86</v>
      </c>
      <c r="C125" s="59">
        <v>46207</v>
      </c>
      <c r="D125" s="148" t="str">
        <f>IF($O$89="Resultat OK",$O$85,"Vinnare grupp J")</f>
        <v>Vinnare grupp J</v>
      </c>
      <c r="E125" s="61" t="s">
        <v>66</v>
      </c>
      <c r="F125" s="149" t="str">
        <f>IF($O$71="Resultat OK",$O$68,"Tvåa grupp H")</f>
        <v>Tvåa grupp H</v>
      </c>
      <c r="G125" s="63"/>
      <c r="H125" s="64" t="s">
        <v>66</v>
      </c>
      <c r="I125" s="63"/>
      <c r="J125" s="65" t="str">
        <f t="shared" si="869"/>
        <v/>
      </c>
      <c r="K125" s="66">
        <f>IF(OR(G125="",I125="",'[1]Resultat &amp; tabell'!G125="",'[1]Resultat &amp; tabell'!I125=""),0,IF(G125='[1]Resultat &amp; tabell'!G125,2,0)+IF(I125='[1]Resultat &amp; tabell'!I125,2,0)+IF(J125='[1]Resultat &amp; tabell'!J125,2,0))</f>
        <v>0</v>
      </c>
      <c r="L125" s="67"/>
      <c r="O125" s="150"/>
      <c r="P125" s="151" t="str">
        <f t="shared" si="871"/>
        <v/>
      </c>
      <c r="Q125" s="159"/>
      <c r="R125" s="160"/>
      <c r="S125" s="160"/>
      <c r="T125" s="160"/>
      <c r="U125" s="160"/>
      <c r="V125" s="160"/>
      <c r="Z125" s="163"/>
      <c r="AA125" s="163"/>
      <c r="AB125" s="163"/>
      <c r="AC125" s="164"/>
      <c r="AD125" s="58">
        <v>86</v>
      </c>
      <c r="AE125" s="59">
        <v>46207</v>
      </c>
      <c r="AF125" s="153" t="str">
        <f>IF($O$89="Resultat OK",$O$85,"Vinnare grupp J")</f>
        <v>Vinnare grupp J</v>
      </c>
      <c r="AG125" s="61" t="s">
        <v>66</v>
      </c>
      <c r="AH125" s="154" t="str">
        <f>IF($O$71="Resultat OK",$O$68,"Tvåa grupp H")</f>
        <v>Tvåa grupp H</v>
      </c>
      <c r="AI125" s="63"/>
      <c r="AJ125" s="58" t="s">
        <v>66</v>
      </c>
      <c r="AK125" s="63"/>
      <c r="AL125" s="65" t="str">
        <f t="shared" si="870"/>
        <v/>
      </c>
      <c r="BQ125" s="13">
        <f t="shared" si="872"/>
        <v>86</v>
      </c>
      <c r="BR125" s="155" t="str">
        <f t="shared" si="873"/>
        <v>Vinnare grupp J</v>
      </c>
      <c r="BS125" s="156" t="str">
        <f>IF(OR('[1]Resultat &amp; tabell'!G125="",'[1]Resultat &amp; tabell'!I125=""),"",'[1]Resultat &amp; tabell'!D125)</f>
        <v/>
      </c>
      <c r="BT125" s="157">
        <f t="shared" si="874"/>
        <v>0</v>
      </c>
      <c r="BU125" s="158">
        <f t="shared" si="875"/>
        <v>0</v>
      </c>
      <c r="BV125" s="79">
        <f t="shared" si="876"/>
        <v>0</v>
      </c>
      <c r="FZ125" s="79">
        <v>123</v>
      </c>
      <c r="GA125" s="3" t="str">
        <f t="shared" si="562"/>
        <v>CGBDIFLK</v>
      </c>
      <c r="GB125" s="3" t="s">
        <v>75</v>
      </c>
      <c r="GC125" s="3" t="s">
        <v>60</v>
      </c>
      <c r="GD125" s="3" t="s">
        <v>57</v>
      </c>
      <c r="GE125" s="3" t="s">
        <v>58</v>
      </c>
      <c r="GF125" s="3" t="s">
        <v>61</v>
      </c>
      <c r="GG125" s="3" t="s">
        <v>21</v>
      </c>
      <c r="GH125" s="3" t="s">
        <v>63</v>
      </c>
      <c r="GI125" s="3" t="s">
        <v>62</v>
      </c>
      <c r="GJ125" s="9" t="str">
        <f t="shared" si="878"/>
        <v>Haiti</v>
      </c>
      <c r="GK125" s="9" t="str">
        <f t="shared" si="878"/>
        <v>Iran</v>
      </c>
      <c r="GL125" s="9" t="str">
        <f t="shared" si="878"/>
        <v>Qatar</v>
      </c>
      <c r="GM125" s="9" t="str">
        <f t="shared" si="877"/>
        <v>Australien</v>
      </c>
      <c r="GN125" s="9" t="str">
        <f t="shared" si="877"/>
        <v>Irak</v>
      </c>
      <c r="GO125" s="9" t="str">
        <f t="shared" si="877"/>
        <v>Sverige</v>
      </c>
      <c r="GP125" s="9" t="str">
        <f t="shared" si="877"/>
        <v>Ghana</v>
      </c>
      <c r="GQ125" s="9" t="str">
        <f t="shared" si="639"/>
        <v>Uzbekistan</v>
      </c>
      <c r="GR125" s="9" t="str">
        <f t="shared" si="563"/>
        <v/>
      </c>
      <c r="GX125" s="142"/>
    </row>
    <row r="126" spans="2:206" ht="14.25" customHeight="1" x14ac:dyDescent="0.25">
      <c r="B126" s="58">
        <v>87</v>
      </c>
      <c r="C126" s="59">
        <v>46207</v>
      </c>
      <c r="D126" s="148" t="str">
        <f>IF($O$98="Resultat OK",$O$94,"Vinnare grupp K")</f>
        <v>Vinnare grupp K</v>
      </c>
      <c r="E126" s="61" t="s">
        <v>66</v>
      </c>
      <c r="F126" s="149" t="str">
        <f>IF($FN$19=TRUE,"Bästa trea DEIJL",HLOOKUP("K",$GJ$3:$GQ$498,$GA$3,FALSE))</f>
        <v>Bästa trea DEIJL</v>
      </c>
      <c r="G126" s="63"/>
      <c r="H126" s="64" t="s">
        <v>66</v>
      </c>
      <c r="I126" s="63"/>
      <c r="J126" s="65" t="str">
        <f t="shared" si="869"/>
        <v/>
      </c>
      <c r="K126" s="66">
        <f>IF(OR(G126="",I126="",'[1]Resultat &amp; tabell'!G126="",'[1]Resultat &amp; tabell'!I126=""),0,IF(G126='[1]Resultat &amp; tabell'!G126,2,0)+IF(I126='[1]Resultat &amp; tabell'!I126,2,0)+IF(J126='[1]Resultat &amp; tabell'!J126,2,0))</f>
        <v>0</v>
      </c>
      <c r="L126" s="67"/>
      <c r="O126" s="150"/>
      <c r="P126" s="151" t="str">
        <f t="shared" si="871"/>
        <v/>
      </c>
      <c r="Q126" s="159"/>
      <c r="R126" s="160"/>
      <c r="S126" s="160"/>
      <c r="T126" s="160"/>
      <c r="U126" s="160"/>
      <c r="V126" s="160"/>
      <c r="Z126" s="163"/>
      <c r="AA126" s="163"/>
      <c r="AB126" s="163"/>
      <c r="AC126" s="164"/>
      <c r="AD126" s="58">
        <v>87</v>
      </c>
      <c r="AE126" s="59">
        <v>46207</v>
      </c>
      <c r="AF126" s="153" t="str">
        <f>IF($O$98="Resultat OK",$O$94,"Vinnare grupp K")</f>
        <v>Vinnare grupp K</v>
      </c>
      <c r="AG126" s="61" t="s">
        <v>66</v>
      </c>
      <c r="AH126" s="154" t="str">
        <f>IF($FN$19=TRUE,"Bästa trea DEIJL",HLOOKUP("K",$GJ$3:$GQ$498,$GA$3,FALSE))</f>
        <v>Bästa trea DEIJL</v>
      </c>
      <c r="AI126" s="63"/>
      <c r="AJ126" s="58" t="s">
        <v>66</v>
      </c>
      <c r="AK126" s="63"/>
      <c r="AL126" s="65" t="str">
        <f t="shared" si="870"/>
        <v/>
      </c>
      <c r="BQ126" s="13">
        <f t="shared" si="872"/>
        <v>87</v>
      </c>
      <c r="BR126" s="155" t="str">
        <f t="shared" si="873"/>
        <v>Vinnare grupp K</v>
      </c>
      <c r="BS126" s="156" t="str">
        <f>IF(OR('[1]Resultat &amp; tabell'!G126="",'[1]Resultat &amp; tabell'!I126=""),"",'[1]Resultat &amp; tabell'!D126)</f>
        <v/>
      </c>
      <c r="BT126" s="157">
        <f t="shared" si="874"/>
        <v>0</v>
      </c>
      <c r="BU126" s="158">
        <f t="shared" si="875"/>
        <v>0</v>
      </c>
      <c r="BV126" s="79">
        <f t="shared" si="876"/>
        <v>0</v>
      </c>
      <c r="FZ126" s="79">
        <v>124</v>
      </c>
      <c r="GA126" s="3" t="str">
        <f t="shared" si="562"/>
        <v>CGBDJFLI</v>
      </c>
      <c r="GB126" s="3" t="s">
        <v>75</v>
      </c>
      <c r="GC126" s="3" t="s">
        <v>60</v>
      </c>
      <c r="GD126" s="3" t="s">
        <v>57</v>
      </c>
      <c r="GE126" s="3" t="s">
        <v>58</v>
      </c>
      <c r="GF126" s="3" t="s">
        <v>69</v>
      </c>
      <c r="GG126" s="3" t="s">
        <v>21</v>
      </c>
      <c r="GH126" s="3" t="s">
        <v>63</v>
      </c>
      <c r="GI126" s="3" t="s">
        <v>61</v>
      </c>
      <c r="GJ126" s="9" t="str">
        <f t="shared" si="878"/>
        <v>Haiti</v>
      </c>
      <c r="GK126" s="9" t="str">
        <f t="shared" si="878"/>
        <v>Iran</v>
      </c>
      <c r="GL126" s="9" t="str">
        <f t="shared" si="878"/>
        <v>Qatar</v>
      </c>
      <c r="GM126" s="9" t="str">
        <f t="shared" si="877"/>
        <v>Australien</v>
      </c>
      <c r="GN126" s="9" t="str">
        <f t="shared" si="877"/>
        <v>Österrike</v>
      </c>
      <c r="GO126" s="9" t="str">
        <f t="shared" si="877"/>
        <v>Sverige</v>
      </c>
      <c r="GP126" s="9" t="str">
        <f t="shared" si="877"/>
        <v>Ghana</v>
      </c>
      <c r="GQ126" s="9" t="str">
        <f t="shared" si="639"/>
        <v>Irak</v>
      </c>
      <c r="GR126" s="9" t="str">
        <f t="shared" si="563"/>
        <v/>
      </c>
      <c r="GX126" s="142"/>
    </row>
    <row r="127" spans="2:206" ht="14.25" customHeight="1" x14ac:dyDescent="0.25">
      <c r="B127" s="58">
        <v>88</v>
      </c>
      <c r="C127" s="59">
        <v>46206</v>
      </c>
      <c r="D127" s="148" t="str">
        <f>IF($O$35="Resultat OK",$O$32,"Tvåa grupp D")</f>
        <v>Tvåa grupp D</v>
      </c>
      <c r="E127" s="61" t="s">
        <v>66</v>
      </c>
      <c r="F127" s="149" t="str">
        <f>IF($O$62="Resultat OK",$O$59,"Tvåa grupp G")</f>
        <v>Tvåa grupp G</v>
      </c>
      <c r="G127" s="63"/>
      <c r="H127" s="64" t="s">
        <v>66</v>
      </c>
      <c r="I127" s="63"/>
      <c r="J127" s="65" t="str">
        <f t="shared" si="869"/>
        <v/>
      </c>
      <c r="K127" s="66">
        <f>IF(OR(G127="",I127="",'[1]Resultat &amp; tabell'!G127="",'[1]Resultat &amp; tabell'!I127=""),0,IF(G127='[1]Resultat &amp; tabell'!G127,2,0)+IF(I127='[1]Resultat &amp; tabell'!I127,2,0)+IF(J127='[1]Resultat &amp; tabell'!J127,2,0))</f>
        <v>0</v>
      </c>
      <c r="L127" s="67"/>
      <c r="O127" s="150"/>
      <c r="P127" s="151" t="str">
        <f t="shared" si="871"/>
        <v/>
      </c>
      <c r="Q127" s="159"/>
      <c r="R127" s="160"/>
      <c r="S127" s="160"/>
      <c r="T127" s="160"/>
      <c r="U127" s="160"/>
      <c r="V127" s="160"/>
      <c r="Z127" s="163"/>
      <c r="AA127" s="163"/>
      <c r="AB127" s="163"/>
      <c r="AC127" s="164"/>
      <c r="AD127" s="58">
        <v>88</v>
      </c>
      <c r="AE127" s="59">
        <v>46206</v>
      </c>
      <c r="AF127" s="153" t="str">
        <f>IF($O$35="Resultat OK",$O$32,"Tvåa grupp D")</f>
        <v>Tvåa grupp D</v>
      </c>
      <c r="AG127" s="61" t="s">
        <v>66</v>
      </c>
      <c r="AH127" s="154" t="str">
        <f>IF($O$62="Resultat OK",$O$59,"Tvåa grupp G")</f>
        <v>Tvåa grupp G</v>
      </c>
      <c r="AI127" s="63"/>
      <c r="AJ127" s="58" t="s">
        <v>66</v>
      </c>
      <c r="AK127" s="63"/>
      <c r="AL127" s="65" t="str">
        <f t="shared" si="870"/>
        <v/>
      </c>
      <c r="BQ127" s="13">
        <f t="shared" si="872"/>
        <v>88</v>
      </c>
      <c r="BR127" s="155" t="str">
        <f t="shared" si="873"/>
        <v>Tvåa grupp D</v>
      </c>
      <c r="BS127" s="156" t="str">
        <f>IF(OR('[1]Resultat &amp; tabell'!G127="",'[1]Resultat &amp; tabell'!I127=""),"",'[1]Resultat &amp; tabell'!D127)</f>
        <v/>
      </c>
      <c r="BT127" s="157">
        <f t="shared" si="874"/>
        <v>0</v>
      </c>
      <c r="BU127" s="158">
        <f t="shared" si="875"/>
        <v>0</v>
      </c>
      <c r="BV127" s="79">
        <f t="shared" si="876"/>
        <v>0</v>
      </c>
      <c r="FZ127" s="79">
        <v>125</v>
      </c>
      <c r="GA127" s="3" t="str">
        <f t="shared" si="562"/>
        <v>CGBDJFIK</v>
      </c>
      <c r="GB127" s="3" t="s">
        <v>75</v>
      </c>
      <c r="GC127" s="3" t="s">
        <v>60</v>
      </c>
      <c r="GD127" s="3" t="s">
        <v>57</v>
      </c>
      <c r="GE127" s="3" t="s">
        <v>58</v>
      </c>
      <c r="GF127" s="3" t="s">
        <v>69</v>
      </c>
      <c r="GG127" s="3" t="s">
        <v>21</v>
      </c>
      <c r="GH127" s="3" t="s">
        <v>61</v>
      </c>
      <c r="GI127" s="3" t="s">
        <v>62</v>
      </c>
      <c r="GJ127" s="9" t="str">
        <f t="shared" si="878"/>
        <v>Haiti</v>
      </c>
      <c r="GK127" s="9" t="str">
        <f t="shared" si="878"/>
        <v>Iran</v>
      </c>
      <c r="GL127" s="9" t="str">
        <f t="shared" si="878"/>
        <v>Qatar</v>
      </c>
      <c r="GM127" s="9" t="str">
        <f t="shared" si="877"/>
        <v>Australien</v>
      </c>
      <c r="GN127" s="9" t="str">
        <f t="shared" si="877"/>
        <v>Österrike</v>
      </c>
      <c r="GO127" s="9" t="str">
        <f t="shared" si="877"/>
        <v>Sverige</v>
      </c>
      <c r="GP127" s="9" t="str">
        <f t="shared" si="877"/>
        <v>Irak</v>
      </c>
      <c r="GQ127" s="9" t="str">
        <f t="shared" si="639"/>
        <v>Uzbekistan</v>
      </c>
      <c r="GR127" s="9" t="str">
        <f t="shared" si="563"/>
        <v/>
      </c>
      <c r="GX127" s="142"/>
    </row>
    <row r="128" spans="2:206" ht="14.25" customHeight="1" x14ac:dyDescent="0.25">
      <c r="B128" s="3"/>
      <c r="C128" s="94"/>
      <c r="D128" s="143"/>
      <c r="F128" s="143"/>
      <c r="G128" s="139"/>
      <c r="H128" s="100"/>
      <c r="I128" s="139"/>
      <c r="J128" s="79"/>
      <c r="K128" s="73"/>
      <c r="L128" s="67"/>
      <c r="P128" s="108"/>
      <c r="Q128" s="108"/>
      <c r="R128" s="108"/>
      <c r="S128" s="108"/>
      <c r="T128" s="108"/>
      <c r="U128" s="108"/>
      <c r="Z128" s="163"/>
      <c r="AA128" s="163"/>
      <c r="AB128" s="163"/>
      <c r="AC128" s="164"/>
      <c r="AD128" s="163"/>
      <c r="AE128" s="163"/>
      <c r="AF128" s="163"/>
      <c r="AI128" s="139"/>
      <c r="AJ128" s="105"/>
      <c r="AK128" s="139"/>
      <c r="AL128" s="73"/>
      <c r="AM128" s="73"/>
      <c r="BQ128" s="13">
        <f>B112</f>
        <v>73</v>
      </c>
      <c r="BR128" s="155" t="str">
        <f>F112</f>
        <v>Tvåa grupp B</v>
      </c>
      <c r="BS128" s="156" t="str">
        <f>IF(OR('[1]Resultat &amp; tabell'!G112="",'[1]Resultat &amp; tabell'!I112=""),"",'[1]Resultat &amp; tabell'!F112)</f>
        <v/>
      </c>
      <c r="BT128" s="157">
        <f t="shared" si="874"/>
        <v>0</v>
      </c>
      <c r="BU128" s="158">
        <f t="shared" si="875"/>
        <v>0</v>
      </c>
      <c r="BV128" s="79">
        <f t="shared" si="876"/>
        <v>0</v>
      </c>
      <c r="FZ128" s="79">
        <v>126</v>
      </c>
      <c r="GA128" s="3" t="str">
        <f t="shared" si="562"/>
        <v>CGBDHFLK</v>
      </c>
      <c r="GB128" s="3" t="s">
        <v>75</v>
      </c>
      <c r="GC128" s="3" t="s">
        <v>60</v>
      </c>
      <c r="GD128" s="3" t="s">
        <v>57</v>
      </c>
      <c r="GE128" s="3" t="s">
        <v>58</v>
      </c>
      <c r="GF128" s="3" t="s">
        <v>70</v>
      </c>
      <c r="GG128" s="3" t="s">
        <v>21</v>
      </c>
      <c r="GH128" s="3" t="s">
        <v>63</v>
      </c>
      <c r="GI128" s="3" t="s">
        <v>62</v>
      </c>
      <c r="GJ128" s="9" t="str">
        <f t="shared" si="878"/>
        <v>Haiti</v>
      </c>
      <c r="GK128" s="9" t="str">
        <f t="shared" si="878"/>
        <v>Iran</v>
      </c>
      <c r="GL128" s="9" t="str">
        <f t="shared" si="878"/>
        <v>Qatar</v>
      </c>
      <c r="GM128" s="9" t="str">
        <f t="shared" si="877"/>
        <v>Australien</v>
      </c>
      <c r="GN128" s="9" t="str">
        <f t="shared" si="877"/>
        <v>Saudiarabien</v>
      </c>
      <c r="GO128" s="9" t="str">
        <f t="shared" si="877"/>
        <v>Sverige</v>
      </c>
      <c r="GP128" s="9" t="str">
        <f t="shared" si="877"/>
        <v>Ghana</v>
      </c>
      <c r="GQ128" s="9" t="str">
        <f t="shared" si="639"/>
        <v>Uzbekistan</v>
      </c>
      <c r="GR128" s="9" t="str">
        <f t="shared" si="563"/>
        <v/>
      </c>
      <c r="GX128" s="142"/>
    </row>
    <row r="129" spans="2:206" ht="14.25" customHeight="1" x14ac:dyDescent="0.25">
      <c r="B129" s="19" t="s">
        <v>151</v>
      </c>
      <c r="C129" s="94"/>
      <c r="J129" s="23"/>
      <c r="K129" s="16"/>
      <c r="L129" s="49"/>
      <c r="P129" s="108"/>
      <c r="Q129" s="108"/>
      <c r="R129" s="108"/>
      <c r="S129" s="108"/>
      <c r="T129" s="108"/>
      <c r="U129" s="108"/>
      <c r="BQ129" s="13">
        <f t="shared" ref="BQ129:BQ142" si="879">B113</f>
        <v>74</v>
      </c>
      <c r="BR129" s="155" t="str">
        <f t="shared" ref="BR129:BR142" si="880">F113</f>
        <v>Bästa trea ABCDF</v>
      </c>
      <c r="BS129" s="156" t="str">
        <f>IF(OR('[1]Resultat &amp; tabell'!G113="",'[1]Resultat &amp; tabell'!I113=""),"",'[1]Resultat &amp; tabell'!F113)</f>
        <v/>
      </c>
      <c r="BT129" s="157">
        <f t="shared" si="874"/>
        <v>0</v>
      </c>
      <c r="BU129" s="158">
        <f t="shared" si="875"/>
        <v>0</v>
      </c>
      <c r="BV129" s="79">
        <f t="shared" si="876"/>
        <v>0</v>
      </c>
      <c r="FZ129" s="79">
        <v>127</v>
      </c>
      <c r="GA129" s="3" t="str">
        <f t="shared" si="562"/>
        <v>CGBDHFLJ</v>
      </c>
      <c r="GB129" s="3" t="s">
        <v>75</v>
      </c>
      <c r="GC129" s="3" t="s">
        <v>60</v>
      </c>
      <c r="GD129" s="3" t="s">
        <v>57</v>
      </c>
      <c r="GE129" s="3" t="s">
        <v>58</v>
      </c>
      <c r="GF129" s="3" t="s">
        <v>70</v>
      </c>
      <c r="GG129" s="3" t="s">
        <v>21</v>
      </c>
      <c r="GH129" s="3" t="s">
        <v>63</v>
      </c>
      <c r="GI129" s="3" t="s">
        <v>69</v>
      </c>
      <c r="GJ129" s="9" t="str">
        <f t="shared" si="878"/>
        <v>Haiti</v>
      </c>
      <c r="GK129" s="9" t="str">
        <f t="shared" si="878"/>
        <v>Iran</v>
      </c>
      <c r="GL129" s="9" t="str">
        <f t="shared" si="878"/>
        <v>Qatar</v>
      </c>
      <c r="GM129" s="9" t="str">
        <f t="shared" si="877"/>
        <v>Australien</v>
      </c>
      <c r="GN129" s="9" t="str">
        <f t="shared" si="877"/>
        <v>Saudiarabien</v>
      </c>
      <c r="GO129" s="9" t="str">
        <f t="shared" si="877"/>
        <v>Sverige</v>
      </c>
      <c r="GP129" s="9" t="str">
        <f t="shared" si="877"/>
        <v>Ghana</v>
      </c>
      <c r="GQ129" s="9" t="str">
        <f t="shared" si="639"/>
        <v>Österrike</v>
      </c>
      <c r="GR129" s="9" t="str">
        <f t="shared" si="563"/>
        <v/>
      </c>
      <c r="GX129" s="27"/>
    </row>
    <row r="130" spans="2:206" ht="14.25" customHeight="1" x14ac:dyDescent="0.25">
      <c r="B130" s="117" t="s">
        <v>12</v>
      </c>
      <c r="C130" s="107" t="s">
        <v>13</v>
      </c>
      <c r="D130" s="181" t="s">
        <v>12</v>
      </c>
      <c r="E130" s="182"/>
      <c r="F130" s="183"/>
      <c r="G130" s="184" t="s">
        <v>14</v>
      </c>
      <c r="H130" s="184"/>
      <c r="I130" s="184"/>
      <c r="J130" s="47" t="s">
        <v>15</v>
      </c>
      <c r="K130" s="48" t="s">
        <v>16</v>
      </c>
      <c r="L130" s="49"/>
      <c r="O130" s="145" t="s">
        <v>152</v>
      </c>
      <c r="P130" s="145"/>
      <c r="Q130" s="16"/>
      <c r="R130" s="185" t="s">
        <v>153</v>
      </c>
      <c r="S130" s="186"/>
      <c r="T130" s="186"/>
      <c r="U130" s="187"/>
      <c r="V130" s="156"/>
      <c r="W130" s="18"/>
      <c r="X130" s="79"/>
      <c r="Y130" s="79"/>
      <c r="Z130" s="79"/>
      <c r="AA130" s="79"/>
      <c r="AB130" s="165"/>
      <c r="BQ130" s="13">
        <f t="shared" si="879"/>
        <v>75</v>
      </c>
      <c r="BR130" s="155" t="str">
        <f t="shared" si="880"/>
        <v>Tvåa grupp C</v>
      </c>
      <c r="BS130" s="156" t="str">
        <f>IF(OR('[1]Resultat &amp; tabell'!G114="",'[1]Resultat &amp; tabell'!I114=""),"",'[1]Resultat &amp; tabell'!F114)</f>
        <v/>
      </c>
      <c r="BT130" s="157">
        <f t="shared" si="874"/>
        <v>0</v>
      </c>
      <c r="BU130" s="158">
        <f t="shared" si="875"/>
        <v>0</v>
      </c>
      <c r="BV130" s="79">
        <f t="shared" si="876"/>
        <v>0</v>
      </c>
      <c r="FZ130" s="79">
        <v>128</v>
      </c>
      <c r="GA130" s="3" t="str">
        <f t="shared" si="562"/>
        <v>HGBCJFDK</v>
      </c>
      <c r="GB130" s="3" t="s">
        <v>70</v>
      </c>
      <c r="GC130" s="3" t="s">
        <v>60</v>
      </c>
      <c r="GD130" s="3" t="s">
        <v>57</v>
      </c>
      <c r="GE130" s="3" t="s">
        <v>75</v>
      </c>
      <c r="GF130" s="3" t="s">
        <v>69</v>
      </c>
      <c r="GG130" s="3" t="s">
        <v>21</v>
      </c>
      <c r="GH130" s="3" t="s">
        <v>58</v>
      </c>
      <c r="GI130" s="3" t="s">
        <v>62</v>
      </c>
      <c r="GJ130" s="9" t="str">
        <f t="shared" si="878"/>
        <v>Saudiarabien</v>
      </c>
      <c r="GK130" s="9" t="str">
        <f t="shared" si="878"/>
        <v>Iran</v>
      </c>
      <c r="GL130" s="9" t="str">
        <f t="shared" si="878"/>
        <v>Qatar</v>
      </c>
      <c r="GM130" s="9" t="str">
        <f t="shared" si="877"/>
        <v>Haiti</v>
      </c>
      <c r="GN130" s="9" t="str">
        <f t="shared" si="877"/>
        <v>Österrike</v>
      </c>
      <c r="GO130" s="9" t="str">
        <f t="shared" si="877"/>
        <v>Sverige</v>
      </c>
      <c r="GP130" s="9" t="str">
        <f t="shared" si="877"/>
        <v>Australien</v>
      </c>
      <c r="GQ130" s="9" t="str">
        <f t="shared" si="639"/>
        <v>Uzbekistan</v>
      </c>
      <c r="GR130" s="9" t="str">
        <f t="shared" si="563"/>
        <v/>
      </c>
      <c r="GX130" s="15"/>
    </row>
    <row r="131" spans="2:206" ht="14.25" customHeight="1" x14ac:dyDescent="0.25">
      <c r="B131" s="90">
        <v>89</v>
      </c>
      <c r="C131" s="59">
        <v>46207</v>
      </c>
      <c r="D131" s="166" t="str">
        <f>IF(O113="","Vinnare match 74",O113)</f>
        <v>Vinnare match 74</v>
      </c>
      <c r="E131" s="167" t="s">
        <v>66</v>
      </c>
      <c r="F131" s="62" t="str">
        <f>IF(O116="","Vinnare match 77",O116)</f>
        <v>Vinnare match 77</v>
      </c>
      <c r="G131" s="63"/>
      <c r="H131" s="64" t="s">
        <v>66</v>
      </c>
      <c r="I131" s="63"/>
      <c r="J131" s="65" t="str">
        <f t="shared" ref="J131:J138" si="881">IF(OR(ISBLANK(G131),ISBLANK(I131)),"",IF(G131&gt;I131,1,IF(G131&lt;I131,2,"X")))</f>
        <v/>
      </c>
      <c r="K131" s="66">
        <f>IF(OR(G131="",I131="",'[1]Resultat &amp; tabell'!G131="",'[1]Resultat &amp; tabell'!I131=""),0,IF(G131='[1]Resultat &amp; tabell'!G131,2,0)+IF(I131='[1]Resultat &amp; tabell'!I131,2,0)+IF(J131='[1]Resultat &amp; tabell'!J131,2,0))</f>
        <v>0</v>
      </c>
      <c r="L131" s="67"/>
      <c r="O131" s="150"/>
      <c r="P131" s="151" t="str">
        <f>IF(OR(ISBLANK(D131),ISBLANK(F131),J131="",O131=""),"",IF(OR(AND(J131=1,O131=D131),AND(J131=2,O131=F131),AND(J131="X",OR(O131=D131,O131=F131))),"","Ej OK"))</f>
        <v/>
      </c>
      <c r="Q131" s="168"/>
      <c r="R131" s="178">
        <f>BV163</f>
        <v>0</v>
      </c>
      <c r="S131" s="179"/>
      <c r="T131" s="179"/>
      <c r="U131" s="180"/>
      <c r="V131" s="156"/>
      <c r="W131" s="18"/>
      <c r="X131" s="79"/>
      <c r="Y131" s="79"/>
      <c r="Z131" s="79"/>
      <c r="AA131" s="79"/>
      <c r="AB131" s="165"/>
      <c r="BQ131" s="13">
        <f t="shared" si="879"/>
        <v>76</v>
      </c>
      <c r="BR131" s="155" t="str">
        <f t="shared" si="880"/>
        <v>Tvåa grupp F</v>
      </c>
      <c r="BS131" s="156" t="str">
        <f>IF(OR('[1]Resultat &amp; tabell'!G115="",'[1]Resultat &amp; tabell'!I115=""),"",'[1]Resultat &amp; tabell'!F115)</f>
        <v/>
      </c>
      <c r="BT131" s="157">
        <f t="shared" si="874"/>
        <v>0</v>
      </c>
      <c r="BU131" s="158">
        <f t="shared" si="875"/>
        <v>0</v>
      </c>
      <c r="BV131" s="79">
        <f t="shared" si="876"/>
        <v>0</v>
      </c>
      <c r="FZ131" s="79">
        <v>129</v>
      </c>
      <c r="GA131" s="3" t="str">
        <f t="shared" si="562"/>
        <v>CGBDHFLI</v>
      </c>
      <c r="GB131" s="3" t="s">
        <v>75</v>
      </c>
      <c r="GC131" s="3" t="s">
        <v>60</v>
      </c>
      <c r="GD131" s="3" t="s">
        <v>57</v>
      </c>
      <c r="GE131" s="3" t="s">
        <v>58</v>
      </c>
      <c r="GF131" s="3" t="s">
        <v>70</v>
      </c>
      <c r="GG131" s="3" t="s">
        <v>21</v>
      </c>
      <c r="GH131" s="3" t="s">
        <v>63</v>
      </c>
      <c r="GI131" s="3" t="s">
        <v>61</v>
      </c>
      <c r="GJ131" s="9" t="str">
        <f t="shared" si="878"/>
        <v>Haiti</v>
      </c>
      <c r="GK131" s="9" t="str">
        <f t="shared" si="878"/>
        <v>Iran</v>
      </c>
      <c r="GL131" s="9" t="str">
        <f t="shared" si="878"/>
        <v>Qatar</v>
      </c>
      <c r="GM131" s="9" t="str">
        <f t="shared" si="877"/>
        <v>Australien</v>
      </c>
      <c r="GN131" s="9" t="str">
        <f t="shared" si="877"/>
        <v>Saudiarabien</v>
      </c>
      <c r="GO131" s="9" t="str">
        <f t="shared" si="877"/>
        <v>Sverige</v>
      </c>
      <c r="GP131" s="9" t="str">
        <f t="shared" si="877"/>
        <v>Ghana</v>
      </c>
      <c r="GQ131" s="9" t="str">
        <f t="shared" si="639"/>
        <v>Irak</v>
      </c>
      <c r="GR131" s="9" t="str">
        <f t="shared" si="563"/>
        <v/>
      </c>
      <c r="GX131" s="142"/>
    </row>
    <row r="132" spans="2:206" ht="14.25" customHeight="1" x14ac:dyDescent="0.25">
      <c r="B132" s="58">
        <v>90</v>
      </c>
      <c r="C132" s="59">
        <v>46207</v>
      </c>
      <c r="D132" s="166" t="str">
        <f>IF(O112="","Vinnare match 73",O112)</f>
        <v>Vinnare match 73</v>
      </c>
      <c r="E132" s="167" t="s">
        <v>66</v>
      </c>
      <c r="F132" s="62" t="str">
        <f>IF(O114="","Vinnare match 75",O114)</f>
        <v>Vinnare match 75</v>
      </c>
      <c r="G132" s="63"/>
      <c r="H132" s="64" t="s">
        <v>66</v>
      </c>
      <c r="I132" s="63"/>
      <c r="J132" s="65" t="str">
        <f t="shared" si="881"/>
        <v/>
      </c>
      <c r="K132" s="66">
        <f>IF(OR(G132="",I132="",'[1]Resultat &amp; tabell'!G132="",'[1]Resultat &amp; tabell'!I132=""),0,IF(G132='[1]Resultat &amp; tabell'!G132,2,0)+IF(I132='[1]Resultat &amp; tabell'!I132,2,0)+IF(J132='[1]Resultat &amp; tabell'!J132,2,0))</f>
        <v>0</v>
      </c>
      <c r="L132" s="67"/>
      <c r="O132" s="150"/>
      <c r="P132" s="151" t="str">
        <f t="shared" ref="P132:P138" si="882">IF(OR(ISBLANK(D132),ISBLANK(F132),J132="",O132=""),"",IF(OR(AND(J132=1,O132=D132),AND(J132=2,O132=F132),AND(J132="X",OR(O132=D132,O132=F132))),"","Ej OK"))</f>
        <v/>
      </c>
      <c r="Q132" s="168"/>
      <c r="R132" s="168"/>
      <c r="S132" s="168"/>
      <c r="T132" s="168"/>
      <c r="U132" s="168"/>
      <c r="V132" s="156"/>
      <c r="W132" s="18"/>
      <c r="X132" s="79"/>
      <c r="Y132" s="79"/>
      <c r="Z132" s="79"/>
      <c r="AA132" s="79"/>
      <c r="AB132" s="165"/>
      <c r="BQ132" s="13">
        <f t="shared" si="879"/>
        <v>77</v>
      </c>
      <c r="BR132" s="155" t="str">
        <f t="shared" si="880"/>
        <v>Bästa trea CDFGH</v>
      </c>
      <c r="BS132" s="156" t="str">
        <f>IF(OR('[1]Resultat &amp; tabell'!G116="",'[1]Resultat &amp; tabell'!I116=""),"",'[1]Resultat &amp; tabell'!F116)</f>
        <v/>
      </c>
      <c r="BT132" s="157">
        <f t="shared" si="874"/>
        <v>0</v>
      </c>
      <c r="BU132" s="158">
        <f t="shared" si="875"/>
        <v>0</v>
      </c>
      <c r="BV132" s="79">
        <f t="shared" si="876"/>
        <v>0</v>
      </c>
      <c r="FZ132" s="79">
        <v>130</v>
      </c>
      <c r="GA132" s="3" t="str">
        <f t="shared" si="562"/>
        <v>CGBDHFIK</v>
      </c>
      <c r="GB132" s="3" t="s">
        <v>75</v>
      </c>
      <c r="GC132" s="3" t="s">
        <v>60</v>
      </c>
      <c r="GD132" s="3" t="s">
        <v>57</v>
      </c>
      <c r="GE132" s="3" t="s">
        <v>58</v>
      </c>
      <c r="GF132" s="3" t="s">
        <v>70</v>
      </c>
      <c r="GG132" s="3" t="s">
        <v>21</v>
      </c>
      <c r="GH132" s="3" t="s">
        <v>61</v>
      </c>
      <c r="GI132" s="3" t="s">
        <v>62</v>
      </c>
      <c r="GJ132" s="9" t="str">
        <f t="shared" si="878"/>
        <v>Haiti</v>
      </c>
      <c r="GK132" s="9" t="str">
        <f t="shared" si="878"/>
        <v>Iran</v>
      </c>
      <c r="GL132" s="9" t="str">
        <f t="shared" si="878"/>
        <v>Qatar</v>
      </c>
      <c r="GM132" s="9" t="str">
        <f t="shared" si="877"/>
        <v>Australien</v>
      </c>
      <c r="GN132" s="9" t="str">
        <f t="shared" si="877"/>
        <v>Saudiarabien</v>
      </c>
      <c r="GO132" s="9" t="str">
        <f t="shared" si="877"/>
        <v>Sverige</v>
      </c>
      <c r="GP132" s="9" t="str">
        <f t="shared" si="877"/>
        <v>Irak</v>
      </c>
      <c r="GQ132" s="9" t="str">
        <f t="shared" si="639"/>
        <v>Uzbekistan</v>
      </c>
      <c r="GR132" s="9" t="str">
        <f t="shared" si="563"/>
        <v/>
      </c>
      <c r="GX132" s="142"/>
    </row>
    <row r="133" spans="2:206" ht="14.25" customHeight="1" x14ac:dyDescent="0.25">
      <c r="B133" s="58">
        <v>91</v>
      </c>
      <c r="C133" s="59">
        <v>46208</v>
      </c>
      <c r="D133" s="166" t="str">
        <f>IF(O115="","Vinnare match 76",O115)</f>
        <v>Vinnare match 76</v>
      </c>
      <c r="E133" s="167" t="s">
        <v>66</v>
      </c>
      <c r="F133" s="62" t="str">
        <f>IF(O117="","Vinnare match 78",O117)</f>
        <v>Vinnare match 78</v>
      </c>
      <c r="G133" s="63"/>
      <c r="H133" s="64" t="s">
        <v>66</v>
      </c>
      <c r="I133" s="63"/>
      <c r="J133" s="65" t="str">
        <f t="shared" si="881"/>
        <v/>
      </c>
      <c r="K133" s="66">
        <f>IF(OR(G133="",I133="",'[1]Resultat &amp; tabell'!G133="",'[1]Resultat &amp; tabell'!I133=""),0,IF(G133='[1]Resultat &amp; tabell'!G133,2,0)+IF(I133='[1]Resultat &amp; tabell'!I133,2,0)+IF(J133='[1]Resultat &amp; tabell'!J133,2,0))</f>
        <v>0</v>
      </c>
      <c r="L133" s="67"/>
      <c r="O133" s="150"/>
      <c r="P133" s="151" t="str">
        <f t="shared" si="882"/>
        <v/>
      </c>
      <c r="Q133" s="168"/>
      <c r="R133" s="168"/>
      <c r="S133" s="168"/>
      <c r="T133" s="168"/>
      <c r="U133" s="168"/>
      <c r="V133" s="156"/>
      <c r="W133" s="18"/>
      <c r="X133" s="79"/>
      <c r="Y133" s="79"/>
      <c r="Z133" s="79"/>
      <c r="AA133" s="79"/>
      <c r="AB133" s="165"/>
      <c r="BQ133" s="13">
        <f t="shared" si="879"/>
        <v>78</v>
      </c>
      <c r="BR133" s="155" t="str">
        <f t="shared" si="880"/>
        <v>Tvåa grupp I</v>
      </c>
      <c r="BS133" s="156" t="str">
        <f>IF(OR('[1]Resultat &amp; tabell'!G117="",'[1]Resultat &amp; tabell'!I117=""),"",'[1]Resultat &amp; tabell'!F117)</f>
        <v/>
      </c>
      <c r="BT133" s="157">
        <f t="shared" si="874"/>
        <v>0</v>
      </c>
      <c r="BU133" s="158">
        <f t="shared" si="875"/>
        <v>0</v>
      </c>
      <c r="BV133" s="79">
        <f t="shared" si="876"/>
        <v>0</v>
      </c>
      <c r="FZ133" s="79">
        <v>131</v>
      </c>
      <c r="GA133" s="3" t="str">
        <f t="shared" ref="GA133:GA196" si="883">GB133&amp;GC133&amp;GD133&amp;GE133&amp;GF133&amp;GG133&amp;GH133&amp;GI133</f>
        <v>HGBCJFDI</v>
      </c>
      <c r="GB133" s="3" t="s">
        <v>70</v>
      </c>
      <c r="GC133" s="3" t="s">
        <v>60</v>
      </c>
      <c r="GD133" s="3" t="s">
        <v>57</v>
      </c>
      <c r="GE133" s="3" t="s">
        <v>75</v>
      </c>
      <c r="GF133" s="3" t="s">
        <v>69</v>
      </c>
      <c r="GG133" s="3" t="s">
        <v>21</v>
      </c>
      <c r="GH133" s="3" t="s">
        <v>58</v>
      </c>
      <c r="GI133" s="3" t="s">
        <v>61</v>
      </c>
      <c r="GJ133" s="9" t="str">
        <f t="shared" si="878"/>
        <v>Saudiarabien</v>
      </c>
      <c r="GK133" s="9" t="str">
        <f t="shared" si="878"/>
        <v>Iran</v>
      </c>
      <c r="GL133" s="9" t="str">
        <f t="shared" si="878"/>
        <v>Qatar</v>
      </c>
      <c r="GM133" s="9" t="str">
        <f t="shared" si="877"/>
        <v>Haiti</v>
      </c>
      <c r="GN133" s="9" t="str">
        <f t="shared" si="877"/>
        <v>Österrike</v>
      </c>
      <c r="GO133" s="9" t="str">
        <f t="shared" si="877"/>
        <v>Sverige</v>
      </c>
      <c r="GP133" s="9" t="str">
        <f t="shared" si="877"/>
        <v>Australien</v>
      </c>
      <c r="GQ133" s="9" t="str">
        <f t="shared" si="639"/>
        <v>Irak</v>
      </c>
      <c r="GR133" s="9" t="str">
        <f t="shared" si="563"/>
        <v/>
      </c>
      <c r="GX133" s="142"/>
    </row>
    <row r="134" spans="2:206" ht="14.25" customHeight="1" x14ac:dyDescent="0.25">
      <c r="B134" s="58">
        <v>92</v>
      </c>
      <c r="C134" s="59">
        <v>46209</v>
      </c>
      <c r="D134" s="166" t="str">
        <f>IF(O118="","Vinnare match 79",O118)</f>
        <v>Vinnare match 79</v>
      </c>
      <c r="E134" s="167" t="s">
        <v>66</v>
      </c>
      <c r="F134" s="62" t="str">
        <f>IF(O119="","Vinnare match 80",O119)</f>
        <v>Vinnare match 80</v>
      </c>
      <c r="G134" s="63"/>
      <c r="H134" s="64" t="s">
        <v>66</v>
      </c>
      <c r="I134" s="63"/>
      <c r="J134" s="65" t="str">
        <f t="shared" si="881"/>
        <v/>
      </c>
      <c r="K134" s="66">
        <f>IF(OR(G134="",I134="",'[1]Resultat &amp; tabell'!G134="",'[1]Resultat &amp; tabell'!I134=""),0,IF(G134='[1]Resultat &amp; tabell'!G134,2,0)+IF(I134='[1]Resultat &amp; tabell'!I134,2,0)+IF(J134='[1]Resultat &amp; tabell'!J134,2,0))</f>
        <v>0</v>
      </c>
      <c r="L134" s="67"/>
      <c r="O134" s="150"/>
      <c r="P134" s="151" t="str">
        <f t="shared" si="882"/>
        <v/>
      </c>
      <c r="Q134" s="168"/>
      <c r="R134" s="168"/>
      <c r="S134" s="168"/>
      <c r="T134" s="168"/>
      <c r="U134" s="168"/>
      <c r="V134" s="156"/>
      <c r="W134" s="18"/>
      <c r="X134" s="79"/>
      <c r="Y134" s="79"/>
      <c r="Z134" s="79"/>
      <c r="AA134" s="79"/>
      <c r="AB134" s="165"/>
      <c r="BQ134" s="13">
        <f t="shared" si="879"/>
        <v>79</v>
      </c>
      <c r="BR134" s="155" t="str">
        <f t="shared" si="880"/>
        <v>Bästa trea CEFHI</v>
      </c>
      <c r="BS134" s="156" t="str">
        <f>IF(OR('[1]Resultat &amp; tabell'!G118="",'[1]Resultat &amp; tabell'!I118=""),"",'[1]Resultat &amp; tabell'!F118)</f>
        <v/>
      </c>
      <c r="BT134" s="157">
        <f t="shared" si="874"/>
        <v>0</v>
      </c>
      <c r="BU134" s="158">
        <f t="shared" si="875"/>
        <v>0</v>
      </c>
      <c r="BV134" s="79">
        <f t="shared" si="876"/>
        <v>0</v>
      </c>
      <c r="FZ134" s="79">
        <v>132</v>
      </c>
      <c r="GA134" s="3" t="str">
        <f t="shared" si="883"/>
        <v>EJBCIDLK</v>
      </c>
      <c r="GB134" s="3" t="s">
        <v>59</v>
      </c>
      <c r="GC134" s="3" t="s">
        <v>69</v>
      </c>
      <c r="GD134" s="3" t="s">
        <v>57</v>
      </c>
      <c r="GE134" s="3" t="s">
        <v>75</v>
      </c>
      <c r="GF134" s="3" t="s">
        <v>61</v>
      </c>
      <c r="GG134" s="3" t="s">
        <v>58</v>
      </c>
      <c r="GH134" s="3" t="s">
        <v>63</v>
      </c>
      <c r="GI134" s="3" t="s">
        <v>62</v>
      </c>
      <c r="GJ134" s="9" t="str">
        <f t="shared" si="878"/>
        <v>Elfenbenskusten</v>
      </c>
      <c r="GK134" s="9" t="str">
        <f t="shared" si="878"/>
        <v>Österrike</v>
      </c>
      <c r="GL134" s="9" t="str">
        <f t="shared" si="878"/>
        <v>Qatar</v>
      </c>
      <c r="GM134" s="9" t="str">
        <f t="shared" si="877"/>
        <v>Haiti</v>
      </c>
      <c r="GN134" s="9" t="str">
        <f t="shared" si="877"/>
        <v>Irak</v>
      </c>
      <c r="GO134" s="9" t="str">
        <f t="shared" si="877"/>
        <v>Australien</v>
      </c>
      <c r="GP134" s="9" t="str">
        <f t="shared" si="877"/>
        <v>Ghana</v>
      </c>
      <c r="GQ134" s="9" t="str">
        <f t="shared" si="639"/>
        <v>Uzbekistan</v>
      </c>
      <c r="GR134" s="9" t="str">
        <f t="shared" ref="GR134:GR197" si="884">IFERROR(IF(AND(VLOOKUP(GB134,$FX$4:$FX$15,1,FALSE)=GB134,VLOOKUP(GC134,$FX$4:$FX$15,1,FALSE)=GC134,VLOOKUP(GD134,$FX$4:$FX$15,1,FALSE)=GD134,VLOOKUP(GE134,$FX$4:$FX$15,1,FALSE)=GE134,VLOOKUP(GF134,$FX$4:$FX$15,1,FALSE)=GF134,VLOOKUP(GG134,$FX$4:$FX$15,1,FALSE)=GG134,VLOOKUP(GH134,$FX$4:$FX$15,1,FALSE)=GH134,VLOOKUP(GI134,$FX$4:$FX$15,1,FALSE)=GI134),FZ134,""),"")</f>
        <v/>
      </c>
      <c r="GX134" s="142"/>
    </row>
    <row r="135" spans="2:206" ht="14.25" customHeight="1" x14ac:dyDescent="0.25">
      <c r="B135" s="169">
        <v>93</v>
      </c>
      <c r="C135" s="59">
        <v>46209</v>
      </c>
      <c r="D135" s="166" t="str">
        <f>IF(O122="","Vinnare match 83",O122)</f>
        <v>Vinnare match 83</v>
      </c>
      <c r="E135" s="167" t="s">
        <v>66</v>
      </c>
      <c r="F135" s="62" t="str">
        <f>IF(O123="","Vinnare match 84",O123)</f>
        <v>Vinnare match 84</v>
      </c>
      <c r="G135" s="63"/>
      <c r="H135" s="64" t="s">
        <v>66</v>
      </c>
      <c r="I135" s="63"/>
      <c r="J135" s="65" t="str">
        <f t="shared" si="881"/>
        <v/>
      </c>
      <c r="K135" s="66">
        <f>IF(OR(G135="",I135="",'[1]Resultat &amp; tabell'!G135="",'[1]Resultat &amp; tabell'!I135=""),0,IF(G135='[1]Resultat &amp; tabell'!G135,2,0)+IF(I135='[1]Resultat &amp; tabell'!I135,2,0)+IF(J135='[1]Resultat &amp; tabell'!J135,2,0))</f>
        <v>0</v>
      </c>
      <c r="L135" s="67"/>
      <c r="O135" s="150"/>
      <c r="P135" s="151" t="str">
        <f t="shared" si="882"/>
        <v/>
      </c>
      <c r="Q135" s="168"/>
      <c r="R135" s="168"/>
      <c r="S135" s="168"/>
      <c r="T135" s="168"/>
      <c r="U135" s="168"/>
      <c r="V135" s="156"/>
      <c r="W135" s="18"/>
      <c r="X135" s="79"/>
      <c r="Y135" s="79"/>
      <c r="Z135" s="79"/>
      <c r="AA135" s="79"/>
      <c r="AB135" s="165"/>
      <c r="BQ135" s="13">
        <f t="shared" si="879"/>
        <v>80</v>
      </c>
      <c r="BR135" s="155" t="str">
        <f t="shared" si="880"/>
        <v>Bästa trea EHIJK</v>
      </c>
      <c r="BS135" s="156" t="str">
        <f>IF(OR('[1]Resultat &amp; tabell'!G119="",'[1]Resultat &amp; tabell'!I119=""),"",'[1]Resultat &amp; tabell'!F119)</f>
        <v/>
      </c>
      <c r="BT135" s="157">
        <f t="shared" si="874"/>
        <v>0</v>
      </c>
      <c r="BU135" s="158">
        <f t="shared" si="875"/>
        <v>0</v>
      </c>
      <c r="BV135" s="79">
        <f t="shared" si="876"/>
        <v>0</v>
      </c>
      <c r="FZ135" s="79">
        <v>133</v>
      </c>
      <c r="GA135" s="3" t="str">
        <f t="shared" si="883"/>
        <v>EJBCHDLK</v>
      </c>
      <c r="GB135" s="3" t="s">
        <v>59</v>
      </c>
      <c r="GC135" s="3" t="s">
        <v>69</v>
      </c>
      <c r="GD135" s="3" t="s">
        <v>57</v>
      </c>
      <c r="GE135" s="3" t="s">
        <v>75</v>
      </c>
      <c r="GF135" s="3" t="s">
        <v>70</v>
      </c>
      <c r="GG135" s="3" t="s">
        <v>58</v>
      </c>
      <c r="GH135" s="3" t="s">
        <v>63</v>
      </c>
      <c r="GI135" s="3" t="s">
        <v>62</v>
      </c>
      <c r="GJ135" s="9" t="str">
        <f t="shared" si="878"/>
        <v>Elfenbenskusten</v>
      </c>
      <c r="GK135" s="9" t="str">
        <f t="shared" si="878"/>
        <v>Österrike</v>
      </c>
      <c r="GL135" s="9" t="str">
        <f t="shared" si="878"/>
        <v>Qatar</v>
      </c>
      <c r="GM135" s="9" t="str">
        <f t="shared" si="877"/>
        <v>Haiti</v>
      </c>
      <c r="GN135" s="9" t="str">
        <f t="shared" si="877"/>
        <v>Saudiarabien</v>
      </c>
      <c r="GO135" s="9" t="str">
        <f t="shared" si="877"/>
        <v>Australien</v>
      </c>
      <c r="GP135" s="9" t="str">
        <f t="shared" si="877"/>
        <v>Ghana</v>
      </c>
      <c r="GQ135" s="9" t="str">
        <f t="shared" si="639"/>
        <v>Uzbekistan</v>
      </c>
      <c r="GR135" s="9" t="str">
        <f t="shared" si="884"/>
        <v/>
      </c>
      <c r="GX135" s="142"/>
    </row>
    <row r="136" spans="2:206" ht="14.25" customHeight="1" x14ac:dyDescent="0.25">
      <c r="B136" s="58">
        <v>94</v>
      </c>
      <c r="C136" s="59">
        <v>46210</v>
      </c>
      <c r="D136" s="166" t="str">
        <f>IF(O120="","Vinnare match 81",O120)</f>
        <v>Vinnare match 81</v>
      </c>
      <c r="E136" s="167" t="s">
        <v>66</v>
      </c>
      <c r="F136" s="62" t="str">
        <f>IF(O121="","Vinnare match 82",O121)</f>
        <v>Vinnare match 82</v>
      </c>
      <c r="G136" s="63"/>
      <c r="H136" s="64" t="s">
        <v>66</v>
      </c>
      <c r="I136" s="63"/>
      <c r="J136" s="65" t="str">
        <f t="shared" si="881"/>
        <v/>
      </c>
      <c r="K136" s="66">
        <f>IF(OR(G136="",I136="",'[1]Resultat &amp; tabell'!G136="",'[1]Resultat &amp; tabell'!I136=""),0,IF(G136='[1]Resultat &amp; tabell'!G136,2,0)+IF(I136='[1]Resultat &amp; tabell'!I136,2,0)+IF(J136='[1]Resultat &amp; tabell'!J136,2,0))</f>
        <v>0</v>
      </c>
      <c r="L136" s="67"/>
      <c r="O136" s="150"/>
      <c r="P136" s="151" t="str">
        <f t="shared" si="882"/>
        <v/>
      </c>
      <c r="Q136" s="168"/>
      <c r="R136" s="168"/>
      <c r="S136" s="168"/>
      <c r="T136" s="168"/>
      <c r="U136" s="168"/>
      <c r="V136" s="156"/>
      <c r="W136" s="18"/>
      <c r="X136" s="79"/>
      <c r="Y136" s="79"/>
      <c r="Z136" s="79"/>
      <c r="AA136" s="79"/>
      <c r="AB136" s="165"/>
      <c r="BQ136" s="13">
        <f t="shared" si="879"/>
        <v>81</v>
      </c>
      <c r="BR136" s="155" t="str">
        <f t="shared" si="880"/>
        <v>Bästa trea BEFIJ</v>
      </c>
      <c r="BS136" s="156" t="str">
        <f>IF(OR('[1]Resultat &amp; tabell'!G120="",'[1]Resultat &amp; tabell'!I120=""),"",'[1]Resultat &amp; tabell'!F120)</f>
        <v/>
      </c>
      <c r="BT136" s="157">
        <f t="shared" si="874"/>
        <v>0</v>
      </c>
      <c r="BU136" s="158">
        <f t="shared" si="875"/>
        <v>0</v>
      </c>
      <c r="BV136" s="79">
        <f t="shared" si="876"/>
        <v>0</v>
      </c>
      <c r="FZ136" s="79">
        <v>134</v>
      </c>
      <c r="GA136" s="3" t="str">
        <f t="shared" si="883"/>
        <v>EIBCHDLK</v>
      </c>
      <c r="GB136" s="3" t="s">
        <v>59</v>
      </c>
      <c r="GC136" s="3" t="s">
        <v>61</v>
      </c>
      <c r="GD136" s="3" t="s">
        <v>57</v>
      </c>
      <c r="GE136" s="3" t="s">
        <v>75</v>
      </c>
      <c r="GF136" s="3" t="s">
        <v>70</v>
      </c>
      <c r="GG136" s="3" t="s">
        <v>58</v>
      </c>
      <c r="GH136" s="3" t="s">
        <v>63</v>
      </c>
      <c r="GI136" s="3" t="s">
        <v>62</v>
      </c>
      <c r="GJ136" s="9" t="str">
        <f t="shared" si="878"/>
        <v>Elfenbenskusten</v>
      </c>
      <c r="GK136" s="9" t="str">
        <f t="shared" si="878"/>
        <v>Irak</v>
      </c>
      <c r="GL136" s="9" t="str">
        <f t="shared" si="878"/>
        <v>Qatar</v>
      </c>
      <c r="GM136" s="9" t="str">
        <f t="shared" si="877"/>
        <v>Haiti</v>
      </c>
      <c r="GN136" s="9" t="str">
        <f t="shared" si="877"/>
        <v>Saudiarabien</v>
      </c>
      <c r="GO136" s="9" t="str">
        <f t="shared" si="877"/>
        <v>Australien</v>
      </c>
      <c r="GP136" s="9" t="str">
        <f t="shared" si="877"/>
        <v>Ghana</v>
      </c>
      <c r="GQ136" s="9" t="str">
        <f t="shared" si="639"/>
        <v>Uzbekistan</v>
      </c>
      <c r="GR136" s="9" t="str">
        <f t="shared" si="884"/>
        <v/>
      </c>
      <c r="GX136" s="142"/>
    </row>
    <row r="137" spans="2:206" ht="14.25" customHeight="1" x14ac:dyDescent="0.25">
      <c r="B137" s="58">
        <v>95</v>
      </c>
      <c r="C137" s="59">
        <v>46210</v>
      </c>
      <c r="D137" s="166" t="str">
        <f>IF(O125="","Vinnare match 86",O125)</f>
        <v>Vinnare match 86</v>
      </c>
      <c r="E137" s="167" t="s">
        <v>66</v>
      </c>
      <c r="F137" s="62" t="str">
        <f>IF(O127="","Vinnare match 88",O127)</f>
        <v>Vinnare match 88</v>
      </c>
      <c r="G137" s="63"/>
      <c r="H137" s="64" t="s">
        <v>66</v>
      </c>
      <c r="I137" s="63"/>
      <c r="J137" s="65" t="str">
        <f t="shared" si="881"/>
        <v/>
      </c>
      <c r="K137" s="66">
        <f>IF(OR(G137="",I137="",'[1]Resultat &amp; tabell'!G137="",'[1]Resultat &amp; tabell'!I137=""),0,IF(G137='[1]Resultat &amp; tabell'!G137,2,0)+IF(I137='[1]Resultat &amp; tabell'!I137,2,0)+IF(J137='[1]Resultat &amp; tabell'!J137,2,0))</f>
        <v>0</v>
      </c>
      <c r="L137" s="67"/>
      <c r="O137" s="150"/>
      <c r="P137" s="151" t="str">
        <f t="shared" si="882"/>
        <v/>
      </c>
      <c r="Q137" s="168"/>
      <c r="R137" s="168"/>
      <c r="S137" s="168"/>
      <c r="T137" s="168"/>
      <c r="U137" s="168"/>
      <c r="V137" s="156"/>
      <c r="W137" s="18"/>
      <c r="X137" s="79"/>
      <c r="Y137" s="79"/>
      <c r="Z137" s="79"/>
      <c r="AA137" s="79"/>
      <c r="AB137" s="165"/>
      <c r="BQ137" s="13">
        <f t="shared" si="879"/>
        <v>82</v>
      </c>
      <c r="BR137" s="155" t="str">
        <f t="shared" si="880"/>
        <v>Bästa trea AEHIJ</v>
      </c>
      <c r="BS137" s="156" t="str">
        <f>IF(OR('[1]Resultat &amp; tabell'!G121="",'[1]Resultat &amp; tabell'!I121=""),"",'[1]Resultat &amp; tabell'!F121)</f>
        <v/>
      </c>
      <c r="BT137" s="157">
        <f t="shared" si="874"/>
        <v>0</v>
      </c>
      <c r="BU137" s="158">
        <f t="shared" si="875"/>
        <v>0</v>
      </c>
      <c r="BV137" s="79">
        <f t="shared" si="876"/>
        <v>0</v>
      </c>
      <c r="FZ137" s="79">
        <v>135</v>
      </c>
      <c r="GA137" s="3" t="str">
        <f t="shared" si="883"/>
        <v>EJBCHDLI</v>
      </c>
      <c r="GB137" s="3" t="s">
        <v>59</v>
      </c>
      <c r="GC137" s="3" t="s">
        <v>69</v>
      </c>
      <c r="GD137" s="3" t="s">
        <v>57</v>
      </c>
      <c r="GE137" s="3" t="s">
        <v>75</v>
      </c>
      <c r="GF137" s="3" t="s">
        <v>70</v>
      </c>
      <c r="GG137" s="3" t="s">
        <v>58</v>
      </c>
      <c r="GH137" s="3" t="s">
        <v>63</v>
      </c>
      <c r="GI137" s="3" t="s">
        <v>61</v>
      </c>
      <c r="GJ137" s="9" t="str">
        <f t="shared" si="878"/>
        <v>Elfenbenskusten</v>
      </c>
      <c r="GK137" s="9" t="str">
        <f t="shared" si="878"/>
        <v>Österrike</v>
      </c>
      <c r="GL137" s="9" t="str">
        <f t="shared" si="878"/>
        <v>Qatar</v>
      </c>
      <c r="GM137" s="9" t="str">
        <f t="shared" si="877"/>
        <v>Haiti</v>
      </c>
      <c r="GN137" s="9" t="str">
        <f t="shared" si="877"/>
        <v>Saudiarabien</v>
      </c>
      <c r="GO137" s="9" t="str">
        <f t="shared" si="877"/>
        <v>Australien</v>
      </c>
      <c r="GP137" s="9" t="str">
        <f t="shared" si="877"/>
        <v>Ghana</v>
      </c>
      <c r="GQ137" s="9" t="str">
        <f t="shared" si="639"/>
        <v>Irak</v>
      </c>
      <c r="GR137" s="9" t="str">
        <f t="shared" si="884"/>
        <v/>
      </c>
      <c r="GX137" s="142"/>
    </row>
    <row r="138" spans="2:206" ht="14.25" customHeight="1" x14ac:dyDescent="0.25">
      <c r="B138" s="58">
        <v>96</v>
      </c>
      <c r="C138" s="59">
        <v>46210</v>
      </c>
      <c r="D138" s="166" t="str">
        <f>IF(O124="","Vinnare match 85",O124)</f>
        <v>Vinnare match 85</v>
      </c>
      <c r="E138" s="167" t="s">
        <v>66</v>
      </c>
      <c r="F138" s="62" t="str">
        <f>IF(O126="","Vinnare match 87",O126)</f>
        <v>Vinnare match 87</v>
      </c>
      <c r="G138" s="63"/>
      <c r="H138" s="64" t="s">
        <v>66</v>
      </c>
      <c r="I138" s="63"/>
      <c r="J138" s="65" t="str">
        <f t="shared" si="881"/>
        <v/>
      </c>
      <c r="K138" s="66">
        <f>IF(OR(G138="",I138="",'[1]Resultat &amp; tabell'!G138="",'[1]Resultat &amp; tabell'!I138=""),0,IF(G138='[1]Resultat &amp; tabell'!G138,2,0)+IF(I138='[1]Resultat &amp; tabell'!I138,2,0)+IF(J138='[1]Resultat &amp; tabell'!J138,2,0))</f>
        <v>0</v>
      </c>
      <c r="L138" s="67"/>
      <c r="O138" s="150"/>
      <c r="P138" s="151" t="str">
        <f t="shared" si="882"/>
        <v/>
      </c>
      <c r="Q138" s="168"/>
      <c r="R138" s="168"/>
      <c r="S138" s="168"/>
      <c r="T138" s="168"/>
      <c r="U138" s="168"/>
      <c r="V138" s="156"/>
      <c r="W138" s="18"/>
      <c r="X138" s="79"/>
      <c r="Y138" s="79"/>
      <c r="Z138" s="79"/>
      <c r="AA138" s="79"/>
      <c r="AB138" s="165"/>
      <c r="BQ138" s="13">
        <f t="shared" si="879"/>
        <v>83</v>
      </c>
      <c r="BR138" s="155" t="str">
        <f t="shared" si="880"/>
        <v>Tvåa grupp L</v>
      </c>
      <c r="BS138" s="156" t="str">
        <f>IF(OR('[1]Resultat &amp; tabell'!G122="",'[1]Resultat &amp; tabell'!I122=""),"",'[1]Resultat &amp; tabell'!F122)</f>
        <v/>
      </c>
      <c r="BT138" s="157">
        <f t="shared" si="874"/>
        <v>0</v>
      </c>
      <c r="BU138" s="158">
        <f t="shared" si="875"/>
        <v>0</v>
      </c>
      <c r="BV138" s="79">
        <f t="shared" si="876"/>
        <v>0</v>
      </c>
      <c r="FZ138" s="79">
        <v>136</v>
      </c>
      <c r="GA138" s="3" t="str">
        <f t="shared" si="883"/>
        <v>EJBCHDIK</v>
      </c>
      <c r="GB138" s="3" t="s">
        <v>59</v>
      </c>
      <c r="GC138" s="3" t="s">
        <v>69</v>
      </c>
      <c r="GD138" s="3" t="s">
        <v>57</v>
      </c>
      <c r="GE138" s="3" t="s">
        <v>75</v>
      </c>
      <c r="GF138" s="3" t="s">
        <v>70</v>
      </c>
      <c r="GG138" s="3" t="s">
        <v>58</v>
      </c>
      <c r="GH138" s="3" t="s">
        <v>61</v>
      </c>
      <c r="GI138" s="3" t="s">
        <v>62</v>
      </c>
      <c r="GJ138" s="9" t="str">
        <f t="shared" si="878"/>
        <v>Elfenbenskusten</v>
      </c>
      <c r="GK138" s="9" t="str">
        <f t="shared" si="878"/>
        <v>Österrike</v>
      </c>
      <c r="GL138" s="9" t="str">
        <f t="shared" si="878"/>
        <v>Qatar</v>
      </c>
      <c r="GM138" s="9" t="str">
        <f t="shared" si="877"/>
        <v>Haiti</v>
      </c>
      <c r="GN138" s="9" t="str">
        <f t="shared" si="877"/>
        <v>Saudiarabien</v>
      </c>
      <c r="GO138" s="9" t="str">
        <f t="shared" si="877"/>
        <v>Australien</v>
      </c>
      <c r="GP138" s="9" t="str">
        <f t="shared" si="877"/>
        <v>Irak</v>
      </c>
      <c r="GQ138" s="9" t="str">
        <f t="shared" si="639"/>
        <v>Uzbekistan</v>
      </c>
      <c r="GR138" s="9" t="str">
        <f t="shared" si="884"/>
        <v/>
      </c>
      <c r="GX138" s="142"/>
    </row>
    <row r="139" spans="2:206" ht="14.25" customHeight="1" x14ac:dyDescent="0.25">
      <c r="B139" s="9"/>
      <c r="C139" s="170"/>
      <c r="E139" s="9"/>
      <c r="J139" s="23"/>
      <c r="K139" s="16"/>
      <c r="L139" s="49"/>
      <c r="O139" s="79"/>
      <c r="P139" s="73"/>
      <c r="Q139" s="73"/>
      <c r="R139" s="73"/>
      <c r="S139" s="73"/>
      <c r="T139" s="73"/>
      <c r="U139" s="73"/>
      <c r="V139" s="156"/>
      <c r="W139" s="18"/>
      <c r="X139" s="79"/>
      <c r="Y139" s="79"/>
      <c r="Z139" s="79"/>
      <c r="AA139" s="79"/>
      <c r="AB139" s="165"/>
      <c r="BQ139" s="13">
        <f t="shared" si="879"/>
        <v>84</v>
      </c>
      <c r="BR139" s="12" t="str">
        <f t="shared" si="880"/>
        <v>Tvåa grupp J</v>
      </c>
      <c r="BS139" s="156" t="str">
        <f>IF(OR('[1]Resultat &amp; tabell'!G123="",'[1]Resultat &amp; tabell'!I123=""),"",'[1]Resultat &amp; tabell'!F123)</f>
        <v/>
      </c>
      <c r="BT139" s="157">
        <f t="shared" si="874"/>
        <v>0</v>
      </c>
      <c r="BU139" s="158">
        <f t="shared" si="875"/>
        <v>0</v>
      </c>
      <c r="BV139" s="79">
        <f t="shared" si="876"/>
        <v>0</v>
      </c>
      <c r="FZ139" s="79">
        <v>137</v>
      </c>
      <c r="GA139" s="3" t="str">
        <f t="shared" si="883"/>
        <v>EGBCJDLK</v>
      </c>
      <c r="GB139" s="3" t="s">
        <v>59</v>
      </c>
      <c r="GC139" s="3" t="s">
        <v>60</v>
      </c>
      <c r="GD139" s="3" t="s">
        <v>57</v>
      </c>
      <c r="GE139" s="3" t="s">
        <v>75</v>
      </c>
      <c r="GF139" s="3" t="s">
        <v>69</v>
      </c>
      <c r="GG139" s="3" t="s">
        <v>58</v>
      </c>
      <c r="GH139" s="3" t="s">
        <v>63</v>
      </c>
      <c r="GI139" s="3" t="s">
        <v>62</v>
      </c>
      <c r="GJ139" s="9" t="str">
        <f t="shared" si="878"/>
        <v>Elfenbenskusten</v>
      </c>
      <c r="GK139" s="9" t="str">
        <f t="shared" si="878"/>
        <v>Iran</v>
      </c>
      <c r="GL139" s="9" t="str">
        <f t="shared" si="878"/>
        <v>Qatar</v>
      </c>
      <c r="GM139" s="9" t="str">
        <f t="shared" si="877"/>
        <v>Haiti</v>
      </c>
      <c r="GN139" s="9" t="str">
        <f t="shared" si="877"/>
        <v>Österrike</v>
      </c>
      <c r="GO139" s="9" t="str">
        <f t="shared" si="877"/>
        <v>Australien</v>
      </c>
      <c r="GP139" s="9" t="str">
        <f t="shared" si="877"/>
        <v>Ghana</v>
      </c>
      <c r="GQ139" s="9" t="str">
        <f t="shared" si="639"/>
        <v>Uzbekistan</v>
      </c>
      <c r="GR139" s="9" t="str">
        <f t="shared" si="884"/>
        <v/>
      </c>
      <c r="GX139" s="142"/>
    </row>
    <row r="140" spans="2:206" ht="14.25" customHeight="1" x14ac:dyDescent="0.25">
      <c r="B140" s="19" t="s">
        <v>154</v>
      </c>
      <c r="C140" s="94"/>
      <c r="J140" s="23"/>
      <c r="K140" s="16"/>
      <c r="L140" s="49"/>
      <c r="O140" s="79"/>
      <c r="P140" s="73"/>
      <c r="Q140" s="73"/>
      <c r="R140" s="73"/>
      <c r="S140" s="73"/>
      <c r="T140" s="73"/>
      <c r="U140" s="73"/>
      <c r="V140" s="156"/>
      <c r="W140" s="18"/>
      <c r="X140" s="79"/>
      <c r="Y140" s="79"/>
      <c r="Z140" s="79"/>
      <c r="AA140" s="79"/>
      <c r="AB140" s="165"/>
      <c r="BQ140" s="13">
        <f t="shared" si="879"/>
        <v>85</v>
      </c>
      <c r="BR140" s="12" t="str">
        <f t="shared" si="880"/>
        <v>Bästa trea EFGIJ</v>
      </c>
      <c r="BS140" s="156" t="str">
        <f>IF(OR('[1]Resultat &amp; tabell'!G124="",'[1]Resultat &amp; tabell'!I124=""),"",'[1]Resultat &amp; tabell'!F124)</f>
        <v/>
      </c>
      <c r="BT140" s="157">
        <f t="shared" si="874"/>
        <v>0</v>
      </c>
      <c r="BU140" s="158">
        <f t="shared" si="875"/>
        <v>0</v>
      </c>
      <c r="BV140" s="79">
        <f t="shared" si="876"/>
        <v>0</v>
      </c>
      <c r="FZ140" s="79">
        <v>138</v>
      </c>
      <c r="GA140" s="3" t="str">
        <f t="shared" si="883"/>
        <v>EGBCIDLK</v>
      </c>
      <c r="GB140" s="3" t="s">
        <v>59</v>
      </c>
      <c r="GC140" s="3" t="s">
        <v>60</v>
      </c>
      <c r="GD140" s="3" t="s">
        <v>57</v>
      </c>
      <c r="GE140" s="3" t="s">
        <v>75</v>
      </c>
      <c r="GF140" s="3" t="s">
        <v>61</v>
      </c>
      <c r="GG140" s="3" t="s">
        <v>58</v>
      </c>
      <c r="GH140" s="3" t="s">
        <v>63</v>
      </c>
      <c r="GI140" s="3" t="s">
        <v>62</v>
      </c>
      <c r="GJ140" s="9" t="str">
        <f t="shared" si="878"/>
        <v>Elfenbenskusten</v>
      </c>
      <c r="GK140" s="9" t="str">
        <f t="shared" si="878"/>
        <v>Iran</v>
      </c>
      <c r="GL140" s="9" t="str">
        <f t="shared" si="878"/>
        <v>Qatar</v>
      </c>
      <c r="GM140" s="9" t="str">
        <f t="shared" si="877"/>
        <v>Haiti</v>
      </c>
      <c r="GN140" s="9" t="str">
        <f t="shared" si="877"/>
        <v>Irak</v>
      </c>
      <c r="GO140" s="9" t="str">
        <f t="shared" si="877"/>
        <v>Australien</v>
      </c>
      <c r="GP140" s="9" t="str">
        <f t="shared" si="877"/>
        <v>Ghana</v>
      </c>
      <c r="GQ140" s="9" t="str">
        <f t="shared" si="639"/>
        <v>Uzbekistan</v>
      </c>
      <c r="GR140" s="9" t="str">
        <f t="shared" si="884"/>
        <v/>
      </c>
      <c r="GX140" s="142"/>
    </row>
    <row r="141" spans="2:206" ht="14.25" customHeight="1" x14ac:dyDescent="0.25">
      <c r="B141" s="117" t="s">
        <v>12</v>
      </c>
      <c r="C141" s="107" t="s">
        <v>13</v>
      </c>
      <c r="D141" s="181" t="s">
        <v>12</v>
      </c>
      <c r="E141" s="182"/>
      <c r="F141" s="183"/>
      <c r="G141" s="184" t="s">
        <v>14</v>
      </c>
      <c r="H141" s="184"/>
      <c r="I141" s="184"/>
      <c r="J141" s="47" t="s">
        <v>15</v>
      </c>
      <c r="K141" s="48" t="s">
        <v>16</v>
      </c>
      <c r="L141" s="49"/>
      <c r="O141" s="171" t="s">
        <v>155</v>
      </c>
      <c r="P141" s="145"/>
      <c r="Q141" s="16"/>
      <c r="R141" s="185" t="s">
        <v>156</v>
      </c>
      <c r="S141" s="186"/>
      <c r="T141" s="186"/>
      <c r="U141" s="187"/>
      <c r="V141" s="156"/>
      <c r="W141" s="18"/>
      <c r="X141" s="79"/>
      <c r="Y141" s="79"/>
      <c r="Z141" s="79"/>
      <c r="AA141" s="79"/>
      <c r="AB141" s="165"/>
      <c r="BQ141" s="13">
        <f t="shared" si="879"/>
        <v>86</v>
      </c>
      <c r="BR141" s="12" t="str">
        <f t="shared" si="880"/>
        <v>Tvåa grupp H</v>
      </c>
      <c r="BS141" s="156" t="str">
        <f>IF(OR('[1]Resultat &amp; tabell'!G125="",'[1]Resultat &amp; tabell'!I125=""),"",'[1]Resultat &amp; tabell'!F125)</f>
        <v/>
      </c>
      <c r="BT141" s="157">
        <f t="shared" si="874"/>
        <v>0</v>
      </c>
      <c r="BU141" s="158">
        <f t="shared" si="875"/>
        <v>0</v>
      </c>
      <c r="BV141" s="79">
        <f t="shared" si="876"/>
        <v>0</v>
      </c>
      <c r="FZ141" s="79">
        <v>139</v>
      </c>
      <c r="GA141" s="3" t="str">
        <f t="shared" si="883"/>
        <v>EGBCJDLI</v>
      </c>
      <c r="GB141" s="3" t="s">
        <v>59</v>
      </c>
      <c r="GC141" s="3" t="s">
        <v>60</v>
      </c>
      <c r="GD141" s="3" t="s">
        <v>57</v>
      </c>
      <c r="GE141" s="3" t="s">
        <v>75</v>
      </c>
      <c r="GF141" s="3" t="s">
        <v>69</v>
      </c>
      <c r="GG141" s="3" t="s">
        <v>58</v>
      </c>
      <c r="GH141" s="3" t="s">
        <v>63</v>
      </c>
      <c r="GI141" s="3" t="s">
        <v>61</v>
      </c>
      <c r="GJ141" s="9" t="str">
        <f t="shared" si="878"/>
        <v>Elfenbenskusten</v>
      </c>
      <c r="GK141" s="9" t="str">
        <f t="shared" si="878"/>
        <v>Iran</v>
      </c>
      <c r="GL141" s="9" t="str">
        <f t="shared" si="878"/>
        <v>Qatar</v>
      </c>
      <c r="GM141" s="9" t="str">
        <f t="shared" si="877"/>
        <v>Haiti</v>
      </c>
      <c r="GN141" s="9" t="str">
        <f t="shared" si="877"/>
        <v>Österrike</v>
      </c>
      <c r="GO141" s="9" t="str">
        <f t="shared" si="877"/>
        <v>Australien</v>
      </c>
      <c r="GP141" s="9" t="str">
        <f t="shared" si="877"/>
        <v>Ghana</v>
      </c>
      <c r="GQ141" s="9" t="str">
        <f t="shared" si="639"/>
        <v>Irak</v>
      </c>
      <c r="GR141" s="9" t="str">
        <f t="shared" si="884"/>
        <v/>
      </c>
      <c r="GX141" s="142"/>
    </row>
    <row r="142" spans="2:206" ht="14.25" customHeight="1" x14ac:dyDescent="0.25">
      <c r="B142" s="58">
        <v>97</v>
      </c>
      <c r="C142" s="59">
        <v>46212</v>
      </c>
      <c r="D142" s="166" t="str">
        <f>IF(O131="","Vinnare match 89",O131)</f>
        <v>Vinnare match 89</v>
      </c>
      <c r="E142" s="172" t="s">
        <v>66</v>
      </c>
      <c r="F142" s="62" t="str">
        <f>IF(O132="","Vinnare match 90",O132)</f>
        <v>Vinnare match 90</v>
      </c>
      <c r="G142" s="63"/>
      <c r="H142" s="64" t="s">
        <v>66</v>
      </c>
      <c r="I142" s="63"/>
      <c r="J142" s="65" t="str">
        <f t="shared" ref="J142:J145" si="885">IF(OR(ISBLANK(G142),ISBLANK(I142)),"",IF(G142&gt;I142,1,IF(G142&lt;I142,2,"X")))</f>
        <v/>
      </c>
      <c r="K142" s="66">
        <f>IF(OR(G142="",I142="",'[1]Resultat &amp; tabell'!G142="",'[1]Resultat &amp; tabell'!I142=""),0,IF(G142='[1]Resultat &amp; tabell'!G142,2,0)+IF(I142='[1]Resultat &amp; tabell'!I142,2,0)+IF(J142='[1]Resultat &amp; tabell'!J142,2,0))</f>
        <v>0</v>
      </c>
      <c r="L142" s="67"/>
      <c r="O142" s="150"/>
      <c r="P142" s="151" t="str">
        <f>IF(OR(ISBLANK(D142),ISBLANK(F142),J142="",O142=""),"",IF(OR(AND(J142=1,O142=D142),AND(J142=2,O142=F142),AND(J142="X",OR(O142=D142,O142=F142))),"","Ej OK"))</f>
        <v/>
      </c>
      <c r="Q142" s="168"/>
      <c r="R142" s="178">
        <f>BV174</f>
        <v>0</v>
      </c>
      <c r="S142" s="179"/>
      <c r="T142" s="179"/>
      <c r="U142" s="180"/>
      <c r="V142" s="156"/>
      <c r="W142" s="18"/>
      <c r="X142" s="79"/>
      <c r="Y142" s="79"/>
      <c r="Z142" s="79"/>
      <c r="AA142" s="79"/>
      <c r="AB142" s="165"/>
      <c r="BQ142" s="13">
        <f t="shared" si="879"/>
        <v>87</v>
      </c>
      <c r="BR142" s="12" t="str">
        <f t="shared" si="880"/>
        <v>Bästa trea DEIJL</v>
      </c>
      <c r="BS142" s="156" t="str">
        <f>IF(OR('[1]Resultat &amp; tabell'!G126="",'[1]Resultat &amp; tabell'!I126=""),"",'[1]Resultat &amp; tabell'!F126)</f>
        <v/>
      </c>
      <c r="BT142" s="157">
        <f t="shared" si="874"/>
        <v>0</v>
      </c>
      <c r="BU142" s="158">
        <f t="shared" si="875"/>
        <v>0</v>
      </c>
      <c r="BV142" s="79">
        <f t="shared" si="876"/>
        <v>0</v>
      </c>
      <c r="FZ142" s="79">
        <v>140</v>
      </c>
      <c r="GA142" s="3" t="str">
        <f t="shared" si="883"/>
        <v>EGBCJDIK</v>
      </c>
      <c r="GB142" s="3" t="s">
        <v>59</v>
      </c>
      <c r="GC142" s="3" t="s">
        <v>60</v>
      </c>
      <c r="GD142" s="3" t="s">
        <v>57</v>
      </c>
      <c r="GE142" s="3" t="s">
        <v>75</v>
      </c>
      <c r="GF142" s="3" t="s">
        <v>69</v>
      </c>
      <c r="GG142" s="3" t="s">
        <v>58</v>
      </c>
      <c r="GH142" s="3" t="s">
        <v>61</v>
      </c>
      <c r="GI142" s="3" t="s">
        <v>62</v>
      </c>
      <c r="GJ142" s="9" t="str">
        <f t="shared" si="878"/>
        <v>Elfenbenskusten</v>
      </c>
      <c r="GK142" s="9" t="str">
        <f t="shared" si="878"/>
        <v>Iran</v>
      </c>
      <c r="GL142" s="9" t="str">
        <f t="shared" si="878"/>
        <v>Qatar</v>
      </c>
      <c r="GM142" s="9" t="str">
        <f t="shared" si="877"/>
        <v>Haiti</v>
      </c>
      <c r="GN142" s="9" t="str">
        <f t="shared" si="877"/>
        <v>Österrike</v>
      </c>
      <c r="GO142" s="9" t="str">
        <f t="shared" si="877"/>
        <v>Australien</v>
      </c>
      <c r="GP142" s="9" t="str">
        <f t="shared" si="877"/>
        <v>Irak</v>
      </c>
      <c r="GQ142" s="9" t="str">
        <f t="shared" si="639"/>
        <v>Uzbekistan</v>
      </c>
      <c r="GR142" s="9" t="str">
        <f t="shared" si="884"/>
        <v/>
      </c>
      <c r="GX142" s="142"/>
    </row>
    <row r="143" spans="2:206" ht="14.25" customHeight="1" x14ac:dyDescent="0.25">
      <c r="B143" s="58">
        <v>98</v>
      </c>
      <c r="C143" s="59">
        <v>46213</v>
      </c>
      <c r="D143" s="166" t="str">
        <f>IF(O135="","Vinnare match 93",O135)</f>
        <v>Vinnare match 93</v>
      </c>
      <c r="E143" s="172" t="s">
        <v>66</v>
      </c>
      <c r="F143" s="62" t="str">
        <f>IF(O136="","Vinnare match 94",O136)</f>
        <v>Vinnare match 94</v>
      </c>
      <c r="G143" s="63"/>
      <c r="H143" s="64" t="s">
        <v>66</v>
      </c>
      <c r="I143" s="63"/>
      <c r="J143" s="65" t="str">
        <f t="shared" si="885"/>
        <v/>
      </c>
      <c r="K143" s="66">
        <f>IF(OR(G143="",I143="",'[1]Resultat &amp; tabell'!G143="",'[1]Resultat &amp; tabell'!I143=""),0,IF(G143='[1]Resultat &amp; tabell'!G143,2,0)+IF(I143='[1]Resultat &amp; tabell'!I143,2,0)+IF(J143='[1]Resultat &amp; tabell'!J143,2,0))</f>
        <v>0</v>
      </c>
      <c r="L143" s="67"/>
      <c r="O143" s="150"/>
      <c r="P143" s="151" t="str">
        <f t="shared" ref="P143:P145" si="886">IF(OR(ISBLANK(D143),ISBLANK(F143),J143="",O143=""),"",IF(OR(AND(J143=1,O143=D143),AND(J143=2,O143=F143),AND(J143="X",OR(O143=D143,O143=F143))),"","Ej OK"))</f>
        <v/>
      </c>
      <c r="Q143" s="168"/>
      <c r="R143" s="168"/>
      <c r="S143" s="168"/>
      <c r="T143" s="168"/>
      <c r="U143" s="168"/>
      <c r="V143" s="156"/>
      <c r="W143" s="18"/>
      <c r="X143" s="79"/>
      <c r="Y143" s="79"/>
      <c r="Z143" s="79"/>
      <c r="AA143" s="79"/>
      <c r="AB143" s="165"/>
      <c r="BQ143" s="13">
        <f>B127</f>
        <v>88</v>
      </c>
      <c r="BR143" s="12" t="str">
        <f>F127</f>
        <v>Tvåa grupp G</v>
      </c>
      <c r="BS143" s="156" t="str">
        <f>IF(OR('[1]Resultat &amp; tabell'!G127="",'[1]Resultat &amp; tabell'!I127=""),"",'[1]Resultat &amp; tabell'!F127)</f>
        <v/>
      </c>
      <c r="BT143" s="157">
        <f t="shared" si="874"/>
        <v>0</v>
      </c>
      <c r="BU143" s="158">
        <f t="shared" si="875"/>
        <v>0</v>
      </c>
      <c r="BV143" s="79">
        <f t="shared" si="876"/>
        <v>0</v>
      </c>
      <c r="FZ143" s="79">
        <v>141</v>
      </c>
      <c r="GA143" s="3" t="str">
        <f t="shared" si="883"/>
        <v>EGBCHDLK</v>
      </c>
      <c r="GB143" s="3" t="s">
        <v>59</v>
      </c>
      <c r="GC143" s="3" t="s">
        <v>60</v>
      </c>
      <c r="GD143" s="3" t="s">
        <v>57</v>
      </c>
      <c r="GE143" s="3" t="s">
        <v>75</v>
      </c>
      <c r="GF143" s="3" t="s">
        <v>70</v>
      </c>
      <c r="GG143" s="3" t="s">
        <v>58</v>
      </c>
      <c r="GH143" s="3" t="s">
        <v>63</v>
      </c>
      <c r="GI143" s="3" t="s">
        <v>62</v>
      </c>
      <c r="GJ143" s="9" t="str">
        <f t="shared" si="878"/>
        <v>Elfenbenskusten</v>
      </c>
      <c r="GK143" s="9" t="str">
        <f t="shared" si="878"/>
        <v>Iran</v>
      </c>
      <c r="GL143" s="9" t="str">
        <f t="shared" si="878"/>
        <v>Qatar</v>
      </c>
      <c r="GM143" s="9" t="str">
        <f t="shared" si="877"/>
        <v>Haiti</v>
      </c>
      <c r="GN143" s="9" t="str">
        <f t="shared" si="877"/>
        <v>Saudiarabien</v>
      </c>
      <c r="GO143" s="9" t="str">
        <f t="shared" si="877"/>
        <v>Australien</v>
      </c>
      <c r="GP143" s="9" t="str">
        <f t="shared" si="877"/>
        <v>Ghana</v>
      </c>
      <c r="GQ143" s="9" t="str">
        <f t="shared" si="639"/>
        <v>Uzbekistan</v>
      </c>
      <c r="GR143" s="9" t="str">
        <f t="shared" si="884"/>
        <v/>
      </c>
      <c r="GX143" s="142"/>
    </row>
    <row r="144" spans="2:206" ht="14.25" customHeight="1" x14ac:dyDescent="0.25">
      <c r="B144" s="58">
        <v>99</v>
      </c>
      <c r="C144" s="59">
        <v>46214</v>
      </c>
      <c r="D144" s="166" t="str">
        <f>IF(O133="","Vinnare match 91",O133)</f>
        <v>Vinnare match 91</v>
      </c>
      <c r="E144" s="172" t="s">
        <v>66</v>
      </c>
      <c r="F144" s="62" t="str">
        <f>IF(O134="","Vinnare match 92",O134)</f>
        <v>Vinnare match 92</v>
      </c>
      <c r="G144" s="63"/>
      <c r="H144" s="64" t="s">
        <v>66</v>
      </c>
      <c r="I144" s="63"/>
      <c r="J144" s="65" t="str">
        <f t="shared" si="885"/>
        <v/>
      </c>
      <c r="K144" s="66">
        <f>IF(OR(G144="",I144="",'[1]Resultat &amp; tabell'!G144="",'[1]Resultat &amp; tabell'!I144=""),0,IF(G144='[1]Resultat &amp; tabell'!G144,2,0)+IF(I144='[1]Resultat &amp; tabell'!I144,2,0)+IF(J144='[1]Resultat &amp; tabell'!J144,2,0))</f>
        <v>0</v>
      </c>
      <c r="L144" s="67"/>
      <c r="O144" s="150"/>
      <c r="P144" s="151" t="str">
        <f t="shared" si="886"/>
        <v/>
      </c>
      <c r="Q144" s="168"/>
      <c r="R144" s="168"/>
      <c r="S144" s="168"/>
      <c r="T144" s="168"/>
      <c r="U144" s="168"/>
      <c r="V144" s="156"/>
      <c r="W144" s="18"/>
      <c r="X144" s="79"/>
      <c r="Y144" s="79"/>
      <c r="Z144" s="79"/>
      <c r="AA144" s="79"/>
      <c r="AB144" s="165"/>
      <c r="BU144" s="146" t="s">
        <v>157</v>
      </c>
      <c r="BV144" s="146">
        <f>SUM(BV112:BV143)</f>
        <v>0</v>
      </c>
      <c r="FZ144" s="79">
        <v>142</v>
      </c>
      <c r="GA144" s="3" t="str">
        <f t="shared" si="883"/>
        <v>HGBCJDLE</v>
      </c>
      <c r="GB144" s="3" t="s">
        <v>70</v>
      </c>
      <c r="GC144" s="3" t="s">
        <v>60</v>
      </c>
      <c r="GD144" s="3" t="s">
        <v>57</v>
      </c>
      <c r="GE144" s="3" t="s">
        <v>75</v>
      </c>
      <c r="GF144" s="3" t="s">
        <v>69</v>
      </c>
      <c r="GG144" s="3" t="s">
        <v>58</v>
      </c>
      <c r="GH144" s="3" t="s">
        <v>63</v>
      </c>
      <c r="GI144" s="3" t="s">
        <v>59</v>
      </c>
      <c r="GJ144" s="9" t="str">
        <f t="shared" si="878"/>
        <v>Saudiarabien</v>
      </c>
      <c r="GK144" s="9" t="str">
        <f t="shared" si="878"/>
        <v>Iran</v>
      </c>
      <c r="GL144" s="9" t="str">
        <f t="shared" si="878"/>
        <v>Qatar</v>
      </c>
      <c r="GM144" s="9" t="str">
        <f t="shared" si="877"/>
        <v>Haiti</v>
      </c>
      <c r="GN144" s="9" t="str">
        <f t="shared" si="877"/>
        <v>Österrike</v>
      </c>
      <c r="GO144" s="9" t="str">
        <f t="shared" si="877"/>
        <v>Australien</v>
      </c>
      <c r="GP144" s="9" t="str">
        <f t="shared" si="877"/>
        <v>Ghana</v>
      </c>
      <c r="GQ144" s="9" t="str">
        <f t="shared" si="639"/>
        <v>Elfenbenskusten</v>
      </c>
      <c r="GR144" s="9" t="str">
        <f t="shared" si="884"/>
        <v/>
      </c>
      <c r="GX144" s="142"/>
    </row>
    <row r="145" spans="2:206" ht="14.25" customHeight="1" x14ac:dyDescent="0.25">
      <c r="B145" s="58">
        <v>100</v>
      </c>
      <c r="C145" s="59">
        <v>46215</v>
      </c>
      <c r="D145" s="166" t="str">
        <f>IF(O137="","Vinnare match 95",O137)</f>
        <v>Vinnare match 95</v>
      </c>
      <c r="E145" s="172" t="s">
        <v>66</v>
      </c>
      <c r="F145" s="62" t="str">
        <f>IF(O138="","Vinnare match 96",O138)</f>
        <v>Vinnare match 96</v>
      </c>
      <c r="G145" s="63"/>
      <c r="H145" s="64" t="s">
        <v>66</v>
      </c>
      <c r="I145" s="63"/>
      <c r="J145" s="65" t="str">
        <f t="shared" si="885"/>
        <v/>
      </c>
      <c r="K145" s="66">
        <f>IF(OR(G145="",I145="",'[1]Resultat &amp; tabell'!G145="",'[1]Resultat &amp; tabell'!I145=""),0,IF(G145='[1]Resultat &amp; tabell'!G145,2,0)+IF(I145='[1]Resultat &amp; tabell'!I145,2,0)+IF(J145='[1]Resultat &amp; tabell'!J145,2,0))</f>
        <v>0</v>
      </c>
      <c r="L145" s="67"/>
      <c r="O145" s="150"/>
      <c r="P145" s="151" t="str">
        <f t="shared" si="886"/>
        <v/>
      </c>
      <c r="Q145" s="168"/>
      <c r="R145" s="168"/>
      <c r="S145" s="168"/>
      <c r="T145" s="168"/>
      <c r="U145" s="168"/>
      <c r="V145" s="156"/>
      <c r="W145" s="18"/>
      <c r="X145" s="79"/>
      <c r="Y145" s="79"/>
      <c r="Z145" s="79"/>
      <c r="AA145" s="79"/>
      <c r="AB145" s="165"/>
      <c r="BQ145" s="19" t="s">
        <v>94</v>
      </c>
      <c r="FZ145" s="79">
        <v>143</v>
      </c>
      <c r="GA145" s="3" t="str">
        <f t="shared" si="883"/>
        <v>HGBCJDEK</v>
      </c>
      <c r="GB145" s="3" t="s">
        <v>70</v>
      </c>
      <c r="GC145" s="3" t="s">
        <v>60</v>
      </c>
      <c r="GD145" s="3" t="s">
        <v>57</v>
      </c>
      <c r="GE145" s="3" t="s">
        <v>75</v>
      </c>
      <c r="GF145" s="3" t="s">
        <v>69</v>
      </c>
      <c r="GG145" s="3" t="s">
        <v>58</v>
      </c>
      <c r="GH145" s="3" t="s">
        <v>59</v>
      </c>
      <c r="GI145" s="3" t="s">
        <v>62</v>
      </c>
      <c r="GJ145" s="9" t="str">
        <f t="shared" si="878"/>
        <v>Saudiarabien</v>
      </c>
      <c r="GK145" s="9" t="str">
        <f t="shared" si="878"/>
        <v>Iran</v>
      </c>
      <c r="GL145" s="9" t="str">
        <f t="shared" si="878"/>
        <v>Qatar</v>
      </c>
      <c r="GM145" s="9" t="str">
        <f t="shared" si="877"/>
        <v>Haiti</v>
      </c>
      <c r="GN145" s="9" t="str">
        <f t="shared" si="877"/>
        <v>Österrike</v>
      </c>
      <c r="GO145" s="9" t="str">
        <f t="shared" si="877"/>
        <v>Australien</v>
      </c>
      <c r="GP145" s="9" t="str">
        <f t="shared" si="877"/>
        <v>Elfenbenskusten</v>
      </c>
      <c r="GQ145" s="9" t="str">
        <f t="shared" si="877"/>
        <v>Uzbekistan</v>
      </c>
      <c r="GR145" s="9" t="str">
        <f t="shared" si="884"/>
        <v/>
      </c>
      <c r="GX145" s="142"/>
    </row>
    <row r="146" spans="2:206" ht="14.25" customHeight="1" x14ac:dyDescent="0.25">
      <c r="C146" s="94"/>
      <c r="J146" s="23"/>
      <c r="K146" s="16"/>
      <c r="L146" s="49"/>
      <c r="O146" s="79"/>
      <c r="P146" s="73"/>
      <c r="Q146" s="73"/>
      <c r="R146" s="73"/>
      <c r="S146" s="73"/>
      <c r="T146" s="73"/>
      <c r="U146" s="73"/>
      <c r="V146" s="156"/>
      <c r="W146" s="144"/>
      <c r="X146" s="30"/>
      <c r="Y146" s="30"/>
      <c r="Z146" s="30"/>
      <c r="AA146" s="30"/>
      <c r="AB146" s="173"/>
      <c r="BQ146" s="146" t="s">
        <v>12</v>
      </c>
      <c r="BR146" s="26" t="s">
        <v>147</v>
      </c>
      <c r="BS146" s="147" t="s">
        <v>148</v>
      </c>
      <c r="BT146" s="147" t="s">
        <v>149</v>
      </c>
      <c r="BU146" s="147" t="s">
        <v>150</v>
      </c>
      <c r="BV146" s="147" t="s">
        <v>16</v>
      </c>
      <c r="FZ146" s="79">
        <v>144</v>
      </c>
      <c r="GA146" s="3" t="str">
        <f t="shared" si="883"/>
        <v>EGBCHDLI</v>
      </c>
      <c r="GB146" s="3" t="s">
        <v>59</v>
      </c>
      <c r="GC146" s="3" t="s">
        <v>60</v>
      </c>
      <c r="GD146" s="3" t="s">
        <v>57</v>
      </c>
      <c r="GE146" s="3" t="s">
        <v>75</v>
      </c>
      <c r="GF146" s="3" t="s">
        <v>70</v>
      </c>
      <c r="GG146" s="3" t="s">
        <v>58</v>
      </c>
      <c r="GH146" s="3" t="s">
        <v>63</v>
      </c>
      <c r="GI146" s="3" t="s">
        <v>61</v>
      </c>
      <c r="GJ146" s="9" t="str">
        <f t="shared" si="878"/>
        <v>Elfenbenskusten</v>
      </c>
      <c r="GK146" s="9" t="str">
        <f t="shared" si="878"/>
        <v>Iran</v>
      </c>
      <c r="GL146" s="9" t="str">
        <f t="shared" si="878"/>
        <v>Qatar</v>
      </c>
      <c r="GM146" s="9" t="str">
        <f t="shared" si="877"/>
        <v>Haiti</v>
      </c>
      <c r="GN146" s="9" t="str">
        <f t="shared" si="877"/>
        <v>Saudiarabien</v>
      </c>
      <c r="GO146" s="9" t="str">
        <f t="shared" si="877"/>
        <v>Australien</v>
      </c>
      <c r="GP146" s="9" t="str">
        <f t="shared" si="877"/>
        <v>Ghana</v>
      </c>
      <c r="GQ146" s="9" t="str">
        <f t="shared" si="877"/>
        <v>Irak</v>
      </c>
      <c r="GR146" s="9" t="str">
        <f t="shared" si="884"/>
        <v/>
      </c>
      <c r="GX146" s="142"/>
    </row>
    <row r="147" spans="2:206" ht="14.25" customHeight="1" x14ac:dyDescent="0.25">
      <c r="B147" s="19" t="s">
        <v>158</v>
      </c>
      <c r="C147" s="94"/>
      <c r="J147" s="23"/>
      <c r="K147" s="16"/>
      <c r="L147" s="49"/>
      <c r="O147" s="79"/>
      <c r="P147" s="73"/>
      <c r="Q147" s="73"/>
      <c r="R147" s="73"/>
      <c r="S147" s="73"/>
      <c r="T147" s="73"/>
      <c r="U147" s="73"/>
      <c r="V147" s="156"/>
      <c r="W147" s="144"/>
      <c r="X147" s="30"/>
      <c r="Y147" s="30"/>
      <c r="Z147" s="30"/>
      <c r="AA147" s="30"/>
      <c r="AB147" s="173"/>
      <c r="AI147" s="105"/>
      <c r="AJ147" s="105"/>
      <c r="AK147" s="105"/>
      <c r="AL147" s="16"/>
      <c r="AM147" s="16"/>
      <c r="BQ147" s="13">
        <f t="shared" ref="BQ147:BQ154" si="887">B131</f>
        <v>89</v>
      </c>
      <c r="BR147" s="155" t="str">
        <f t="shared" ref="BR147:BR154" si="888">D131</f>
        <v>Vinnare match 74</v>
      </c>
      <c r="BS147" s="156" t="str">
        <f>IF(OR('[1]Resultat &amp; tabell'!G131="",'[1]Resultat &amp; tabell'!I131=""),"",'[1]Resultat &amp; tabell'!D131)</f>
        <v/>
      </c>
      <c r="BT147" s="157">
        <f>IF(ISERROR(VLOOKUP(BR147,$BS$147:$BS$162,1,FALSE)),0,1)</f>
        <v>0</v>
      </c>
      <c r="BU147" s="158">
        <f t="shared" ref="BU147:BU162" si="889">BT147</f>
        <v>0</v>
      </c>
      <c r="BV147" s="79">
        <f>BU147*2</f>
        <v>0</v>
      </c>
      <c r="FZ147" s="79">
        <v>145</v>
      </c>
      <c r="GA147" s="3" t="str">
        <f t="shared" si="883"/>
        <v>EGBCHDIK</v>
      </c>
      <c r="GB147" s="3" t="s">
        <v>59</v>
      </c>
      <c r="GC147" s="3" t="s">
        <v>60</v>
      </c>
      <c r="GD147" s="3" t="s">
        <v>57</v>
      </c>
      <c r="GE147" s="3" t="s">
        <v>75</v>
      </c>
      <c r="GF147" s="3" t="s">
        <v>70</v>
      </c>
      <c r="GG147" s="3" t="s">
        <v>58</v>
      </c>
      <c r="GH147" s="3" t="s">
        <v>61</v>
      </c>
      <c r="GI147" s="3" t="s">
        <v>62</v>
      </c>
      <c r="GJ147" s="9" t="str">
        <f t="shared" si="878"/>
        <v>Elfenbenskusten</v>
      </c>
      <c r="GK147" s="9" t="str">
        <f t="shared" si="878"/>
        <v>Iran</v>
      </c>
      <c r="GL147" s="9" t="str">
        <f t="shared" si="878"/>
        <v>Qatar</v>
      </c>
      <c r="GM147" s="9" t="str">
        <f t="shared" si="877"/>
        <v>Haiti</v>
      </c>
      <c r="GN147" s="9" t="str">
        <f t="shared" si="877"/>
        <v>Saudiarabien</v>
      </c>
      <c r="GO147" s="9" t="str">
        <f t="shared" si="877"/>
        <v>Australien</v>
      </c>
      <c r="GP147" s="9" t="str">
        <f t="shared" si="877"/>
        <v>Irak</v>
      </c>
      <c r="GQ147" s="9" t="str">
        <f t="shared" si="877"/>
        <v>Uzbekistan</v>
      </c>
      <c r="GR147" s="9" t="str">
        <f t="shared" si="884"/>
        <v/>
      </c>
      <c r="GX147" s="27"/>
    </row>
    <row r="148" spans="2:206" ht="14.25" customHeight="1" x14ac:dyDescent="0.25">
      <c r="B148" s="117" t="s">
        <v>12</v>
      </c>
      <c r="C148" s="107" t="s">
        <v>13</v>
      </c>
      <c r="D148" s="181" t="s">
        <v>12</v>
      </c>
      <c r="E148" s="182"/>
      <c r="F148" s="183"/>
      <c r="G148" s="184" t="s">
        <v>14</v>
      </c>
      <c r="H148" s="184"/>
      <c r="I148" s="184"/>
      <c r="J148" s="47" t="s">
        <v>15</v>
      </c>
      <c r="K148" s="48" t="s">
        <v>16</v>
      </c>
      <c r="L148" s="49"/>
      <c r="O148" s="171" t="s">
        <v>159</v>
      </c>
      <c r="P148" s="145"/>
      <c r="Q148" s="18"/>
      <c r="R148" s="185" t="s">
        <v>160</v>
      </c>
      <c r="S148" s="186"/>
      <c r="T148" s="186"/>
      <c r="U148" s="187"/>
      <c r="W148" s="174" t="s">
        <v>161</v>
      </c>
      <c r="X148" s="49"/>
      <c r="Y148" s="49"/>
      <c r="Z148" s="49"/>
      <c r="AA148" s="50" t="s">
        <v>162</v>
      </c>
      <c r="AB148" s="144"/>
      <c r="AI148" s="188"/>
      <c r="AJ148" s="188"/>
      <c r="AK148" s="188"/>
      <c r="AL148" s="16"/>
      <c r="AM148" s="16"/>
      <c r="BQ148" s="13">
        <f t="shared" si="887"/>
        <v>90</v>
      </c>
      <c r="BR148" s="155" t="str">
        <f t="shared" si="888"/>
        <v>Vinnare match 73</v>
      </c>
      <c r="BS148" s="156" t="str">
        <f>IF(OR('[1]Resultat &amp; tabell'!G132="",'[1]Resultat &amp; tabell'!I132=""),"",'[1]Resultat &amp; tabell'!D132)</f>
        <v/>
      </c>
      <c r="BT148" s="157">
        <f t="shared" ref="BT148:BT162" si="890">IF(ISERROR(VLOOKUP(BR148,$BS$148:$BS$162,1,FALSE)),0,1)</f>
        <v>0</v>
      </c>
      <c r="BU148" s="158">
        <f t="shared" si="889"/>
        <v>0</v>
      </c>
      <c r="BV148" s="79">
        <f t="shared" ref="BV148:BV162" si="891">BU148*2</f>
        <v>0</v>
      </c>
      <c r="FZ148" s="79">
        <v>146</v>
      </c>
      <c r="GA148" s="3" t="str">
        <f t="shared" si="883"/>
        <v>HGBCJDEI</v>
      </c>
      <c r="GB148" s="3" t="s">
        <v>70</v>
      </c>
      <c r="GC148" s="3" t="s">
        <v>60</v>
      </c>
      <c r="GD148" s="3" t="s">
        <v>57</v>
      </c>
      <c r="GE148" s="3" t="s">
        <v>75</v>
      </c>
      <c r="GF148" s="3" t="s">
        <v>69</v>
      </c>
      <c r="GG148" s="3" t="s">
        <v>58</v>
      </c>
      <c r="GH148" s="3" t="s">
        <v>59</v>
      </c>
      <c r="GI148" s="3" t="s">
        <v>61</v>
      </c>
      <c r="GJ148" s="9" t="str">
        <f t="shared" si="878"/>
        <v>Saudiarabien</v>
      </c>
      <c r="GK148" s="9" t="str">
        <f t="shared" si="878"/>
        <v>Iran</v>
      </c>
      <c r="GL148" s="9" t="str">
        <f t="shared" si="878"/>
        <v>Qatar</v>
      </c>
      <c r="GM148" s="9" t="str">
        <f t="shared" si="877"/>
        <v>Haiti</v>
      </c>
      <c r="GN148" s="9" t="str">
        <f t="shared" si="877"/>
        <v>Österrike</v>
      </c>
      <c r="GO148" s="9" t="str">
        <f t="shared" si="877"/>
        <v>Australien</v>
      </c>
      <c r="GP148" s="9" t="str">
        <f t="shared" si="877"/>
        <v>Elfenbenskusten</v>
      </c>
      <c r="GQ148" s="9" t="str">
        <f t="shared" si="877"/>
        <v>Irak</v>
      </c>
      <c r="GR148" s="9" t="str">
        <f t="shared" si="884"/>
        <v/>
      </c>
      <c r="GX148" s="27"/>
    </row>
    <row r="149" spans="2:206" ht="14.25" customHeight="1" x14ac:dyDescent="0.25">
      <c r="B149" s="58">
        <v>101</v>
      </c>
      <c r="C149" s="59">
        <v>46217</v>
      </c>
      <c r="D149" s="166" t="str">
        <f>IF(O142="","Vinnare match 97",O142)</f>
        <v>Vinnare match 97</v>
      </c>
      <c r="E149" s="172" t="s">
        <v>66</v>
      </c>
      <c r="F149" s="62" t="str">
        <f>IF(O143="","Vinnare match 98",O143)</f>
        <v>Vinnare match 98</v>
      </c>
      <c r="G149" s="63"/>
      <c r="H149" s="64" t="s">
        <v>66</v>
      </c>
      <c r="I149" s="63"/>
      <c r="J149" s="65" t="str">
        <f t="shared" ref="J149:J150" si="892">IF(OR(ISBLANK(G149),ISBLANK(I149)),"",IF(G149&gt;I149,1,IF(G149&lt;I149,2,"X")))</f>
        <v/>
      </c>
      <c r="K149" s="66">
        <f>IF(OR(G149="",I149="",'[1]Resultat &amp; tabell'!G149="",'[1]Resultat &amp; tabell'!I149=""),0,IF(G149='[1]Resultat &amp; tabell'!G149,2,0)+IF(I149='[1]Resultat &amp; tabell'!I149,2,0)+IF(J149='[1]Resultat &amp; tabell'!J149,2,0))</f>
        <v>0</v>
      </c>
      <c r="L149" s="67"/>
      <c r="O149" s="150"/>
      <c r="P149" s="151" t="str">
        <f>IF(OR(ISBLANK(D149),ISBLANK(F149),J149="",O149=""),"",IF(OR(AND(J149=1,O149=D149),AND(J149=2,O149=F149),AND(J149="X",OR(O149=D149,O149=F149))),"","Ej OK"))</f>
        <v/>
      </c>
      <c r="Q149" s="18"/>
      <c r="R149" s="178">
        <f>BV181</f>
        <v>0</v>
      </c>
      <c r="S149" s="179"/>
      <c r="T149" s="179"/>
      <c r="U149" s="180"/>
      <c r="W149" s="175" t="str">
        <f>IF(O149=D149,F149,D149)</f>
        <v>Vinnare match 97</v>
      </c>
      <c r="X149" s="176"/>
      <c r="Y149" s="176"/>
      <c r="Z149" s="176"/>
      <c r="AA149" s="50"/>
      <c r="AB149" s="144"/>
      <c r="AI149" s="139"/>
      <c r="AJ149" s="105"/>
      <c r="AK149" s="139"/>
      <c r="AL149" s="73"/>
      <c r="AM149" s="73"/>
      <c r="BQ149" s="13">
        <f t="shared" si="887"/>
        <v>91</v>
      </c>
      <c r="BR149" s="155" t="str">
        <f t="shared" si="888"/>
        <v>Vinnare match 76</v>
      </c>
      <c r="BS149" s="156" t="str">
        <f>IF(OR('[1]Resultat &amp; tabell'!G133="",'[1]Resultat &amp; tabell'!I133=""),"",'[1]Resultat &amp; tabell'!D133)</f>
        <v/>
      </c>
      <c r="BT149" s="157">
        <f t="shared" si="890"/>
        <v>0</v>
      </c>
      <c r="BU149" s="158">
        <f t="shared" si="889"/>
        <v>0</v>
      </c>
      <c r="BV149" s="79">
        <f t="shared" si="891"/>
        <v>0</v>
      </c>
      <c r="FZ149" s="79">
        <v>147</v>
      </c>
      <c r="GA149" s="3" t="str">
        <f t="shared" si="883"/>
        <v>CJBDEFLK</v>
      </c>
      <c r="GB149" s="3" t="s">
        <v>75</v>
      </c>
      <c r="GC149" s="3" t="s">
        <v>69</v>
      </c>
      <c r="GD149" s="3" t="s">
        <v>57</v>
      </c>
      <c r="GE149" s="3" t="s">
        <v>58</v>
      </c>
      <c r="GF149" s="3" t="s">
        <v>59</v>
      </c>
      <c r="GG149" s="3" t="s">
        <v>21</v>
      </c>
      <c r="GH149" s="3" t="s">
        <v>63</v>
      </c>
      <c r="GI149" s="3" t="s">
        <v>62</v>
      </c>
      <c r="GJ149" s="9" t="str">
        <f t="shared" si="878"/>
        <v>Haiti</v>
      </c>
      <c r="GK149" s="9" t="str">
        <f t="shared" si="878"/>
        <v>Österrike</v>
      </c>
      <c r="GL149" s="9" t="str">
        <f t="shared" si="878"/>
        <v>Qatar</v>
      </c>
      <c r="GM149" s="9" t="str">
        <f t="shared" si="877"/>
        <v>Australien</v>
      </c>
      <c r="GN149" s="9" t="str">
        <f t="shared" si="877"/>
        <v>Elfenbenskusten</v>
      </c>
      <c r="GO149" s="9" t="str">
        <f t="shared" si="877"/>
        <v>Sverige</v>
      </c>
      <c r="GP149" s="9" t="str">
        <f t="shared" si="877"/>
        <v>Ghana</v>
      </c>
      <c r="GQ149" s="9" t="str">
        <f t="shared" si="877"/>
        <v>Uzbekistan</v>
      </c>
      <c r="GR149" s="9" t="str">
        <f t="shared" si="884"/>
        <v/>
      </c>
      <c r="GX149" s="15"/>
    </row>
    <row r="150" spans="2:206" ht="14.25" customHeight="1" x14ac:dyDescent="0.25">
      <c r="B150" s="58">
        <v>102</v>
      </c>
      <c r="C150" s="59">
        <v>46218</v>
      </c>
      <c r="D150" s="166" t="str">
        <f>IF(O144="","Vinnare match 99",O144)</f>
        <v>Vinnare match 99</v>
      </c>
      <c r="E150" s="172" t="s">
        <v>66</v>
      </c>
      <c r="F150" s="62" t="str">
        <f>IF(O145="","Vinnare match 100",O145)</f>
        <v>Vinnare match 100</v>
      </c>
      <c r="G150" s="63"/>
      <c r="H150" s="64" t="s">
        <v>66</v>
      </c>
      <c r="I150" s="63"/>
      <c r="J150" s="65" t="str">
        <f t="shared" si="892"/>
        <v/>
      </c>
      <c r="K150" s="66">
        <f>IF(OR(G150="",I150="",'[1]Resultat &amp; tabell'!G150="",'[1]Resultat &amp; tabell'!I150=""),0,IF(G150='[1]Resultat &amp; tabell'!G150,2,0)+IF(I150='[1]Resultat &amp; tabell'!I150,2,0)+IF(J150='[1]Resultat &amp; tabell'!J150,2,0))</f>
        <v>0</v>
      </c>
      <c r="L150" s="67"/>
      <c r="O150" s="150"/>
      <c r="P150" s="151" t="str">
        <f t="shared" ref="P150" si="893">IF(OR(ISBLANK(D150),ISBLANK(F150),J150="",O150=""),"",IF(OR(AND(J150=1,O150=D150),AND(J150=2,O150=F150),AND(J150="X",OR(O150=D150,O150=F150))),"","Ej OK"))</f>
        <v/>
      </c>
      <c r="Q150" s="18"/>
      <c r="W150" s="175" t="str">
        <f>IF(O150=D150,F150,D150)</f>
        <v>Vinnare match 99</v>
      </c>
      <c r="X150" s="176"/>
      <c r="Y150" s="176"/>
      <c r="Z150" s="176"/>
      <c r="AA150" s="50"/>
      <c r="AB150" s="144"/>
      <c r="AI150" s="139"/>
      <c r="AJ150" s="105"/>
      <c r="AK150" s="139"/>
      <c r="AL150" s="73"/>
      <c r="AM150" s="73"/>
      <c r="BQ150" s="13">
        <f t="shared" si="887"/>
        <v>92</v>
      </c>
      <c r="BR150" s="155" t="str">
        <f t="shared" si="888"/>
        <v>Vinnare match 79</v>
      </c>
      <c r="BS150" s="156" t="str">
        <f>IF(OR('[1]Resultat &amp; tabell'!G134="",'[1]Resultat &amp; tabell'!I134=""),"",'[1]Resultat &amp; tabell'!D134)</f>
        <v/>
      </c>
      <c r="BT150" s="157">
        <f t="shared" si="890"/>
        <v>0</v>
      </c>
      <c r="BU150" s="158">
        <f t="shared" si="889"/>
        <v>0</v>
      </c>
      <c r="BV150" s="79">
        <f t="shared" si="891"/>
        <v>0</v>
      </c>
      <c r="FZ150" s="79">
        <v>148</v>
      </c>
      <c r="GA150" s="3" t="str">
        <f t="shared" si="883"/>
        <v>CEBDIFLK</v>
      </c>
      <c r="GB150" s="3" t="s">
        <v>75</v>
      </c>
      <c r="GC150" s="3" t="s">
        <v>59</v>
      </c>
      <c r="GD150" s="3" t="s">
        <v>57</v>
      </c>
      <c r="GE150" s="3" t="s">
        <v>58</v>
      </c>
      <c r="GF150" s="3" t="s">
        <v>61</v>
      </c>
      <c r="GG150" s="3" t="s">
        <v>21</v>
      </c>
      <c r="GH150" s="3" t="s">
        <v>63</v>
      </c>
      <c r="GI150" s="3" t="s">
        <v>62</v>
      </c>
      <c r="GJ150" s="9" t="str">
        <f t="shared" si="878"/>
        <v>Haiti</v>
      </c>
      <c r="GK150" s="9" t="str">
        <f t="shared" si="878"/>
        <v>Elfenbenskusten</v>
      </c>
      <c r="GL150" s="9" t="str">
        <f t="shared" si="878"/>
        <v>Qatar</v>
      </c>
      <c r="GM150" s="9" t="str">
        <f t="shared" si="877"/>
        <v>Australien</v>
      </c>
      <c r="GN150" s="9" t="str">
        <f t="shared" si="877"/>
        <v>Irak</v>
      </c>
      <c r="GO150" s="9" t="str">
        <f t="shared" si="877"/>
        <v>Sverige</v>
      </c>
      <c r="GP150" s="9" t="str">
        <f t="shared" si="877"/>
        <v>Ghana</v>
      </c>
      <c r="GQ150" s="9" t="str">
        <f t="shared" si="877"/>
        <v>Uzbekistan</v>
      </c>
      <c r="GR150" s="9" t="str">
        <f t="shared" si="884"/>
        <v/>
      </c>
      <c r="GX150" s="142"/>
    </row>
    <row r="151" spans="2:206" ht="14.25" customHeight="1" x14ac:dyDescent="0.25">
      <c r="C151" s="94"/>
      <c r="J151" s="23"/>
      <c r="K151" s="16"/>
      <c r="L151" s="49"/>
      <c r="O151" s="156"/>
      <c r="P151" s="76"/>
      <c r="Q151" s="76"/>
      <c r="R151" s="76"/>
      <c r="S151" s="76"/>
      <c r="T151" s="76"/>
      <c r="U151" s="76"/>
      <c r="V151" s="156"/>
      <c r="W151" s="144"/>
      <c r="X151" s="30"/>
      <c r="Y151" s="30"/>
      <c r="Z151" s="30"/>
      <c r="AA151" s="30"/>
      <c r="AB151" s="173"/>
      <c r="AI151" s="105"/>
      <c r="AJ151" s="105"/>
      <c r="AK151" s="105"/>
      <c r="AL151" s="16"/>
      <c r="AM151" s="16"/>
      <c r="BQ151" s="13">
        <f t="shared" si="887"/>
        <v>93</v>
      </c>
      <c r="BR151" s="155" t="str">
        <f t="shared" si="888"/>
        <v>Vinnare match 83</v>
      </c>
      <c r="BS151" s="156" t="str">
        <f>IF(OR('[1]Resultat &amp; tabell'!G135="",'[1]Resultat &amp; tabell'!I135=""),"",'[1]Resultat &amp; tabell'!D135)</f>
        <v/>
      </c>
      <c r="BT151" s="157">
        <f t="shared" si="890"/>
        <v>0</v>
      </c>
      <c r="BU151" s="158">
        <f t="shared" si="889"/>
        <v>0</v>
      </c>
      <c r="BV151" s="79">
        <f t="shared" si="891"/>
        <v>0</v>
      </c>
      <c r="FZ151" s="79">
        <v>149</v>
      </c>
      <c r="GA151" s="3" t="str">
        <f t="shared" si="883"/>
        <v>CJBDEFLI</v>
      </c>
      <c r="GB151" s="3" t="s">
        <v>75</v>
      </c>
      <c r="GC151" s="3" t="s">
        <v>69</v>
      </c>
      <c r="GD151" s="3" t="s">
        <v>57</v>
      </c>
      <c r="GE151" s="3" t="s">
        <v>58</v>
      </c>
      <c r="GF151" s="3" t="s">
        <v>59</v>
      </c>
      <c r="GG151" s="3" t="s">
        <v>21</v>
      </c>
      <c r="GH151" s="3" t="s">
        <v>63</v>
      </c>
      <c r="GI151" s="3" t="s">
        <v>61</v>
      </c>
      <c r="GJ151" s="9" t="str">
        <f t="shared" si="878"/>
        <v>Haiti</v>
      </c>
      <c r="GK151" s="9" t="str">
        <f t="shared" si="878"/>
        <v>Österrike</v>
      </c>
      <c r="GL151" s="9" t="str">
        <f t="shared" si="878"/>
        <v>Qatar</v>
      </c>
      <c r="GM151" s="9" t="str">
        <f t="shared" si="877"/>
        <v>Australien</v>
      </c>
      <c r="GN151" s="9" t="str">
        <f t="shared" si="877"/>
        <v>Elfenbenskusten</v>
      </c>
      <c r="GO151" s="9" t="str">
        <f t="shared" si="877"/>
        <v>Sverige</v>
      </c>
      <c r="GP151" s="9" t="str">
        <f t="shared" si="877"/>
        <v>Ghana</v>
      </c>
      <c r="GQ151" s="9" t="str">
        <f t="shared" si="877"/>
        <v>Irak</v>
      </c>
      <c r="GR151" s="9" t="str">
        <f t="shared" si="884"/>
        <v/>
      </c>
      <c r="GX151" s="142"/>
    </row>
    <row r="152" spans="2:206" ht="14.25" customHeight="1" x14ac:dyDescent="0.25">
      <c r="B152" s="19" t="s">
        <v>97</v>
      </c>
      <c r="C152" s="94"/>
      <c r="J152" s="23"/>
      <c r="K152" s="16"/>
      <c r="L152" s="49"/>
      <c r="O152" s="156"/>
      <c r="P152" s="76"/>
      <c r="Q152" s="76"/>
      <c r="R152" s="76"/>
      <c r="S152" s="76"/>
      <c r="T152" s="76"/>
      <c r="U152" s="76"/>
      <c r="V152" s="156"/>
      <c r="W152" s="144"/>
      <c r="X152" s="30"/>
      <c r="Y152" s="30"/>
      <c r="Z152" s="30"/>
      <c r="AA152" s="30"/>
      <c r="AB152" s="173"/>
      <c r="AI152" s="105"/>
      <c r="AJ152" s="105"/>
      <c r="AK152" s="105"/>
      <c r="AL152" s="16"/>
      <c r="AM152" s="16"/>
      <c r="BQ152" s="13">
        <f t="shared" si="887"/>
        <v>94</v>
      </c>
      <c r="BR152" s="155" t="str">
        <f t="shared" si="888"/>
        <v>Vinnare match 81</v>
      </c>
      <c r="BS152" s="156" t="str">
        <f>IF(OR('[1]Resultat &amp; tabell'!G136="",'[1]Resultat &amp; tabell'!I136=""),"",'[1]Resultat &amp; tabell'!D136)</f>
        <v/>
      </c>
      <c r="BT152" s="157">
        <f t="shared" si="890"/>
        <v>0</v>
      </c>
      <c r="BU152" s="158">
        <f t="shared" si="889"/>
        <v>0</v>
      </c>
      <c r="BV152" s="79">
        <f t="shared" si="891"/>
        <v>0</v>
      </c>
      <c r="FZ152" s="79">
        <v>150</v>
      </c>
      <c r="GA152" s="3" t="str">
        <f t="shared" si="883"/>
        <v>CJBDEFIK</v>
      </c>
      <c r="GB152" s="3" t="s">
        <v>75</v>
      </c>
      <c r="GC152" s="3" t="s">
        <v>69</v>
      </c>
      <c r="GD152" s="3" t="s">
        <v>57</v>
      </c>
      <c r="GE152" s="3" t="s">
        <v>58</v>
      </c>
      <c r="GF152" s="3" t="s">
        <v>59</v>
      </c>
      <c r="GG152" s="3" t="s">
        <v>21</v>
      </c>
      <c r="GH152" s="3" t="s">
        <v>61</v>
      </c>
      <c r="GI152" s="3" t="s">
        <v>62</v>
      </c>
      <c r="GJ152" s="9" t="str">
        <f t="shared" si="878"/>
        <v>Haiti</v>
      </c>
      <c r="GK152" s="9" t="str">
        <f t="shared" si="878"/>
        <v>Österrike</v>
      </c>
      <c r="GL152" s="9" t="str">
        <f t="shared" si="878"/>
        <v>Qatar</v>
      </c>
      <c r="GM152" s="9" t="str">
        <f t="shared" si="877"/>
        <v>Australien</v>
      </c>
      <c r="GN152" s="9" t="str">
        <f t="shared" si="877"/>
        <v>Elfenbenskusten</v>
      </c>
      <c r="GO152" s="9" t="str">
        <f t="shared" si="877"/>
        <v>Sverige</v>
      </c>
      <c r="GP152" s="9" t="str">
        <f t="shared" si="877"/>
        <v>Irak</v>
      </c>
      <c r="GQ152" s="9" t="str">
        <f t="shared" si="877"/>
        <v>Uzbekistan</v>
      </c>
      <c r="GR152" s="9" t="str">
        <f t="shared" si="884"/>
        <v/>
      </c>
      <c r="GX152" s="142"/>
    </row>
    <row r="153" spans="2:206" ht="14.25" customHeight="1" x14ac:dyDescent="0.25">
      <c r="B153" s="117" t="s">
        <v>12</v>
      </c>
      <c r="C153" s="107" t="s">
        <v>13</v>
      </c>
      <c r="D153" s="181" t="s">
        <v>12</v>
      </c>
      <c r="E153" s="182"/>
      <c r="F153" s="182"/>
      <c r="G153" s="189" t="s">
        <v>14</v>
      </c>
      <c r="H153" s="184"/>
      <c r="I153" s="190"/>
      <c r="J153" s="47" t="s">
        <v>15</v>
      </c>
      <c r="K153" s="48" t="s">
        <v>16</v>
      </c>
      <c r="L153" s="49"/>
      <c r="O153" s="171" t="s">
        <v>74</v>
      </c>
      <c r="P153" s="145"/>
      <c r="Q153" s="16"/>
      <c r="R153" s="185" t="s">
        <v>163</v>
      </c>
      <c r="S153" s="186"/>
      <c r="T153" s="186"/>
      <c r="U153" s="187"/>
      <c r="V153" s="156"/>
      <c r="W153" s="144"/>
      <c r="X153" s="30"/>
      <c r="Y153" s="30"/>
      <c r="Z153" s="30"/>
      <c r="AA153" s="30"/>
      <c r="AB153" s="173"/>
      <c r="AI153" s="188"/>
      <c r="AJ153" s="188"/>
      <c r="AK153" s="188"/>
      <c r="AL153" s="16"/>
      <c r="AM153" s="16"/>
      <c r="BQ153" s="13">
        <f t="shared" si="887"/>
        <v>95</v>
      </c>
      <c r="BR153" s="155" t="str">
        <f t="shared" si="888"/>
        <v>Vinnare match 86</v>
      </c>
      <c r="BS153" s="156" t="str">
        <f>IF(OR('[1]Resultat &amp; tabell'!G137="",'[1]Resultat &amp; tabell'!I137=""),"",'[1]Resultat &amp; tabell'!D137)</f>
        <v/>
      </c>
      <c r="BT153" s="157">
        <f t="shared" si="890"/>
        <v>0</v>
      </c>
      <c r="BU153" s="158">
        <f t="shared" si="889"/>
        <v>0</v>
      </c>
      <c r="BV153" s="79">
        <f t="shared" si="891"/>
        <v>0</v>
      </c>
      <c r="FZ153" s="79">
        <v>151</v>
      </c>
      <c r="GA153" s="3" t="str">
        <f t="shared" si="883"/>
        <v>CEBDHFLK</v>
      </c>
      <c r="GB153" s="3" t="s">
        <v>75</v>
      </c>
      <c r="GC153" s="3" t="s">
        <v>59</v>
      </c>
      <c r="GD153" s="3" t="s">
        <v>57</v>
      </c>
      <c r="GE153" s="3" t="s">
        <v>58</v>
      </c>
      <c r="GF153" s="3" t="s">
        <v>70</v>
      </c>
      <c r="GG153" s="3" t="s">
        <v>21</v>
      </c>
      <c r="GH153" s="3" t="s">
        <v>63</v>
      </c>
      <c r="GI153" s="3" t="s">
        <v>62</v>
      </c>
      <c r="GJ153" s="9" t="str">
        <f t="shared" si="878"/>
        <v>Haiti</v>
      </c>
      <c r="GK153" s="9" t="str">
        <f t="shared" si="878"/>
        <v>Elfenbenskusten</v>
      </c>
      <c r="GL153" s="9" t="str">
        <f t="shared" si="878"/>
        <v>Qatar</v>
      </c>
      <c r="GM153" s="9" t="str">
        <f t="shared" si="877"/>
        <v>Australien</v>
      </c>
      <c r="GN153" s="9" t="str">
        <f t="shared" si="877"/>
        <v>Saudiarabien</v>
      </c>
      <c r="GO153" s="9" t="str">
        <f t="shared" si="877"/>
        <v>Sverige</v>
      </c>
      <c r="GP153" s="9" t="str">
        <f t="shared" si="877"/>
        <v>Ghana</v>
      </c>
      <c r="GQ153" s="9" t="str">
        <f t="shared" si="877"/>
        <v>Uzbekistan</v>
      </c>
      <c r="GR153" s="9" t="str">
        <f t="shared" si="884"/>
        <v/>
      </c>
      <c r="GX153" s="142"/>
    </row>
    <row r="154" spans="2:206" ht="14.25" customHeight="1" x14ac:dyDescent="0.25">
      <c r="B154" s="58">
        <v>103</v>
      </c>
      <c r="C154" s="59">
        <v>46221</v>
      </c>
      <c r="D154" s="166" t="str">
        <f>IF(O149="","Förlorare match 101",W149)</f>
        <v>Förlorare match 101</v>
      </c>
      <c r="E154" s="172" t="s">
        <v>66</v>
      </c>
      <c r="F154" s="62" t="str">
        <f>IF(O150="","Förlorare match 102",W150)</f>
        <v>Förlorare match 102</v>
      </c>
      <c r="G154" s="63"/>
      <c r="H154" s="64" t="s">
        <v>66</v>
      </c>
      <c r="I154" s="63"/>
      <c r="J154" s="65" t="str">
        <f>IF(OR(ISBLANK(G154),ISBLANK(I154)),"",IF(G154&gt;I154,1,IF(G154&lt;I154,2,"X")))</f>
        <v/>
      </c>
      <c r="K154" s="66">
        <f>IF(OR(G154="",I154="",'[1]Resultat &amp; tabell'!G154="",'[1]Resultat &amp; tabell'!I154=""),0,IF(G154='[1]Resultat &amp; tabell'!G154,2,0)+IF(I154='[1]Resultat &amp; tabell'!I154,2,0)+IF(J154='[1]Resultat &amp; tabell'!J154,2,0))</f>
        <v>0</v>
      </c>
      <c r="L154" s="67"/>
      <c r="O154" s="150"/>
      <c r="P154" s="151" t="str">
        <f>IF(OR(ISBLANK(D154),ISBLANK(F154),J154="",O154=""),"",IF(OR(AND(J154=1,O154=D154),AND(J154=2,O154=F154),AND(J154="X",OR(O154=D154,O154=F154))),"","Ej OK"))</f>
        <v/>
      </c>
      <c r="Q154" s="168"/>
      <c r="R154" s="178">
        <f>BV186</f>
        <v>0</v>
      </c>
      <c r="S154" s="179"/>
      <c r="T154" s="179"/>
      <c r="U154" s="180"/>
      <c r="V154" s="156"/>
      <c r="W154" s="18"/>
      <c r="X154" s="79"/>
      <c r="Y154" s="79"/>
      <c r="Z154" s="79"/>
      <c r="AA154" s="79"/>
      <c r="AB154" s="165"/>
      <c r="AI154" s="139"/>
      <c r="AJ154" s="105"/>
      <c r="AK154" s="139"/>
      <c r="AL154" s="73"/>
      <c r="AM154" s="73"/>
      <c r="BQ154" s="13">
        <f t="shared" si="887"/>
        <v>96</v>
      </c>
      <c r="BR154" s="155" t="str">
        <f t="shared" si="888"/>
        <v>Vinnare match 85</v>
      </c>
      <c r="BS154" s="156" t="str">
        <f>IF(OR('[1]Resultat &amp; tabell'!G138="",'[1]Resultat &amp; tabell'!I138=""),"",'[1]Resultat &amp; tabell'!D138)</f>
        <v/>
      </c>
      <c r="BT154" s="157">
        <f t="shared" si="890"/>
        <v>0</v>
      </c>
      <c r="BU154" s="158">
        <f t="shared" si="889"/>
        <v>0</v>
      </c>
      <c r="BV154" s="79">
        <f t="shared" si="891"/>
        <v>0</v>
      </c>
      <c r="FZ154" s="79">
        <v>152</v>
      </c>
      <c r="GA154" s="3" t="str">
        <f t="shared" si="883"/>
        <v>CJBDHFLE</v>
      </c>
      <c r="GB154" s="3" t="s">
        <v>75</v>
      </c>
      <c r="GC154" s="3" t="s">
        <v>69</v>
      </c>
      <c r="GD154" s="3" t="s">
        <v>57</v>
      </c>
      <c r="GE154" s="3" t="s">
        <v>58</v>
      </c>
      <c r="GF154" s="3" t="s">
        <v>70</v>
      </c>
      <c r="GG154" s="3" t="s">
        <v>21</v>
      </c>
      <c r="GH154" s="3" t="s">
        <v>63</v>
      </c>
      <c r="GI154" s="3" t="s">
        <v>59</v>
      </c>
      <c r="GJ154" s="9" t="str">
        <f t="shared" si="878"/>
        <v>Haiti</v>
      </c>
      <c r="GK154" s="9" t="str">
        <f t="shared" si="878"/>
        <v>Österrike</v>
      </c>
      <c r="GL154" s="9" t="str">
        <f t="shared" si="878"/>
        <v>Qatar</v>
      </c>
      <c r="GM154" s="9" t="str">
        <f t="shared" si="877"/>
        <v>Australien</v>
      </c>
      <c r="GN154" s="9" t="str">
        <f t="shared" si="877"/>
        <v>Saudiarabien</v>
      </c>
      <c r="GO154" s="9" t="str">
        <f t="shared" si="877"/>
        <v>Sverige</v>
      </c>
      <c r="GP154" s="9" t="str">
        <f t="shared" si="877"/>
        <v>Ghana</v>
      </c>
      <c r="GQ154" s="9" t="str">
        <f t="shared" si="877"/>
        <v>Elfenbenskusten</v>
      </c>
      <c r="GR154" s="9" t="str">
        <f t="shared" si="884"/>
        <v/>
      </c>
      <c r="GX154" s="142"/>
    </row>
    <row r="155" spans="2:206" ht="14.25" customHeight="1" x14ac:dyDescent="0.25">
      <c r="C155" s="94"/>
      <c r="J155" s="23"/>
      <c r="K155" s="16"/>
      <c r="L155" s="49"/>
      <c r="O155" s="156"/>
      <c r="P155" s="76"/>
      <c r="Q155" s="76"/>
      <c r="R155" s="76"/>
      <c r="S155" s="76"/>
      <c r="T155" s="76"/>
      <c r="U155" s="76"/>
      <c r="V155" s="156"/>
      <c r="W155" s="18"/>
      <c r="X155" s="79"/>
      <c r="Y155" s="79"/>
      <c r="Z155" s="79"/>
      <c r="AA155" s="79"/>
      <c r="AB155" s="165"/>
      <c r="AI155" s="105"/>
      <c r="AJ155" s="105"/>
      <c r="AK155" s="105"/>
      <c r="AL155" s="16"/>
      <c r="AM155" s="16"/>
      <c r="BQ155" s="13">
        <f t="shared" ref="BQ155:BQ162" si="894">B131</f>
        <v>89</v>
      </c>
      <c r="BR155" s="12" t="str">
        <f t="shared" ref="BR155:BR162" si="895">F131</f>
        <v>Vinnare match 77</v>
      </c>
      <c r="BS155" s="156" t="str">
        <f>IF(OR('[1]Resultat &amp; tabell'!G131="",'[1]Resultat &amp; tabell'!I131=""),"",'[1]Resultat &amp; tabell'!F131)</f>
        <v/>
      </c>
      <c r="BT155" s="157">
        <f t="shared" si="890"/>
        <v>0</v>
      </c>
      <c r="BU155" s="158">
        <f t="shared" si="889"/>
        <v>0</v>
      </c>
      <c r="BV155" s="79">
        <f t="shared" si="891"/>
        <v>0</v>
      </c>
      <c r="FZ155" s="79">
        <v>153</v>
      </c>
      <c r="GA155" s="3" t="str">
        <f t="shared" si="883"/>
        <v>CJBDHFEK</v>
      </c>
      <c r="GB155" s="3" t="s">
        <v>75</v>
      </c>
      <c r="GC155" s="3" t="s">
        <v>69</v>
      </c>
      <c r="GD155" s="3" t="s">
        <v>57</v>
      </c>
      <c r="GE155" s="3" t="s">
        <v>58</v>
      </c>
      <c r="GF155" s="3" t="s">
        <v>70</v>
      </c>
      <c r="GG155" s="3" t="s">
        <v>21</v>
      </c>
      <c r="GH155" s="3" t="s">
        <v>59</v>
      </c>
      <c r="GI155" s="3" t="s">
        <v>62</v>
      </c>
      <c r="GJ155" s="9" t="str">
        <f t="shared" si="878"/>
        <v>Haiti</v>
      </c>
      <c r="GK155" s="9" t="str">
        <f t="shared" si="878"/>
        <v>Österrike</v>
      </c>
      <c r="GL155" s="9" t="str">
        <f t="shared" si="878"/>
        <v>Qatar</v>
      </c>
      <c r="GM155" s="9" t="str">
        <f t="shared" si="877"/>
        <v>Australien</v>
      </c>
      <c r="GN155" s="9" t="str">
        <f t="shared" si="877"/>
        <v>Saudiarabien</v>
      </c>
      <c r="GO155" s="9" t="str">
        <f t="shared" si="877"/>
        <v>Sverige</v>
      </c>
      <c r="GP155" s="9" t="str">
        <f t="shared" si="877"/>
        <v>Elfenbenskusten</v>
      </c>
      <c r="GQ155" s="9" t="str">
        <f t="shared" si="877"/>
        <v>Uzbekistan</v>
      </c>
      <c r="GR155" s="9" t="str">
        <f t="shared" si="884"/>
        <v/>
      </c>
      <c r="GX155" s="142"/>
    </row>
    <row r="156" spans="2:206" ht="14.25" customHeight="1" x14ac:dyDescent="0.25">
      <c r="B156" s="19" t="s">
        <v>98</v>
      </c>
      <c r="C156" s="97"/>
      <c r="D156" s="126"/>
      <c r="E156" s="33"/>
      <c r="F156" s="126"/>
      <c r="G156" s="25"/>
      <c r="H156" s="25"/>
      <c r="I156" s="25"/>
      <c r="J156" s="23"/>
      <c r="K156" s="16"/>
      <c r="L156" s="49"/>
      <c r="O156" s="156"/>
      <c r="P156" s="76"/>
      <c r="Q156" s="76"/>
      <c r="R156" s="76"/>
      <c r="S156" s="76"/>
      <c r="T156" s="76"/>
      <c r="U156" s="76"/>
      <c r="V156" s="50"/>
      <c r="AI156" s="135"/>
      <c r="AJ156" s="135"/>
      <c r="AK156" s="135"/>
      <c r="AL156" s="16"/>
      <c r="AM156" s="16"/>
      <c r="BQ156" s="13">
        <f t="shared" si="894"/>
        <v>90</v>
      </c>
      <c r="BR156" s="12" t="str">
        <f t="shared" si="895"/>
        <v>Vinnare match 75</v>
      </c>
      <c r="BS156" s="156" t="str">
        <f>IF(OR('[1]Resultat &amp; tabell'!G132="",'[1]Resultat &amp; tabell'!I132=""),"",'[1]Resultat &amp; tabell'!F132)</f>
        <v/>
      </c>
      <c r="BT156" s="157">
        <f t="shared" si="890"/>
        <v>0</v>
      </c>
      <c r="BU156" s="158">
        <f t="shared" si="889"/>
        <v>0</v>
      </c>
      <c r="BV156" s="79">
        <f t="shared" si="891"/>
        <v>0</v>
      </c>
      <c r="FZ156" s="79">
        <v>154</v>
      </c>
      <c r="GA156" s="3" t="str">
        <f t="shared" si="883"/>
        <v>CEBDHFLI</v>
      </c>
      <c r="GB156" s="3" t="s">
        <v>75</v>
      </c>
      <c r="GC156" s="3" t="s">
        <v>59</v>
      </c>
      <c r="GD156" s="3" t="s">
        <v>57</v>
      </c>
      <c r="GE156" s="3" t="s">
        <v>58</v>
      </c>
      <c r="GF156" s="3" t="s">
        <v>70</v>
      </c>
      <c r="GG156" s="3" t="s">
        <v>21</v>
      </c>
      <c r="GH156" s="3" t="s">
        <v>63</v>
      </c>
      <c r="GI156" s="3" t="s">
        <v>61</v>
      </c>
      <c r="GJ156" s="9" t="str">
        <f t="shared" si="878"/>
        <v>Haiti</v>
      </c>
      <c r="GK156" s="9" t="str">
        <f t="shared" si="878"/>
        <v>Elfenbenskusten</v>
      </c>
      <c r="GL156" s="9" t="str">
        <f t="shared" si="878"/>
        <v>Qatar</v>
      </c>
      <c r="GM156" s="9" t="str">
        <f t="shared" si="877"/>
        <v>Australien</v>
      </c>
      <c r="GN156" s="9" t="str">
        <f t="shared" si="877"/>
        <v>Saudiarabien</v>
      </c>
      <c r="GO156" s="9" t="str">
        <f t="shared" si="877"/>
        <v>Sverige</v>
      </c>
      <c r="GP156" s="9" t="str">
        <f t="shared" si="877"/>
        <v>Ghana</v>
      </c>
      <c r="GQ156" s="9" t="str">
        <f t="shared" si="877"/>
        <v>Irak</v>
      </c>
      <c r="GR156" s="9" t="str">
        <f t="shared" si="884"/>
        <v/>
      </c>
      <c r="GX156" s="142"/>
    </row>
    <row r="157" spans="2:206" ht="14.25" customHeight="1" x14ac:dyDescent="0.25">
      <c r="B157" s="117" t="s">
        <v>12</v>
      </c>
      <c r="C157" s="107" t="s">
        <v>13</v>
      </c>
      <c r="D157" s="181" t="s">
        <v>12</v>
      </c>
      <c r="E157" s="182"/>
      <c r="F157" s="183"/>
      <c r="G157" s="184" t="s">
        <v>14</v>
      </c>
      <c r="H157" s="184"/>
      <c r="I157" s="184"/>
      <c r="J157" s="47" t="s">
        <v>15</v>
      </c>
      <c r="K157" s="48" t="s">
        <v>16</v>
      </c>
      <c r="L157" s="49"/>
      <c r="O157" s="171" t="s">
        <v>164</v>
      </c>
      <c r="P157" s="145"/>
      <c r="Q157" s="16"/>
      <c r="R157" s="185" t="s">
        <v>165</v>
      </c>
      <c r="S157" s="186"/>
      <c r="T157" s="186"/>
      <c r="U157" s="187"/>
      <c r="V157" s="50"/>
      <c r="AI157" s="188"/>
      <c r="AJ157" s="188"/>
      <c r="AK157" s="188"/>
      <c r="AL157" s="16"/>
      <c r="AM157" s="16"/>
      <c r="BQ157" s="13">
        <f t="shared" si="894"/>
        <v>91</v>
      </c>
      <c r="BR157" s="12" t="str">
        <f t="shared" si="895"/>
        <v>Vinnare match 78</v>
      </c>
      <c r="BS157" s="156" t="str">
        <f>IF(OR('[1]Resultat &amp; tabell'!G133="",'[1]Resultat &amp; tabell'!I133=""),"",'[1]Resultat &amp; tabell'!F133)</f>
        <v/>
      </c>
      <c r="BT157" s="157">
        <f t="shared" si="890"/>
        <v>0</v>
      </c>
      <c r="BU157" s="158">
        <f t="shared" si="889"/>
        <v>0</v>
      </c>
      <c r="BV157" s="79">
        <f t="shared" si="891"/>
        <v>0</v>
      </c>
      <c r="FZ157" s="79">
        <v>155</v>
      </c>
      <c r="GA157" s="3" t="str">
        <f t="shared" si="883"/>
        <v>CEBDHFIK</v>
      </c>
      <c r="GB157" s="3" t="s">
        <v>75</v>
      </c>
      <c r="GC157" s="3" t="s">
        <v>59</v>
      </c>
      <c r="GD157" s="3" t="s">
        <v>57</v>
      </c>
      <c r="GE157" s="3" t="s">
        <v>58</v>
      </c>
      <c r="GF157" s="3" t="s">
        <v>70</v>
      </c>
      <c r="GG157" s="3" t="s">
        <v>21</v>
      </c>
      <c r="GH157" s="3" t="s">
        <v>61</v>
      </c>
      <c r="GI157" s="3" t="s">
        <v>62</v>
      </c>
      <c r="GJ157" s="9" t="str">
        <f t="shared" si="878"/>
        <v>Haiti</v>
      </c>
      <c r="GK157" s="9" t="str">
        <f t="shared" si="878"/>
        <v>Elfenbenskusten</v>
      </c>
      <c r="GL157" s="9" t="str">
        <f t="shared" si="878"/>
        <v>Qatar</v>
      </c>
      <c r="GM157" s="9" t="str">
        <f t="shared" si="877"/>
        <v>Australien</v>
      </c>
      <c r="GN157" s="9" t="str">
        <f t="shared" si="877"/>
        <v>Saudiarabien</v>
      </c>
      <c r="GO157" s="9" t="str">
        <f t="shared" si="877"/>
        <v>Sverige</v>
      </c>
      <c r="GP157" s="9" t="str">
        <f t="shared" si="877"/>
        <v>Irak</v>
      </c>
      <c r="GQ157" s="9" t="str">
        <f t="shared" si="877"/>
        <v>Uzbekistan</v>
      </c>
      <c r="GR157" s="9" t="str">
        <f t="shared" si="884"/>
        <v/>
      </c>
      <c r="GX157" s="142"/>
    </row>
    <row r="158" spans="2:206" ht="14.25" customHeight="1" x14ac:dyDescent="0.25">
      <c r="B158" s="177">
        <v>104</v>
      </c>
      <c r="C158" s="59">
        <v>46222</v>
      </c>
      <c r="D158" s="166" t="str">
        <f>IF(O149="","Vinnare match 101",O149)</f>
        <v>Vinnare match 101</v>
      </c>
      <c r="E158" s="172" t="s">
        <v>66</v>
      </c>
      <c r="F158" s="62" t="str">
        <f>IF(O150="","Vinnare match 102",O150)</f>
        <v>Vinnare match 102</v>
      </c>
      <c r="G158" s="63"/>
      <c r="H158" s="64" t="s">
        <v>66</v>
      </c>
      <c r="I158" s="63"/>
      <c r="J158" s="65" t="str">
        <f>IF(OR(ISBLANK(G158),ISBLANK(I158)),"",IF(G158&gt;I158,1,IF(G158&lt;I158,2,"X")))</f>
        <v/>
      </c>
      <c r="K158" s="66">
        <f>IF(OR(G158="",I158="",'[1]Resultat &amp; tabell'!G158="",'[1]Resultat &amp; tabell'!I158=""),0,IF(G158='[1]Resultat &amp; tabell'!G158,2,0)+IF(I158='[1]Resultat &amp; tabell'!I158,2,0)+IF(J158='[1]Resultat &amp; tabell'!J158,2,0))</f>
        <v>0</v>
      </c>
      <c r="L158" s="67"/>
      <c r="O158" s="150"/>
      <c r="P158" s="151" t="str">
        <f>IF(OR(ISBLANK(D158),ISBLANK(F158),J158="",O158=""),"",IF(OR(AND(J158=1,O158=D158),AND(J158=2,O158=F158),AND(J158="X",OR(O158=D158,O158=F158))),"","Ej OK"))</f>
        <v/>
      </c>
      <c r="Q158" s="168"/>
      <c r="R158" s="178">
        <f>BV191</f>
        <v>0</v>
      </c>
      <c r="S158" s="179"/>
      <c r="T158" s="179"/>
      <c r="U158" s="180"/>
      <c r="V158" s="50"/>
      <c r="AI158" s="139"/>
      <c r="AJ158" s="105"/>
      <c r="AK158" s="139"/>
      <c r="AL158" s="73"/>
      <c r="AM158" s="73"/>
      <c r="BQ158" s="13">
        <f t="shared" si="894"/>
        <v>92</v>
      </c>
      <c r="BR158" s="12" t="str">
        <f t="shared" si="895"/>
        <v>Vinnare match 80</v>
      </c>
      <c r="BS158" s="156" t="str">
        <f>IF(OR('[1]Resultat &amp; tabell'!G134="",'[1]Resultat &amp; tabell'!I134=""),"",'[1]Resultat &amp; tabell'!F134)</f>
        <v/>
      </c>
      <c r="BT158" s="157">
        <f t="shared" si="890"/>
        <v>0</v>
      </c>
      <c r="BU158" s="158">
        <f t="shared" si="889"/>
        <v>0</v>
      </c>
      <c r="BV158" s="79">
        <f t="shared" si="891"/>
        <v>0</v>
      </c>
      <c r="FZ158" s="79">
        <v>156</v>
      </c>
      <c r="GA158" s="3" t="str">
        <f t="shared" si="883"/>
        <v>CJBDHFEI</v>
      </c>
      <c r="GB158" s="3" t="s">
        <v>75</v>
      </c>
      <c r="GC158" s="3" t="s">
        <v>69</v>
      </c>
      <c r="GD158" s="3" t="s">
        <v>57</v>
      </c>
      <c r="GE158" s="3" t="s">
        <v>58</v>
      </c>
      <c r="GF158" s="3" t="s">
        <v>70</v>
      </c>
      <c r="GG158" s="3" t="s">
        <v>21</v>
      </c>
      <c r="GH158" s="3" t="s">
        <v>59</v>
      </c>
      <c r="GI158" s="3" t="s">
        <v>61</v>
      </c>
      <c r="GJ158" s="9" t="str">
        <f t="shared" si="878"/>
        <v>Haiti</v>
      </c>
      <c r="GK158" s="9" t="str">
        <f t="shared" si="878"/>
        <v>Österrike</v>
      </c>
      <c r="GL158" s="9" t="str">
        <f t="shared" si="878"/>
        <v>Qatar</v>
      </c>
      <c r="GM158" s="9" t="str">
        <f t="shared" si="877"/>
        <v>Australien</v>
      </c>
      <c r="GN158" s="9" t="str">
        <f t="shared" si="877"/>
        <v>Saudiarabien</v>
      </c>
      <c r="GO158" s="9" t="str">
        <f t="shared" si="877"/>
        <v>Sverige</v>
      </c>
      <c r="GP158" s="9" t="str">
        <f t="shared" si="877"/>
        <v>Elfenbenskusten</v>
      </c>
      <c r="GQ158" s="9" t="str">
        <f t="shared" si="877"/>
        <v>Irak</v>
      </c>
      <c r="GR158" s="9" t="str">
        <f t="shared" si="884"/>
        <v/>
      </c>
      <c r="GX158" s="27"/>
    </row>
    <row r="159" spans="2:206" ht="14.25" customHeight="1" x14ac:dyDescent="0.25">
      <c r="AI159" s="105"/>
      <c r="AJ159" s="105"/>
      <c r="AK159" s="105"/>
      <c r="AL159" s="27"/>
      <c r="BQ159" s="13">
        <f t="shared" si="894"/>
        <v>93</v>
      </c>
      <c r="BR159" s="12" t="str">
        <f t="shared" si="895"/>
        <v>Vinnare match 84</v>
      </c>
      <c r="BS159" s="156" t="str">
        <f>IF(OR('[1]Resultat &amp; tabell'!G135="",'[1]Resultat &amp; tabell'!I135=""),"",'[1]Resultat &amp; tabell'!F135)</f>
        <v/>
      </c>
      <c r="BT159" s="157">
        <f t="shared" si="890"/>
        <v>0</v>
      </c>
      <c r="BU159" s="158">
        <f t="shared" si="889"/>
        <v>0</v>
      </c>
      <c r="BV159" s="79">
        <f t="shared" si="891"/>
        <v>0</v>
      </c>
      <c r="FZ159" s="79">
        <v>157</v>
      </c>
      <c r="GA159" s="3" t="str">
        <f t="shared" si="883"/>
        <v>CGBDEFLK</v>
      </c>
      <c r="GB159" s="3" t="s">
        <v>75</v>
      </c>
      <c r="GC159" s="3" t="s">
        <v>60</v>
      </c>
      <c r="GD159" s="3" t="s">
        <v>57</v>
      </c>
      <c r="GE159" s="3" t="s">
        <v>58</v>
      </c>
      <c r="GF159" s="3" t="s">
        <v>59</v>
      </c>
      <c r="GG159" s="3" t="s">
        <v>21</v>
      </c>
      <c r="GH159" s="3" t="s">
        <v>63</v>
      </c>
      <c r="GI159" s="3" t="s">
        <v>62</v>
      </c>
      <c r="GJ159" s="9" t="str">
        <f t="shared" si="878"/>
        <v>Haiti</v>
      </c>
      <c r="GK159" s="9" t="str">
        <f t="shared" si="878"/>
        <v>Iran</v>
      </c>
      <c r="GL159" s="9" t="str">
        <f t="shared" si="878"/>
        <v>Qatar</v>
      </c>
      <c r="GM159" s="9" t="str">
        <f t="shared" si="877"/>
        <v>Australien</v>
      </c>
      <c r="GN159" s="9" t="str">
        <f t="shared" si="877"/>
        <v>Elfenbenskusten</v>
      </c>
      <c r="GO159" s="9" t="str">
        <f t="shared" si="877"/>
        <v>Sverige</v>
      </c>
      <c r="GP159" s="9" t="str">
        <f t="shared" si="877"/>
        <v>Ghana</v>
      </c>
      <c r="GQ159" s="9" t="str">
        <f t="shared" si="877"/>
        <v>Uzbekistan</v>
      </c>
      <c r="GR159" s="9" t="str">
        <f t="shared" si="884"/>
        <v/>
      </c>
      <c r="GX159" s="27"/>
    </row>
    <row r="160" spans="2:206" ht="14.25" customHeight="1" x14ac:dyDescent="0.25">
      <c r="AI160" s="105"/>
      <c r="AJ160" s="105"/>
      <c r="AK160" s="105"/>
      <c r="AL160" s="27"/>
      <c r="BQ160" s="13">
        <f t="shared" si="894"/>
        <v>94</v>
      </c>
      <c r="BR160" s="12" t="str">
        <f t="shared" si="895"/>
        <v>Vinnare match 82</v>
      </c>
      <c r="BS160" s="156" t="str">
        <f>IF(OR('[1]Resultat &amp; tabell'!G136="",'[1]Resultat &amp; tabell'!I136=""),"",'[1]Resultat &amp; tabell'!F136)</f>
        <v/>
      </c>
      <c r="BT160" s="157">
        <f t="shared" si="890"/>
        <v>0</v>
      </c>
      <c r="BU160" s="158">
        <f t="shared" si="889"/>
        <v>0</v>
      </c>
      <c r="BV160" s="79">
        <f t="shared" si="891"/>
        <v>0</v>
      </c>
      <c r="FZ160" s="79">
        <v>158</v>
      </c>
      <c r="GA160" s="3" t="str">
        <f t="shared" si="883"/>
        <v>CGBDJFLE</v>
      </c>
      <c r="GB160" s="3" t="s">
        <v>75</v>
      </c>
      <c r="GC160" s="3" t="s">
        <v>60</v>
      </c>
      <c r="GD160" s="3" t="s">
        <v>57</v>
      </c>
      <c r="GE160" s="3" t="s">
        <v>58</v>
      </c>
      <c r="GF160" s="3" t="s">
        <v>69</v>
      </c>
      <c r="GG160" s="3" t="s">
        <v>21</v>
      </c>
      <c r="GH160" s="3" t="s">
        <v>63</v>
      </c>
      <c r="GI160" s="3" t="s">
        <v>59</v>
      </c>
      <c r="GJ160" s="9" t="str">
        <f t="shared" si="878"/>
        <v>Haiti</v>
      </c>
      <c r="GK160" s="9" t="str">
        <f t="shared" si="878"/>
        <v>Iran</v>
      </c>
      <c r="GL160" s="9" t="str">
        <f t="shared" si="878"/>
        <v>Qatar</v>
      </c>
      <c r="GM160" s="9" t="str">
        <f t="shared" si="877"/>
        <v>Australien</v>
      </c>
      <c r="GN160" s="9" t="str">
        <f t="shared" si="877"/>
        <v>Österrike</v>
      </c>
      <c r="GO160" s="9" t="str">
        <f t="shared" si="877"/>
        <v>Sverige</v>
      </c>
      <c r="GP160" s="9" t="str">
        <f t="shared" si="877"/>
        <v>Ghana</v>
      </c>
      <c r="GQ160" s="9" t="str">
        <f t="shared" si="877"/>
        <v>Elfenbenskusten</v>
      </c>
      <c r="GR160" s="9" t="str">
        <f t="shared" si="884"/>
        <v/>
      </c>
      <c r="GX160" s="15"/>
    </row>
    <row r="161" spans="35:206" ht="14.25" customHeight="1" x14ac:dyDescent="0.25">
      <c r="AI161" s="105"/>
      <c r="AJ161" s="105"/>
      <c r="AK161" s="105"/>
      <c r="AL161" s="27"/>
      <c r="BQ161" s="13">
        <f t="shared" si="894"/>
        <v>95</v>
      </c>
      <c r="BR161" s="12" t="str">
        <f t="shared" si="895"/>
        <v>Vinnare match 88</v>
      </c>
      <c r="BS161" s="156" t="str">
        <f>IF(OR('[1]Resultat &amp; tabell'!G137="",'[1]Resultat &amp; tabell'!I137=""),"",'[1]Resultat &amp; tabell'!F137)</f>
        <v/>
      </c>
      <c r="BT161" s="157">
        <f t="shared" si="890"/>
        <v>0</v>
      </c>
      <c r="BU161" s="158">
        <f t="shared" si="889"/>
        <v>0</v>
      </c>
      <c r="BV161" s="79">
        <f t="shared" si="891"/>
        <v>0</v>
      </c>
      <c r="FZ161" s="79">
        <v>159</v>
      </c>
      <c r="GA161" s="3" t="str">
        <f t="shared" si="883"/>
        <v>CGBDJFEK</v>
      </c>
      <c r="GB161" s="3" t="s">
        <v>75</v>
      </c>
      <c r="GC161" s="3" t="s">
        <v>60</v>
      </c>
      <c r="GD161" s="3" t="s">
        <v>57</v>
      </c>
      <c r="GE161" s="3" t="s">
        <v>58</v>
      </c>
      <c r="GF161" s="3" t="s">
        <v>69</v>
      </c>
      <c r="GG161" s="3" t="s">
        <v>21</v>
      </c>
      <c r="GH161" s="3" t="s">
        <v>59</v>
      </c>
      <c r="GI161" s="3" t="s">
        <v>62</v>
      </c>
      <c r="GJ161" s="9" t="str">
        <f t="shared" si="878"/>
        <v>Haiti</v>
      </c>
      <c r="GK161" s="9" t="str">
        <f t="shared" si="878"/>
        <v>Iran</v>
      </c>
      <c r="GL161" s="9" t="str">
        <f t="shared" si="878"/>
        <v>Qatar</v>
      </c>
      <c r="GM161" s="9" t="str">
        <f t="shared" si="877"/>
        <v>Australien</v>
      </c>
      <c r="GN161" s="9" t="str">
        <f t="shared" si="877"/>
        <v>Österrike</v>
      </c>
      <c r="GO161" s="9" t="str">
        <f t="shared" si="877"/>
        <v>Sverige</v>
      </c>
      <c r="GP161" s="9" t="str">
        <f t="shared" si="877"/>
        <v>Elfenbenskusten</v>
      </c>
      <c r="GQ161" s="9" t="str">
        <f t="shared" si="877"/>
        <v>Uzbekistan</v>
      </c>
      <c r="GR161" s="9" t="str">
        <f t="shared" si="884"/>
        <v/>
      </c>
      <c r="GX161" s="142"/>
    </row>
    <row r="162" spans="35:206" ht="14.25" customHeight="1" x14ac:dyDescent="0.25">
      <c r="AI162" s="105"/>
      <c r="AJ162" s="105"/>
      <c r="AK162" s="105"/>
      <c r="AL162" s="27"/>
      <c r="BQ162" s="13">
        <f t="shared" si="894"/>
        <v>96</v>
      </c>
      <c r="BR162" s="12" t="str">
        <f t="shared" si="895"/>
        <v>Vinnare match 87</v>
      </c>
      <c r="BS162" s="156" t="str">
        <f>IF(OR('[1]Resultat &amp; tabell'!G138="",'[1]Resultat &amp; tabell'!I138=""),"",'[1]Resultat &amp; tabell'!F138)</f>
        <v/>
      </c>
      <c r="BT162" s="157">
        <f t="shared" si="890"/>
        <v>0</v>
      </c>
      <c r="BU162" s="158">
        <f t="shared" si="889"/>
        <v>0</v>
      </c>
      <c r="BV162" s="79">
        <f t="shared" si="891"/>
        <v>0</v>
      </c>
      <c r="FZ162" s="79">
        <v>160</v>
      </c>
      <c r="GA162" s="3" t="str">
        <f t="shared" si="883"/>
        <v>CGBDEFLI</v>
      </c>
      <c r="GB162" s="3" t="s">
        <v>75</v>
      </c>
      <c r="GC162" s="3" t="s">
        <v>60</v>
      </c>
      <c r="GD162" s="3" t="s">
        <v>57</v>
      </c>
      <c r="GE162" s="3" t="s">
        <v>58</v>
      </c>
      <c r="GF162" s="3" t="s">
        <v>59</v>
      </c>
      <c r="GG162" s="3" t="s">
        <v>21</v>
      </c>
      <c r="GH162" s="3" t="s">
        <v>63</v>
      </c>
      <c r="GI162" s="3" t="s">
        <v>61</v>
      </c>
      <c r="GJ162" s="9" t="str">
        <f t="shared" si="878"/>
        <v>Haiti</v>
      </c>
      <c r="GK162" s="9" t="str">
        <f t="shared" si="878"/>
        <v>Iran</v>
      </c>
      <c r="GL162" s="9" t="str">
        <f t="shared" si="878"/>
        <v>Qatar</v>
      </c>
      <c r="GM162" s="9" t="str">
        <f t="shared" si="877"/>
        <v>Australien</v>
      </c>
      <c r="GN162" s="9" t="str">
        <f t="shared" si="877"/>
        <v>Elfenbenskusten</v>
      </c>
      <c r="GO162" s="9" t="str">
        <f t="shared" si="877"/>
        <v>Sverige</v>
      </c>
      <c r="GP162" s="9" t="str">
        <f t="shared" si="877"/>
        <v>Ghana</v>
      </c>
      <c r="GQ162" s="9" t="str">
        <f t="shared" si="877"/>
        <v>Irak</v>
      </c>
      <c r="GR162" s="9" t="str">
        <f t="shared" si="884"/>
        <v/>
      </c>
      <c r="GX162" s="142"/>
    </row>
    <row r="163" spans="35:206" ht="14.25" customHeight="1" x14ac:dyDescent="0.25">
      <c r="AI163" s="105"/>
      <c r="AJ163" s="105"/>
      <c r="AK163" s="105"/>
      <c r="AL163" s="27"/>
      <c r="BS163" s="156"/>
      <c r="BU163" s="146" t="s">
        <v>157</v>
      </c>
      <c r="BV163" s="146">
        <f>SUM(BV147:BV162)</f>
        <v>0</v>
      </c>
      <c r="FZ163" s="79">
        <v>161</v>
      </c>
      <c r="GA163" s="3" t="str">
        <f t="shared" si="883"/>
        <v>CGBDEFIK</v>
      </c>
      <c r="GB163" s="3" t="s">
        <v>75</v>
      </c>
      <c r="GC163" s="3" t="s">
        <v>60</v>
      </c>
      <c r="GD163" s="3" t="s">
        <v>57</v>
      </c>
      <c r="GE163" s="3" t="s">
        <v>58</v>
      </c>
      <c r="GF163" s="3" t="s">
        <v>59</v>
      </c>
      <c r="GG163" s="3" t="s">
        <v>21</v>
      </c>
      <c r="GH163" s="3" t="s">
        <v>61</v>
      </c>
      <c r="GI163" s="3" t="s">
        <v>62</v>
      </c>
      <c r="GJ163" s="9" t="str">
        <f t="shared" si="878"/>
        <v>Haiti</v>
      </c>
      <c r="GK163" s="9" t="str">
        <f t="shared" si="878"/>
        <v>Iran</v>
      </c>
      <c r="GL163" s="9" t="str">
        <f t="shared" si="878"/>
        <v>Qatar</v>
      </c>
      <c r="GM163" s="9" t="str">
        <f t="shared" si="877"/>
        <v>Australien</v>
      </c>
      <c r="GN163" s="9" t="str">
        <f t="shared" si="877"/>
        <v>Elfenbenskusten</v>
      </c>
      <c r="GO163" s="9" t="str">
        <f t="shared" si="877"/>
        <v>Sverige</v>
      </c>
      <c r="GP163" s="9" t="str">
        <f t="shared" si="877"/>
        <v>Irak</v>
      </c>
      <c r="GQ163" s="9" t="str">
        <f t="shared" si="877"/>
        <v>Uzbekistan</v>
      </c>
      <c r="GR163" s="9" t="str">
        <f t="shared" si="884"/>
        <v/>
      </c>
      <c r="GX163" s="142"/>
    </row>
    <row r="164" spans="35:206" ht="14.25" customHeight="1" x14ac:dyDescent="0.25">
      <c r="AI164" s="105"/>
      <c r="AJ164" s="105"/>
      <c r="AK164" s="105"/>
      <c r="AL164" s="27"/>
      <c r="BQ164" s="19" t="s">
        <v>95</v>
      </c>
      <c r="BS164" s="156"/>
      <c r="FZ164" s="79">
        <v>162</v>
      </c>
      <c r="GA164" s="3" t="str">
        <f t="shared" si="883"/>
        <v>CGBDJFEI</v>
      </c>
      <c r="GB164" s="3" t="s">
        <v>75</v>
      </c>
      <c r="GC164" s="3" t="s">
        <v>60</v>
      </c>
      <c r="GD164" s="3" t="s">
        <v>57</v>
      </c>
      <c r="GE164" s="3" t="s">
        <v>58</v>
      </c>
      <c r="GF164" s="3" t="s">
        <v>69</v>
      </c>
      <c r="GG164" s="3" t="s">
        <v>21</v>
      </c>
      <c r="GH164" s="3" t="s">
        <v>59</v>
      </c>
      <c r="GI164" s="3" t="s">
        <v>61</v>
      </c>
      <c r="GJ164" s="9" t="str">
        <f t="shared" si="878"/>
        <v>Haiti</v>
      </c>
      <c r="GK164" s="9" t="str">
        <f t="shared" si="878"/>
        <v>Iran</v>
      </c>
      <c r="GL164" s="9" t="str">
        <f t="shared" si="878"/>
        <v>Qatar</v>
      </c>
      <c r="GM164" s="9" t="str">
        <f t="shared" si="877"/>
        <v>Australien</v>
      </c>
      <c r="GN164" s="9" t="str">
        <f t="shared" si="877"/>
        <v>Österrike</v>
      </c>
      <c r="GO164" s="9" t="str">
        <f t="shared" si="877"/>
        <v>Sverige</v>
      </c>
      <c r="GP164" s="9" t="str">
        <f t="shared" si="877"/>
        <v>Elfenbenskusten</v>
      </c>
      <c r="GQ164" s="9" t="str">
        <f t="shared" si="877"/>
        <v>Irak</v>
      </c>
      <c r="GR164" s="9" t="str">
        <f t="shared" si="884"/>
        <v/>
      </c>
      <c r="GX164" s="142"/>
    </row>
    <row r="165" spans="35:206" ht="14.25" customHeight="1" x14ac:dyDescent="0.25">
      <c r="AI165" s="105"/>
      <c r="AJ165" s="105"/>
      <c r="AK165" s="105"/>
      <c r="AL165" s="27"/>
      <c r="BQ165" s="146" t="s">
        <v>12</v>
      </c>
      <c r="BR165" s="26" t="s">
        <v>147</v>
      </c>
      <c r="BS165" s="147" t="s">
        <v>148</v>
      </c>
      <c r="BT165" s="147" t="s">
        <v>149</v>
      </c>
      <c r="BU165" s="147" t="s">
        <v>150</v>
      </c>
      <c r="BV165" s="147" t="s">
        <v>16</v>
      </c>
      <c r="FZ165" s="79">
        <v>163</v>
      </c>
      <c r="GA165" s="3" t="str">
        <f t="shared" si="883"/>
        <v>CGBDHFLE</v>
      </c>
      <c r="GB165" s="3" t="s">
        <v>75</v>
      </c>
      <c r="GC165" s="3" t="s">
        <v>60</v>
      </c>
      <c r="GD165" s="3" t="s">
        <v>57</v>
      </c>
      <c r="GE165" s="3" t="s">
        <v>58</v>
      </c>
      <c r="GF165" s="3" t="s">
        <v>70</v>
      </c>
      <c r="GG165" s="3" t="s">
        <v>21</v>
      </c>
      <c r="GH165" s="3" t="s">
        <v>63</v>
      </c>
      <c r="GI165" s="3" t="s">
        <v>59</v>
      </c>
      <c r="GJ165" s="9" t="str">
        <f t="shared" si="878"/>
        <v>Haiti</v>
      </c>
      <c r="GK165" s="9" t="str">
        <f t="shared" si="878"/>
        <v>Iran</v>
      </c>
      <c r="GL165" s="9" t="str">
        <f t="shared" si="878"/>
        <v>Qatar</v>
      </c>
      <c r="GM165" s="9" t="str">
        <f t="shared" si="877"/>
        <v>Australien</v>
      </c>
      <c r="GN165" s="9" t="str">
        <f t="shared" si="877"/>
        <v>Saudiarabien</v>
      </c>
      <c r="GO165" s="9" t="str">
        <f t="shared" si="877"/>
        <v>Sverige</v>
      </c>
      <c r="GP165" s="9" t="str">
        <f t="shared" si="877"/>
        <v>Ghana</v>
      </c>
      <c r="GQ165" s="9" t="str">
        <f t="shared" si="877"/>
        <v>Elfenbenskusten</v>
      </c>
      <c r="GR165" s="9" t="str">
        <f t="shared" si="884"/>
        <v/>
      </c>
      <c r="GX165" s="27"/>
    </row>
    <row r="166" spans="35:206" ht="14.25" customHeight="1" x14ac:dyDescent="0.25">
      <c r="BQ166" s="13">
        <f>B142</f>
        <v>97</v>
      </c>
      <c r="BR166" s="155" t="str">
        <f>D142</f>
        <v>Vinnare match 89</v>
      </c>
      <c r="BS166" s="156" t="str">
        <f>IF(OR('[1]Resultat &amp; tabell'!G142="",'[1]Resultat &amp; tabell'!I142=""),"",'[1]Resultat &amp; tabell'!D142)</f>
        <v/>
      </c>
      <c r="BT166" s="157">
        <f>IF(ISERROR(VLOOKUP(BR166,$BS$166:$BS$173,1,FALSE)),0,1)</f>
        <v>0</v>
      </c>
      <c r="BU166" s="158">
        <f t="shared" ref="BU166:BU173" si="896">BT166</f>
        <v>0</v>
      </c>
      <c r="BV166" s="79">
        <f>BU166*4</f>
        <v>0</v>
      </c>
      <c r="FZ166" s="79">
        <v>164</v>
      </c>
      <c r="GA166" s="3" t="str">
        <f t="shared" si="883"/>
        <v>CGBDHFEK</v>
      </c>
      <c r="GB166" s="3" t="s">
        <v>75</v>
      </c>
      <c r="GC166" s="3" t="s">
        <v>60</v>
      </c>
      <c r="GD166" s="3" t="s">
        <v>57</v>
      </c>
      <c r="GE166" s="3" t="s">
        <v>58</v>
      </c>
      <c r="GF166" s="3" t="s">
        <v>70</v>
      </c>
      <c r="GG166" s="3" t="s">
        <v>21</v>
      </c>
      <c r="GH166" s="3" t="s">
        <v>59</v>
      </c>
      <c r="GI166" s="3" t="s">
        <v>62</v>
      </c>
      <c r="GJ166" s="9" t="str">
        <f t="shared" si="878"/>
        <v>Haiti</v>
      </c>
      <c r="GK166" s="9" t="str">
        <f t="shared" si="878"/>
        <v>Iran</v>
      </c>
      <c r="GL166" s="9" t="str">
        <f t="shared" si="878"/>
        <v>Qatar</v>
      </c>
      <c r="GM166" s="9" t="str">
        <f t="shared" si="877"/>
        <v>Australien</v>
      </c>
      <c r="GN166" s="9" t="str">
        <f t="shared" si="877"/>
        <v>Saudiarabien</v>
      </c>
      <c r="GO166" s="9" t="str">
        <f t="shared" si="877"/>
        <v>Sverige</v>
      </c>
      <c r="GP166" s="9" t="str">
        <f t="shared" si="877"/>
        <v>Elfenbenskusten</v>
      </c>
      <c r="GQ166" s="9" t="str">
        <f t="shared" si="877"/>
        <v>Uzbekistan</v>
      </c>
      <c r="GR166" s="9" t="str">
        <f t="shared" si="884"/>
        <v/>
      </c>
      <c r="GX166" s="27"/>
    </row>
    <row r="167" spans="35:206" ht="14.25" customHeight="1" x14ac:dyDescent="0.25">
      <c r="BQ167" s="13">
        <f>B143</f>
        <v>98</v>
      </c>
      <c r="BR167" s="155" t="str">
        <f t="shared" ref="BR167:BR169" si="897">D143</f>
        <v>Vinnare match 93</v>
      </c>
      <c r="BS167" s="156" t="str">
        <f>IF(OR('[1]Resultat &amp; tabell'!G143="",'[1]Resultat &amp; tabell'!I143=""),"",'[1]Resultat &amp; tabell'!D143)</f>
        <v/>
      </c>
      <c r="BT167" s="157">
        <f t="shared" ref="BT167:BT173" si="898">IF(ISERROR(VLOOKUP(BR167,$BS$166:$BS$173,1,FALSE)),0,1)</f>
        <v>0</v>
      </c>
      <c r="BU167" s="158">
        <f t="shared" si="896"/>
        <v>0</v>
      </c>
      <c r="BV167" s="79">
        <f t="shared" ref="BV167:BV173" si="899">BU167*4</f>
        <v>0</v>
      </c>
      <c r="FZ167" s="79">
        <v>165</v>
      </c>
      <c r="GA167" s="3" t="str">
        <f t="shared" si="883"/>
        <v>HGBCJFDE</v>
      </c>
      <c r="GB167" s="3" t="s">
        <v>70</v>
      </c>
      <c r="GC167" s="3" t="s">
        <v>60</v>
      </c>
      <c r="GD167" s="3" t="s">
        <v>57</v>
      </c>
      <c r="GE167" s="3" t="s">
        <v>75</v>
      </c>
      <c r="GF167" s="3" t="s">
        <v>69</v>
      </c>
      <c r="GG167" s="3" t="s">
        <v>21</v>
      </c>
      <c r="GH167" s="3" t="s">
        <v>58</v>
      </c>
      <c r="GI167" s="3" t="s">
        <v>59</v>
      </c>
      <c r="GJ167" s="9" t="str">
        <f t="shared" si="878"/>
        <v>Saudiarabien</v>
      </c>
      <c r="GK167" s="9" t="str">
        <f t="shared" si="878"/>
        <v>Iran</v>
      </c>
      <c r="GL167" s="9" t="str">
        <f t="shared" si="878"/>
        <v>Qatar</v>
      </c>
      <c r="GM167" s="9" t="str">
        <f t="shared" si="877"/>
        <v>Haiti</v>
      </c>
      <c r="GN167" s="9" t="str">
        <f t="shared" si="877"/>
        <v>Österrike</v>
      </c>
      <c r="GO167" s="9" t="str">
        <f t="shared" si="877"/>
        <v>Sverige</v>
      </c>
      <c r="GP167" s="9" t="str">
        <f t="shared" si="877"/>
        <v>Australien</v>
      </c>
      <c r="GQ167" s="9" t="str">
        <f t="shared" si="877"/>
        <v>Elfenbenskusten</v>
      </c>
      <c r="GR167" s="9" t="str">
        <f t="shared" si="884"/>
        <v/>
      </c>
      <c r="GX167" s="15"/>
    </row>
    <row r="168" spans="35:206" ht="14.25" customHeight="1" x14ac:dyDescent="0.25">
      <c r="BQ168" s="13">
        <f>B144</f>
        <v>99</v>
      </c>
      <c r="BR168" s="155" t="str">
        <f t="shared" si="897"/>
        <v>Vinnare match 91</v>
      </c>
      <c r="BS168" s="156" t="str">
        <f>IF(OR('[1]Resultat &amp; tabell'!G144="",'[1]Resultat &amp; tabell'!I144=""),"",'[1]Resultat &amp; tabell'!D144)</f>
        <v/>
      </c>
      <c r="BT168" s="157">
        <f t="shared" si="898"/>
        <v>0</v>
      </c>
      <c r="BU168" s="158">
        <f t="shared" si="896"/>
        <v>0</v>
      </c>
      <c r="BV168" s="79">
        <f t="shared" si="899"/>
        <v>0</v>
      </c>
      <c r="FZ168" s="79">
        <v>166</v>
      </c>
      <c r="GA168" s="3" t="str">
        <f t="shared" si="883"/>
        <v>CGBDHFEI</v>
      </c>
      <c r="GB168" s="3" t="s">
        <v>75</v>
      </c>
      <c r="GC168" s="3" t="s">
        <v>60</v>
      </c>
      <c r="GD168" s="3" t="s">
        <v>57</v>
      </c>
      <c r="GE168" s="3" t="s">
        <v>58</v>
      </c>
      <c r="GF168" s="3" t="s">
        <v>70</v>
      </c>
      <c r="GG168" s="3" t="s">
        <v>21</v>
      </c>
      <c r="GH168" s="3" t="s">
        <v>59</v>
      </c>
      <c r="GI168" s="3" t="s">
        <v>61</v>
      </c>
      <c r="GJ168" s="9" t="str">
        <f t="shared" si="878"/>
        <v>Haiti</v>
      </c>
      <c r="GK168" s="9" t="str">
        <f t="shared" si="878"/>
        <v>Iran</v>
      </c>
      <c r="GL168" s="9" t="str">
        <f t="shared" si="878"/>
        <v>Qatar</v>
      </c>
      <c r="GM168" s="9" t="str">
        <f t="shared" si="877"/>
        <v>Australien</v>
      </c>
      <c r="GN168" s="9" t="str">
        <f t="shared" si="877"/>
        <v>Saudiarabien</v>
      </c>
      <c r="GO168" s="9" t="str">
        <f t="shared" si="877"/>
        <v>Sverige</v>
      </c>
      <c r="GP168" s="9" t="str">
        <f t="shared" si="877"/>
        <v>Elfenbenskusten</v>
      </c>
      <c r="GQ168" s="9" t="str">
        <f t="shared" si="877"/>
        <v>Irak</v>
      </c>
      <c r="GR168" s="9" t="str">
        <f t="shared" si="884"/>
        <v/>
      </c>
      <c r="GX168" s="142"/>
    </row>
    <row r="169" spans="35:206" ht="14.25" customHeight="1" x14ac:dyDescent="0.25">
      <c r="BQ169" s="13">
        <f>B145</f>
        <v>100</v>
      </c>
      <c r="BR169" s="155" t="str">
        <f t="shared" si="897"/>
        <v>Vinnare match 95</v>
      </c>
      <c r="BS169" s="156" t="str">
        <f>IF(OR('[1]Resultat &amp; tabell'!G145="",'[1]Resultat &amp; tabell'!I145=""),"",'[1]Resultat &amp; tabell'!D145)</f>
        <v/>
      </c>
      <c r="BT169" s="157">
        <f t="shared" si="898"/>
        <v>0</v>
      </c>
      <c r="BU169" s="158">
        <f t="shared" si="896"/>
        <v>0</v>
      </c>
      <c r="BV169" s="79">
        <f t="shared" si="899"/>
        <v>0</v>
      </c>
      <c r="FZ169" s="79">
        <v>167</v>
      </c>
      <c r="GA169" s="3" t="str">
        <f t="shared" si="883"/>
        <v>HJIFAGLK</v>
      </c>
      <c r="GB169" s="3" t="s">
        <v>70</v>
      </c>
      <c r="GC169" s="3" t="s">
        <v>69</v>
      </c>
      <c r="GD169" s="3" t="s">
        <v>61</v>
      </c>
      <c r="GE169" s="3" t="s">
        <v>21</v>
      </c>
      <c r="GF169" s="3" t="s">
        <v>56</v>
      </c>
      <c r="GG169" s="3" t="s">
        <v>60</v>
      </c>
      <c r="GH169" s="3" t="s">
        <v>63</v>
      </c>
      <c r="GI169" s="3" t="s">
        <v>62</v>
      </c>
      <c r="GJ169" s="9" t="str">
        <f t="shared" si="878"/>
        <v>Saudiarabien</v>
      </c>
      <c r="GK169" s="9" t="str">
        <f t="shared" si="878"/>
        <v>Österrike</v>
      </c>
      <c r="GL169" s="9" t="str">
        <f t="shared" si="878"/>
        <v>Irak</v>
      </c>
      <c r="GM169" s="9" t="str">
        <f t="shared" si="877"/>
        <v>Sverige</v>
      </c>
      <c r="GN169" s="9" t="str">
        <f t="shared" si="877"/>
        <v>Sydkorea</v>
      </c>
      <c r="GO169" s="9" t="str">
        <f t="shared" si="877"/>
        <v>Iran</v>
      </c>
      <c r="GP169" s="9" t="str">
        <f t="shared" si="877"/>
        <v>Ghana</v>
      </c>
      <c r="GQ169" s="9" t="str">
        <f t="shared" si="877"/>
        <v>Uzbekistan</v>
      </c>
      <c r="GR169" s="9" t="str">
        <f t="shared" si="884"/>
        <v/>
      </c>
      <c r="GX169" s="142"/>
    </row>
    <row r="170" spans="35:206" ht="14.25" customHeight="1" x14ac:dyDescent="0.25">
      <c r="BQ170" s="13">
        <f>B142</f>
        <v>97</v>
      </c>
      <c r="BR170" s="12" t="str">
        <f>F142</f>
        <v>Vinnare match 90</v>
      </c>
      <c r="BS170" s="156" t="str">
        <f>IF(OR('[1]Resultat &amp; tabell'!G142="",'[1]Resultat &amp; tabell'!I142=""),"",'[1]Resultat &amp; tabell'!F142)</f>
        <v/>
      </c>
      <c r="BT170" s="157">
        <f t="shared" si="898"/>
        <v>0</v>
      </c>
      <c r="BU170" s="158">
        <f t="shared" si="896"/>
        <v>0</v>
      </c>
      <c r="BV170" s="79">
        <f t="shared" si="899"/>
        <v>0</v>
      </c>
      <c r="FZ170" s="79">
        <v>168</v>
      </c>
      <c r="GA170" s="3" t="str">
        <f t="shared" si="883"/>
        <v>EJIAHGLK</v>
      </c>
      <c r="GB170" s="3" t="s">
        <v>59</v>
      </c>
      <c r="GC170" s="3" t="s">
        <v>69</v>
      </c>
      <c r="GD170" s="3" t="s">
        <v>61</v>
      </c>
      <c r="GE170" s="3" t="s">
        <v>56</v>
      </c>
      <c r="GF170" s="3" t="s">
        <v>70</v>
      </c>
      <c r="GG170" s="3" t="s">
        <v>60</v>
      </c>
      <c r="GH170" s="3" t="s">
        <v>63</v>
      </c>
      <c r="GI170" s="3" t="s">
        <v>62</v>
      </c>
      <c r="GJ170" s="9" t="str">
        <f t="shared" si="878"/>
        <v>Elfenbenskusten</v>
      </c>
      <c r="GK170" s="9" t="str">
        <f t="shared" si="878"/>
        <v>Österrike</v>
      </c>
      <c r="GL170" s="9" t="str">
        <f t="shared" si="878"/>
        <v>Irak</v>
      </c>
      <c r="GM170" s="9" t="str">
        <f t="shared" si="877"/>
        <v>Sydkorea</v>
      </c>
      <c r="GN170" s="9" t="str">
        <f t="shared" si="877"/>
        <v>Saudiarabien</v>
      </c>
      <c r="GO170" s="9" t="str">
        <f t="shared" si="877"/>
        <v>Iran</v>
      </c>
      <c r="GP170" s="9" t="str">
        <f t="shared" si="877"/>
        <v>Ghana</v>
      </c>
      <c r="GQ170" s="9" t="str">
        <f t="shared" si="877"/>
        <v>Uzbekistan</v>
      </c>
      <c r="GR170" s="9" t="str">
        <f t="shared" si="884"/>
        <v/>
      </c>
      <c r="GX170" s="27"/>
    </row>
    <row r="171" spans="35:206" ht="14.25" customHeight="1" x14ac:dyDescent="0.25">
      <c r="BQ171" s="13">
        <f t="shared" ref="BQ171:BQ173" si="900">B143</f>
        <v>98</v>
      </c>
      <c r="BR171" s="12" t="str">
        <f t="shared" ref="BR171:BR173" si="901">F143</f>
        <v>Vinnare match 94</v>
      </c>
      <c r="BS171" s="156" t="str">
        <f>IF(OR('[1]Resultat &amp; tabell'!G143="",'[1]Resultat &amp; tabell'!I143=""),"",'[1]Resultat &amp; tabell'!F143)</f>
        <v/>
      </c>
      <c r="BT171" s="157">
        <f t="shared" si="898"/>
        <v>0</v>
      </c>
      <c r="BU171" s="158">
        <f t="shared" si="896"/>
        <v>0</v>
      </c>
      <c r="BV171" s="79">
        <f t="shared" si="899"/>
        <v>0</v>
      </c>
      <c r="FZ171" s="79">
        <v>169</v>
      </c>
      <c r="GA171" s="3" t="str">
        <f t="shared" si="883"/>
        <v>EJIFAHLK</v>
      </c>
      <c r="GB171" s="3" t="s">
        <v>59</v>
      </c>
      <c r="GC171" s="3" t="s">
        <v>69</v>
      </c>
      <c r="GD171" s="3" t="s">
        <v>61</v>
      </c>
      <c r="GE171" s="3" t="s">
        <v>21</v>
      </c>
      <c r="GF171" s="3" t="s">
        <v>56</v>
      </c>
      <c r="GG171" s="3" t="s">
        <v>70</v>
      </c>
      <c r="GH171" s="3" t="s">
        <v>63</v>
      </c>
      <c r="GI171" s="3" t="s">
        <v>62</v>
      </c>
      <c r="GJ171" s="9" t="str">
        <f t="shared" si="878"/>
        <v>Elfenbenskusten</v>
      </c>
      <c r="GK171" s="9" t="str">
        <f t="shared" si="878"/>
        <v>Österrike</v>
      </c>
      <c r="GL171" s="9" t="str">
        <f t="shared" si="878"/>
        <v>Irak</v>
      </c>
      <c r="GM171" s="9" t="str">
        <f t="shared" si="877"/>
        <v>Sverige</v>
      </c>
      <c r="GN171" s="9" t="str">
        <f t="shared" si="877"/>
        <v>Sydkorea</v>
      </c>
      <c r="GO171" s="9" t="str">
        <f t="shared" si="877"/>
        <v>Saudiarabien</v>
      </c>
      <c r="GP171" s="9" t="str">
        <f t="shared" si="877"/>
        <v>Ghana</v>
      </c>
      <c r="GQ171" s="9" t="str">
        <f t="shared" si="877"/>
        <v>Uzbekistan</v>
      </c>
      <c r="GR171" s="9" t="str">
        <f t="shared" si="884"/>
        <v/>
      </c>
      <c r="GX171" s="27"/>
    </row>
    <row r="172" spans="35:206" ht="14.25" customHeight="1" x14ac:dyDescent="0.25">
      <c r="BQ172" s="13">
        <f t="shared" si="900"/>
        <v>99</v>
      </c>
      <c r="BR172" s="12" t="str">
        <f t="shared" si="901"/>
        <v>Vinnare match 92</v>
      </c>
      <c r="BS172" s="156" t="str">
        <f>IF(OR('[1]Resultat &amp; tabell'!G144="",'[1]Resultat &amp; tabell'!I144=""),"",'[1]Resultat &amp; tabell'!F144)</f>
        <v/>
      </c>
      <c r="BT172" s="157">
        <f t="shared" si="898"/>
        <v>0</v>
      </c>
      <c r="BU172" s="158">
        <f t="shared" si="896"/>
        <v>0</v>
      </c>
      <c r="BV172" s="79">
        <f t="shared" si="899"/>
        <v>0</v>
      </c>
      <c r="FZ172" s="79">
        <v>170</v>
      </c>
      <c r="GA172" s="3" t="str">
        <f t="shared" si="883"/>
        <v>EJIFAGLK</v>
      </c>
      <c r="GB172" s="3" t="s">
        <v>59</v>
      </c>
      <c r="GC172" s="3" t="s">
        <v>69</v>
      </c>
      <c r="GD172" s="3" t="s">
        <v>61</v>
      </c>
      <c r="GE172" s="3" t="s">
        <v>21</v>
      </c>
      <c r="GF172" s="3" t="s">
        <v>56</v>
      </c>
      <c r="GG172" s="3" t="s">
        <v>60</v>
      </c>
      <c r="GH172" s="3" t="s">
        <v>63</v>
      </c>
      <c r="GI172" s="3" t="s">
        <v>62</v>
      </c>
      <c r="GJ172" s="9" t="str">
        <f t="shared" si="878"/>
        <v>Elfenbenskusten</v>
      </c>
      <c r="GK172" s="9" t="str">
        <f t="shared" si="878"/>
        <v>Österrike</v>
      </c>
      <c r="GL172" s="9" t="str">
        <f t="shared" si="878"/>
        <v>Irak</v>
      </c>
      <c r="GM172" s="9" t="str">
        <f t="shared" si="877"/>
        <v>Sverige</v>
      </c>
      <c r="GN172" s="9" t="str">
        <f t="shared" si="877"/>
        <v>Sydkorea</v>
      </c>
      <c r="GO172" s="9" t="str">
        <f t="shared" si="877"/>
        <v>Iran</v>
      </c>
      <c r="GP172" s="9" t="str">
        <f t="shared" si="877"/>
        <v>Ghana</v>
      </c>
      <c r="GQ172" s="9" t="str">
        <f t="shared" si="877"/>
        <v>Uzbekistan</v>
      </c>
      <c r="GR172" s="9" t="str">
        <f t="shared" si="884"/>
        <v/>
      </c>
      <c r="GX172" s="15"/>
    </row>
    <row r="173" spans="35:206" ht="14.25" customHeight="1" x14ac:dyDescent="0.25">
      <c r="BQ173" s="13">
        <f t="shared" si="900"/>
        <v>100</v>
      </c>
      <c r="BR173" s="12" t="str">
        <f t="shared" si="901"/>
        <v>Vinnare match 96</v>
      </c>
      <c r="BS173" s="156" t="str">
        <f>IF(OR('[1]Resultat &amp; tabell'!G145="",'[1]Resultat &amp; tabell'!I145=""),"",'[1]Resultat &amp; tabell'!F145)</f>
        <v/>
      </c>
      <c r="BT173" s="157">
        <f t="shared" si="898"/>
        <v>0</v>
      </c>
      <c r="BU173" s="158">
        <f t="shared" si="896"/>
        <v>0</v>
      </c>
      <c r="BV173" s="79">
        <f t="shared" si="899"/>
        <v>0</v>
      </c>
      <c r="FZ173" s="79">
        <v>171</v>
      </c>
      <c r="GA173" s="3" t="str">
        <f t="shared" si="883"/>
        <v>EGJFAHLK</v>
      </c>
      <c r="GB173" s="3" t="s">
        <v>59</v>
      </c>
      <c r="GC173" s="3" t="s">
        <v>60</v>
      </c>
      <c r="GD173" s="3" t="s">
        <v>69</v>
      </c>
      <c r="GE173" s="3" t="s">
        <v>21</v>
      </c>
      <c r="GF173" s="3" t="s">
        <v>56</v>
      </c>
      <c r="GG173" s="3" t="s">
        <v>70</v>
      </c>
      <c r="GH173" s="3" t="s">
        <v>63</v>
      </c>
      <c r="GI173" s="3" t="s">
        <v>62</v>
      </c>
      <c r="GJ173" s="9" t="str">
        <f t="shared" si="878"/>
        <v>Elfenbenskusten</v>
      </c>
      <c r="GK173" s="9" t="str">
        <f t="shared" si="878"/>
        <v>Iran</v>
      </c>
      <c r="GL173" s="9" t="str">
        <f t="shared" si="878"/>
        <v>Österrike</v>
      </c>
      <c r="GM173" s="9" t="str">
        <f t="shared" si="877"/>
        <v>Sverige</v>
      </c>
      <c r="GN173" s="9" t="str">
        <f t="shared" si="877"/>
        <v>Sydkorea</v>
      </c>
      <c r="GO173" s="9" t="str">
        <f t="shared" si="877"/>
        <v>Saudiarabien</v>
      </c>
      <c r="GP173" s="9" t="str">
        <f t="shared" si="877"/>
        <v>Ghana</v>
      </c>
      <c r="GQ173" s="9" t="str">
        <f t="shared" si="877"/>
        <v>Uzbekistan</v>
      </c>
      <c r="GR173" s="9" t="str">
        <f t="shared" si="884"/>
        <v/>
      </c>
      <c r="GX173" s="142"/>
    </row>
    <row r="174" spans="35:206" ht="14.25" customHeight="1" x14ac:dyDescent="0.25">
      <c r="BU174" s="146" t="s">
        <v>157</v>
      </c>
      <c r="BV174" s="146">
        <f>SUM(BV166:BV173)</f>
        <v>0</v>
      </c>
      <c r="FZ174" s="79">
        <v>172</v>
      </c>
      <c r="GA174" s="3" t="str">
        <f t="shared" si="883"/>
        <v>EGIFAHLK</v>
      </c>
      <c r="GB174" s="3" t="s">
        <v>59</v>
      </c>
      <c r="GC174" s="3" t="s">
        <v>60</v>
      </c>
      <c r="GD174" s="3" t="s">
        <v>61</v>
      </c>
      <c r="GE174" s="3" t="s">
        <v>21</v>
      </c>
      <c r="GF174" s="3" t="s">
        <v>56</v>
      </c>
      <c r="GG174" s="3" t="s">
        <v>70</v>
      </c>
      <c r="GH174" s="3" t="s">
        <v>63</v>
      </c>
      <c r="GI174" s="3" t="s">
        <v>62</v>
      </c>
      <c r="GJ174" s="9" t="str">
        <f t="shared" si="878"/>
        <v>Elfenbenskusten</v>
      </c>
      <c r="GK174" s="9" t="str">
        <f t="shared" si="878"/>
        <v>Iran</v>
      </c>
      <c r="GL174" s="9" t="str">
        <f t="shared" si="878"/>
        <v>Irak</v>
      </c>
      <c r="GM174" s="9" t="str">
        <f t="shared" si="877"/>
        <v>Sverige</v>
      </c>
      <c r="GN174" s="9" t="str">
        <f t="shared" si="877"/>
        <v>Sydkorea</v>
      </c>
      <c r="GO174" s="9" t="str">
        <f t="shared" ref="GO174:GQ237" si="902">VLOOKUP(GG174,$FM$3:$FN$15,2,FALSE)</f>
        <v>Saudiarabien</v>
      </c>
      <c r="GP174" s="9" t="str">
        <f t="shared" si="902"/>
        <v>Ghana</v>
      </c>
      <c r="GQ174" s="9" t="str">
        <f t="shared" si="902"/>
        <v>Uzbekistan</v>
      </c>
      <c r="GR174" s="9" t="str">
        <f t="shared" si="884"/>
        <v/>
      </c>
      <c r="GX174" s="142"/>
    </row>
    <row r="175" spans="35:206" ht="14.25" customHeight="1" x14ac:dyDescent="0.25">
      <c r="BQ175" s="19" t="s">
        <v>96</v>
      </c>
      <c r="FZ175" s="79">
        <v>173</v>
      </c>
      <c r="GA175" s="3" t="str">
        <f t="shared" si="883"/>
        <v>EGJFAHLI</v>
      </c>
      <c r="GB175" s="3" t="s">
        <v>59</v>
      </c>
      <c r="GC175" s="3" t="s">
        <v>60</v>
      </c>
      <c r="GD175" s="3" t="s">
        <v>69</v>
      </c>
      <c r="GE175" s="3" t="s">
        <v>21</v>
      </c>
      <c r="GF175" s="3" t="s">
        <v>56</v>
      </c>
      <c r="GG175" s="3" t="s">
        <v>70</v>
      </c>
      <c r="GH175" s="3" t="s">
        <v>63</v>
      </c>
      <c r="GI175" s="3" t="s">
        <v>61</v>
      </c>
      <c r="GJ175" s="9" t="str">
        <f t="shared" si="878"/>
        <v>Elfenbenskusten</v>
      </c>
      <c r="GK175" s="9" t="str">
        <f t="shared" si="878"/>
        <v>Iran</v>
      </c>
      <c r="GL175" s="9" t="str">
        <f t="shared" si="878"/>
        <v>Österrike</v>
      </c>
      <c r="GM175" s="9" t="str">
        <f t="shared" si="878"/>
        <v>Sverige</v>
      </c>
      <c r="GN175" s="9" t="str">
        <f t="shared" si="878"/>
        <v>Sydkorea</v>
      </c>
      <c r="GO175" s="9" t="str">
        <f t="shared" si="902"/>
        <v>Saudiarabien</v>
      </c>
      <c r="GP175" s="9" t="str">
        <f t="shared" si="902"/>
        <v>Ghana</v>
      </c>
      <c r="GQ175" s="9" t="str">
        <f t="shared" si="902"/>
        <v>Irak</v>
      </c>
      <c r="GR175" s="9" t="str">
        <f t="shared" si="884"/>
        <v/>
      </c>
      <c r="GX175" s="27"/>
    </row>
    <row r="176" spans="35:206" ht="14.25" customHeight="1" x14ac:dyDescent="0.25">
      <c r="BQ176" s="146" t="s">
        <v>12</v>
      </c>
      <c r="BR176" s="26" t="s">
        <v>147</v>
      </c>
      <c r="BS176" s="147" t="s">
        <v>148</v>
      </c>
      <c r="BT176" s="147" t="s">
        <v>149</v>
      </c>
      <c r="BU176" s="147" t="s">
        <v>150</v>
      </c>
      <c r="BV176" s="147" t="s">
        <v>16</v>
      </c>
      <c r="FZ176" s="79">
        <v>174</v>
      </c>
      <c r="GA176" s="3" t="str">
        <f t="shared" si="883"/>
        <v>EGJFAHIK</v>
      </c>
      <c r="GB176" s="3" t="s">
        <v>59</v>
      </c>
      <c r="GC176" s="3" t="s">
        <v>60</v>
      </c>
      <c r="GD176" s="3" t="s">
        <v>69</v>
      </c>
      <c r="GE176" s="3" t="s">
        <v>21</v>
      </c>
      <c r="GF176" s="3" t="s">
        <v>56</v>
      </c>
      <c r="GG176" s="3" t="s">
        <v>70</v>
      </c>
      <c r="GH176" s="3" t="s">
        <v>61</v>
      </c>
      <c r="GI176" s="3" t="s">
        <v>62</v>
      </c>
      <c r="GJ176" s="9" t="str">
        <f t="shared" si="878"/>
        <v>Elfenbenskusten</v>
      </c>
      <c r="GK176" s="9" t="str">
        <f t="shared" si="878"/>
        <v>Iran</v>
      </c>
      <c r="GL176" s="9" t="str">
        <f t="shared" si="878"/>
        <v>Österrike</v>
      </c>
      <c r="GM176" s="9" t="str">
        <f t="shared" si="878"/>
        <v>Sverige</v>
      </c>
      <c r="GN176" s="9" t="str">
        <f t="shared" si="878"/>
        <v>Sydkorea</v>
      </c>
      <c r="GO176" s="9" t="str">
        <f t="shared" si="902"/>
        <v>Saudiarabien</v>
      </c>
      <c r="GP176" s="9" t="str">
        <f t="shared" si="902"/>
        <v>Irak</v>
      </c>
      <c r="GQ176" s="9" t="str">
        <f t="shared" si="902"/>
        <v>Uzbekistan</v>
      </c>
      <c r="GR176" s="9" t="str">
        <f t="shared" si="884"/>
        <v/>
      </c>
      <c r="GX176" s="142"/>
    </row>
    <row r="177" spans="69:206" ht="14.25" customHeight="1" x14ac:dyDescent="0.25">
      <c r="BQ177" s="13">
        <f>B149</f>
        <v>101</v>
      </c>
      <c r="BR177" s="155" t="str">
        <f>D149</f>
        <v>Vinnare match 97</v>
      </c>
      <c r="BS177" s="156" t="str">
        <f>IF(OR('[1]Resultat &amp; tabell'!G149="",'[1]Resultat &amp; tabell'!I149=""),"",'[1]Resultat &amp; tabell'!D149)</f>
        <v/>
      </c>
      <c r="BT177" s="157">
        <f>IF(ISERROR(VLOOKUP(BR177,$BS$177:$BS$180,1,FALSE)),0,1)</f>
        <v>0</v>
      </c>
      <c r="BU177" s="158">
        <f t="shared" ref="BU177:BU180" si="903">BT177</f>
        <v>0</v>
      </c>
      <c r="BV177" s="79">
        <f>BU177*6</f>
        <v>0</v>
      </c>
      <c r="FZ177" s="79">
        <v>175</v>
      </c>
      <c r="GA177" s="3" t="str">
        <f t="shared" si="883"/>
        <v>HJIDAGLK</v>
      </c>
      <c r="GB177" s="3" t="s">
        <v>70</v>
      </c>
      <c r="GC177" s="3" t="s">
        <v>69</v>
      </c>
      <c r="GD177" s="3" t="s">
        <v>61</v>
      </c>
      <c r="GE177" s="3" t="s">
        <v>58</v>
      </c>
      <c r="GF177" s="3" t="s">
        <v>56</v>
      </c>
      <c r="GG177" s="3" t="s">
        <v>60</v>
      </c>
      <c r="GH177" s="3" t="s">
        <v>63</v>
      </c>
      <c r="GI177" s="3" t="s">
        <v>62</v>
      </c>
      <c r="GJ177" s="9" t="str">
        <f t="shared" si="878"/>
        <v>Saudiarabien</v>
      </c>
      <c r="GK177" s="9" t="str">
        <f t="shared" si="878"/>
        <v>Österrike</v>
      </c>
      <c r="GL177" s="9" t="str">
        <f t="shared" si="878"/>
        <v>Irak</v>
      </c>
      <c r="GM177" s="9" t="str">
        <f t="shared" si="878"/>
        <v>Australien</v>
      </c>
      <c r="GN177" s="9" t="str">
        <f t="shared" si="878"/>
        <v>Sydkorea</v>
      </c>
      <c r="GO177" s="9" t="str">
        <f t="shared" si="902"/>
        <v>Iran</v>
      </c>
      <c r="GP177" s="9" t="str">
        <f t="shared" si="902"/>
        <v>Ghana</v>
      </c>
      <c r="GQ177" s="9" t="str">
        <f t="shared" si="902"/>
        <v>Uzbekistan</v>
      </c>
      <c r="GR177" s="9" t="str">
        <f t="shared" si="884"/>
        <v/>
      </c>
      <c r="GX177" s="142"/>
    </row>
    <row r="178" spans="69:206" ht="14.25" customHeight="1" x14ac:dyDescent="0.25">
      <c r="BQ178" s="13">
        <f>B150</f>
        <v>102</v>
      </c>
      <c r="BR178" s="155" t="str">
        <f>D150</f>
        <v>Vinnare match 99</v>
      </c>
      <c r="BS178" s="156" t="str">
        <f>IF(OR('[1]Resultat &amp; tabell'!G150="",'[1]Resultat &amp; tabell'!I150=""),"",'[1]Resultat &amp; tabell'!D150)</f>
        <v/>
      </c>
      <c r="BT178" s="157">
        <f t="shared" ref="BT178:BT180" si="904">IF(ISERROR(VLOOKUP(BR178,$BS$177:$BS$180,1,FALSE)),0,1)</f>
        <v>0</v>
      </c>
      <c r="BU178" s="158">
        <f t="shared" si="903"/>
        <v>0</v>
      </c>
      <c r="BV178" s="79">
        <f t="shared" ref="BV178:BV180" si="905">BU178*6</f>
        <v>0</v>
      </c>
      <c r="FZ178" s="79">
        <v>176</v>
      </c>
      <c r="GA178" s="3" t="str">
        <f t="shared" si="883"/>
        <v>HJIDAFLK</v>
      </c>
      <c r="GB178" s="3" t="s">
        <v>70</v>
      </c>
      <c r="GC178" s="3" t="s">
        <v>69</v>
      </c>
      <c r="GD178" s="3" t="s">
        <v>61</v>
      </c>
      <c r="GE178" s="3" t="s">
        <v>58</v>
      </c>
      <c r="GF178" s="3" t="s">
        <v>56</v>
      </c>
      <c r="GG178" s="3" t="s">
        <v>21</v>
      </c>
      <c r="GH178" s="3" t="s">
        <v>63</v>
      </c>
      <c r="GI178" s="3" t="s">
        <v>62</v>
      </c>
      <c r="GJ178" s="9" t="str">
        <f t="shared" si="878"/>
        <v>Saudiarabien</v>
      </c>
      <c r="GK178" s="9" t="str">
        <f t="shared" si="878"/>
        <v>Österrike</v>
      </c>
      <c r="GL178" s="9" t="str">
        <f t="shared" si="878"/>
        <v>Irak</v>
      </c>
      <c r="GM178" s="9" t="str">
        <f t="shared" si="878"/>
        <v>Australien</v>
      </c>
      <c r="GN178" s="9" t="str">
        <f t="shared" si="878"/>
        <v>Sydkorea</v>
      </c>
      <c r="GO178" s="9" t="str">
        <f t="shared" si="902"/>
        <v>Sverige</v>
      </c>
      <c r="GP178" s="9" t="str">
        <f t="shared" si="902"/>
        <v>Ghana</v>
      </c>
      <c r="GQ178" s="9" t="str">
        <f t="shared" si="902"/>
        <v>Uzbekistan</v>
      </c>
      <c r="GR178" s="9" t="str">
        <f t="shared" si="884"/>
        <v/>
      </c>
    </row>
    <row r="179" spans="69:206" ht="14.25" customHeight="1" x14ac:dyDescent="0.25">
      <c r="BQ179" s="13">
        <f>B149</f>
        <v>101</v>
      </c>
      <c r="BR179" s="155" t="str">
        <f>F149</f>
        <v>Vinnare match 98</v>
      </c>
      <c r="BS179" s="156" t="str">
        <f>IF(OR('[1]Resultat &amp; tabell'!G149="",'[1]Resultat &amp; tabell'!I149=""),"",'[1]Resultat &amp; tabell'!F149)</f>
        <v/>
      </c>
      <c r="BT179" s="157">
        <f t="shared" si="904"/>
        <v>0</v>
      </c>
      <c r="BU179" s="158">
        <f t="shared" si="903"/>
        <v>0</v>
      </c>
      <c r="BV179" s="79">
        <f t="shared" si="905"/>
        <v>0</v>
      </c>
      <c r="FZ179" s="79">
        <v>177</v>
      </c>
      <c r="GA179" s="3" t="str">
        <f t="shared" si="883"/>
        <v>IGJDAFLK</v>
      </c>
      <c r="GB179" s="3" t="s">
        <v>61</v>
      </c>
      <c r="GC179" s="3" t="s">
        <v>60</v>
      </c>
      <c r="GD179" s="3" t="s">
        <v>69</v>
      </c>
      <c r="GE179" s="3" t="s">
        <v>58</v>
      </c>
      <c r="GF179" s="3" t="s">
        <v>56</v>
      </c>
      <c r="GG179" s="3" t="s">
        <v>21</v>
      </c>
      <c r="GH179" s="3" t="s">
        <v>63</v>
      </c>
      <c r="GI179" s="3" t="s">
        <v>62</v>
      </c>
      <c r="GJ179" s="9" t="str">
        <f t="shared" si="878"/>
        <v>Irak</v>
      </c>
      <c r="GK179" s="9" t="str">
        <f t="shared" si="878"/>
        <v>Iran</v>
      </c>
      <c r="GL179" s="9" t="str">
        <f t="shared" si="878"/>
        <v>Österrike</v>
      </c>
      <c r="GM179" s="9" t="str">
        <f t="shared" si="878"/>
        <v>Australien</v>
      </c>
      <c r="GN179" s="9" t="str">
        <f t="shared" si="878"/>
        <v>Sydkorea</v>
      </c>
      <c r="GO179" s="9" t="str">
        <f t="shared" si="902"/>
        <v>Sverige</v>
      </c>
      <c r="GP179" s="9" t="str">
        <f t="shared" si="902"/>
        <v>Ghana</v>
      </c>
      <c r="GQ179" s="9" t="str">
        <f t="shared" si="902"/>
        <v>Uzbekistan</v>
      </c>
      <c r="GR179" s="9" t="str">
        <f t="shared" si="884"/>
        <v/>
      </c>
    </row>
    <row r="180" spans="69:206" ht="14.25" customHeight="1" x14ac:dyDescent="0.25">
      <c r="BQ180" s="13">
        <f>B150</f>
        <v>102</v>
      </c>
      <c r="BR180" s="155" t="str">
        <f>F150</f>
        <v>Vinnare match 100</v>
      </c>
      <c r="BS180" s="156" t="str">
        <f>IF(OR('[1]Resultat &amp; tabell'!G150="",'[1]Resultat &amp; tabell'!I150=""),"",'[1]Resultat &amp; tabell'!F150)</f>
        <v/>
      </c>
      <c r="BT180" s="157">
        <f t="shared" si="904"/>
        <v>0</v>
      </c>
      <c r="BU180" s="158">
        <f t="shared" si="903"/>
        <v>0</v>
      </c>
      <c r="BV180" s="79">
        <f t="shared" si="905"/>
        <v>0</v>
      </c>
      <c r="FZ180" s="79">
        <v>178</v>
      </c>
      <c r="GA180" s="3" t="str">
        <f t="shared" si="883"/>
        <v>HGJDAFLK</v>
      </c>
      <c r="GB180" s="3" t="s">
        <v>70</v>
      </c>
      <c r="GC180" s="3" t="s">
        <v>60</v>
      </c>
      <c r="GD180" s="3" t="s">
        <v>69</v>
      </c>
      <c r="GE180" s="3" t="s">
        <v>58</v>
      </c>
      <c r="GF180" s="3" t="s">
        <v>56</v>
      </c>
      <c r="GG180" s="3" t="s">
        <v>21</v>
      </c>
      <c r="GH180" s="3" t="s">
        <v>63</v>
      </c>
      <c r="GI180" s="3" t="s">
        <v>62</v>
      </c>
      <c r="GJ180" s="9" t="str">
        <f t="shared" si="878"/>
        <v>Saudiarabien</v>
      </c>
      <c r="GK180" s="9" t="str">
        <f t="shared" si="878"/>
        <v>Iran</v>
      </c>
      <c r="GL180" s="9" t="str">
        <f t="shared" si="878"/>
        <v>Österrike</v>
      </c>
      <c r="GM180" s="9" t="str">
        <f t="shared" si="878"/>
        <v>Australien</v>
      </c>
      <c r="GN180" s="9" t="str">
        <f t="shared" si="878"/>
        <v>Sydkorea</v>
      </c>
      <c r="GO180" s="9" t="str">
        <f t="shared" si="902"/>
        <v>Sverige</v>
      </c>
      <c r="GP180" s="9" t="str">
        <f t="shared" si="902"/>
        <v>Ghana</v>
      </c>
      <c r="GQ180" s="9" t="str">
        <f t="shared" si="902"/>
        <v>Uzbekistan</v>
      </c>
      <c r="GR180" s="9" t="str">
        <f t="shared" si="884"/>
        <v/>
      </c>
    </row>
    <row r="181" spans="69:206" ht="14.25" customHeight="1" x14ac:dyDescent="0.25">
      <c r="BU181" s="146" t="s">
        <v>157</v>
      </c>
      <c r="BV181" s="146">
        <f>SUM(BV177:BV180)</f>
        <v>0</v>
      </c>
      <c r="FZ181" s="79">
        <v>179</v>
      </c>
      <c r="GA181" s="3" t="str">
        <f t="shared" si="883"/>
        <v>HGIDAFLK</v>
      </c>
      <c r="GB181" s="3" t="s">
        <v>70</v>
      </c>
      <c r="GC181" s="3" t="s">
        <v>60</v>
      </c>
      <c r="GD181" s="3" t="s">
        <v>61</v>
      </c>
      <c r="GE181" s="3" t="s">
        <v>58</v>
      </c>
      <c r="GF181" s="3" t="s">
        <v>56</v>
      </c>
      <c r="GG181" s="3" t="s">
        <v>21</v>
      </c>
      <c r="GH181" s="3" t="s">
        <v>63</v>
      </c>
      <c r="GI181" s="3" t="s">
        <v>62</v>
      </c>
      <c r="GJ181" s="9" t="str">
        <f t="shared" si="878"/>
        <v>Saudiarabien</v>
      </c>
      <c r="GK181" s="9" t="str">
        <f t="shared" si="878"/>
        <v>Iran</v>
      </c>
      <c r="GL181" s="9" t="str">
        <f t="shared" si="878"/>
        <v>Irak</v>
      </c>
      <c r="GM181" s="9" t="str">
        <f t="shared" si="878"/>
        <v>Australien</v>
      </c>
      <c r="GN181" s="9" t="str">
        <f t="shared" si="878"/>
        <v>Sydkorea</v>
      </c>
      <c r="GO181" s="9" t="str">
        <f t="shared" si="902"/>
        <v>Sverige</v>
      </c>
      <c r="GP181" s="9" t="str">
        <f t="shared" si="902"/>
        <v>Ghana</v>
      </c>
      <c r="GQ181" s="9" t="str">
        <f t="shared" si="902"/>
        <v>Uzbekistan</v>
      </c>
      <c r="GR181" s="9" t="str">
        <f t="shared" si="884"/>
        <v/>
      </c>
    </row>
    <row r="182" spans="69:206" ht="14.25" customHeight="1" x14ac:dyDescent="0.25">
      <c r="BQ182" s="19" t="s">
        <v>97</v>
      </c>
      <c r="FZ182" s="79">
        <v>180</v>
      </c>
      <c r="GA182" s="3" t="str">
        <f t="shared" si="883"/>
        <v>HGJDAFLI</v>
      </c>
      <c r="GB182" s="3" t="s">
        <v>70</v>
      </c>
      <c r="GC182" s="3" t="s">
        <v>60</v>
      </c>
      <c r="GD182" s="3" t="s">
        <v>69</v>
      </c>
      <c r="GE182" s="3" t="s">
        <v>58</v>
      </c>
      <c r="GF182" s="3" t="s">
        <v>56</v>
      </c>
      <c r="GG182" s="3" t="s">
        <v>21</v>
      </c>
      <c r="GH182" s="3" t="s">
        <v>63</v>
      </c>
      <c r="GI182" s="3" t="s">
        <v>61</v>
      </c>
      <c r="GJ182" s="9" t="str">
        <f t="shared" si="878"/>
        <v>Saudiarabien</v>
      </c>
      <c r="GK182" s="9" t="str">
        <f t="shared" si="878"/>
        <v>Iran</v>
      </c>
      <c r="GL182" s="9" t="str">
        <f t="shared" si="878"/>
        <v>Österrike</v>
      </c>
      <c r="GM182" s="9" t="str">
        <f t="shared" si="878"/>
        <v>Australien</v>
      </c>
      <c r="GN182" s="9" t="str">
        <f t="shared" si="878"/>
        <v>Sydkorea</v>
      </c>
      <c r="GO182" s="9" t="str">
        <f t="shared" si="902"/>
        <v>Sverige</v>
      </c>
      <c r="GP182" s="9" t="str">
        <f t="shared" si="902"/>
        <v>Ghana</v>
      </c>
      <c r="GQ182" s="9" t="str">
        <f t="shared" si="902"/>
        <v>Irak</v>
      </c>
      <c r="GR182" s="9" t="str">
        <f t="shared" si="884"/>
        <v/>
      </c>
    </row>
    <row r="183" spans="69:206" ht="14.25" customHeight="1" x14ac:dyDescent="0.25">
      <c r="BQ183" s="146" t="s">
        <v>12</v>
      </c>
      <c r="BR183" s="26" t="s">
        <v>147</v>
      </c>
      <c r="BS183" s="147" t="s">
        <v>148</v>
      </c>
      <c r="BT183" s="147" t="s">
        <v>149</v>
      </c>
      <c r="BU183" s="147" t="s">
        <v>150</v>
      </c>
      <c r="BV183" s="147" t="s">
        <v>16</v>
      </c>
      <c r="FZ183" s="79">
        <v>181</v>
      </c>
      <c r="GA183" s="3" t="str">
        <f t="shared" si="883"/>
        <v>HGJDAFIK</v>
      </c>
      <c r="GB183" s="3" t="s">
        <v>70</v>
      </c>
      <c r="GC183" s="3" t="s">
        <v>60</v>
      </c>
      <c r="GD183" s="3" t="s">
        <v>69</v>
      </c>
      <c r="GE183" s="3" t="s">
        <v>58</v>
      </c>
      <c r="GF183" s="3" t="s">
        <v>56</v>
      </c>
      <c r="GG183" s="3" t="s">
        <v>21</v>
      </c>
      <c r="GH183" s="3" t="s">
        <v>61</v>
      </c>
      <c r="GI183" s="3" t="s">
        <v>62</v>
      </c>
      <c r="GJ183" s="9" t="str">
        <f t="shared" ref="GJ183:GN233" si="906">VLOOKUP(GB183,$FM$3:$FN$15,2,FALSE)</f>
        <v>Saudiarabien</v>
      </c>
      <c r="GK183" s="9" t="str">
        <f t="shared" si="906"/>
        <v>Iran</v>
      </c>
      <c r="GL183" s="9" t="str">
        <f t="shared" si="906"/>
        <v>Österrike</v>
      </c>
      <c r="GM183" s="9" t="str">
        <f t="shared" si="906"/>
        <v>Australien</v>
      </c>
      <c r="GN183" s="9" t="str">
        <f t="shared" si="906"/>
        <v>Sydkorea</v>
      </c>
      <c r="GO183" s="9" t="str">
        <f t="shared" si="902"/>
        <v>Sverige</v>
      </c>
      <c r="GP183" s="9" t="str">
        <f t="shared" si="902"/>
        <v>Irak</v>
      </c>
      <c r="GQ183" s="9" t="str">
        <f t="shared" si="902"/>
        <v>Uzbekistan</v>
      </c>
      <c r="GR183" s="9" t="str">
        <f t="shared" si="884"/>
        <v/>
      </c>
    </row>
    <row r="184" spans="69:206" ht="14.25" customHeight="1" x14ac:dyDescent="0.25">
      <c r="BQ184" s="13">
        <f>B154</f>
        <v>103</v>
      </c>
      <c r="BR184" s="155" t="str">
        <f>D154</f>
        <v>Förlorare match 101</v>
      </c>
      <c r="BS184" s="156" t="str">
        <f>IF(OR('[1]Resultat &amp; tabell'!G154="",'[1]Resultat &amp; tabell'!I154=""),"",'[1]Resultat &amp; tabell'!D154)</f>
        <v/>
      </c>
      <c r="BT184" s="157">
        <f>IF(ISERROR(VLOOKUP(BR184,$BS$184:$BS$185,1,FALSE)),0,1)</f>
        <v>0</v>
      </c>
      <c r="BU184" s="158">
        <f>BT184</f>
        <v>0</v>
      </c>
      <c r="BV184" s="79">
        <f>BU184*8</f>
        <v>0</v>
      </c>
      <c r="FZ184" s="79">
        <v>182</v>
      </c>
      <c r="GA184" s="3" t="str">
        <f t="shared" si="883"/>
        <v>EJIDAHLK</v>
      </c>
      <c r="GB184" s="3" t="s">
        <v>59</v>
      </c>
      <c r="GC184" s="3" t="s">
        <v>69</v>
      </c>
      <c r="GD184" s="3" t="s">
        <v>61</v>
      </c>
      <c r="GE184" s="3" t="s">
        <v>58</v>
      </c>
      <c r="GF184" s="3" t="s">
        <v>56</v>
      </c>
      <c r="GG184" s="3" t="s">
        <v>70</v>
      </c>
      <c r="GH184" s="3" t="s">
        <v>63</v>
      </c>
      <c r="GI184" s="3" t="s">
        <v>62</v>
      </c>
      <c r="GJ184" s="9" t="str">
        <f t="shared" si="906"/>
        <v>Elfenbenskusten</v>
      </c>
      <c r="GK184" s="9" t="str">
        <f t="shared" si="906"/>
        <v>Österrike</v>
      </c>
      <c r="GL184" s="9" t="str">
        <f t="shared" si="906"/>
        <v>Irak</v>
      </c>
      <c r="GM184" s="9" t="str">
        <f t="shared" si="906"/>
        <v>Australien</v>
      </c>
      <c r="GN184" s="9" t="str">
        <f t="shared" si="906"/>
        <v>Sydkorea</v>
      </c>
      <c r="GO184" s="9" t="str">
        <f t="shared" si="902"/>
        <v>Saudiarabien</v>
      </c>
      <c r="GP184" s="9" t="str">
        <f t="shared" si="902"/>
        <v>Ghana</v>
      </c>
      <c r="GQ184" s="9" t="str">
        <f t="shared" si="902"/>
        <v>Uzbekistan</v>
      </c>
      <c r="GR184" s="9" t="str">
        <f t="shared" si="884"/>
        <v/>
      </c>
    </row>
    <row r="185" spans="69:206" ht="14.25" customHeight="1" x14ac:dyDescent="0.25">
      <c r="BQ185" s="13">
        <f>B154</f>
        <v>103</v>
      </c>
      <c r="BR185" s="155" t="str">
        <f>F154</f>
        <v>Förlorare match 102</v>
      </c>
      <c r="BS185" s="156" t="str">
        <f>IF(OR('[1]Resultat &amp; tabell'!G154="",'[1]Resultat &amp; tabell'!I154=""),"",'[1]Resultat &amp; tabell'!F154)</f>
        <v/>
      </c>
      <c r="BT185" s="157">
        <f>IF(ISERROR(VLOOKUP(BR185,$BS$184:$BS$185,1,FALSE)),0,1)</f>
        <v>0</v>
      </c>
      <c r="BU185" s="158">
        <f>BT185</f>
        <v>0</v>
      </c>
      <c r="BV185" s="79">
        <f>BU185*8</f>
        <v>0</v>
      </c>
      <c r="FZ185" s="79">
        <v>183</v>
      </c>
      <c r="GA185" s="3" t="str">
        <f t="shared" si="883"/>
        <v>EJIDAGLK</v>
      </c>
      <c r="GB185" s="3" t="s">
        <v>59</v>
      </c>
      <c r="GC185" s="3" t="s">
        <v>69</v>
      </c>
      <c r="GD185" s="3" t="s">
        <v>61</v>
      </c>
      <c r="GE185" s="3" t="s">
        <v>58</v>
      </c>
      <c r="GF185" s="3" t="s">
        <v>56</v>
      </c>
      <c r="GG185" s="3" t="s">
        <v>60</v>
      </c>
      <c r="GH185" s="3" t="s">
        <v>63</v>
      </c>
      <c r="GI185" s="3" t="s">
        <v>62</v>
      </c>
      <c r="GJ185" s="9" t="str">
        <f t="shared" si="906"/>
        <v>Elfenbenskusten</v>
      </c>
      <c r="GK185" s="9" t="str">
        <f t="shared" si="906"/>
        <v>Österrike</v>
      </c>
      <c r="GL185" s="9" t="str">
        <f t="shared" si="906"/>
        <v>Irak</v>
      </c>
      <c r="GM185" s="9" t="str">
        <f t="shared" si="906"/>
        <v>Australien</v>
      </c>
      <c r="GN185" s="9" t="str">
        <f t="shared" si="906"/>
        <v>Sydkorea</v>
      </c>
      <c r="GO185" s="9" t="str">
        <f t="shared" si="902"/>
        <v>Iran</v>
      </c>
      <c r="GP185" s="9" t="str">
        <f t="shared" si="902"/>
        <v>Ghana</v>
      </c>
      <c r="GQ185" s="9" t="str">
        <f t="shared" si="902"/>
        <v>Uzbekistan</v>
      </c>
      <c r="GR185" s="9" t="str">
        <f t="shared" si="884"/>
        <v/>
      </c>
    </row>
    <row r="186" spans="69:206" ht="14.25" customHeight="1" x14ac:dyDescent="0.25">
      <c r="BU186" s="146" t="s">
        <v>157</v>
      </c>
      <c r="BV186" s="146">
        <f>SUM(BV184:BV185)</f>
        <v>0</v>
      </c>
      <c r="FZ186" s="79">
        <v>184</v>
      </c>
      <c r="GA186" s="3" t="str">
        <f t="shared" si="883"/>
        <v>EGJDAHLK</v>
      </c>
      <c r="GB186" s="3" t="s">
        <v>59</v>
      </c>
      <c r="GC186" s="3" t="s">
        <v>60</v>
      </c>
      <c r="GD186" s="3" t="s">
        <v>69</v>
      </c>
      <c r="GE186" s="3" t="s">
        <v>58</v>
      </c>
      <c r="GF186" s="3" t="s">
        <v>56</v>
      </c>
      <c r="GG186" s="3" t="s">
        <v>70</v>
      </c>
      <c r="GH186" s="3" t="s">
        <v>63</v>
      </c>
      <c r="GI186" s="3" t="s">
        <v>62</v>
      </c>
      <c r="GJ186" s="9" t="str">
        <f t="shared" si="906"/>
        <v>Elfenbenskusten</v>
      </c>
      <c r="GK186" s="9" t="str">
        <f t="shared" si="906"/>
        <v>Iran</v>
      </c>
      <c r="GL186" s="9" t="str">
        <f t="shared" si="906"/>
        <v>Österrike</v>
      </c>
      <c r="GM186" s="9" t="str">
        <f t="shared" si="906"/>
        <v>Australien</v>
      </c>
      <c r="GN186" s="9" t="str">
        <f t="shared" si="906"/>
        <v>Sydkorea</v>
      </c>
      <c r="GO186" s="9" t="str">
        <f t="shared" si="902"/>
        <v>Saudiarabien</v>
      </c>
      <c r="GP186" s="9" t="str">
        <f t="shared" si="902"/>
        <v>Ghana</v>
      </c>
      <c r="GQ186" s="9" t="str">
        <f t="shared" si="902"/>
        <v>Uzbekistan</v>
      </c>
      <c r="GR186" s="9" t="str">
        <f t="shared" si="884"/>
        <v/>
      </c>
    </row>
    <row r="187" spans="69:206" ht="14.25" customHeight="1" x14ac:dyDescent="0.25">
      <c r="BQ187" s="19" t="s">
        <v>98</v>
      </c>
      <c r="FZ187" s="79">
        <v>185</v>
      </c>
      <c r="GA187" s="3" t="str">
        <f t="shared" si="883"/>
        <v>EGIDAHLK</v>
      </c>
      <c r="GB187" s="3" t="s">
        <v>59</v>
      </c>
      <c r="GC187" s="3" t="s">
        <v>60</v>
      </c>
      <c r="GD187" s="3" t="s">
        <v>61</v>
      </c>
      <c r="GE187" s="3" t="s">
        <v>58</v>
      </c>
      <c r="GF187" s="3" t="s">
        <v>56</v>
      </c>
      <c r="GG187" s="3" t="s">
        <v>70</v>
      </c>
      <c r="GH187" s="3" t="s">
        <v>63</v>
      </c>
      <c r="GI187" s="3" t="s">
        <v>62</v>
      </c>
      <c r="GJ187" s="9" t="str">
        <f t="shared" si="906"/>
        <v>Elfenbenskusten</v>
      </c>
      <c r="GK187" s="9" t="str">
        <f t="shared" si="906"/>
        <v>Iran</v>
      </c>
      <c r="GL187" s="9" t="str">
        <f t="shared" si="906"/>
        <v>Irak</v>
      </c>
      <c r="GM187" s="9" t="str">
        <f t="shared" si="906"/>
        <v>Australien</v>
      </c>
      <c r="GN187" s="9" t="str">
        <f t="shared" si="906"/>
        <v>Sydkorea</v>
      </c>
      <c r="GO187" s="9" t="str">
        <f t="shared" si="902"/>
        <v>Saudiarabien</v>
      </c>
      <c r="GP187" s="9" t="str">
        <f t="shared" si="902"/>
        <v>Ghana</v>
      </c>
      <c r="GQ187" s="9" t="str">
        <f t="shared" si="902"/>
        <v>Uzbekistan</v>
      </c>
      <c r="GR187" s="9" t="str">
        <f t="shared" si="884"/>
        <v/>
      </c>
    </row>
    <row r="188" spans="69:206" ht="14.25" customHeight="1" x14ac:dyDescent="0.25">
      <c r="BQ188" s="146" t="s">
        <v>12</v>
      </c>
      <c r="BR188" s="26" t="s">
        <v>147</v>
      </c>
      <c r="BS188" s="147" t="s">
        <v>148</v>
      </c>
      <c r="BT188" s="147" t="s">
        <v>149</v>
      </c>
      <c r="BU188" s="147" t="s">
        <v>150</v>
      </c>
      <c r="BV188" s="147" t="s">
        <v>16</v>
      </c>
      <c r="FZ188" s="79">
        <v>186</v>
      </c>
      <c r="GA188" s="3" t="str">
        <f t="shared" si="883"/>
        <v>EGJDAHLI</v>
      </c>
      <c r="GB188" s="3" t="s">
        <v>59</v>
      </c>
      <c r="GC188" s="3" t="s">
        <v>60</v>
      </c>
      <c r="GD188" s="3" t="s">
        <v>69</v>
      </c>
      <c r="GE188" s="3" t="s">
        <v>58</v>
      </c>
      <c r="GF188" s="3" t="s">
        <v>56</v>
      </c>
      <c r="GG188" s="3" t="s">
        <v>70</v>
      </c>
      <c r="GH188" s="3" t="s">
        <v>63</v>
      </c>
      <c r="GI188" s="3" t="s">
        <v>61</v>
      </c>
      <c r="GJ188" s="9" t="str">
        <f t="shared" si="906"/>
        <v>Elfenbenskusten</v>
      </c>
      <c r="GK188" s="9" t="str">
        <f t="shared" si="906"/>
        <v>Iran</v>
      </c>
      <c r="GL188" s="9" t="str">
        <f t="shared" si="906"/>
        <v>Österrike</v>
      </c>
      <c r="GM188" s="9" t="str">
        <f t="shared" si="906"/>
        <v>Australien</v>
      </c>
      <c r="GN188" s="9" t="str">
        <f t="shared" si="906"/>
        <v>Sydkorea</v>
      </c>
      <c r="GO188" s="9" t="str">
        <f t="shared" si="902"/>
        <v>Saudiarabien</v>
      </c>
      <c r="GP188" s="9" t="str">
        <f t="shared" si="902"/>
        <v>Ghana</v>
      </c>
      <c r="GQ188" s="9" t="str">
        <f t="shared" si="902"/>
        <v>Irak</v>
      </c>
      <c r="GR188" s="9" t="str">
        <f t="shared" si="884"/>
        <v/>
      </c>
    </row>
    <row r="189" spans="69:206" ht="14.25" customHeight="1" x14ac:dyDescent="0.25">
      <c r="BQ189" s="13">
        <f>B158</f>
        <v>104</v>
      </c>
      <c r="BR189" s="155" t="str">
        <f>D158</f>
        <v>Vinnare match 101</v>
      </c>
      <c r="BS189" s="156" t="str">
        <f>IF(OR('[1]Resultat &amp; tabell'!G158="",'[1]Resultat &amp; tabell'!I158=""),"",'[1]Resultat &amp; tabell'!D158)</f>
        <v/>
      </c>
      <c r="BT189" s="157">
        <f>IF(ISERROR(VLOOKUP(BR189,$BS$189:$BS$190,1,FALSE)),0,1)</f>
        <v>0</v>
      </c>
      <c r="BU189" s="158">
        <f>BT189</f>
        <v>0</v>
      </c>
      <c r="BV189" s="79">
        <f>BU189*8</f>
        <v>0</v>
      </c>
      <c r="FZ189" s="79">
        <v>187</v>
      </c>
      <c r="GA189" s="3" t="str">
        <f t="shared" si="883"/>
        <v>EGJDAHIK</v>
      </c>
      <c r="GB189" s="3" t="s">
        <v>59</v>
      </c>
      <c r="GC189" s="3" t="s">
        <v>60</v>
      </c>
      <c r="GD189" s="3" t="s">
        <v>69</v>
      </c>
      <c r="GE189" s="3" t="s">
        <v>58</v>
      </c>
      <c r="GF189" s="3" t="s">
        <v>56</v>
      </c>
      <c r="GG189" s="3" t="s">
        <v>70</v>
      </c>
      <c r="GH189" s="3" t="s">
        <v>61</v>
      </c>
      <c r="GI189" s="3" t="s">
        <v>62</v>
      </c>
      <c r="GJ189" s="9" t="str">
        <f t="shared" si="906"/>
        <v>Elfenbenskusten</v>
      </c>
      <c r="GK189" s="9" t="str">
        <f t="shared" si="906"/>
        <v>Iran</v>
      </c>
      <c r="GL189" s="9" t="str">
        <f t="shared" si="906"/>
        <v>Österrike</v>
      </c>
      <c r="GM189" s="9" t="str">
        <f t="shared" si="906"/>
        <v>Australien</v>
      </c>
      <c r="GN189" s="9" t="str">
        <f t="shared" si="906"/>
        <v>Sydkorea</v>
      </c>
      <c r="GO189" s="9" t="str">
        <f t="shared" si="902"/>
        <v>Saudiarabien</v>
      </c>
      <c r="GP189" s="9" t="str">
        <f t="shared" si="902"/>
        <v>Irak</v>
      </c>
      <c r="GQ189" s="9" t="str">
        <f t="shared" si="902"/>
        <v>Uzbekistan</v>
      </c>
      <c r="GR189" s="9" t="str">
        <f t="shared" si="884"/>
        <v/>
      </c>
    </row>
    <row r="190" spans="69:206" ht="14.25" customHeight="1" x14ac:dyDescent="0.25">
      <c r="BQ190" s="13">
        <f>B158</f>
        <v>104</v>
      </c>
      <c r="BR190" s="155" t="str">
        <f>F158</f>
        <v>Vinnare match 102</v>
      </c>
      <c r="BS190" s="156" t="str">
        <f>IF(OR('[1]Resultat &amp; tabell'!G158="",'[1]Resultat &amp; tabell'!I158=""),"",'[1]Resultat &amp; tabell'!F158)</f>
        <v/>
      </c>
      <c r="BT190" s="157">
        <f>IF(ISERROR(VLOOKUP(BR190,$BS$189:$BS$190,1,FALSE)),0,1)</f>
        <v>0</v>
      </c>
      <c r="BU190" s="158">
        <f>BT190</f>
        <v>0</v>
      </c>
      <c r="BV190" s="79">
        <f>BU190*8</f>
        <v>0</v>
      </c>
      <c r="FZ190" s="79">
        <v>188</v>
      </c>
      <c r="GA190" s="3" t="str">
        <f t="shared" si="883"/>
        <v>EJIDAFLK</v>
      </c>
      <c r="GB190" s="3" t="s">
        <v>59</v>
      </c>
      <c r="GC190" s="3" t="s">
        <v>69</v>
      </c>
      <c r="GD190" s="3" t="s">
        <v>61</v>
      </c>
      <c r="GE190" s="3" t="s">
        <v>58</v>
      </c>
      <c r="GF190" s="3" t="s">
        <v>56</v>
      </c>
      <c r="GG190" s="3" t="s">
        <v>21</v>
      </c>
      <c r="GH190" s="3" t="s">
        <v>63</v>
      </c>
      <c r="GI190" s="3" t="s">
        <v>62</v>
      </c>
      <c r="GJ190" s="9" t="str">
        <f t="shared" si="906"/>
        <v>Elfenbenskusten</v>
      </c>
      <c r="GK190" s="9" t="str">
        <f t="shared" si="906"/>
        <v>Österrike</v>
      </c>
      <c r="GL190" s="9" t="str">
        <f t="shared" si="906"/>
        <v>Irak</v>
      </c>
      <c r="GM190" s="9" t="str">
        <f t="shared" si="906"/>
        <v>Australien</v>
      </c>
      <c r="GN190" s="9" t="str">
        <f t="shared" si="906"/>
        <v>Sydkorea</v>
      </c>
      <c r="GO190" s="9" t="str">
        <f t="shared" si="902"/>
        <v>Sverige</v>
      </c>
      <c r="GP190" s="9" t="str">
        <f t="shared" si="902"/>
        <v>Ghana</v>
      </c>
      <c r="GQ190" s="9" t="str">
        <f t="shared" si="902"/>
        <v>Uzbekistan</v>
      </c>
      <c r="GR190" s="9" t="str">
        <f t="shared" si="884"/>
        <v/>
      </c>
    </row>
    <row r="191" spans="69:206" ht="14.25" customHeight="1" x14ac:dyDescent="0.25">
      <c r="BU191" s="146" t="s">
        <v>157</v>
      </c>
      <c r="BV191" s="146">
        <f>SUM(BV189:BV190)</f>
        <v>0</v>
      </c>
      <c r="FZ191" s="79">
        <v>189</v>
      </c>
      <c r="GA191" s="3" t="str">
        <f t="shared" si="883"/>
        <v>HJEDAFLK</v>
      </c>
      <c r="GB191" s="3" t="s">
        <v>70</v>
      </c>
      <c r="GC191" s="3" t="s">
        <v>69</v>
      </c>
      <c r="GD191" s="3" t="s">
        <v>59</v>
      </c>
      <c r="GE191" s="3" t="s">
        <v>58</v>
      </c>
      <c r="GF191" s="3" t="s">
        <v>56</v>
      </c>
      <c r="GG191" s="3" t="s">
        <v>21</v>
      </c>
      <c r="GH191" s="3" t="s">
        <v>63</v>
      </c>
      <c r="GI191" s="3" t="s">
        <v>62</v>
      </c>
      <c r="GJ191" s="9" t="str">
        <f t="shared" si="906"/>
        <v>Saudiarabien</v>
      </c>
      <c r="GK191" s="9" t="str">
        <f t="shared" si="906"/>
        <v>Österrike</v>
      </c>
      <c r="GL191" s="9" t="str">
        <f t="shared" si="906"/>
        <v>Elfenbenskusten</v>
      </c>
      <c r="GM191" s="9" t="str">
        <f t="shared" si="906"/>
        <v>Australien</v>
      </c>
      <c r="GN191" s="9" t="str">
        <f t="shared" si="906"/>
        <v>Sydkorea</v>
      </c>
      <c r="GO191" s="9" t="str">
        <f t="shared" si="902"/>
        <v>Sverige</v>
      </c>
      <c r="GP191" s="9" t="str">
        <f t="shared" si="902"/>
        <v>Ghana</v>
      </c>
      <c r="GQ191" s="9" t="str">
        <f t="shared" si="902"/>
        <v>Uzbekistan</v>
      </c>
      <c r="GR191" s="9" t="str">
        <f t="shared" si="884"/>
        <v/>
      </c>
    </row>
    <row r="192" spans="69:206" ht="14.25" customHeight="1" x14ac:dyDescent="0.25">
      <c r="FZ192" s="79">
        <v>190</v>
      </c>
      <c r="GA192" s="3" t="str">
        <f t="shared" si="883"/>
        <v>HEIDAFLK</v>
      </c>
      <c r="GB192" s="3" t="s">
        <v>70</v>
      </c>
      <c r="GC192" s="3" t="s">
        <v>59</v>
      </c>
      <c r="GD192" s="3" t="s">
        <v>61</v>
      </c>
      <c r="GE192" s="3" t="s">
        <v>58</v>
      </c>
      <c r="GF192" s="3" t="s">
        <v>56</v>
      </c>
      <c r="GG192" s="3" t="s">
        <v>21</v>
      </c>
      <c r="GH192" s="3" t="s">
        <v>63</v>
      </c>
      <c r="GI192" s="3" t="s">
        <v>62</v>
      </c>
      <c r="GJ192" s="9" t="str">
        <f t="shared" si="906"/>
        <v>Saudiarabien</v>
      </c>
      <c r="GK192" s="9" t="str">
        <f t="shared" si="906"/>
        <v>Elfenbenskusten</v>
      </c>
      <c r="GL192" s="9" t="str">
        <f t="shared" si="906"/>
        <v>Irak</v>
      </c>
      <c r="GM192" s="9" t="str">
        <f t="shared" si="906"/>
        <v>Australien</v>
      </c>
      <c r="GN192" s="9" t="str">
        <f t="shared" si="906"/>
        <v>Sydkorea</v>
      </c>
      <c r="GO192" s="9" t="str">
        <f t="shared" si="902"/>
        <v>Sverige</v>
      </c>
      <c r="GP192" s="9" t="str">
        <f t="shared" si="902"/>
        <v>Ghana</v>
      </c>
      <c r="GQ192" s="9" t="str">
        <f t="shared" si="902"/>
        <v>Uzbekistan</v>
      </c>
      <c r="GR192" s="9" t="str">
        <f t="shared" si="884"/>
        <v/>
      </c>
    </row>
    <row r="193" spans="182:200" ht="14.25" customHeight="1" x14ac:dyDescent="0.25">
      <c r="FZ193" s="79">
        <v>191</v>
      </c>
      <c r="GA193" s="3" t="str">
        <f t="shared" si="883"/>
        <v>HJEDAFLI</v>
      </c>
      <c r="GB193" s="3" t="s">
        <v>70</v>
      </c>
      <c r="GC193" s="3" t="s">
        <v>69</v>
      </c>
      <c r="GD193" s="3" t="s">
        <v>59</v>
      </c>
      <c r="GE193" s="3" t="s">
        <v>58</v>
      </c>
      <c r="GF193" s="3" t="s">
        <v>56</v>
      </c>
      <c r="GG193" s="3" t="s">
        <v>21</v>
      </c>
      <c r="GH193" s="3" t="s">
        <v>63</v>
      </c>
      <c r="GI193" s="3" t="s">
        <v>61</v>
      </c>
      <c r="GJ193" s="9" t="str">
        <f t="shared" si="906"/>
        <v>Saudiarabien</v>
      </c>
      <c r="GK193" s="9" t="str">
        <f t="shared" si="906"/>
        <v>Österrike</v>
      </c>
      <c r="GL193" s="9" t="str">
        <f t="shared" si="906"/>
        <v>Elfenbenskusten</v>
      </c>
      <c r="GM193" s="9" t="str">
        <f t="shared" si="906"/>
        <v>Australien</v>
      </c>
      <c r="GN193" s="9" t="str">
        <f t="shared" si="906"/>
        <v>Sydkorea</v>
      </c>
      <c r="GO193" s="9" t="str">
        <f t="shared" si="902"/>
        <v>Sverige</v>
      </c>
      <c r="GP193" s="9" t="str">
        <f t="shared" si="902"/>
        <v>Ghana</v>
      </c>
      <c r="GQ193" s="9" t="str">
        <f t="shared" si="902"/>
        <v>Irak</v>
      </c>
      <c r="GR193" s="9" t="str">
        <f t="shared" si="884"/>
        <v/>
      </c>
    </row>
    <row r="194" spans="182:200" ht="14.25" customHeight="1" x14ac:dyDescent="0.25">
      <c r="FZ194" s="79">
        <v>192</v>
      </c>
      <c r="GA194" s="3" t="str">
        <f t="shared" si="883"/>
        <v>HJEDAFIK</v>
      </c>
      <c r="GB194" s="3" t="s">
        <v>70</v>
      </c>
      <c r="GC194" s="3" t="s">
        <v>69</v>
      </c>
      <c r="GD194" s="3" t="s">
        <v>59</v>
      </c>
      <c r="GE194" s="3" t="s">
        <v>58</v>
      </c>
      <c r="GF194" s="3" t="s">
        <v>56</v>
      </c>
      <c r="GG194" s="3" t="s">
        <v>21</v>
      </c>
      <c r="GH194" s="3" t="s">
        <v>61</v>
      </c>
      <c r="GI194" s="3" t="s">
        <v>62</v>
      </c>
      <c r="GJ194" s="9" t="str">
        <f t="shared" si="906"/>
        <v>Saudiarabien</v>
      </c>
      <c r="GK194" s="9" t="str">
        <f t="shared" si="906"/>
        <v>Österrike</v>
      </c>
      <c r="GL194" s="9" t="str">
        <f t="shared" si="906"/>
        <v>Elfenbenskusten</v>
      </c>
      <c r="GM194" s="9" t="str">
        <f t="shared" si="906"/>
        <v>Australien</v>
      </c>
      <c r="GN194" s="9" t="str">
        <f t="shared" si="906"/>
        <v>Sydkorea</v>
      </c>
      <c r="GO194" s="9" t="str">
        <f t="shared" si="902"/>
        <v>Sverige</v>
      </c>
      <c r="GP194" s="9" t="str">
        <f t="shared" si="902"/>
        <v>Irak</v>
      </c>
      <c r="GQ194" s="9" t="str">
        <f t="shared" si="902"/>
        <v>Uzbekistan</v>
      </c>
      <c r="GR194" s="9" t="str">
        <f t="shared" si="884"/>
        <v/>
      </c>
    </row>
    <row r="195" spans="182:200" ht="14.25" customHeight="1" x14ac:dyDescent="0.25">
      <c r="FZ195" s="79">
        <v>193</v>
      </c>
      <c r="GA195" s="3" t="str">
        <f t="shared" si="883"/>
        <v>EGJDAFLK</v>
      </c>
      <c r="GB195" s="3" t="s">
        <v>59</v>
      </c>
      <c r="GC195" s="3" t="s">
        <v>60</v>
      </c>
      <c r="GD195" s="3" t="s">
        <v>69</v>
      </c>
      <c r="GE195" s="3" t="s">
        <v>58</v>
      </c>
      <c r="GF195" s="3" t="s">
        <v>56</v>
      </c>
      <c r="GG195" s="3" t="s">
        <v>21</v>
      </c>
      <c r="GH195" s="3" t="s">
        <v>63</v>
      </c>
      <c r="GI195" s="3" t="s">
        <v>62</v>
      </c>
      <c r="GJ195" s="9" t="str">
        <f t="shared" si="906"/>
        <v>Elfenbenskusten</v>
      </c>
      <c r="GK195" s="9" t="str">
        <f t="shared" si="906"/>
        <v>Iran</v>
      </c>
      <c r="GL195" s="9" t="str">
        <f t="shared" si="906"/>
        <v>Österrike</v>
      </c>
      <c r="GM195" s="9" t="str">
        <f t="shared" si="906"/>
        <v>Australien</v>
      </c>
      <c r="GN195" s="9" t="str">
        <f t="shared" si="906"/>
        <v>Sydkorea</v>
      </c>
      <c r="GO195" s="9" t="str">
        <f t="shared" si="902"/>
        <v>Sverige</v>
      </c>
      <c r="GP195" s="9" t="str">
        <f t="shared" si="902"/>
        <v>Ghana</v>
      </c>
      <c r="GQ195" s="9" t="str">
        <f t="shared" si="902"/>
        <v>Uzbekistan</v>
      </c>
      <c r="GR195" s="9" t="str">
        <f t="shared" si="884"/>
        <v/>
      </c>
    </row>
    <row r="196" spans="182:200" ht="14.25" customHeight="1" x14ac:dyDescent="0.25">
      <c r="FZ196" s="79">
        <v>194</v>
      </c>
      <c r="GA196" s="3" t="str">
        <f t="shared" si="883"/>
        <v>EGIDAFLK</v>
      </c>
      <c r="GB196" s="3" t="s">
        <v>59</v>
      </c>
      <c r="GC196" s="3" t="s">
        <v>60</v>
      </c>
      <c r="GD196" s="3" t="s">
        <v>61</v>
      </c>
      <c r="GE196" s="3" t="s">
        <v>58</v>
      </c>
      <c r="GF196" s="3" t="s">
        <v>56</v>
      </c>
      <c r="GG196" s="3" t="s">
        <v>21</v>
      </c>
      <c r="GH196" s="3" t="s">
        <v>63</v>
      </c>
      <c r="GI196" s="3" t="s">
        <v>62</v>
      </c>
      <c r="GJ196" s="9" t="str">
        <f t="shared" si="906"/>
        <v>Elfenbenskusten</v>
      </c>
      <c r="GK196" s="9" t="str">
        <f t="shared" si="906"/>
        <v>Iran</v>
      </c>
      <c r="GL196" s="9" t="str">
        <f t="shared" si="906"/>
        <v>Irak</v>
      </c>
      <c r="GM196" s="9" t="str">
        <f t="shared" si="906"/>
        <v>Australien</v>
      </c>
      <c r="GN196" s="9" t="str">
        <f t="shared" si="906"/>
        <v>Sydkorea</v>
      </c>
      <c r="GO196" s="9" t="str">
        <f t="shared" si="902"/>
        <v>Sverige</v>
      </c>
      <c r="GP196" s="9" t="str">
        <f t="shared" si="902"/>
        <v>Ghana</v>
      </c>
      <c r="GQ196" s="9" t="str">
        <f t="shared" si="902"/>
        <v>Uzbekistan</v>
      </c>
      <c r="GR196" s="9" t="str">
        <f t="shared" si="884"/>
        <v/>
      </c>
    </row>
    <row r="197" spans="182:200" ht="14.25" customHeight="1" x14ac:dyDescent="0.25">
      <c r="FZ197" s="79">
        <v>195</v>
      </c>
      <c r="GA197" s="3" t="str">
        <f t="shared" ref="GA197:GA260" si="907">GB197&amp;GC197&amp;GD197&amp;GE197&amp;GF197&amp;GG197&amp;GH197&amp;GI197</f>
        <v>EGJDAFLI</v>
      </c>
      <c r="GB197" s="3" t="s">
        <v>59</v>
      </c>
      <c r="GC197" s="3" t="s">
        <v>60</v>
      </c>
      <c r="GD197" s="3" t="s">
        <v>69</v>
      </c>
      <c r="GE197" s="3" t="s">
        <v>58</v>
      </c>
      <c r="GF197" s="3" t="s">
        <v>56</v>
      </c>
      <c r="GG197" s="3" t="s">
        <v>21</v>
      </c>
      <c r="GH197" s="3" t="s">
        <v>63</v>
      </c>
      <c r="GI197" s="3" t="s">
        <v>61</v>
      </c>
      <c r="GJ197" s="9" t="str">
        <f t="shared" si="906"/>
        <v>Elfenbenskusten</v>
      </c>
      <c r="GK197" s="9" t="str">
        <f t="shared" si="906"/>
        <v>Iran</v>
      </c>
      <c r="GL197" s="9" t="str">
        <f t="shared" si="906"/>
        <v>Österrike</v>
      </c>
      <c r="GM197" s="9" t="str">
        <f t="shared" si="906"/>
        <v>Australien</v>
      </c>
      <c r="GN197" s="9" t="str">
        <f t="shared" si="906"/>
        <v>Sydkorea</v>
      </c>
      <c r="GO197" s="9" t="str">
        <f t="shared" si="902"/>
        <v>Sverige</v>
      </c>
      <c r="GP197" s="9" t="str">
        <f t="shared" si="902"/>
        <v>Ghana</v>
      </c>
      <c r="GQ197" s="9" t="str">
        <f t="shared" si="902"/>
        <v>Irak</v>
      </c>
      <c r="GR197" s="9" t="str">
        <f t="shared" si="884"/>
        <v/>
      </c>
    </row>
    <row r="198" spans="182:200" ht="14.25" customHeight="1" x14ac:dyDescent="0.25">
      <c r="FZ198" s="79">
        <v>196</v>
      </c>
      <c r="GA198" s="3" t="str">
        <f t="shared" si="907"/>
        <v>EGJDAFIK</v>
      </c>
      <c r="GB198" s="3" t="s">
        <v>59</v>
      </c>
      <c r="GC198" s="3" t="s">
        <v>60</v>
      </c>
      <c r="GD198" s="3" t="s">
        <v>69</v>
      </c>
      <c r="GE198" s="3" t="s">
        <v>58</v>
      </c>
      <c r="GF198" s="3" t="s">
        <v>56</v>
      </c>
      <c r="GG198" s="3" t="s">
        <v>21</v>
      </c>
      <c r="GH198" s="3" t="s">
        <v>61</v>
      </c>
      <c r="GI198" s="3" t="s">
        <v>62</v>
      </c>
      <c r="GJ198" s="9" t="str">
        <f t="shared" si="906"/>
        <v>Elfenbenskusten</v>
      </c>
      <c r="GK198" s="9" t="str">
        <f t="shared" si="906"/>
        <v>Iran</v>
      </c>
      <c r="GL198" s="9" t="str">
        <f t="shared" si="906"/>
        <v>Österrike</v>
      </c>
      <c r="GM198" s="9" t="str">
        <f t="shared" si="906"/>
        <v>Australien</v>
      </c>
      <c r="GN198" s="9" t="str">
        <f t="shared" si="906"/>
        <v>Sydkorea</v>
      </c>
      <c r="GO198" s="9" t="str">
        <f t="shared" si="902"/>
        <v>Sverige</v>
      </c>
      <c r="GP198" s="9" t="str">
        <f t="shared" si="902"/>
        <v>Irak</v>
      </c>
      <c r="GQ198" s="9" t="str">
        <f t="shared" si="902"/>
        <v>Uzbekistan</v>
      </c>
      <c r="GR198" s="9" t="str">
        <f t="shared" ref="GR198:GR261" si="908">IFERROR(IF(AND(VLOOKUP(GB198,$FX$4:$FX$15,1,FALSE)=GB198,VLOOKUP(GC198,$FX$4:$FX$15,1,FALSE)=GC198,VLOOKUP(GD198,$FX$4:$FX$15,1,FALSE)=GD198,VLOOKUP(GE198,$FX$4:$FX$15,1,FALSE)=GE198,VLOOKUP(GF198,$FX$4:$FX$15,1,FALSE)=GF198,VLOOKUP(GG198,$FX$4:$FX$15,1,FALSE)=GG198,VLOOKUP(GH198,$FX$4:$FX$15,1,FALSE)=GH198,VLOOKUP(GI198,$FX$4:$FX$15,1,FALSE)=GI198),FZ198,""),"")</f>
        <v/>
      </c>
    </row>
    <row r="199" spans="182:200" ht="14.25" customHeight="1" x14ac:dyDescent="0.25">
      <c r="FZ199" s="79">
        <v>197</v>
      </c>
      <c r="GA199" s="3" t="str">
        <f t="shared" si="907"/>
        <v>HGEDAFLK</v>
      </c>
      <c r="GB199" s="3" t="s">
        <v>70</v>
      </c>
      <c r="GC199" s="3" t="s">
        <v>60</v>
      </c>
      <c r="GD199" s="3" t="s">
        <v>59</v>
      </c>
      <c r="GE199" s="3" t="s">
        <v>58</v>
      </c>
      <c r="GF199" s="3" t="s">
        <v>56</v>
      </c>
      <c r="GG199" s="3" t="s">
        <v>21</v>
      </c>
      <c r="GH199" s="3" t="s">
        <v>63</v>
      </c>
      <c r="GI199" s="3" t="s">
        <v>62</v>
      </c>
      <c r="GJ199" s="9" t="str">
        <f t="shared" si="906"/>
        <v>Saudiarabien</v>
      </c>
      <c r="GK199" s="9" t="str">
        <f t="shared" si="906"/>
        <v>Iran</v>
      </c>
      <c r="GL199" s="9" t="str">
        <f t="shared" si="906"/>
        <v>Elfenbenskusten</v>
      </c>
      <c r="GM199" s="9" t="str">
        <f t="shared" si="906"/>
        <v>Australien</v>
      </c>
      <c r="GN199" s="9" t="str">
        <f t="shared" si="906"/>
        <v>Sydkorea</v>
      </c>
      <c r="GO199" s="9" t="str">
        <f t="shared" si="902"/>
        <v>Sverige</v>
      </c>
      <c r="GP199" s="9" t="str">
        <f t="shared" si="902"/>
        <v>Ghana</v>
      </c>
      <c r="GQ199" s="9" t="str">
        <f t="shared" si="902"/>
        <v>Uzbekistan</v>
      </c>
      <c r="GR199" s="9" t="str">
        <f t="shared" si="908"/>
        <v/>
      </c>
    </row>
    <row r="200" spans="182:200" ht="14.25" customHeight="1" x14ac:dyDescent="0.25">
      <c r="FZ200" s="79">
        <v>198</v>
      </c>
      <c r="GA200" s="3" t="str">
        <f t="shared" si="907"/>
        <v>HGJDAFLE</v>
      </c>
      <c r="GB200" s="3" t="s">
        <v>70</v>
      </c>
      <c r="GC200" s="3" t="s">
        <v>60</v>
      </c>
      <c r="GD200" s="3" t="s">
        <v>69</v>
      </c>
      <c r="GE200" s="3" t="s">
        <v>58</v>
      </c>
      <c r="GF200" s="3" t="s">
        <v>56</v>
      </c>
      <c r="GG200" s="3" t="s">
        <v>21</v>
      </c>
      <c r="GH200" s="3" t="s">
        <v>63</v>
      </c>
      <c r="GI200" s="3" t="s">
        <v>59</v>
      </c>
      <c r="GJ200" s="9" t="str">
        <f t="shared" si="906"/>
        <v>Saudiarabien</v>
      </c>
      <c r="GK200" s="9" t="str">
        <f t="shared" si="906"/>
        <v>Iran</v>
      </c>
      <c r="GL200" s="9" t="str">
        <f t="shared" si="906"/>
        <v>Österrike</v>
      </c>
      <c r="GM200" s="9" t="str">
        <f t="shared" si="906"/>
        <v>Australien</v>
      </c>
      <c r="GN200" s="9" t="str">
        <f t="shared" si="906"/>
        <v>Sydkorea</v>
      </c>
      <c r="GO200" s="9" t="str">
        <f t="shared" si="902"/>
        <v>Sverige</v>
      </c>
      <c r="GP200" s="9" t="str">
        <f t="shared" si="902"/>
        <v>Ghana</v>
      </c>
      <c r="GQ200" s="9" t="str">
        <f t="shared" si="902"/>
        <v>Elfenbenskusten</v>
      </c>
      <c r="GR200" s="9" t="str">
        <f t="shared" si="908"/>
        <v/>
      </c>
    </row>
    <row r="201" spans="182:200" ht="14.25" customHeight="1" x14ac:dyDescent="0.25">
      <c r="FZ201" s="79">
        <v>199</v>
      </c>
      <c r="GA201" s="3" t="str">
        <f t="shared" si="907"/>
        <v>HGJDAFEK</v>
      </c>
      <c r="GB201" s="3" t="s">
        <v>70</v>
      </c>
      <c r="GC201" s="3" t="s">
        <v>60</v>
      </c>
      <c r="GD201" s="3" t="s">
        <v>69</v>
      </c>
      <c r="GE201" s="3" t="s">
        <v>58</v>
      </c>
      <c r="GF201" s="3" t="s">
        <v>56</v>
      </c>
      <c r="GG201" s="3" t="s">
        <v>21</v>
      </c>
      <c r="GH201" s="3" t="s">
        <v>59</v>
      </c>
      <c r="GI201" s="3" t="s">
        <v>62</v>
      </c>
      <c r="GJ201" s="9" t="str">
        <f t="shared" si="906"/>
        <v>Saudiarabien</v>
      </c>
      <c r="GK201" s="9" t="str">
        <f t="shared" si="906"/>
        <v>Iran</v>
      </c>
      <c r="GL201" s="9" t="str">
        <f t="shared" si="906"/>
        <v>Österrike</v>
      </c>
      <c r="GM201" s="9" t="str">
        <f t="shared" si="906"/>
        <v>Australien</v>
      </c>
      <c r="GN201" s="9" t="str">
        <f t="shared" si="906"/>
        <v>Sydkorea</v>
      </c>
      <c r="GO201" s="9" t="str">
        <f t="shared" si="902"/>
        <v>Sverige</v>
      </c>
      <c r="GP201" s="9" t="str">
        <f t="shared" si="902"/>
        <v>Elfenbenskusten</v>
      </c>
      <c r="GQ201" s="9" t="str">
        <f t="shared" si="902"/>
        <v>Uzbekistan</v>
      </c>
      <c r="GR201" s="9" t="str">
        <f t="shared" si="908"/>
        <v/>
      </c>
    </row>
    <row r="202" spans="182:200" ht="14.25" customHeight="1" x14ac:dyDescent="0.25">
      <c r="FZ202" s="79">
        <v>200</v>
      </c>
      <c r="GA202" s="3" t="str">
        <f t="shared" si="907"/>
        <v>HGEDAFLI</v>
      </c>
      <c r="GB202" s="3" t="s">
        <v>70</v>
      </c>
      <c r="GC202" s="3" t="s">
        <v>60</v>
      </c>
      <c r="GD202" s="3" t="s">
        <v>59</v>
      </c>
      <c r="GE202" s="3" t="s">
        <v>58</v>
      </c>
      <c r="GF202" s="3" t="s">
        <v>56</v>
      </c>
      <c r="GG202" s="3" t="s">
        <v>21</v>
      </c>
      <c r="GH202" s="3" t="s">
        <v>63</v>
      </c>
      <c r="GI202" s="3" t="s">
        <v>61</v>
      </c>
      <c r="GJ202" s="9" t="str">
        <f t="shared" si="906"/>
        <v>Saudiarabien</v>
      </c>
      <c r="GK202" s="9" t="str">
        <f t="shared" si="906"/>
        <v>Iran</v>
      </c>
      <c r="GL202" s="9" t="str">
        <f t="shared" si="906"/>
        <v>Elfenbenskusten</v>
      </c>
      <c r="GM202" s="9" t="str">
        <f t="shared" si="906"/>
        <v>Australien</v>
      </c>
      <c r="GN202" s="9" t="str">
        <f t="shared" si="906"/>
        <v>Sydkorea</v>
      </c>
      <c r="GO202" s="9" t="str">
        <f t="shared" si="902"/>
        <v>Sverige</v>
      </c>
      <c r="GP202" s="9" t="str">
        <f t="shared" si="902"/>
        <v>Ghana</v>
      </c>
      <c r="GQ202" s="9" t="str">
        <f t="shared" si="902"/>
        <v>Irak</v>
      </c>
      <c r="GR202" s="9" t="str">
        <f t="shared" si="908"/>
        <v/>
      </c>
    </row>
    <row r="203" spans="182:200" ht="14.25" customHeight="1" x14ac:dyDescent="0.25">
      <c r="FZ203" s="79">
        <v>201</v>
      </c>
      <c r="GA203" s="3" t="str">
        <f t="shared" si="907"/>
        <v>HGEDAFIK</v>
      </c>
      <c r="GB203" s="3" t="s">
        <v>70</v>
      </c>
      <c r="GC203" s="3" t="s">
        <v>60</v>
      </c>
      <c r="GD203" s="3" t="s">
        <v>59</v>
      </c>
      <c r="GE203" s="3" t="s">
        <v>58</v>
      </c>
      <c r="GF203" s="3" t="s">
        <v>56</v>
      </c>
      <c r="GG203" s="3" t="s">
        <v>21</v>
      </c>
      <c r="GH203" s="3" t="s">
        <v>61</v>
      </c>
      <c r="GI203" s="3" t="s">
        <v>62</v>
      </c>
      <c r="GJ203" s="9" t="str">
        <f t="shared" si="906"/>
        <v>Saudiarabien</v>
      </c>
      <c r="GK203" s="9" t="str">
        <f t="shared" si="906"/>
        <v>Iran</v>
      </c>
      <c r="GL203" s="9" t="str">
        <f t="shared" si="906"/>
        <v>Elfenbenskusten</v>
      </c>
      <c r="GM203" s="9" t="str">
        <f t="shared" si="906"/>
        <v>Australien</v>
      </c>
      <c r="GN203" s="9" t="str">
        <f t="shared" si="906"/>
        <v>Sydkorea</v>
      </c>
      <c r="GO203" s="9" t="str">
        <f t="shared" si="902"/>
        <v>Sverige</v>
      </c>
      <c r="GP203" s="9" t="str">
        <f t="shared" si="902"/>
        <v>Irak</v>
      </c>
      <c r="GQ203" s="9" t="str">
        <f t="shared" si="902"/>
        <v>Uzbekistan</v>
      </c>
      <c r="GR203" s="9" t="str">
        <f t="shared" si="908"/>
        <v/>
      </c>
    </row>
    <row r="204" spans="182:200" ht="14.25" customHeight="1" x14ac:dyDescent="0.25">
      <c r="FZ204" s="79">
        <v>202</v>
      </c>
      <c r="GA204" s="3" t="str">
        <f t="shared" si="907"/>
        <v>HGJDAFEI</v>
      </c>
      <c r="GB204" s="3" t="s">
        <v>70</v>
      </c>
      <c r="GC204" s="3" t="s">
        <v>60</v>
      </c>
      <c r="GD204" s="3" t="s">
        <v>69</v>
      </c>
      <c r="GE204" s="3" t="s">
        <v>58</v>
      </c>
      <c r="GF204" s="3" t="s">
        <v>56</v>
      </c>
      <c r="GG204" s="3" t="s">
        <v>21</v>
      </c>
      <c r="GH204" s="3" t="s">
        <v>59</v>
      </c>
      <c r="GI204" s="3" t="s">
        <v>61</v>
      </c>
      <c r="GJ204" s="9" t="str">
        <f t="shared" si="906"/>
        <v>Saudiarabien</v>
      </c>
      <c r="GK204" s="9" t="str">
        <f t="shared" si="906"/>
        <v>Iran</v>
      </c>
      <c r="GL204" s="9" t="str">
        <f t="shared" si="906"/>
        <v>Österrike</v>
      </c>
      <c r="GM204" s="9" t="str">
        <f t="shared" si="906"/>
        <v>Australien</v>
      </c>
      <c r="GN204" s="9" t="str">
        <f t="shared" si="906"/>
        <v>Sydkorea</v>
      </c>
      <c r="GO204" s="9" t="str">
        <f t="shared" si="902"/>
        <v>Sverige</v>
      </c>
      <c r="GP204" s="9" t="str">
        <f t="shared" si="902"/>
        <v>Elfenbenskusten</v>
      </c>
      <c r="GQ204" s="9" t="str">
        <f t="shared" si="902"/>
        <v>Irak</v>
      </c>
      <c r="GR204" s="9" t="str">
        <f t="shared" si="908"/>
        <v/>
      </c>
    </row>
    <row r="205" spans="182:200" ht="14.25" customHeight="1" x14ac:dyDescent="0.25">
      <c r="FZ205" s="79">
        <v>203</v>
      </c>
      <c r="GA205" s="3" t="str">
        <f t="shared" si="907"/>
        <v>HJICAGLK</v>
      </c>
      <c r="GB205" s="3" t="s">
        <v>70</v>
      </c>
      <c r="GC205" s="3" t="s">
        <v>69</v>
      </c>
      <c r="GD205" s="3" t="s">
        <v>61</v>
      </c>
      <c r="GE205" s="3" t="s">
        <v>75</v>
      </c>
      <c r="GF205" s="3" t="s">
        <v>56</v>
      </c>
      <c r="GG205" s="3" t="s">
        <v>60</v>
      </c>
      <c r="GH205" s="3" t="s">
        <v>63</v>
      </c>
      <c r="GI205" s="3" t="s">
        <v>62</v>
      </c>
      <c r="GJ205" s="9" t="str">
        <f t="shared" si="906"/>
        <v>Saudiarabien</v>
      </c>
      <c r="GK205" s="9" t="str">
        <f t="shared" si="906"/>
        <v>Österrike</v>
      </c>
      <c r="GL205" s="9" t="str">
        <f t="shared" si="906"/>
        <v>Irak</v>
      </c>
      <c r="GM205" s="9" t="str">
        <f t="shared" si="906"/>
        <v>Haiti</v>
      </c>
      <c r="GN205" s="9" t="str">
        <f t="shared" si="906"/>
        <v>Sydkorea</v>
      </c>
      <c r="GO205" s="9" t="str">
        <f t="shared" si="902"/>
        <v>Iran</v>
      </c>
      <c r="GP205" s="9" t="str">
        <f t="shared" si="902"/>
        <v>Ghana</v>
      </c>
      <c r="GQ205" s="9" t="str">
        <f t="shared" si="902"/>
        <v>Uzbekistan</v>
      </c>
      <c r="GR205" s="9" t="str">
        <f t="shared" si="908"/>
        <v/>
      </c>
    </row>
    <row r="206" spans="182:200" ht="14.25" customHeight="1" x14ac:dyDescent="0.25">
      <c r="FZ206" s="79">
        <v>204</v>
      </c>
      <c r="GA206" s="3" t="str">
        <f t="shared" si="907"/>
        <v>HJICAFLK</v>
      </c>
      <c r="GB206" s="3" t="s">
        <v>70</v>
      </c>
      <c r="GC206" s="3" t="s">
        <v>69</v>
      </c>
      <c r="GD206" s="3" t="s">
        <v>61</v>
      </c>
      <c r="GE206" s="3" t="s">
        <v>75</v>
      </c>
      <c r="GF206" s="3" t="s">
        <v>56</v>
      </c>
      <c r="GG206" s="3" t="s">
        <v>21</v>
      </c>
      <c r="GH206" s="3" t="s">
        <v>63</v>
      </c>
      <c r="GI206" s="3" t="s">
        <v>62</v>
      </c>
      <c r="GJ206" s="9" t="str">
        <f t="shared" si="906"/>
        <v>Saudiarabien</v>
      </c>
      <c r="GK206" s="9" t="str">
        <f t="shared" si="906"/>
        <v>Österrike</v>
      </c>
      <c r="GL206" s="9" t="str">
        <f t="shared" si="906"/>
        <v>Irak</v>
      </c>
      <c r="GM206" s="9" t="str">
        <f t="shared" si="906"/>
        <v>Haiti</v>
      </c>
      <c r="GN206" s="9" t="str">
        <f t="shared" si="906"/>
        <v>Sydkorea</v>
      </c>
      <c r="GO206" s="9" t="str">
        <f t="shared" si="902"/>
        <v>Sverige</v>
      </c>
      <c r="GP206" s="9" t="str">
        <f t="shared" si="902"/>
        <v>Ghana</v>
      </c>
      <c r="GQ206" s="9" t="str">
        <f t="shared" si="902"/>
        <v>Uzbekistan</v>
      </c>
      <c r="GR206" s="9" t="str">
        <f t="shared" si="908"/>
        <v/>
      </c>
    </row>
    <row r="207" spans="182:200" ht="14.25" customHeight="1" x14ac:dyDescent="0.25">
      <c r="FZ207" s="79">
        <v>205</v>
      </c>
      <c r="GA207" s="3" t="str">
        <f t="shared" si="907"/>
        <v>IGJCAFLK</v>
      </c>
      <c r="GB207" s="3" t="s">
        <v>61</v>
      </c>
      <c r="GC207" s="3" t="s">
        <v>60</v>
      </c>
      <c r="GD207" s="3" t="s">
        <v>69</v>
      </c>
      <c r="GE207" s="3" t="s">
        <v>75</v>
      </c>
      <c r="GF207" s="3" t="s">
        <v>56</v>
      </c>
      <c r="GG207" s="3" t="s">
        <v>21</v>
      </c>
      <c r="GH207" s="3" t="s">
        <v>63</v>
      </c>
      <c r="GI207" s="3" t="s">
        <v>62</v>
      </c>
      <c r="GJ207" s="9" t="str">
        <f t="shared" si="906"/>
        <v>Irak</v>
      </c>
      <c r="GK207" s="9" t="str">
        <f t="shared" si="906"/>
        <v>Iran</v>
      </c>
      <c r="GL207" s="9" t="str">
        <f t="shared" si="906"/>
        <v>Österrike</v>
      </c>
      <c r="GM207" s="9" t="str">
        <f t="shared" si="906"/>
        <v>Haiti</v>
      </c>
      <c r="GN207" s="9" t="str">
        <f t="shared" si="906"/>
        <v>Sydkorea</v>
      </c>
      <c r="GO207" s="9" t="str">
        <f t="shared" si="902"/>
        <v>Sverige</v>
      </c>
      <c r="GP207" s="9" t="str">
        <f t="shared" si="902"/>
        <v>Ghana</v>
      </c>
      <c r="GQ207" s="9" t="str">
        <f t="shared" si="902"/>
        <v>Uzbekistan</v>
      </c>
      <c r="GR207" s="9" t="str">
        <f t="shared" si="908"/>
        <v/>
      </c>
    </row>
    <row r="208" spans="182:200" ht="14.25" customHeight="1" x14ac:dyDescent="0.25">
      <c r="FZ208" s="79">
        <v>206</v>
      </c>
      <c r="GA208" s="3" t="str">
        <f t="shared" si="907"/>
        <v>HGJCAFLK</v>
      </c>
      <c r="GB208" s="3" t="s">
        <v>70</v>
      </c>
      <c r="GC208" s="3" t="s">
        <v>60</v>
      </c>
      <c r="GD208" s="3" t="s">
        <v>69</v>
      </c>
      <c r="GE208" s="3" t="s">
        <v>75</v>
      </c>
      <c r="GF208" s="3" t="s">
        <v>56</v>
      </c>
      <c r="GG208" s="3" t="s">
        <v>21</v>
      </c>
      <c r="GH208" s="3" t="s">
        <v>63</v>
      </c>
      <c r="GI208" s="3" t="s">
        <v>62</v>
      </c>
      <c r="GJ208" s="9" t="str">
        <f t="shared" si="906"/>
        <v>Saudiarabien</v>
      </c>
      <c r="GK208" s="9" t="str">
        <f t="shared" si="906"/>
        <v>Iran</v>
      </c>
      <c r="GL208" s="9" t="str">
        <f t="shared" si="906"/>
        <v>Österrike</v>
      </c>
      <c r="GM208" s="9" t="str">
        <f t="shared" si="906"/>
        <v>Haiti</v>
      </c>
      <c r="GN208" s="9" t="str">
        <f t="shared" si="906"/>
        <v>Sydkorea</v>
      </c>
      <c r="GO208" s="9" t="str">
        <f t="shared" si="902"/>
        <v>Sverige</v>
      </c>
      <c r="GP208" s="9" t="str">
        <f t="shared" si="902"/>
        <v>Ghana</v>
      </c>
      <c r="GQ208" s="9" t="str">
        <f t="shared" si="902"/>
        <v>Uzbekistan</v>
      </c>
      <c r="GR208" s="9" t="str">
        <f t="shared" si="908"/>
        <v/>
      </c>
    </row>
    <row r="209" spans="182:200" ht="14.25" customHeight="1" x14ac:dyDescent="0.25">
      <c r="FZ209" s="79">
        <v>207</v>
      </c>
      <c r="GA209" s="3" t="str">
        <f t="shared" si="907"/>
        <v>HGICAFLK</v>
      </c>
      <c r="GB209" s="3" t="s">
        <v>70</v>
      </c>
      <c r="GC209" s="3" t="s">
        <v>60</v>
      </c>
      <c r="GD209" s="3" t="s">
        <v>61</v>
      </c>
      <c r="GE209" s="3" t="s">
        <v>75</v>
      </c>
      <c r="GF209" s="3" t="s">
        <v>56</v>
      </c>
      <c r="GG209" s="3" t="s">
        <v>21</v>
      </c>
      <c r="GH209" s="3" t="s">
        <v>63</v>
      </c>
      <c r="GI209" s="3" t="s">
        <v>62</v>
      </c>
      <c r="GJ209" s="9" t="str">
        <f t="shared" si="906"/>
        <v>Saudiarabien</v>
      </c>
      <c r="GK209" s="9" t="str">
        <f t="shared" si="906"/>
        <v>Iran</v>
      </c>
      <c r="GL209" s="9" t="str">
        <f t="shared" si="906"/>
        <v>Irak</v>
      </c>
      <c r="GM209" s="9" t="str">
        <f t="shared" si="906"/>
        <v>Haiti</v>
      </c>
      <c r="GN209" s="9" t="str">
        <f t="shared" si="906"/>
        <v>Sydkorea</v>
      </c>
      <c r="GO209" s="9" t="str">
        <f t="shared" si="902"/>
        <v>Sverige</v>
      </c>
      <c r="GP209" s="9" t="str">
        <f t="shared" si="902"/>
        <v>Ghana</v>
      </c>
      <c r="GQ209" s="9" t="str">
        <f t="shared" si="902"/>
        <v>Uzbekistan</v>
      </c>
      <c r="GR209" s="9" t="str">
        <f t="shared" si="908"/>
        <v/>
      </c>
    </row>
    <row r="210" spans="182:200" ht="14.25" customHeight="1" x14ac:dyDescent="0.25">
      <c r="FZ210" s="79">
        <v>208</v>
      </c>
      <c r="GA210" s="3" t="str">
        <f t="shared" si="907"/>
        <v>HGJCAFLI</v>
      </c>
      <c r="GB210" s="3" t="s">
        <v>70</v>
      </c>
      <c r="GC210" s="3" t="s">
        <v>60</v>
      </c>
      <c r="GD210" s="3" t="s">
        <v>69</v>
      </c>
      <c r="GE210" s="3" t="s">
        <v>75</v>
      </c>
      <c r="GF210" s="3" t="s">
        <v>56</v>
      </c>
      <c r="GG210" s="3" t="s">
        <v>21</v>
      </c>
      <c r="GH210" s="3" t="s">
        <v>63</v>
      </c>
      <c r="GI210" s="3" t="s">
        <v>61</v>
      </c>
      <c r="GJ210" s="9" t="str">
        <f t="shared" si="906"/>
        <v>Saudiarabien</v>
      </c>
      <c r="GK210" s="9" t="str">
        <f t="shared" si="906"/>
        <v>Iran</v>
      </c>
      <c r="GL210" s="9" t="str">
        <f t="shared" si="906"/>
        <v>Österrike</v>
      </c>
      <c r="GM210" s="9" t="str">
        <f t="shared" si="906"/>
        <v>Haiti</v>
      </c>
      <c r="GN210" s="9" t="str">
        <f t="shared" si="906"/>
        <v>Sydkorea</v>
      </c>
      <c r="GO210" s="9" t="str">
        <f t="shared" si="902"/>
        <v>Sverige</v>
      </c>
      <c r="GP210" s="9" t="str">
        <f t="shared" si="902"/>
        <v>Ghana</v>
      </c>
      <c r="GQ210" s="9" t="str">
        <f t="shared" si="902"/>
        <v>Irak</v>
      </c>
      <c r="GR210" s="9" t="str">
        <f t="shared" si="908"/>
        <v/>
      </c>
    </row>
    <row r="211" spans="182:200" ht="14.25" customHeight="1" x14ac:dyDescent="0.25">
      <c r="FZ211" s="79">
        <v>209</v>
      </c>
      <c r="GA211" s="3" t="str">
        <f t="shared" si="907"/>
        <v>HGJCAFIK</v>
      </c>
      <c r="GB211" s="3" t="s">
        <v>70</v>
      </c>
      <c r="GC211" s="3" t="s">
        <v>60</v>
      </c>
      <c r="GD211" s="3" t="s">
        <v>69</v>
      </c>
      <c r="GE211" s="3" t="s">
        <v>75</v>
      </c>
      <c r="GF211" s="3" t="s">
        <v>56</v>
      </c>
      <c r="GG211" s="3" t="s">
        <v>21</v>
      </c>
      <c r="GH211" s="3" t="s">
        <v>61</v>
      </c>
      <c r="GI211" s="3" t="s">
        <v>62</v>
      </c>
      <c r="GJ211" s="9" t="str">
        <f t="shared" si="906"/>
        <v>Saudiarabien</v>
      </c>
      <c r="GK211" s="9" t="str">
        <f t="shared" si="906"/>
        <v>Iran</v>
      </c>
      <c r="GL211" s="9" t="str">
        <f t="shared" si="906"/>
        <v>Österrike</v>
      </c>
      <c r="GM211" s="9" t="str">
        <f t="shared" si="906"/>
        <v>Haiti</v>
      </c>
      <c r="GN211" s="9" t="str">
        <f t="shared" si="906"/>
        <v>Sydkorea</v>
      </c>
      <c r="GO211" s="9" t="str">
        <f t="shared" si="902"/>
        <v>Sverige</v>
      </c>
      <c r="GP211" s="9" t="str">
        <f t="shared" si="902"/>
        <v>Irak</v>
      </c>
      <c r="GQ211" s="9" t="str">
        <f t="shared" si="902"/>
        <v>Uzbekistan</v>
      </c>
      <c r="GR211" s="9" t="str">
        <f t="shared" si="908"/>
        <v/>
      </c>
    </row>
    <row r="212" spans="182:200" ht="14.25" customHeight="1" x14ac:dyDescent="0.25">
      <c r="FZ212" s="79">
        <v>210</v>
      </c>
      <c r="GA212" s="3" t="str">
        <f t="shared" si="907"/>
        <v>EJICAHLK</v>
      </c>
      <c r="GB212" s="3" t="s">
        <v>59</v>
      </c>
      <c r="GC212" s="3" t="s">
        <v>69</v>
      </c>
      <c r="GD212" s="3" t="s">
        <v>61</v>
      </c>
      <c r="GE212" s="3" t="s">
        <v>75</v>
      </c>
      <c r="GF212" s="3" t="s">
        <v>56</v>
      </c>
      <c r="GG212" s="3" t="s">
        <v>70</v>
      </c>
      <c r="GH212" s="3" t="s">
        <v>63</v>
      </c>
      <c r="GI212" s="3" t="s">
        <v>62</v>
      </c>
      <c r="GJ212" s="9" t="str">
        <f t="shared" si="906"/>
        <v>Elfenbenskusten</v>
      </c>
      <c r="GK212" s="9" t="str">
        <f t="shared" si="906"/>
        <v>Österrike</v>
      </c>
      <c r="GL212" s="9" t="str">
        <f t="shared" si="906"/>
        <v>Irak</v>
      </c>
      <c r="GM212" s="9" t="str">
        <f t="shared" si="906"/>
        <v>Haiti</v>
      </c>
      <c r="GN212" s="9" t="str">
        <f t="shared" si="906"/>
        <v>Sydkorea</v>
      </c>
      <c r="GO212" s="9" t="str">
        <f t="shared" si="902"/>
        <v>Saudiarabien</v>
      </c>
      <c r="GP212" s="9" t="str">
        <f t="shared" si="902"/>
        <v>Ghana</v>
      </c>
      <c r="GQ212" s="9" t="str">
        <f t="shared" si="902"/>
        <v>Uzbekistan</v>
      </c>
      <c r="GR212" s="9" t="str">
        <f t="shared" si="908"/>
        <v/>
      </c>
    </row>
    <row r="213" spans="182:200" ht="14.25" customHeight="1" x14ac:dyDescent="0.25">
      <c r="FZ213" s="79">
        <v>211</v>
      </c>
      <c r="GA213" s="3" t="str">
        <f t="shared" si="907"/>
        <v>EJICAGLK</v>
      </c>
      <c r="GB213" s="3" t="s">
        <v>59</v>
      </c>
      <c r="GC213" s="3" t="s">
        <v>69</v>
      </c>
      <c r="GD213" s="3" t="s">
        <v>61</v>
      </c>
      <c r="GE213" s="3" t="s">
        <v>75</v>
      </c>
      <c r="GF213" s="3" t="s">
        <v>56</v>
      </c>
      <c r="GG213" s="3" t="s">
        <v>60</v>
      </c>
      <c r="GH213" s="3" t="s">
        <v>63</v>
      </c>
      <c r="GI213" s="3" t="s">
        <v>62</v>
      </c>
      <c r="GJ213" s="9" t="str">
        <f t="shared" si="906"/>
        <v>Elfenbenskusten</v>
      </c>
      <c r="GK213" s="9" t="str">
        <f t="shared" si="906"/>
        <v>Österrike</v>
      </c>
      <c r="GL213" s="9" t="str">
        <f t="shared" si="906"/>
        <v>Irak</v>
      </c>
      <c r="GM213" s="9" t="str">
        <f t="shared" si="906"/>
        <v>Haiti</v>
      </c>
      <c r="GN213" s="9" t="str">
        <f t="shared" si="906"/>
        <v>Sydkorea</v>
      </c>
      <c r="GO213" s="9" t="str">
        <f t="shared" si="902"/>
        <v>Iran</v>
      </c>
      <c r="GP213" s="9" t="str">
        <f t="shared" si="902"/>
        <v>Ghana</v>
      </c>
      <c r="GQ213" s="9" t="str">
        <f t="shared" si="902"/>
        <v>Uzbekistan</v>
      </c>
      <c r="GR213" s="9" t="str">
        <f t="shared" si="908"/>
        <v/>
      </c>
    </row>
    <row r="214" spans="182:200" ht="14.25" customHeight="1" x14ac:dyDescent="0.25">
      <c r="FZ214" s="79">
        <v>212</v>
      </c>
      <c r="GA214" s="3" t="str">
        <f t="shared" si="907"/>
        <v>EGJCAHLK</v>
      </c>
      <c r="GB214" s="3" t="s">
        <v>59</v>
      </c>
      <c r="GC214" s="3" t="s">
        <v>60</v>
      </c>
      <c r="GD214" s="3" t="s">
        <v>69</v>
      </c>
      <c r="GE214" s="3" t="s">
        <v>75</v>
      </c>
      <c r="GF214" s="3" t="s">
        <v>56</v>
      </c>
      <c r="GG214" s="3" t="s">
        <v>70</v>
      </c>
      <c r="GH214" s="3" t="s">
        <v>63</v>
      </c>
      <c r="GI214" s="3" t="s">
        <v>62</v>
      </c>
      <c r="GJ214" s="9" t="str">
        <f t="shared" si="906"/>
        <v>Elfenbenskusten</v>
      </c>
      <c r="GK214" s="9" t="str">
        <f t="shared" si="906"/>
        <v>Iran</v>
      </c>
      <c r="GL214" s="9" t="str">
        <f t="shared" si="906"/>
        <v>Österrike</v>
      </c>
      <c r="GM214" s="9" t="str">
        <f t="shared" si="906"/>
        <v>Haiti</v>
      </c>
      <c r="GN214" s="9" t="str">
        <f t="shared" si="906"/>
        <v>Sydkorea</v>
      </c>
      <c r="GO214" s="9" t="str">
        <f t="shared" si="902"/>
        <v>Saudiarabien</v>
      </c>
      <c r="GP214" s="9" t="str">
        <f t="shared" si="902"/>
        <v>Ghana</v>
      </c>
      <c r="GQ214" s="9" t="str">
        <f t="shared" si="902"/>
        <v>Uzbekistan</v>
      </c>
      <c r="GR214" s="9" t="str">
        <f t="shared" si="908"/>
        <v/>
      </c>
    </row>
    <row r="215" spans="182:200" ht="14.25" customHeight="1" x14ac:dyDescent="0.25">
      <c r="FZ215" s="79">
        <v>213</v>
      </c>
      <c r="GA215" s="3" t="str">
        <f t="shared" si="907"/>
        <v>EGICAHLK</v>
      </c>
      <c r="GB215" s="3" t="s">
        <v>59</v>
      </c>
      <c r="GC215" s="3" t="s">
        <v>60</v>
      </c>
      <c r="GD215" s="3" t="s">
        <v>61</v>
      </c>
      <c r="GE215" s="3" t="s">
        <v>75</v>
      </c>
      <c r="GF215" s="3" t="s">
        <v>56</v>
      </c>
      <c r="GG215" s="3" t="s">
        <v>70</v>
      </c>
      <c r="GH215" s="3" t="s">
        <v>63</v>
      </c>
      <c r="GI215" s="3" t="s">
        <v>62</v>
      </c>
      <c r="GJ215" s="9" t="str">
        <f t="shared" si="906"/>
        <v>Elfenbenskusten</v>
      </c>
      <c r="GK215" s="9" t="str">
        <f t="shared" si="906"/>
        <v>Iran</v>
      </c>
      <c r="GL215" s="9" t="str">
        <f t="shared" si="906"/>
        <v>Irak</v>
      </c>
      <c r="GM215" s="9" t="str">
        <f t="shared" si="906"/>
        <v>Haiti</v>
      </c>
      <c r="GN215" s="9" t="str">
        <f t="shared" si="906"/>
        <v>Sydkorea</v>
      </c>
      <c r="GO215" s="9" t="str">
        <f t="shared" si="902"/>
        <v>Saudiarabien</v>
      </c>
      <c r="GP215" s="9" t="str">
        <f t="shared" si="902"/>
        <v>Ghana</v>
      </c>
      <c r="GQ215" s="9" t="str">
        <f t="shared" si="902"/>
        <v>Uzbekistan</v>
      </c>
      <c r="GR215" s="9" t="str">
        <f t="shared" si="908"/>
        <v/>
      </c>
    </row>
    <row r="216" spans="182:200" ht="14.25" customHeight="1" x14ac:dyDescent="0.25">
      <c r="FZ216" s="79">
        <v>214</v>
      </c>
      <c r="GA216" s="3" t="str">
        <f t="shared" si="907"/>
        <v>EGJCAHLI</v>
      </c>
      <c r="GB216" s="3" t="s">
        <v>59</v>
      </c>
      <c r="GC216" s="3" t="s">
        <v>60</v>
      </c>
      <c r="GD216" s="3" t="s">
        <v>69</v>
      </c>
      <c r="GE216" s="3" t="s">
        <v>75</v>
      </c>
      <c r="GF216" s="3" t="s">
        <v>56</v>
      </c>
      <c r="GG216" s="3" t="s">
        <v>70</v>
      </c>
      <c r="GH216" s="3" t="s">
        <v>63</v>
      </c>
      <c r="GI216" s="3" t="s">
        <v>61</v>
      </c>
      <c r="GJ216" s="9" t="str">
        <f t="shared" si="906"/>
        <v>Elfenbenskusten</v>
      </c>
      <c r="GK216" s="9" t="str">
        <f t="shared" si="906"/>
        <v>Iran</v>
      </c>
      <c r="GL216" s="9" t="str">
        <f t="shared" si="906"/>
        <v>Österrike</v>
      </c>
      <c r="GM216" s="9" t="str">
        <f t="shared" si="906"/>
        <v>Haiti</v>
      </c>
      <c r="GN216" s="9" t="str">
        <f t="shared" si="906"/>
        <v>Sydkorea</v>
      </c>
      <c r="GO216" s="9" t="str">
        <f t="shared" si="902"/>
        <v>Saudiarabien</v>
      </c>
      <c r="GP216" s="9" t="str">
        <f t="shared" si="902"/>
        <v>Ghana</v>
      </c>
      <c r="GQ216" s="9" t="str">
        <f t="shared" si="902"/>
        <v>Irak</v>
      </c>
      <c r="GR216" s="9" t="str">
        <f t="shared" si="908"/>
        <v/>
      </c>
    </row>
    <row r="217" spans="182:200" ht="14.25" customHeight="1" x14ac:dyDescent="0.25">
      <c r="FZ217" s="79">
        <v>215</v>
      </c>
      <c r="GA217" s="3" t="str">
        <f t="shared" si="907"/>
        <v>EGJCAHIK</v>
      </c>
      <c r="GB217" s="3" t="s">
        <v>59</v>
      </c>
      <c r="GC217" s="3" t="s">
        <v>60</v>
      </c>
      <c r="GD217" s="3" t="s">
        <v>69</v>
      </c>
      <c r="GE217" s="3" t="s">
        <v>75</v>
      </c>
      <c r="GF217" s="3" t="s">
        <v>56</v>
      </c>
      <c r="GG217" s="3" t="s">
        <v>70</v>
      </c>
      <c r="GH217" s="3" t="s">
        <v>61</v>
      </c>
      <c r="GI217" s="3" t="s">
        <v>62</v>
      </c>
      <c r="GJ217" s="9" t="str">
        <f t="shared" si="906"/>
        <v>Elfenbenskusten</v>
      </c>
      <c r="GK217" s="9" t="str">
        <f t="shared" si="906"/>
        <v>Iran</v>
      </c>
      <c r="GL217" s="9" t="str">
        <f t="shared" si="906"/>
        <v>Österrike</v>
      </c>
      <c r="GM217" s="9" t="str">
        <f t="shared" si="906"/>
        <v>Haiti</v>
      </c>
      <c r="GN217" s="9" t="str">
        <f t="shared" si="906"/>
        <v>Sydkorea</v>
      </c>
      <c r="GO217" s="9" t="str">
        <f t="shared" si="902"/>
        <v>Saudiarabien</v>
      </c>
      <c r="GP217" s="9" t="str">
        <f t="shared" si="902"/>
        <v>Irak</v>
      </c>
      <c r="GQ217" s="9" t="str">
        <f t="shared" si="902"/>
        <v>Uzbekistan</v>
      </c>
      <c r="GR217" s="9" t="str">
        <f t="shared" si="908"/>
        <v/>
      </c>
    </row>
    <row r="218" spans="182:200" ht="14.25" customHeight="1" x14ac:dyDescent="0.25">
      <c r="FZ218" s="79">
        <v>216</v>
      </c>
      <c r="GA218" s="3" t="str">
        <f t="shared" si="907"/>
        <v>EJICAFLK</v>
      </c>
      <c r="GB218" s="3" t="s">
        <v>59</v>
      </c>
      <c r="GC218" s="3" t="s">
        <v>69</v>
      </c>
      <c r="GD218" s="3" t="s">
        <v>61</v>
      </c>
      <c r="GE218" s="3" t="s">
        <v>75</v>
      </c>
      <c r="GF218" s="3" t="s">
        <v>56</v>
      </c>
      <c r="GG218" s="3" t="s">
        <v>21</v>
      </c>
      <c r="GH218" s="3" t="s">
        <v>63</v>
      </c>
      <c r="GI218" s="3" t="s">
        <v>62</v>
      </c>
      <c r="GJ218" s="9" t="str">
        <f t="shared" si="906"/>
        <v>Elfenbenskusten</v>
      </c>
      <c r="GK218" s="9" t="str">
        <f t="shared" si="906"/>
        <v>Österrike</v>
      </c>
      <c r="GL218" s="9" t="str">
        <f t="shared" si="906"/>
        <v>Irak</v>
      </c>
      <c r="GM218" s="9" t="str">
        <f t="shared" si="906"/>
        <v>Haiti</v>
      </c>
      <c r="GN218" s="9" t="str">
        <f t="shared" si="906"/>
        <v>Sydkorea</v>
      </c>
      <c r="GO218" s="9" t="str">
        <f t="shared" si="902"/>
        <v>Sverige</v>
      </c>
      <c r="GP218" s="9" t="str">
        <f t="shared" si="902"/>
        <v>Ghana</v>
      </c>
      <c r="GQ218" s="9" t="str">
        <f t="shared" si="902"/>
        <v>Uzbekistan</v>
      </c>
      <c r="GR218" s="9" t="str">
        <f t="shared" si="908"/>
        <v/>
      </c>
    </row>
    <row r="219" spans="182:200" ht="14.25" customHeight="1" x14ac:dyDescent="0.25">
      <c r="FZ219" s="79">
        <v>217</v>
      </c>
      <c r="GA219" s="3" t="str">
        <f t="shared" si="907"/>
        <v>HJECAFLK</v>
      </c>
      <c r="GB219" s="3" t="s">
        <v>70</v>
      </c>
      <c r="GC219" s="3" t="s">
        <v>69</v>
      </c>
      <c r="GD219" s="3" t="s">
        <v>59</v>
      </c>
      <c r="GE219" s="3" t="s">
        <v>75</v>
      </c>
      <c r="GF219" s="3" t="s">
        <v>56</v>
      </c>
      <c r="GG219" s="3" t="s">
        <v>21</v>
      </c>
      <c r="GH219" s="3" t="s">
        <v>63</v>
      </c>
      <c r="GI219" s="3" t="s">
        <v>62</v>
      </c>
      <c r="GJ219" s="9" t="str">
        <f t="shared" si="906"/>
        <v>Saudiarabien</v>
      </c>
      <c r="GK219" s="9" t="str">
        <f t="shared" si="906"/>
        <v>Österrike</v>
      </c>
      <c r="GL219" s="9" t="str">
        <f t="shared" si="906"/>
        <v>Elfenbenskusten</v>
      </c>
      <c r="GM219" s="9" t="str">
        <f t="shared" si="906"/>
        <v>Haiti</v>
      </c>
      <c r="GN219" s="9" t="str">
        <f t="shared" si="906"/>
        <v>Sydkorea</v>
      </c>
      <c r="GO219" s="9" t="str">
        <f t="shared" si="902"/>
        <v>Sverige</v>
      </c>
      <c r="GP219" s="9" t="str">
        <f t="shared" si="902"/>
        <v>Ghana</v>
      </c>
      <c r="GQ219" s="9" t="str">
        <f t="shared" si="902"/>
        <v>Uzbekistan</v>
      </c>
      <c r="GR219" s="9" t="str">
        <f t="shared" si="908"/>
        <v/>
      </c>
    </row>
    <row r="220" spans="182:200" ht="14.25" customHeight="1" x14ac:dyDescent="0.25">
      <c r="FZ220" s="79">
        <v>218</v>
      </c>
      <c r="GA220" s="3" t="str">
        <f t="shared" si="907"/>
        <v>HEICAFLK</v>
      </c>
      <c r="GB220" s="3" t="s">
        <v>70</v>
      </c>
      <c r="GC220" s="3" t="s">
        <v>59</v>
      </c>
      <c r="GD220" s="3" t="s">
        <v>61</v>
      </c>
      <c r="GE220" s="3" t="s">
        <v>75</v>
      </c>
      <c r="GF220" s="3" t="s">
        <v>56</v>
      </c>
      <c r="GG220" s="3" t="s">
        <v>21</v>
      </c>
      <c r="GH220" s="3" t="s">
        <v>63</v>
      </c>
      <c r="GI220" s="3" t="s">
        <v>62</v>
      </c>
      <c r="GJ220" s="9" t="str">
        <f t="shared" si="906"/>
        <v>Saudiarabien</v>
      </c>
      <c r="GK220" s="9" t="str">
        <f t="shared" si="906"/>
        <v>Elfenbenskusten</v>
      </c>
      <c r="GL220" s="9" t="str">
        <f t="shared" si="906"/>
        <v>Irak</v>
      </c>
      <c r="GM220" s="9" t="str">
        <f t="shared" si="906"/>
        <v>Haiti</v>
      </c>
      <c r="GN220" s="9" t="str">
        <f t="shared" si="906"/>
        <v>Sydkorea</v>
      </c>
      <c r="GO220" s="9" t="str">
        <f t="shared" si="902"/>
        <v>Sverige</v>
      </c>
      <c r="GP220" s="9" t="str">
        <f t="shared" si="902"/>
        <v>Ghana</v>
      </c>
      <c r="GQ220" s="9" t="str">
        <f t="shared" si="902"/>
        <v>Uzbekistan</v>
      </c>
      <c r="GR220" s="9" t="str">
        <f t="shared" si="908"/>
        <v/>
      </c>
    </row>
    <row r="221" spans="182:200" ht="14.25" customHeight="1" x14ac:dyDescent="0.25">
      <c r="FZ221" s="79">
        <v>219</v>
      </c>
      <c r="GA221" s="3" t="str">
        <f t="shared" si="907"/>
        <v>HJECAFLI</v>
      </c>
      <c r="GB221" s="3" t="s">
        <v>70</v>
      </c>
      <c r="GC221" s="3" t="s">
        <v>69</v>
      </c>
      <c r="GD221" s="3" t="s">
        <v>59</v>
      </c>
      <c r="GE221" s="3" t="s">
        <v>75</v>
      </c>
      <c r="GF221" s="3" t="s">
        <v>56</v>
      </c>
      <c r="GG221" s="3" t="s">
        <v>21</v>
      </c>
      <c r="GH221" s="3" t="s">
        <v>63</v>
      </c>
      <c r="GI221" s="3" t="s">
        <v>61</v>
      </c>
      <c r="GJ221" s="9" t="str">
        <f t="shared" si="906"/>
        <v>Saudiarabien</v>
      </c>
      <c r="GK221" s="9" t="str">
        <f t="shared" si="906"/>
        <v>Österrike</v>
      </c>
      <c r="GL221" s="9" t="str">
        <f t="shared" si="906"/>
        <v>Elfenbenskusten</v>
      </c>
      <c r="GM221" s="9" t="str">
        <f t="shared" si="906"/>
        <v>Haiti</v>
      </c>
      <c r="GN221" s="9" t="str">
        <f t="shared" si="906"/>
        <v>Sydkorea</v>
      </c>
      <c r="GO221" s="9" t="str">
        <f t="shared" si="902"/>
        <v>Sverige</v>
      </c>
      <c r="GP221" s="9" t="str">
        <f t="shared" si="902"/>
        <v>Ghana</v>
      </c>
      <c r="GQ221" s="9" t="str">
        <f t="shared" si="902"/>
        <v>Irak</v>
      </c>
      <c r="GR221" s="9" t="str">
        <f t="shared" si="908"/>
        <v/>
      </c>
    </row>
    <row r="222" spans="182:200" ht="14.25" customHeight="1" x14ac:dyDescent="0.25">
      <c r="FZ222" s="79">
        <v>220</v>
      </c>
      <c r="GA222" s="3" t="str">
        <f t="shared" si="907"/>
        <v>HJECAFIK</v>
      </c>
      <c r="GB222" s="3" t="s">
        <v>70</v>
      </c>
      <c r="GC222" s="3" t="s">
        <v>69</v>
      </c>
      <c r="GD222" s="3" t="s">
        <v>59</v>
      </c>
      <c r="GE222" s="3" t="s">
        <v>75</v>
      </c>
      <c r="GF222" s="3" t="s">
        <v>56</v>
      </c>
      <c r="GG222" s="3" t="s">
        <v>21</v>
      </c>
      <c r="GH222" s="3" t="s">
        <v>61</v>
      </c>
      <c r="GI222" s="3" t="s">
        <v>62</v>
      </c>
      <c r="GJ222" s="9" t="str">
        <f t="shared" si="906"/>
        <v>Saudiarabien</v>
      </c>
      <c r="GK222" s="9" t="str">
        <f t="shared" si="906"/>
        <v>Österrike</v>
      </c>
      <c r="GL222" s="9" t="str">
        <f t="shared" si="906"/>
        <v>Elfenbenskusten</v>
      </c>
      <c r="GM222" s="9" t="str">
        <f t="shared" si="906"/>
        <v>Haiti</v>
      </c>
      <c r="GN222" s="9" t="str">
        <f t="shared" si="906"/>
        <v>Sydkorea</v>
      </c>
      <c r="GO222" s="9" t="str">
        <f t="shared" si="902"/>
        <v>Sverige</v>
      </c>
      <c r="GP222" s="9" t="str">
        <f t="shared" si="902"/>
        <v>Irak</v>
      </c>
      <c r="GQ222" s="9" t="str">
        <f t="shared" si="902"/>
        <v>Uzbekistan</v>
      </c>
      <c r="GR222" s="9" t="str">
        <f t="shared" si="908"/>
        <v/>
      </c>
    </row>
    <row r="223" spans="182:200" ht="14.25" customHeight="1" x14ac:dyDescent="0.25">
      <c r="FZ223" s="79">
        <v>221</v>
      </c>
      <c r="GA223" s="3" t="str">
        <f t="shared" si="907"/>
        <v>EGJCAFLK</v>
      </c>
      <c r="GB223" s="3" t="s">
        <v>59</v>
      </c>
      <c r="GC223" s="3" t="s">
        <v>60</v>
      </c>
      <c r="GD223" s="3" t="s">
        <v>69</v>
      </c>
      <c r="GE223" s="3" t="s">
        <v>75</v>
      </c>
      <c r="GF223" s="3" t="s">
        <v>56</v>
      </c>
      <c r="GG223" s="3" t="s">
        <v>21</v>
      </c>
      <c r="GH223" s="3" t="s">
        <v>63</v>
      </c>
      <c r="GI223" s="3" t="s">
        <v>62</v>
      </c>
      <c r="GJ223" s="9" t="str">
        <f t="shared" si="906"/>
        <v>Elfenbenskusten</v>
      </c>
      <c r="GK223" s="9" t="str">
        <f t="shared" si="906"/>
        <v>Iran</v>
      </c>
      <c r="GL223" s="9" t="str">
        <f t="shared" si="906"/>
        <v>Österrike</v>
      </c>
      <c r="GM223" s="9" t="str">
        <f t="shared" si="906"/>
        <v>Haiti</v>
      </c>
      <c r="GN223" s="9" t="str">
        <f t="shared" si="906"/>
        <v>Sydkorea</v>
      </c>
      <c r="GO223" s="9" t="str">
        <f t="shared" si="902"/>
        <v>Sverige</v>
      </c>
      <c r="GP223" s="9" t="str">
        <f t="shared" si="902"/>
        <v>Ghana</v>
      </c>
      <c r="GQ223" s="9" t="str">
        <f t="shared" si="902"/>
        <v>Uzbekistan</v>
      </c>
      <c r="GR223" s="9" t="str">
        <f t="shared" si="908"/>
        <v/>
      </c>
    </row>
    <row r="224" spans="182:200" ht="14.25" customHeight="1" x14ac:dyDescent="0.25">
      <c r="FZ224" s="79">
        <v>222</v>
      </c>
      <c r="GA224" s="3" t="str">
        <f t="shared" si="907"/>
        <v>EGICAFLK</v>
      </c>
      <c r="GB224" s="3" t="s">
        <v>59</v>
      </c>
      <c r="GC224" s="3" t="s">
        <v>60</v>
      </c>
      <c r="GD224" s="3" t="s">
        <v>61</v>
      </c>
      <c r="GE224" s="3" t="s">
        <v>75</v>
      </c>
      <c r="GF224" s="3" t="s">
        <v>56</v>
      </c>
      <c r="GG224" s="3" t="s">
        <v>21</v>
      </c>
      <c r="GH224" s="3" t="s">
        <v>63</v>
      </c>
      <c r="GI224" s="3" t="s">
        <v>62</v>
      </c>
      <c r="GJ224" s="9" t="str">
        <f t="shared" si="906"/>
        <v>Elfenbenskusten</v>
      </c>
      <c r="GK224" s="9" t="str">
        <f t="shared" si="906"/>
        <v>Iran</v>
      </c>
      <c r="GL224" s="9" t="str">
        <f t="shared" si="906"/>
        <v>Irak</v>
      </c>
      <c r="GM224" s="9" t="str">
        <f t="shared" si="906"/>
        <v>Haiti</v>
      </c>
      <c r="GN224" s="9" t="str">
        <f t="shared" si="906"/>
        <v>Sydkorea</v>
      </c>
      <c r="GO224" s="9" t="str">
        <f t="shared" si="902"/>
        <v>Sverige</v>
      </c>
      <c r="GP224" s="9" t="str">
        <f t="shared" si="902"/>
        <v>Ghana</v>
      </c>
      <c r="GQ224" s="9" t="str">
        <f t="shared" si="902"/>
        <v>Uzbekistan</v>
      </c>
      <c r="GR224" s="9" t="str">
        <f t="shared" si="908"/>
        <v/>
      </c>
    </row>
    <row r="225" spans="182:200" ht="14.25" customHeight="1" x14ac:dyDescent="0.25">
      <c r="FZ225" s="79">
        <v>223</v>
      </c>
      <c r="GA225" s="3" t="str">
        <f t="shared" si="907"/>
        <v>EGJCAFLI</v>
      </c>
      <c r="GB225" s="3" t="s">
        <v>59</v>
      </c>
      <c r="GC225" s="3" t="s">
        <v>60</v>
      </c>
      <c r="GD225" s="3" t="s">
        <v>69</v>
      </c>
      <c r="GE225" s="3" t="s">
        <v>75</v>
      </c>
      <c r="GF225" s="3" t="s">
        <v>56</v>
      </c>
      <c r="GG225" s="3" t="s">
        <v>21</v>
      </c>
      <c r="GH225" s="3" t="s">
        <v>63</v>
      </c>
      <c r="GI225" s="3" t="s">
        <v>61</v>
      </c>
      <c r="GJ225" s="9" t="str">
        <f t="shared" si="906"/>
        <v>Elfenbenskusten</v>
      </c>
      <c r="GK225" s="9" t="str">
        <f t="shared" si="906"/>
        <v>Iran</v>
      </c>
      <c r="GL225" s="9" t="str">
        <f t="shared" si="906"/>
        <v>Österrike</v>
      </c>
      <c r="GM225" s="9" t="str">
        <f t="shared" si="906"/>
        <v>Haiti</v>
      </c>
      <c r="GN225" s="9" t="str">
        <f t="shared" si="906"/>
        <v>Sydkorea</v>
      </c>
      <c r="GO225" s="9" t="str">
        <f t="shared" si="902"/>
        <v>Sverige</v>
      </c>
      <c r="GP225" s="9" t="str">
        <f t="shared" si="902"/>
        <v>Ghana</v>
      </c>
      <c r="GQ225" s="9" t="str">
        <f t="shared" si="902"/>
        <v>Irak</v>
      </c>
      <c r="GR225" s="9" t="str">
        <f t="shared" si="908"/>
        <v/>
      </c>
    </row>
    <row r="226" spans="182:200" ht="14.25" customHeight="1" x14ac:dyDescent="0.25">
      <c r="FZ226" s="79">
        <v>224</v>
      </c>
      <c r="GA226" s="3" t="str">
        <f t="shared" si="907"/>
        <v>EGJCAFIK</v>
      </c>
      <c r="GB226" s="3" t="s">
        <v>59</v>
      </c>
      <c r="GC226" s="3" t="s">
        <v>60</v>
      </c>
      <c r="GD226" s="3" t="s">
        <v>69</v>
      </c>
      <c r="GE226" s="3" t="s">
        <v>75</v>
      </c>
      <c r="GF226" s="3" t="s">
        <v>56</v>
      </c>
      <c r="GG226" s="3" t="s">
        <v>21</v>
      </c>
      <c r="GH226" s="3" t="s">
        <v>61</v>
      </c>
      <c r="GI226" s="3" t="s">
        <v>62</v>
      </c>
      <c r="GJ226" s="9" t="str">
        <f t="shared" si="906"/>
        <v>Elfenbenskusten</v>
      </c>
      <c r="GK226" s="9" t="str">
        <f t="shared" si="906"/>
        <v>Iran</v>
      </c>
      <c r="GL226" s="9" t="str">
        <f t="shared" si="906"/>
        <v>Österrike</v>
      </c>
      <c r="GM226" s="9" t="str">
        <f t="shared" si="906"/>
        <v>Haiti</v>
      </c>
      <c r="GN226" s="9" t="str">
        <f t="shared" si="906"/>
        <v>Sydkorea</v>
      </c>
      <c r="GO226" s="9" t="str">
        <f t="shared" si="902"/>
        <v>Sverige</v>
      </c>
      <c r="GP226" s="9" t="str">
        <f t="shared" si="902"/>
        <v>Irak</v>
      </c>
      <c r="GQ226" s="9" t="str">
        <f t="shared" si="902"/>
        <v>Uzbekistan</v>
      </c>
      <c r="GR226" s="9" t="str">
        <f t="shared" si="908"/>
        <v/>
      </c>
    </row>
    <row r="227" spans="182:200" ht="14.25" customHeight="1" x14ac:dyDescent="0.25">
      <c r="FZ227" s="79">
        <v>225</v>
      </c>
      <c r="GA227" s="3" t="str">
        <f t="shared" si="907"/>
        <v>HGECAFLK</v>
      </c>
      <c r="GB227" s="3" t="s">
        <v>70</v>
      </c>
      <c r="GC227" s="3" t="s">
        <v>60</v>
      </c>
      <c r="GD227" s="3" t="s">
        <v>59</v>
      </c>
      <c r="GE227" s="3" t="s">
        <v>75</v>
      </c>
      <c r="GF227" s="3" t="s">
        <v>56</v>
      </c>
      <c r="GG227" s="3" t="s">
        <v>21</v>
      </c>
      <c r="GH227" s="3" t="s">
        <v>63</v>
      </c>
      <c r="GI227" s="3" t="s">
        <v>62</v>
      </c>
      <c r="GJ227" s="9" t="str">
        <f t="shared" si="906"/>
        <v>Saudiarabien</v>
      </c>
      <c r="GK227" s="9" t="str">
        <f t="shared" si="906"/>
        <v>Iran</v>
      </c>
      <c r="GL227" s="9" t="str">
        <f t="shared" si="906"/>
        <v>Elfenbenskusten</v>
      </c>
      <c r="GM227" s="9" t="str">
        <f t="shared" si="906"/>
        <v>Haiti</v>
      </c>
      <c r="GN227" s="9" t="str">
        <f t="shared" si="906"/>
        <v>Sydkorea</v>
      </c>
      <c r="GO227" s="9" t="str">
        <f t="shared" si="902"/>
        <v>Sverige</v>
      </c>
      <c r="GP227" s="9" t="str">
        <f t="shared" si="902"/>
        <v>Ghana</v>
      </c>
      <c r="GQ227" s="9" t="str">
        <f t="shared" si="902"/>
        <v>Uzbekistan</v>
      </c>
      <c r="GR227" s="9" t="str">
        <f t="shared" si="908"/>
        <v/>
      </c>
    </row>
    <row r="228" spans="182:200" ht="14.25" customHeight="1" x14ac:dyDescent="0.25">
      <c r="FZ228" s="79">
        <v>226</v>
      </c>
      <c r="GA228" s="3" t="str">
        <f t="shared" si="907"/>
        <v>HGJCAFLE</v>
      </c>
      <c r="GB228" s="3" t="s">
        <v>70</v>
      </c>
      <c r="GC228" s="3" t="s">
        <v>60</v>
      </c>
      <c r="GD228" s="3" t="s">
        <v>69</v>
      </c>
      <c r="GE228" s="3" t="s">
        <v>75</v>
      </c>
      <c r="GF228" s="3" t="s">
        <v>56</v>
      </c>
      <c r="GG228" s="3" t="s">
        <v>21</v>
      </c>
      <c r="GH228" s="3" t="s">
        <v>63</v>
      </c>
      <c r="GI228" s="3" t="s">
        <v>59</v>
      </c>
      <c r="GJ228" s="9" t="str">
        <f t="shared" si="906"/>
        <v>Saudiarabien</v>
      </c>
      <c r="GK228" s="9" t="str">
        <f t="shared" si="906"/>
        <v>Iran</v>
      </c>
      <c r="GL228" s="9" t="str">
        <f t="shared" si="906"/>
        <v>Österrike</v>
      </c>
      <c r="GM228" s="9" t="str">
        <f t="shared" si="906"/>
        <v>Haiti</v>
      </c>
      <c r="GN228" s="9" t="str">
        <f t="shared" si="906"/>
        <v>Sydkorea</v>
      </c>
      <c r="GO228" s="9" t="str">
        <f t="shared" si="902"/>
        <v>Sverige</v>
      </c>
      <c r="GP228" s="9" t="str">
        <f t="shared" si="902"/>
        <v>Ghana</v>
      </c>
      <c r="GQ228" s="9" t="str">
        <f t="shared" si="902"/>
        <v>Elfenbenskusten</v>
      </c>
      <c r="GR228" s="9" t="str">
        <f t="shared" si="908"/>
        <v/>
      </c>
    </row>
    <row r="229" spans="182:200" ht="14.25" customHeight="1" x14ac:dyDescent="0.25">
      <c r="FZ229" s="79">
        <v>227</v>
      </c>
      <c r="GA229" s="3" t="str">
        <f t="shared" si="907"/>
        <v>HGJCAFEK</v>
      </c>
      <c r="GB229" s="3" t="s">
        <v>70</v>
      </c>
      <c r="GC229" s="3" t="s">
        <v>60</v>
      </c>
      <c r="GD229" s="3" t="s">
        <v>69</v>
      </c>
      <c r="GE229" s="3" t="s">
        <v>75</v>
      </c>
      <c r="GF229" s="3" t="s">
        <v>56</v>
      </c>
      <c r="GG229" s="3" t="s">
        <v>21</v>
      </c>
      <c r="GH229" s="3" t="s">
        <v>59</v>
      </c>
      <c r="GI229" s="3" t="s">
        <v>62</v>
      </c>
      <c r="GJ229" s="9" t="str">
        <f t="shared" si="906"/>
        <v>Saudiarabien</v>
      </c>
      <c r="GK229" s="9" t="str">
        <f t="shared" si="906"/>
        <v>Iran</v>
      </c>
      <c r="GL229" s="9" t="str">
        <f t="shared" si="906"/>
        <v>Österrike</v>
      </c>
      <c r="GM229" s="9" t="str">
        <f t="shared" si="906"/>
        <v>Haiti</v>
      </c>
      <c r="GN229" s="9" t="str">
        <f t="shared" si="906"/>
        <v>Sydkorea</v>
      </c>
      <c r="GO229" s="9" t="str">
        <f t="shared" si="902"/>
        <v>Sverige</v>
      </c>
      <c r="GP229" s="9" t="str">
        <f t="shared" si="902"/>
        <v>Elfenbenskusten</v>
      </c>
      <c r="GQ229" s="9" t="str">
        <f t="shared" si="902"/>
        <v>Uzbekistan</v>
      </c>
      <c r="GR229" s="9" t="str">
        <f t="shared" si="908"/>
        <v/>
      </c>
    </row>
    <row r="230" spans="182:200" ht="14.25" customHeight="1" x14ac:dyDescent="0.25">
      <c r="FZ230" s="79">
        <v>228</v>
      </c>
      <c r="GA230" s="3" t="str">
        <f t="shared" si="907"/>
        <v>HGECAFLI</v>
      </c>
      <c r="GB230" s="3" t="s">
        <v>70</v>
      </c>
      <c r="GC230" s="3" t="s">
        <v>60</v>
      </c>
      <c r="GD230" s="3" t="s">
        <v>59</v>
      </c>
      <c r="GE230" s="3" t="s">
        <v>75</v>
      </c>
      <c r="GF230" s="3" t="s">
        <v>56</v>
      </c>
      <c r="GG230" s="3" t="s">
        <v>21</v>
      </c>
      <c r="GH230" s="3" t="s">
        <v>63</v>
      </c>
      <c r="GI230" s="3" t="s">
        <v>61</v>
      </c>
      <c r="GJ230" s="9" t="str">
        <f t="shared" si="906"/>
        <v>Saudiarabien</v>
      </c>
      <c r="GK230" s="9" t="str">
        <f t="shared" si="906"/>
        <v>Iran</v>
      </c>
      <c r="GL230" s="9" t="str">
        <f t="shared" si="906"/>
        <v>Elfenbenskusten</v>
      </c>
      <c r="GM230" s="9" t="str">
        <f t="shared" si="906"/>
        <v>Haiti</v>
      </c>
      <c r="GN230" s="9" t="str">
        <f t="shared" si="906"/>
        <v>Sydkorea</v>
      </c>
      <c r="GO230" s="9" t="str">
        <f t="shared" si="902"/>
        <v>Sverige</v>
      </c>
      <c r="GP230" s="9" t="str">
        <f t="shared" si="902"/>
        <v>Ghana</v>
      </c>
      <c r="GQ230" s="9" t="str">
        <f t="shared" si="902"/>
        <v>Irak</v>
      </c>
      <c r="GR230" s="9" t="str">
        <f t="shared" si="908"/>
        <v/>
      </c>
    </row>
    <row r="231" spans="182:200" ht="14.25" customHeight="1" x14ac:dyDescent="0.25">
      <c r="FZ231" s="79">
        <v>229</v>
      </c>
      <c r="GA231" s="3" t="str">
        <f t="shared" si="907"/>
        <v>HGECAFIK</v>
      </c>
      <c r="GB231" s="3" t="s">
        <v>70</v>
      </c>
      <c r="GC231" s="3" t="s">
        <v>60</v>
      </c>
      <c r="GD231" s="3" t="s">
        <v>59</v>
      </c>
      <c r="GE231" s="3" t="s">
        <v>75</v>
      </c>
      <c r="GF231" s="3" t="s">
        <v>56</v>
      </c>
      <c r="GG231" s="3" t="s">
        <v>21</v>
      </c>
      <c r="GH231" s="3" t="s">
        <v>61</v>
      </c>
      <c r="GI231" s="3" t="s">
        <v>62</v>
      </c>
      <c r="GJ231" s="9" t="str">
        <f t="shared" si="906"/>
        <v>Saudiarabien</v>
      </c>
      <c r="GK231" s="9" t="str">
        <f t="shared" si="906"/>
        <v>Iran</v>
      </c>
      <c r="GL231" s="9" t="str">
        <f t="shared" si="906"/>
        <v>Elfenbenskusten</v>
      </c>
      <c r="GM231" s="9" t="str">
        <f t="shared" si="906"/>
        <v>Haiti</v>
      </c>
      <c r="GN231" s="9" t="str">
        <f t="shared" si="906"/>
        <v>Sydkorea</v>
      </c>
      <c r="GO231" s="9" t="str">
        <f t="shared" si="902"/>
        <v>Sverige</v>
      </c>
      <c r="GP231" s="9" t="str">
        <f t="shared" si="902"/>
        <v>Irak</v>
      </c>
      <c r="GQ231" s="9" t="str">
        <f t="shared" si="902"/>
        <v>Uzbekistan</v>
      </c>
      <c r="GR231" s="9" t="str">
        <f t="shared" si="908"/>
        <v/>
      </c>
    </row>
    <row r="232" spans="182:200" ht="14.25" customHeight="1" x14ac:dyDescent="0.25">
      <c r="FZ232" s="79">
        <v>230</v>
      </c>
      <c r="GA232" s="3" t="str">
        <f t="shared" si="907"/>
        <v>HGJCAFEI</v>
      </c>
      <c r="GB232" s="3" t="s">
        <v>70</v>
      </c>
      <c r="GC232" s="3" t="s">
        <v>60</v>
      </c>
      <c r="GD232" s="3" t="s">
        <v>69</v>
      </c>
      <c r="GE232" s="3" t="s">
        <v>75</v>
      </c>
      <c r="GF232" s="3" t="s">
        <v>56</v>
      </c>
      <c r="GG232" s="3" t="s">
        <v>21</v>
      </c>
      <c r="GH232" s="3" t="s">
        <v>59</v>
      </c>
      <c r="GI232" s="3" t="s">
        <v>61</v>
      </c>
      <c r="GJ232" s="9" t="str">
        <f t="shared" si="906"/>
        <v>Saudiarabien</v>
      </c>
      <c r="GK232" s="9" t="str">
        <f t="shared" si="906"/>
        <v>Iran</v>
      </c>
      <c r="GL232" s="9" t="str">
        <f t="shared" si="906"/>
        <v>Österrike</v>
      </c>
      <c r="GM232" s="9" t="str">
        <f t="shared" si="906"/>
        <v>Haiti</v>
      </c>
      <c r="GN232" s="9" t="str">
        <f t="shared" si="906"/>
        <v>Sydkorea</v>
      </c>
      <c r="GO232" s="9" t="str">
        <f t="shared" si="902"/>
        <v>Sverige</v>
      </c>
      <c r="GP232" s="9" t="str">
        <f t="shared" si="902"/>
        <v>Elfenbenskusten</v>
      </c>
      <c r="GQ232" s="9" t="str">
        <f t="shared" si="902"/>
        <v>Irak</v>
      </c>
      <c r="GR232" s="9" t="str">
        <f t="shared" si="908"/>
        <v/>
      </c>
    </row>
    <row r="233" spans="182:200" ht="14.25" customHeight="1" x14ac:dyDescent="0.25">
      <c r="FZ233" s="79">
        <v>231</v>
      </c>
      <c r="GA233" s="3" t="str">
        <f t="shared" si="907"/>
        <v>HJICADLK</v>
      </c>
      <c r="GB233" s="3" t="s">
        <v>70</v>
      </c>
      <c r="GC233" s="3" t="s">
        <v>69</v>
      </c>
      <c r="GD233" s="3" t="s">
        <v>61</v>
      </c>
      <c r="GE233" s="3" t="s">
        <v>75</v>
      </c>
      <c r="GF233" s="3" t="s">
        <v>56</v>
      </c>
      <c r="GG233" s="3" t="s">
        <v>58</v>
      </c>
      <c r="GH233" s="3" t="s">
        <v>63</v>
      </c>
      <c r="GI233" s="3" t="s">
        <v>62</v>
      </c>
      <c r="GJ233" s="9" t="str">
        <f t="shared" si="906"/>
        <v>Saudiarabien</v>
      </c>
      <c r="GK233" s="9" t="str">
        <f t="shared" si="906"/>
        <v>Österrike</v>
      </c>
      <c r="GL233" s="9" t="str">
        <f t="shared" si="906"/>
        <v>Irak</v>
      </c>
      <c r="GM233" s="9" t="str">
        <f t="shared" si="906"/>
        <v>Haiti</v>
      </c>
      <c r="GN233" s="9" t="str">
        <f t="shared" si="906"/>
        <v>Sydkorea</v>
      </c>
      <c r="GO233" s="9" t="str">
        <f t="shared" si="902"/>
        <v>Australien</v>
      </c>
      <c r="GP233" s="9" t="str">
        <f t="shared" si="902"/>
        <v>Ghana</v>
      </c>
      <c r="GQ233" s="9" t="str">
        <f t="shared" si="902"/>
        <v>Uzbekistan</v>
      </c>
      <c r="GR233" s="9" t="str">
        <f t="shared" si="908"/>
        <v/>
      </c>
    </row>
    <row r="234" spans="182:200" ht="14.25" customHeight="1" x14ac:dyDescent="0.25">
      <c r="FZ234" s="79">
        <v>232</v>
      </c>
      <c r="GA234" s="3" t="str">
        <f t="shared" si="907"/>
        <v>IGJCADLK</v>
      </c>
      <c r="GB234" s="3" t="s">
        <v>61</v>
      </c>
      <c r="GC234" s="3" t="s">
        <v>60</v>
      </c>
      <c r="GD234" s="3" t="s">
        <v>69</v>
      </c>
      <c r="GE234" s="3" t="s">
        <v>75</v>
      </c>
      <c r="GF234" s="3" t="s">
        <v>56</v>
      </c>
      <c r="GG234" s="3" t="s">
        <v>58</v>
      </c>
      <c r="GH234" s="3" t="s">
        <v>63</v>
      </c>
      <c r="GI234" s="3" t="s">
        <v>62</v>
      </c>
      <c r="GJ234" s="9" t="str">
        <f t="shared" ref="GJ234:GQ267" si="909">VLOOKUP(GB234,$FM$3:$FN$15,2,FALSE)</f>
        <v>Irak</v>
      </c>
      <c r="GK234" s="9" t="str">
        <f t="shared" si="909"/>
        <v>Iran</v>
      </c>
      <c r="GL234" s="9" t="str">
        <f t="shared" si="909"/>
        <v>Österrike</v>
      </c>
      <c r="GM234" s="9" t="str">
        <f t="shared" si="909"/>
        <v>Haiti</v>
      </c>
      <c r="GN234" s="9" t="str">
        <f t="shared" si="909"/>
        <v>Sydkorea</v>
      </c>
      <c r="GO234" s="9" t="str">
        <f t="shared" si="902"/>
        <v>Australien</v>
      </c>
      <c r="GP234" s="9" t="str">
        <f t="shared" si="902"/>
        <v>Ghana</v>
      </c>
      <c r="GQ234" s="9" t="str">
        <f t="shared" si="902"/>
        <v>Uzbekistan</v>
      </c>
      <c r="GR234" s="9" t="str">
        <f t="shared" si="908"/>
        <v/>
      </c>
    </row>
    <row r="235" spans="182:200" ht="14.25" customHeight="1" x14ac:dyDescent="0.25">
      <c r="FZ235" s="79">
        <v>233</v>
      </c>
      <c r="GA235" s="3" t="str">
        <f t="shared" si="907"/>
        <v>HGJCADLK</v>
      </c>
      <c r="GB235" s="3" t="s">
        <v>70</v>
      </c>
      <c r="GC235" s="3" t="s">
        <v>60</v>
      </c>
      <c r="GD235" s="3" t="s">
        <v>69</v>
      </c>
      <c r="GE235" s="3" t="s">
        <v>75</v>
      </c>
      <c r="GF235" s="3" t="s">
        <v>56</v>
      </c>
      <c r="GG235" s="3" t="s">
        <v>58</v>
      </c>
      <c r="GH235" s="3" t="s">
        <v>63</v>
      </c>
      <c r="GI235" s="3" t="s">
        <v>62</v>
      </c>
      <c r="GJ235" s="9" t="str">
        <f t="shared" si="909"/>
        <v>Saudiarabien</v>
      </c>
      <c r="GK235" s="9" t="str">
        <f t="shared" si="909"/>
        <v>Iran</v>
      </c>
      <c r="GL235" s="9" t="str">
        <f t="shared" si="909"/>
        <v>Österrike</v>
      </c>
      <c r="GM235" s="9" t="str">
        <f t="shared" si="909"/>
        <v>Haiti</v>
      </c>
      <c r="GN235" s="9" t="str">
        <f t="shared" si="909"/>
        <v>Sydkorea</v>
      </c>
      <c r="GO235" s="9" t="str">
        <f t="shared" si="902"/>
        <v>Australien</v>
      </c>
      <c r="GP235" s="9" t="str">
        <f t="shared" si="902"/>
        <v>Ghana</v>
      </c>
      <c r="GQ235" s="9" t="str">
        <f t="shared" si="902"/>
        <v>Uzbekistan</v>
      </c>
      <c r="GR235" s="9" t="str">
        <f t="shared" si="908"/>
        <v/>
      </c>
    </row>
    <row r="236" spans="182:200" ht="14.25" customHeight="1" x14ac:dyDescent="0.25">
      <c r="FZ236" s="79">
        <v>234</v>
      </c>
      <c r="GA236" s="3" t="str">
        <f t="shared" si="907"/>
        <v>HGICADLK</v>
      </c>
      <c r="GB236" s="3" t="s">
        <v>70</v>
      </c>
      <c r="GC236" s="3" t="s">
        <v>60</v>
      </c>
      <c r="GD236" s="3" t="s">
        <v>61</v>
      </c>
      <c r="GE236" s="3" t="s">
        <v>75</v>
      </c>
      <c r="GF236" s="3" t="s">
        <v>56</v>
      </c>
      <c r="GG236" s="3" t="s">
        <v>58</v>
      </c>
      <c r="GH236" s="3" t="s">
        <v>63</v>
      </c>
      <c r="GI236" s="3" t="s">
        <v>62</v>
      </c>
      <c r="GJ236" s="9" t="str">
        <f t="shared" si="909"/>
        <v>Saudiarabien</v>
      </c>
      <c r="GK236" s="9" t="str">
        <f t="shared" si="909"/>
        <v>Iran</v>
      </c>
      <c r="GL236" s="9" t="str">
        <f t="shared" si="909"/>
        <v>Irak</v>
      </c>
      <c r="GM236" s="9" t="str">
        <f t="shared" si="909"/>
        <v>Haiti</v>
      </c>
      <c r="GN236" s="9" t="str">
        <f t="shared" si="909"/>
        <v>Sydkorea</v>
      </c>
      <c r="GO236" s="9" t="str">
        <f t="shared" si="902"/>
        <v>Australien</v>
      </c>
      <c r="GP236" s="9" t="str">
        <f t="shared" si="902"/>
        <v>Ghana</v>
      </c>
      <c r="GQ236" s="9" t="str">
        <f t="shared" si="902"/>
        <v>Uzbekistan</v>
      </c>
      <c r="GR236" s="9" t="str">
        <f t="shared" si="908"/>
        <v/>
      </c>
    </row>
    <row r="237" spans="182:200" ht="14.25" customHeight="1" x14ac:dyDescent="0.25">
      <c r="FZ237" s="79">
        <v>235</v>
      </c>
      <c r="GA237" s="3" t="str">
        <f t="shared" si="907"/>
        <v>HGJCADLI</v>
      </c>
      <c r="GB237" s="3" t="s">
        <v>70</v>
      </c>
      <c r="GC237" s="3" t="s">
        <v>60</v>
      </c>
      <c r="GD237" s="3" t="s">
        <v>69</v>
      </c>
      <c r="GE237" s="3" t="s">
        <v>75</v>
      </c>
      <c r="GF237" s="3" t="s">
        <v>56</v>
      </c>
      <c r="GG237" s="3" t="s">
        <v>58</v>
      </c>
      <c r="GH237" s="3" t="s">
        <v>63</v>
      </c>
      <c r="GI237" s="3" t="s">
        <v>61</v>
      </c>
      <c r="GJ237" s="9" t="str">
        <f t="shared" si="909"/>
        <v>Saudiarabien</v>
      </c>
      <c r="GK237" s="9" t="str">
        <f t="shared" si="909"/>
        <v>Iran</v>
      </c>
      <c r="GL237" s="9" t="str">
        <f t="shared" si="909"/>
        <v>Österrike</v>
      </c>
      <c r="GM237" s="9" t="str">
        <f t="shared" si="909"/>
        <v>Haiti</v>
      </c>
      <c r="GN237" s="9" t="str">
        <f t="shared" si="909"/>
        <v>Sydkorea</v>
      </c>
      <c r="GO237" s="9" t="str">
        <f t="shared" si="902"/>
        <v>Australien</v>
      </c>
      <c r="GP237" s="9" t="str">
        <f t="shared" si="902"/>
        <v>Ghana</v>
      </c>
      <c r="GQ237" s="9" t="str">
        <f t="shared" si="902"/>
        <v>Irak</v>
      </c>
      <c r="GR237" s="9" t="str">
        <f t="shared" si="908"/>
        <v/>
      </c>
    </row>
    <row r="238" spans="182:200" ht="14.25" customHeight="1" x14ac:dyDescent="0.25">
      <c r="FZ238" s="79">
        <v>236</v>
      </c>
      <c r="GA238" s="3" t="str">
        <f t="shared" si="907"/>
        <v>HGJCADIK</v>
      </c>
      <c r="GB238" s="3" t="s">
        <v>70</v>
      </c>
      <c r="GC238" s="3" t="s">
        <v>60</v>
      </c>
      <c r="GD238" s="3" t="s">
        <v>69</v>
      </c>
      <c r="GE238" s="3" t="s">
        <v>75</v>
      </c>
      <c r="GF238" s="3" t="s">
        <v>56</v>
      </c>
      <c r="GG238" s="3" t="s">
        <v>58</v>
      </c>
      <c r="GH238" s="3" t="s">
        <v>61</v>
      </c>
      <c r="GI238" s="3" t="s">
        <v>62</v>
      </c>
      <c r="GJ238" s="9" t="str">
        <f t="shared" si="909"/>
        <v>Saudiarabien</v>
      </c>
      <c r="GK238" s="9" t="str">
        <f t="shared" si="909"/>
        <v>Iran</v>
      </c>
      <c r="GL238" s="9" t="str">
        <f t="shared" si="909"/>
        <v>Österrike</v>
      </c>
      <c r="GM238" s="9" t="str">
        <f t="shared" si="909"/>
        <v>Haiti</v>
      </c>
      <c r="GN238" s="9" t="str">
        <f t="shared" si="909"/>
        <v>Sydkorea</v>
      </c>
      <c r="GO238" s="9" t="str">
        <f t="shared" si="909"/>
        <v>Australien</v>
      </c>
      <c r="GP238" s="9" t="str">
        <f t="shared" si="909"/>
        <v>Irak</v>
      </c>
      <c r="GQ238" s="9" t="str">
        <f t="shared" si="909"/>
        <v>Uzbekistan</v>
      </c>
      <c r="GR238" s="9" t="str">
        <f t="shared" si="908"/>
        <v/>
      </c>
    </row>
    <row r="239" spans="182:200" ht="14.25" customHeight="1" x14ac:dyDescent="0.25">
      <c r="FZ239" s="79">
        <v>237</v>
      </c>
      <c r="GA239" s="3" t="str">
        <f t="shared" si="907"/>
        <v>CJIDAFLK</v>
      </c>
      <c r="GB239" s="3" t="s">
        <v>75</v>
      </c>
      <c r="GC239" s="3" t="s">
        <v>69</v>
      </c>
      <c r="GD239" s="3" t="s">
        <v>61</v>
      </c>
      <c r="GE239" s="3" t="s">
        <v>58</v>
      </c>
      <c r="GF239" s="3" t="s">
        <v>56</v>
      </c>
      <c r="GG239" s="3" t="s">
        <v>21</v>
      </c>
      <c r="GH239" s="3" t="s">
        <v>63</v>
      </c>
      <c r="GI239" s="3" t="s">
        <v>62</v>
      </c>
      <c r="GJ239" s="9" t="str">
        <f t="shared" si="909"/>
        <v>Haiti</v>
      </c>
      <c r="GK239" s="9" t="str">
        <f t="shared" si="909"/>
        <v>Österrike</v>
      </c>
      <c r="GL239" s="9" t="str">
        <f t="shared" si="909"/>
        <v>Irak</v>
      </c>
      <c r="GM239" s="9" t="str">
        <f t="shared" si="909"/>
        <v>Australien</v>
      </c>
      <c r="GN239" s="9" t="str">
        <f t="shared" si="909"/>
        <v>Sydkorea</v>
      </c>
      <c r="GO239" s="9" t="str">
        <f t="shared" si="909"/>
        <v>Sverige</v>
      </c>
      <c r="GP239" s="9" t="str">
        <f t="shared" si="909"/>
        <v>Ghana</v>
      </c>
      <c r="GQ239" s="9" t="str">
        <f t="shared" si="909"/>
        <v>Uzbekistan</v>
      </c>
      <c r="GR239" s="9" t="str">
        <f t="shared" si="908"/>
        <v/>
      </c>
    </row>
    <row r="240" spans="182:200" ht="14.25" customHeight="1" x14ac:dyDescent="0.25">
      <c r="FZ240" s="79">
        <v>238</v>
      </c>
      <c r="GA240" s="3" t="str">
        <f t="shared" si="907"/>
        <v>HJFCADLK</v>
      </c>
      <c r="GB240" s="3" t="s">
        <v>70</v>
      </c>
      <c r="GC240" s="3" t="s">
        <v>69</v>
      </c>
      <c r="GD240" s="3" t="s">
        <v>21</v>
      </c>
      <c r="GE240" s="3" t="s">
        <v>75</v>
      </c>
      <c r="GF240" s="3" t="s">
        <v>56</v>
      </c>
      <c r="GG240" s="3" t="s">
        <v>58</v>
      </c>
      <c r="GH240" s="3" t="s">
        <v>63</v>
      </c>
      <c r="GI240" s="3" t="s">
        <v>62</v>
      </c>
      <c r="GJ240" s="9" t="str">
        <f t="shared" si="909"/>
        <v>Saudiarabien</v>
      </c>
      <c r="GK240" s="9" t="str">
        <f t="shared" si="909"/>
        <v>Österrike</v>
      </c>
      <c r="GL240" s="9" t="str">
        <f t="shared" si="909"/>
        <v>Sverige</v>
      </c>
      <c r="GM240" s="9" t="str">
        <f t="shared" si="909"/>
        <v>Haiti</v>
      </c>
      <c r="GN240" s="9" t="str">
        <f t="shared" si="909"/>
        <v>Sydkorea</v>
      </c>
      <c r="GO240" s="9" t="str">
        <f t="shared" si="909"/>
        <v>Australien</v>
      </c>
      <c r="GP240" s="9" t="str">
        <f t="shared" si="909"/>
        <v>Ghana</v>
      </c>
      <c r="GQ240" s="9" t="str">
        <f t="shared" si="909"/>
        <v>Uzbekistan</v>
      </c>
      <c r="GR240" s="9" t="str">
        <f t="shared" si="908"/>
        <v/>
      </c>
    </row>
    <row r="241" spans="182:200" ht="14.25" customHeight="1" x14ac:dyDescent="0.25">
      <c r="FZ241" s="79">
        <v>239</v>
      </c>
      <c r="GA241" s="3" t="str">
        <f t="shared" si="907"/>
        <v>HFICADLK</v>
      </c>
      <c r="GB241" s="3" t="s">
        <v>70</v>
      </c>
      <c r="GC241" s="3" t="s">
        <v>21</v>
      </c>
      <c r="GD241" s="3" t="s">
        <v>61</v>
      </c>
      <c r="GE241" s="3" t="s">
        <v>75</v>
      </c>
      <c r="GF241" s="3" t="s">
        <v>56</v>
      </c>
      <c r="GG241" s="3" t="s">
        <v>58</v>
      </c>
      <c r="GH241" s="3" t="s">
        <v>63</v>
      </c>
      <c r="GI241" s="3" t="s">
        <v>62</v>
      </c>
      <c r="GJ241" s="9" t="str">
        <f t="shared" si="909"/>
        <v>Saudiarabien</v>
      </c>
      <c r="GK241" s="9" t="str">
        <f t="shared" si="909"/>
        <v>Sverige</v>
      </c>
      <c r="GL241" s="9" t="str">
        <f t="shared" si="909"/>
        <v>Irak</v>
      </c>
      <c r="GM241" s="9" t="str">
        <f t="shared" si="909"/>
        <v>Haiti</v>
      </c>
      <c r="GN241" s="9" t="str">
        <f t="shared" si="909"/>
        <v>Sydkorea</v>
      </c>
      <c r="GO241" s="9" t="str">
        <f t="shared" si="909"/>
        <v>Australien</v>
      </c>
      <c r="GP241" s="9" t="str">
        <f t="shared" si="909"/>
        <v>Ghana</v>
      </c>
      <c r="GQ241" s="9" t="str">
        <f t="shared" si="909"/>
        <v>Uzbekistan</v>
      </c>
      <c r="GR241" s="9" t="str">
        <f t="shared" si="908"/>
        <v/>
      </c>
    </row>
    <row r="242" spans="182:200" ht="14.25" customHeight="1" x14ac:dyDescent="0.25">
      <c r="FZ242" s="79">
        <v>240</v>
      </c>
      <c r="GA242" s="3" t="str">
        <f t="shared" si="907"/>
        <v>HJFCADLI</v>
      </c>
      <c r="GB242" s="3" t="s">
        <v>70</v>
      </c>
      <c r="GC242" s="3" t="s">
        <v>69</v>
      </c>
      <c r="GD242" s="3" t="s">
        <v>21</v>
      </c>
      <c r="GE242" s="3" t="s">
        <v>75</v>
      </c>
      <c r="GF242" s="3" t="s">
        <v>56</v>
      </c>
      <c r="GG242" s="3" t="s">
        <v>58</v>
      </c>
      <c r="GH242" s="3" t="s">
        <v>63</v>
      </c>
      <c r="GI242" s="3" t="s">
        <v>61</v>
      </c>
      <c r="GJ242" s="9" t="str">
        <f t="shared" si="909"/>
        <v>Saudiarabien</v>
      </c>
      <c r="GK242" s="9" t="str">
        <f t="shared" si="909"/>
        <v>Österrike</v>
      </c>
      <c r="GL242" s="9" t="str">
        <f t="shared" si="909"/>
        <v>Sverige</v>
      </c>
      <c r="GM242" s="9" t="str">
        <f t="shared" si="909"/>
        <v>Haiti</v>
      </c>
      <c r="GN242" s="9" t="str">
        <f t="shared" si="909"/>
        <v>Sydkorea</v>
      </c>
      <c r="GO242" s="9" t="str">
        <f t="shared" si="909"/>
        <v>Australien</v>
      </c>
      <c r="GP242" s="9" t="str">
        <f t="shared" si="909"/>
        <v>Ghana</v>
      </c>
      <c r="GQ242" s="9" t="str">
        <f t="shared" si="909"/>
        <v>Irak</v>
      </c>
      <c r="GR242" s="9" t="str">
        <f t="shared" si="908"/>
        <v/>
      </c>
    </row>
    <row r="243" spans="182:200" ht="14.25" customHeight="1" x14ac:dyDescent="0.25">
      <c r="FZ243" s="79">
        <v>241</v>
      </c>
      <c r="GA243" s="3" t="str">
        <f t="shared" si="907"/>
        <v>HJFCADIK</v>
      </c>
      <c r="GB243" s="3" t="s">
        <v>70</v>
      </c>
      <c r="GC243" s="3" t="s">
        <v>69</v>
      </c>
      <c r="GD243" s="3" t="s">
        <v>21</v>
      </c>
      <c r="GE243" s="3" t="s">
        <v>75</v>
      </c>
      <c r="GF243" s="3" t="s">
        <v>56</v>
      </c>
      <c r="GG243" s="3" t="s">
        <v>58</v>
      </c>
      <c r="GH243" s="3" t="s">
        <v>61</v>
      </c>
      <c r="GI243" s="3" t="s">
        <v>62</v>
      </c>
      <c r="GJ243" s="9" t="str">
        <f t="shared" si="909"/>
        <v>Saudiarabien</v>
      </c>
      <c r="GK243" s="9" t="str">
        <f t="shared" si="909"/>
        <v>Österrike</v>
      </c>
      <c r="GL243" s="9" t="str">
        <f t="shared" si="909"/>
        <v>Sverige</v>
      </c>
      <c r="GM243" s="9" t="str">
        <f t="shared" si="909"/>
        <v>Haiti</v>
      </c>
      <c r="GN243" s="9" t="str">
        <f t="shared" si="909"/>
        <v>Sydkorea</v>
      </c>
      <c r="GO243" s="9" t="str">
        <f t="shared" si="909"/>
        <v>Australien</v>
      </c>
      <c r="GP243" s="9" t="str">
        <f t="shared" si="909"/>
        <v>Irak</v>
      </c>
      <c r="GQ243" s="9" t="str">
        <f t="shared" si="909"/>
        <v>Uzbekistan</v>
      </c>
      <c r="GR243" s="9" t="str">
        <f t="shared" si="908"/>
        <v/>
      </c>
    </row>
    <row r="244" spans="182:200" ht="14.25" customHeight="1" x14ac:dyDescent="0.25">
      <c r="FZ244" s="79">
        <v>242</v>
      </c>
      <c r="GA244" s="3" t="str">
        <f t="shared" si="907"/>
        <v>CGJDAFLK</v>
      </c>
      <c r="GB244" s="3" t="s">
        <v>75</v>
      </c>
      <c r="GC244" s="3" t="s">
        <v>60</v>
      </c>
      <c r="GD244" s="3" t="s">
        <v>69</v>
      </c>
      <c r="GE244" s="3" t="s">
        <v>58</v>
      </c>
      <c r="GF244" s="3" t="s">
        <v>56</v>
      </c>
      <c r="GG244" s="3" t="s">
        <v>21</v>
      </c>
      <c r="GH244" s="3" t="s">
        <v>63</v>
      </c>
      <c r="GI244" s="3" t="s">
        <v>62</v>
      </c>
      <c r="GJ244" s="9" t="str">
        <f t="shared" si="909"/>
        <v>Haiti</v>
      </c>
      <c r="GK244" s="9" t="str">
        <f t="shared" si="909"/>
        <v>Iran</v>
      </c>
      <c r="GL244" s="9" t="str">
        <f t="shared" si="909"/>
        <v>Österrike</v>
      </c>
      <c r="GM244" s="9" t="str">
        <f t="shared" si="909"/>
        <v>Australien</v>
      </c>
      <c r="GN244" s="9" t="str">
        <f t="shared" si="909"/>
        <v>Sydkorea</v>
      </c>
      <c r="GO244" s="9" t="str">
        <f t="shared" si="909"/>
        <v>Sverige</v>
      </c>
      <c r="GP244" s="9" t="str">
        <f t="shared" si="909"/>
        <v>Ghana</v>
      </c>
      <c r="GQ244" s="9" t="str">
        <f t="shared" si="909"/>
        <v>Uzbekistan</v>
      </c>
      <c r="GR244" s="9" t="str">
        <f t="shared" si="908"/>
        <v/>
      </c>
    </row>
    <row r="245" spans="182:200" ht="14.25" customHeight="1" x14ac:dyDescent="0.25">
      <c r="FZ245" s="79">
        <v>243</v>
      </c>
      <c r="GA245" s="3" t="str">
        <f t="shared" si="907"/>
        <v>CGIDAFLK</v>
      </c>
      <c r="GB245" s="3" t="s">
        <v>75</v>
      </c>
      <c r="GC245" s="3" t="s">
        <v>60</v>
      </c>
      <c r="GD245" s="3" t="s">
        <v>61</v>
      </c>
      <c r="GE245" s="3" t="s">
        <v>58</v>
      </c>
      <c r="GF245" s="3" t="s">
        <v>56</v>
      </c>
      <c r="GG245" s="3" t="s">
        <v>21</v>
      </c>
      <c r="GH245" s="3" t="s">
        <v>63</v>
      </c>
      <c r="GI245" s="3" t="s">
        <v>62</v>
      </c>
      <c r="GJ245" s="9" t="str">
        <f t="shared" si="909"/>
        <v>Haiti</v>
      </c>
      <c r="GK245" s="9" t="str">
        <f t="shared" si="909"/>
        <v>Iran</v>
      </c>
      <c r="GL245" s="9" t="str">
        <f t="shared" si="909"/>
        <v>Irak</v>
      </c>
      <c r="GM245" s="9" t="str">
        <f t="shared" si="909"/>
        <v>Australien</v>
      </c>
      <c r="GN245" s="9" t="str">
        <f t="shared" si="909"/>
        <v>Sydkorea</v>
      </c>
      <c r="GO245" s="9" t="str">
        <f t="shared" si="909"/>
        <v>Sverige</v>
      </c>
      <c r="GP245" s="9" t="str">
        <f t="shared" si="909"/>
        <v>Ghana</v>
      </c>
      <c r="GQ245" s="9" t="str">
        <f t="shared" si="909"/>
        <v>Uzbekistan</v>
      </c>
      <c r="GR245" s="9" t="str">
        <f t="shared" si="908"/>
        <v/>
      </c>
    </row>
    <row r="246" spans="182:200" ht="14.25" customHeight="1" x14ac:dyDescent="0.25">
      <c r="FZ246" s="79">
        <v>244</v>
      </c>
      <c r="GA246" s="3" t="str">
        <f t="shared" si="907"/>
        <v>CGJDAFLI</v>
      </c>
      <c r="GB246" s="3" t="s">
        <v>75</v>
      </c>
      <c r="GC246" s="3" t="s">
        <v>60</v>
      </c>
      <c r="GD246" s="3" t="s">
        <v>69</v>
      </c>
      <c r="GE246" s="3" t="s">
        <v>58</v>
      </c>
      <c r="GF246" s="3" t="s">
        <v>56</v>
      </c>
      <c r="GG246" s="3" t="s">
        <v>21</v>
      </c>
      <c r="GH246" s="3" t="s">
        <v>63</v>
      </c>
      <c r="GI246" s="3" t="s">
        <v>61</v>
      </c>
      <c r="GJ246" s="9" t="str">
        <f t="shared" si="909"/>
        <v>Haiti</v>
      </c>
      <c r="GK246" s="9" t="str">
        <f t="shared" si="909"/>
        <v>Iran</v>
      </c>
      <c r="GL246" s="9" t="str">
        <f t="shared" si="909"/>
        <v>Österrike</v>
      </c>
      <c r="GM246" s="9" t="str">
        <f t="shared" si="909"/>
        <v>Australien</v>
      </c>
      <c r="GN246" s="9" t="str">
        <f t="shared" si="909"/>
        <v>Sydkorea</v>
      </c>
      <c r="GO246" s="9" t="str">
        <f t="shared" si="909"/>
        <v>Sverige</v>
      </c>
      <c r="GP246" s="9" t="str">
        <f t="shared" si="909"/>
        <v>Ghana</v>
      </c>
      <c r="GQ246" s="9" t="str">
        <f t="shared" si="909"/>
        <v>Irak</v>
      </c>
      <c r="GR246" s="9" t="str">
        <f t="shared" si="908"/>
        <v/>
      </c>
    </row>
    <row r="247" spans="182:200" ht="14.25" customHeight="1" x14ac:dyDescent="0.25">
      <c r="FZ247" s="79">
        <v>245</v>
      </c>
      <c r="GA247" s="3" t="str">
        <f t="shared" si="907"/>
        <v>CGJDAFIK</v>
      </c>
      <c r="GB247" s="3" t="s">
        <v>75</v>
      </c>
      <c r="GC247" s="3" t="s">
        <v>60</v>
      </c>
      <c r="GD247" s="3" t="s">
        <v>69</v>
      </c>
      <c r="GE247" s="3" t="s">
        <v>58</v>
      </c>
      <c r="GF247" s="3" t="s">
        <v>56</v>
      </c>
      <c r="GG247" s="3" t="s">
        <v>21</v>
      </c>
      <c r="GH247" s="3" t="s">
        <v>61</v>
      </c>
      <c r="GI247" s="3" t="s">
        <v>62</v>
      </c>
      <c r="GJ247" s="9" t="str">
        <f t="shared" si="909"/>
        <v>Haiti</v>
      </c>
      <c r="GK247" s="9" t="str">
        <f t="shared" si="909"/>
        <v>Iran</v>
      </c>
      <c r="GL247" s="9" t="str">
        <f t="shared" si="909"/>
        <v>Österrike</v>
      </c>
      <c r="GM247" s="9" t="str">
        <f t="shared" si="909"/>
        <v>Australien</v>
      </c>
      <c r="GN247" s="9" t="str">
        <f t="shared" si="909"/>
        <v>Sydkorea</v>
      </c>
      <c r="GO247" s="9" t="str">
        <f t="shared" si="909"/>
        <v>Sverige</v>
      </c>
      <c r="GP247" s="9" t="str">
        <f t="shared" si="909"/>
        <v>Irak</v>
      </c>
      <c r="GQ247" s="9" t="str">
        <f t="shared" si="909"/>
        <v>Uzbekistan</v>
      </c>
      <c r="GR247" s="9" t="str">
        <f t="shared" si="908"/>
        <v/>
      </c>
    </row>
    <row r="248" spans="182:200" ht="14.25" customHeight="1" x14ac:dyDescent="0.25">
      <c r="FZ248" s="79">
        <v>246</v>
      </c>
      <c r="GA248" s="3" t="str">
        <f t="shared" si="907"/>
        <v>HGFCADLK</v>
      </c>
      <c r="GB248" s="3" t="s">
        <v>70</v>
      </c>
      <c r="GC248" s="3" t="s">
        <v>60</v>
      </c>
      <c r="GD248" s="3" t="s">
        <v>21</v>
      </c>
      <c r="GE248" s="3" t="s">
        <v>75</v>
      </c>
      <c r="GF248" s="3" t="s">
        <v>56</v>
      </c>
      <c r="GG248" s="3" t="s">
        <v>58</v>
      </c>
      <c r="GH248" s="3" t="s">
        <v>63</v>
      </c>
      <c r="GI248" s="3" t="s">
        <v>62</v>
      </c>
      <c r="GJ248" s="9" t="str">
        <f t="shared" si="909"/>
        <v>Saudiarabien</v>
      </c>
      <c r="GK248" s="9" t="str">
        <f t="shared" si="909"/>
        <v>Iran</v>
      </c>
      <c r="GL248" s="9" t="str">
        <f t="shared" si="909"/>
        <v>Sverige</v>
      </c>
      <c r="GM248" s="9" t="str">
        <f t="shared" si="909"/>
        <v>Haiti</v>
      </c>
      <c r="GN248" s="9" t="str">
        <f t="shared" si="909"/>
        <v>Sydkorea</v>
      </c>
      <c r="GO248" s="9" t="str">
        <f t="shared" si="909"/>
        <v>Australien</v>
      </c>
      <c r="GP248" s="9" t="str">
        <f t="shared" si="909"/>
        <v>Ghana</v>
      </c>
      <c r="GQ248" s="9" t="str">
        <f t="shared" si="909"/>
        <v>Uzbekistan</v>
      </c>
      <c r="GR248" s="9" t="str">
        <f t="shared" si="908"/>
        <v/>
      </c>
    </row>
    <row r="249" spans="182:200" ht="14.25" customHeight="1" x14ac:dyDescent="0.25">
      <c r="FZ249" s="79">
        <v>247</v>
      </c>
      <c r="GA249" s="3" t="str">
        <f t="shared" si="907"/>
        <v>CGJDAFLH</v>
      </c>
      <c r="GB249" s="3" t="s">
        <v>75</v>
      </c>
      <c r="GC249" s="3" t="s">
        <v>60</v>
      </c>
      <c r="GD249" s="3" t="s">
        <v>69</v>
      </c>
      <c r="GE249" s="3" t="s">
        <v>58</v>
      </c>
      <c r="GF249" s="3" t="s">
        <v>56</v>
      </c>
      <c r="GG249" s="3" t="s">
        <v>21</v>
      </c>
      <c r="GH249" s="3" t="s">
        <v>63</v>
      </c>
      <c r="GI249" s="3" t="s">
        <v>70</v>
      </c>
      <c r="GJ249" s="9" t="str">
        <f t="shared" si="909"/>
        <v>Haiti</v>
      </c>
      <c r="GK249" s="9" t="str">
        <f t="shared" si="909"/>
        <v>Iran</v>
      </c>
      <c r="GL249" s="9" t="str">
        <f t="shared" si="909"/>
        <v>Österrike</v>
      </c>
      <c r="GM249" s="9" t="str">
        <f t="shared" si="909"/>
        <v>Australien</v>
      </c>
      <c r="GN249" s="9" t="str">
        <f t="shared" si="909"/>
        <v>Sydkorea</v>
      </c>
      <c r="GO249" s="9" t="str">
        <f t="shared" si="909"/>
        <v>Sverige</v>
      </c>
      <c r="GP249" s="9" t="str">
        <f t="shared" si="909"/>
        <v>Ghana</v>
      </c>
      <c r="GQ249" s="9" t="str">
        <f t="shared" si="909"/>
        <v>Saudiarabien</v>
      </c>
      <c r="GR249" s="9" t="str">
        <f t="shared" si="908"/>
        <v/>
      </c>
    </row>
    <row r="250" spans="182:200" ht="14.25" customHeight="1" x14ac:dyDescent="0.25">
      <c r="FZ250" s="79">
        <v>248</v>
      </c>
      <c r="GA250" s="3" t="str">
        <f t="shared" si="907"/>
        <v>HGJCAFDK</v>
      </c>
      <c r="GB250" s="3" t="s">
        <v>70</v>
      </c>
      <c r="GC250" s="3" t="s">
        <v>60</v>
      </c>
      <c r="GD250" s="3" t="s">
        <v>69</v>
      </c>
      <c r="GE250" s="3" t="s">
        <v>75</v>
      </c>
      <c r="GF250" s="3" t="s">
        <v>56</v>
      </c>
      <c r="GG250" s="3" t="s">
        <v>21</v>
      </c>
      <c r="GH250" s="3" t="s">
        <v>58</v>
      </c>
      <c r="GI250" s="3" t="s">
        <v>62</v>
      </c>
      <c r="GJ250" s="9" t="str">
        <f t="shared" si="909"/>
        <v>Saudiarabien</v>
      </c>
      <c r="GK250" s="9" t="str">
        <f t="shared" si="909"/>
        <v>Iran</v>
      </c>
      <c r="GL250" s="9" t="str">
        <f t="shared" si="909"/>
        <v>Österrike</v>
      </c>
      <c r="GM250" s="9" t="str">
        <f t="shared" si="909"/>
        <v>Haiti</v>
      </c>
      <c r="GN250" s="9" t="str">
        <f t="shared" si="909"/>
        <v>Sydkorea</v>
      </c>
      <c r="GO250" s="9" t="str">
        <f t="shared" si="909"/>
        <v>Sverige</v>
      </c>
      <c r="GP250" s="9" t="str">
        <f t="shared" si="909"/>
        <v>Australien</v>
      </c>
      <c r="GQ250" s="9" t="str">
        <f t="shared" si="909"/>
        <v>Uzbekistan</v>
      </c>
      <c r="GR250" s="9" t="str">
        <f t="shared" si="908"/>
        <v/>
      </c>
    </row>
    <row r="251" spans="182:200" ht="14.25" customHeight="1" x14ac:dyDescent="0.25">
      <c r="FZ251" s="79">
        <v>249</v>
      </c>
      <c r="GA251" s="3" t="str">
        <f t="shared" si="907"/>
        <v>HGFCADLI</v>
      </c>
      <c r="GB251" s="3" t="s">
        <v>70</v>
      </c>
      <c r="GC251" s="3" t="s">
        <v>60</v>
      </c>
      <c r="GD251" s="3" t="s">
        <v>21</v>
      </c>
      <c r="GE251" s="3" t="s">
        <v>75</v>
      </c>
      <c r="GF251" s="3" t="s">
        <v>56</v>
      </c>
      <c r="GG251" s="3" t="s">
        <v>58</v>
      </c>
      <c r="GH251" s="3" t="s">
        <v>63</v>
      </c>
      <c r="GI251" s="3" t="s">
        <v>61</v>
      </c>
      <c r="GJ251" s="9" t="str">
        <f t="shared" si="909"/>
        <v>Saudiarabien</v>
      </c>
      <c r="GK251" s="9" t="str">
        <f t="shared" si="909"/>
        <v>Iran</v>
      </c>
      <c r="GL251" s="9" t="str">
        <f t="shared" si="909"/>
        <v>Sverige</v>
      </c>
      <c r="GM251" s="9" t="str">
        <f t="shared" si="909"/>
        <v>Haiti</v>
      </c>
      <c r="GN251" s="9" t="str">
        <f t="shared" si="909"/>
        <v>Sydkorea</v>
      </c>
      <c r="GO251" s="9" t="str">
        <f t="shared" si="909"/>
        <v>Australien</v>
      </c>
      <c r="GP251" s="9" t="str">
        <f t="shared" si="909"/>
        <v>Ghana</v>
      </c>
      <c r="GQ251" s="9" t="str">
        <f t="shared" si="909"/>
        <v>Irak</v>
      </c>
      <c r="GR251" s="9" t="str">
        <f t="shared" si="908"/>
        <v/>
      </c>
    </row>
    <row r="252" spans="182:200" ht="14.25" customHeight="1" x14ac:dyDescent="0.25">
      <c r="FZ252" s="79">
        <v>250</v>
      </c>
      <c r="GA252" s="3" t="str">
        <f t="shared" si="907"/>
        <v>HGFCADIK</v>
      </c>
      <c r="GB252" s="3" t="s">
        <v>70</v>
      </c>
      <c r="GC252" s="3" t="s">
        <v>60</v>
      </c>
      <c r="GD252" s="3" t="s">
        <v>21</v>
      </c>
      <c r="GE252" s="3" t="s">
        <v>75</v>
      </c>
      <c r="GF252" s="3" t="s">
        <v>56</v>
      </c>
      <c r="GG252" s="3" t="s">
        <v>58</v>
      </c>
      <c r="GH252" s="3" t="s">
        <v>61</v>
      </c>
      <c r="GI252" s="3" t="s">
        <v>62</v>
      </c>
      <c r="GJ252" s="9" t="str">
        <f t="shared" si="909"/>
        <v>Saudiarabien</v>
      </c>
      <c r="GK252" s="9" t="str">
        <f t="shared" si="909"/>
        <v>Iran</v>
      </c>
      <c r="GL252" s="9" t="str">
        <f t="shared" si="909"/>
        <v>Sverige</v>
      </c>
      <c r="GM252" s="9" t="str">
        <f t="shared" si="909"/>
        <v>Haiti</v>
      </c>
      <c r="GN252" s="9" t="str">
        <f t="shared" si="909"/>
        <v>Sydkorea</v>
      </c>
      <c r="GO252" s="9" t="str">
        <f t="shared" si="909"/>
        <v>Australien</v>
      </c>
      <c r="GP252" s="9" t="str">
        <f t="shared" si="909"/>
        <v>Irak</v>
      </c>
      <c r="GQ252" s="9" t="str">
        <f t="shared" si="909"/>
        <v>Uzbekistan</v>
      </c>
      <c r="GR252" s="9" t="str">
        <f t="shared" si="908"/>
        <v/>
      </c>
    </row>
    <row r="253" spans="182:200" ht="14.25" customHeight="1" x14ac:dyDescent="0.25">
      <c r="FZ253" s="79">
        <v>251</v>
      </c>
      <c r="GA253" s="3" t="str">
        <f t="shared" si="907"/>
        <v>HGJCAFDI</v>
      </c>
      <c r="GB253" s="3" t="s">
        <v>70</v>
      </c>
      <c r="GC253" s="3" t="s">
        <v>60</v>
      </c>
      <c r="GD253" s="3" t="s">
        <v>69</v>
      </c>
      <c r="GE253" s="3" t="s">
        <v>75</v>
      </c>
      <c r="GF253" s="3" t="s">
        <v>56</v>
      </c>
      <c r="GG253" s="3" t="s">
        <v>21</v>
      </c>
      <c r="GH253" s="3" t="s">
        <v>58</v>
      </c>
      <c r="GI253" s="3" t="s">
        <v>61</v>
      </c>
      <c r="GJ253" s="9" t="str">
        <f t="shared" si="909"/>
        <v>Saudiarabien</v>
      </c>
      <c r="GK253" s="9" t="str">
        <f t="shared" si="909"/>
        <v>Iran</v>
      </c>
      <c r="GL253" s="9" t="str">
        <f t="shared" si="909"/>
        <v>Österrike</v>
      </c>
      <c r="GM253" s="9" t="str">
        <f t="shared" si="909"/>
        <v>Haiti</v>
      </c>
      <c r="GN253" s="9" t="str">
        <f t="shared" si="909"/>
        <v>Sydkorea</v>
      </c>
      <c r="GO253" s="9" t="str">
        <f t="shared" si="909"/>
        <v>Sverige</v>
      </c>
      <c r="GP253" s="9" t="str">
        <f t="shared" si="909"/>
        <v>Australien</v>
      </c>
      <c r="GQ253" s="9" t="str">
        <f t="shared" si="909"/>
        <v>Irak</v>
      </c>
      <c r="GR253" s="9" t="str">
        <f t="shared" si="908"/>
        <v/>
      </c>
    </row>
    <row r="254" spans="182:200" ht="14.25" customHeight="1" x14ac:dyDescent="0.25">
      <c r="FZ254" s="79">
        <v>252</v>
      </c>
      <c r="GA254" s="3" t="str">
        <f t="shared" si="907"/>
        <v>EJICADLK</v>
      </c>
      <c r="GB254" s="3" t="s">
        <v>59</v>
      </c>
      <c r="GC254" s="3" t="s">
        <v>69</v>
      </c>
      <c r="GD254" s="3" t="s">
        <v>61</v>
      </c>
      <c r="GE254" s="3" t="s">
        <v>75</v>
      </c>
      <c r="GF254" s="3" t="s">
        <v>56</v>
      </c>
      <c r="GG254" s="3" t="s">
        <v>58</v>
      </c>
      <c r="GH254" s="3" t="s">
        <v>63</v>
      </c>
      <c r="GI254" s="3" t="s">
        <v>62</v>
      </c>
      <c r="GJ254" s="9" t="str">
        <f t="shared" si="909"/>
        <v>Elfenbenskusten</v>
      </c>
      <c r="GK254" s="9" t="str">
        <f t="shared" si="909"/>
        <v>Österrike</v>
      </c>
      <c r="GL254" s="9" t="str">
        <f t="shared" si="909"/>
        <v>Irak</v>
      </c>
      <c r="GM254" s="9" t="str">
        <f t="shared" si="909"/>
        <v>Haiti</v>
      </c>
      <c r="GN254" s="9" t="str">
        <f t="shared" si="909"/>
        <v>Sydkorea</v>
      </c>
      <c r="GO254" s="9" t="str">
        <f t="shared" si="909"/>
        <v>Australien</v>
      </c>
      <c r="GP254" s="9" t="str">
        <f t="shared" si="909"/>
        <v>Ghana</v>
      </c>
      <c r="GQ254" s="9" t="str">
        <f t="shared" si="909"/>
        <v>Uzbekistan</v>
      </c>
      <c r="GR254" s="9" t="str">
        <f t="shared" si="908"/>
        <v/>
      </c>
    </row>
    <row r="255" spans="182:200" ht="14.25" customHeight="1" x14ac:dyDescent="0.25">
      <c r="FZ255" s="79">
        <v>253</v>
      </c>
      <c r="GA255" s="3" t="str">
        <f t="shared" si="907"/>
        <v>HJECADLK</v>
      </c>
      <c r="GB255" s="3" t="s">
        <v>70</v>
      </c>
      <c r="GC255" s="3" t="s">
        <v>69</v>
      </c>
      <c r="GD255" s="3" t="s">
        <v>59</v>
      </c>
      <c r="GE255" s="3" t="s">
        <v>75</v>
      </c>
      <c r="GF255" s="3" t="s">
        <v>56</v>
      </c>
      <c r="GG255" s="3" t="s">
        <v>58</v>
      </c>
      <c r="GH255" s="3" t="s">
        <v>63</v>
      </c>
      <c r="GI255" s="3" t="s">
        <v>62</v>
      </c>
      <c r="GJ255" s="9" t="str">
        <f t="shared" si="909"/>
        <v>Saudiarabien</v>
      </c>
      <c r="GK255" s="9" t="str">
        <f t="shared" si="909"/>
        <v>Österrike</v>
      </c>
      <c r="GL255" s="9" t="str">
        <f t="shared" si="909"/>
        <v>Elfenbenskusten</v>
      </c>
      <c r="GM255" s="9" t="str">
        <f t="shared" si="909"/>
        <v>Haiti</v>
      </c>
      <c r="GN255" s="9" t="str">
        <f t="shared" si="909"/>
        <v>Sydkorea</v>
      </c>
      <c r="GO255" s="9" t="str">
        <f t="shared" si="909"/>
        <v>Australien</v>
      </c>
      <c r="GP255" s="9" t="str">
        <f t="shared" si="909"/>
        <v>Ghana</v>
      </c>
      <c r="GQ255" s="9" t="str">
        <f t="shared" si="909"/>
        <v>Uzbekistan</v>
      </c>
      <c r="GR255" s="9" t="str">
        <f t="shared" si="908"/>
        <v/>
      </c>
    </row>
    <row r="256" spans="182:200" ht="14.25" customHeight="1" x14ac:dyDescent="0.25">
      <c r="FZ256" s="79">
        <v>254</v>
      </c>
      <c r="GA256" s="3" t="str">
        <f t="shared" si="907"/>
        <v>HEICADLK</v>
      </c>
      <c r="GB256" s="3" t="s">
        <v>70</v>
      </c>
      <c r="GC256" s="3" t="s">
        <v>59</v>
      </c>
      <c r="GD256" s="3" t="s">
        <v>61</v>
      </c>
      <c r="GE256" s="3" t="s">
        <v>75</v>
      </c>
      <c r="GF256" s="3" t="s">
        <v>56</v>
      </c>
      <c r="GG256" s="3" t="s">
        <v>58</v>
      </c>
      <c r="GH256" s="3" t="s">
        <v>63</v>
      </c>
      <c r="GI256" s="3" t="s">
        <v>62</v>
      </c>
      <c r="GJ256" s="9" t="str">
        <f t="shared" si="909"/>
        <v>Saudiarabien</v>
      </c>
      <c r="GK256" s="9" t="str">
        <f t="shared" si="909"/>
        <v>Elfenbenskusten</v>
      </c>
      <c r="GL256" s="9" t="str">
        <f t="shared" si="909"/>
        <v>Irak</v>
      </c>
      <c r="GM256" s="9" t="str">
        <f t="shared" si="909"/>
        <v>Haiti</v>
      </c>
      <c r="GN256" s="9" t="str">
        <f t="shared" si="909"/>
        <v>Sydkorea</v>
      </c>
      <c r="GO256" s="9" t="str">
        <f t="shared" si="909"/>
        <v>Australien</v>
      </c>
      <c r="GP256" s="9" t="str">
        <f t="shared" si="909"/>
        <v>Ghana</v>
      </c>
      <c r="GQ256" s="9" t="str">
        <f t="shared" si="909"/>
        <v>Uzbekistan</v>
      </c>
      <c r="GR256" s="9" t="str">
        <f t="shared" si="908"/>
        <v/>
      </c>
    </row>
    <row r="257" spans="182:200" ht="14.25" customHeight="1" x14ac:dyDescent="0.25">
      <c r="FZ257" s="79">
        <v>255</v>
      </c>
      <c r="GA257" s="3" t="str">
        <f t="shared" si="907"/>
        <v>HJECADLI</v>
      </c>
      <c r="GB257" s="3" t="s">
        <v>70</v>
      </c>
      <c r="GC257" s="3" t="s">
        <v>69</v>
      </c>
      <c r="GD257" s="3" t="s">
        <v>59</v>
      </c>
      <c r="GE257" s="3" t="s">
        <v>75</v>
      </c>
      <c r="GF257" s="3" t="s">
        <v>56</v>
      </c>
      <c r="GG257" s="3" t="s">
        <v>58</v>
      </c>
      <c r="GH257" s="3" t="s">
        <v>63</v>
      </c>
      <c r="GI257" s="3" t="s">
        <v>61</v>
      </c>
      <c r="GJ257" s="9" t="str">
        <f t="shared" si="909"/>
        <v>Saudiarabien</v>
      </c>
      <c r="GK257" s="9" t="str">
        <f t="shared" si="909"/>
        <v>Österrike</v>
      </c>
      <c r="GL257" s="9" t="str">
        <f t="shared" si="909"/>
        <v>Elfenbenskusten</v>
      </c>
      <c r="GM257" s="9" t="str">
        <f t="shared" si="909"/>
        <v>Haiti</v>
      </c>
      <c r="GN257" s="9" t="str">
        <f t="shared" si="909"/>
        <v>Sydkorea</v>
      </c>
      <c r="GO257" s="9" t="str">
        <f t="shared" si="909"/>
        <v>Australien</v>
      </c>
      <c r="GP257" s="9" t="str">
        <f t="shared" si="909"/>
        <v>Ghana</v>
      </c>
      <c r="GQ257" s="9" t="str">
        <f t="shared" si="909"/>
        <v>Irak</v>
      </c>
      <c r="GR257" s="9" t="str">
        <f t="shared" si="908"/>
        <v/>
      </c>
    </row>
    <row r="258" spans="182:200" ht="14.25" customHeight="1" x14ac:dyDescent="0.25">
      <c r="FZ258" s="79">
        <v>256</v>
      </c>
      <c r="GA258" s="3" t="str">
        <f t="shared" si="907"/>
        <v>HJECADIK</v>
      </c>
      <c r="GB258" s="3" t="s">
        <v>70</v>
      </c>
      <c r="GC258" s="3" t="s">
        <v>69</v>
      </c>
      <c r="GD258" s="3" t="s">
        <v>59</v>
      </c>
      <c r="GE258" s="3" t="s">
        <v>75</v>
      </c>
      <c r="GF258" s="3" t="s">
        <v>56</v>
      </c>
      <c r="GG258" s="3" t="s">
        <v>58</v>
      </c>
      <c r="GH258" s="3" t="s">
        <v>61</v>
      </c>
      <c r="GI258" s="3" t="s">
        <v>62</v>
      </c>
      <c r="GJ258" s="9" t="str">
        <f t="shared" si="909"/>
        <v>Saudiarabien</v>
      </c>
      <c r="GK258" s="9" t="str">
        <f t="shared" si="909"/>
        <v>Österrike</v>
      </c>
      <c r="GL258" s="9" t="str">
        <f t="shared" si="909"/>
        <v>Elfenbenskusten</v>
      </c>
      <c r="GM258" s="9" t="str">
        <f t="shared" si="909"/>
        <v>Haiti</v>
      </c>
      <c r="GN258" s="9" t="str">
        <f t="shared" si="909"/>
        <v>Sydkorea</v>
      </c>
      <c r="GO258" s="9" t="str">
        <f t="shared" si="909"/>
        <v>Australien</v>
      </c>
      <c r="GP258" s="9" t="str">
        <f t="shared" si="909"/>
        <v>Irak</v>
      </c>
      <c r="GQ258" s="9" t="str">
        <f t="shared" si="909"/>
        <v>Uzbekistan</v>
      </c>
      <c r="GR258" s="9" t="str">
        <f t="shared" si="908"/>
        <v/>
      </c>
    </row>
    <row r="259" spans="182:200" ht="14.25" customHeight="1" x14ac:dyDescent="0.25">
      <c r="FZ259" s="79">
        <v>257</v>
      </c>
      <c r="GA259" s="3" t="str">
        <f t="shared" si="907"/>
        <v>EGJCADLK</v>
      </c>
      <c r="GB259" s="3" t="s">
        <v>59</v>
      </c>
      <c r="GC259" s="3" t="s">
        <v>60</v>
      </c>
      <c r="GD259" s="3" t="s">
        <v>69</v>
      </c>
      <c r="GE259" s="3" t="s">
        <v>75</v>
      </c>
      <c r="GF259" s="3" t="s">
        <v>56</v>
      </c>
      <c r="GG259" s="3" t="s">
        <v>58</v>
      </c>
      <c r="GH259" s="3" t="s">
        <v>63</v>
      </c>
      <c r="GI259" s="3" t="s">
        <v>62</v>
      </c>
      <c r="GJ259" s="9" t="str">
        <f t="shared" si="909"/>
        <v>Elfenbenskusten</v>
      </c>
      <c r="GK259" s="9" t="str">
        <f t="shared" si="909"/>
        <v>Iran</v>
      </c>
      <c r="GL259" s="9" t="str">
        <f t="shared" si="909"/>
        <v>Österrike</v>
      </c>
      <c r="GM259" s="9" t="str">
        <f t="shared" si="909"/>
        <v>Haiti</v>
      </c>
      <c r="GN259" s="9" t="str">
        <f t="shared" si="909"/>
        <v>Sydkorea</v>
      </c>
      <c r="GO259" s="9" t="str">
        <f t="shared" si="909"/>
        <v>Australien</v>
      </c>
      <c r="GP259" s="9" t="str">
        <f t="shared" si="909"/>
        <v>Ghana</v>
      </c>
      <c r="GQ259" s="9" t="str">
        <f t="shared" si="909"/>
        <v>Uzbekistan</v>
      </c>
      <c r="GR259" s="9" t="str">
        <f t="shared" si="908"/>
        <v/>
      </c>
    </row>
    <row r="260" spans="182:200" ht="14.25" customHeight="1" x14ac:dyDescent="0.25">
      <c r="FZ260" s="79">
        <v>258</v>
      </c>
      <c r="GA260" s="3" t="str">
        <f t="shared" si="907"/>
        <v>EGICADLK</v>
      </c>
      <c r="GB260" s="3" t="s">
        <v>59</v>
      </c>
      <c r="GC260" s="3" t="s">
        <v>60</v>
      </c>
      <c r="GD260" s="3" t="s">
        <v>61</v>
      </c>
      <c r="GE260" s="3" t="s">
        <v>75</v>
      </c>
      <c r="GF260" s="3" t="s">
        <v>56</v>
      </c>
      <c r="GG260" s="3" t="s">
        <v>58</v>
      </c>
      <c r="GH260" s="3" t="s">
        <v>63</v>
      </c>
      <c r="GI260" s="3" t="s">
        <v>62</v>
      </c>
      <c r="GJ260" s="9" t="str">
        <f t="shared" si="909"/>
        <v>Elfenbenskusten</v>
      </c>
      <c r="GK260" s="9" t="str">
        <f t="shared" si="909"/>
        <v>Iran</v>
      </c>
      <c r="GL260" s="9" t="str">
        <f t="shared" si="909"/>
        <v>Irak</v>
      </c>
      <c r="GM260" s="9" t="str">
        <f t="shared" si="909"/>
        <v>Haiti</v>
      </c>
      <c r="GN260" s="9" t="str">
        <f t="shared" si="909"/>
        <v>Sydkorea</v>
      </c>
      <c r="GO260" s="9" t="str">
        <f t="shared" si="909"/>
        <v>Australien</v>
      </c>
      <c r="GP260" s="9" t="str">
        <f t="shared" si="909"/>
        <v>Ghana</v>
      </c>
      <c r="GQ260" s="9" t="str">
        <f t="shared" si="909"/>
        <v>Uzbekistan</v>
      </c>
      <c r="GR260" s="9" t="str">
        <f t="shared" si="908"/>
        <v/>
      </c>
    </row>
    <row r="261" spans="182:200" ht="14.25" customHeight="1" x14ac:dyDescent="0.25">
      <c r="FZ261" s="79">
        <v>259</v>
      </c>
      <c r="GA261" s="3" t="str">
        <f t="shared" ref="GA261:GA324" si="910">GB261&amp;GC261&amp;GD261&amp;GE261&amp;GF261&amp;GG261&amp;GH261&amp;GI261</f>
        <v>EGJCADLI</v>
      </c>
      <c r="GB261" s="3" t="s">
        <v>59</v>
      </c>
      <c r="GC261" s="3" t="s">
        <v>60</v>
      </c>
      <c r="GD261" s="3" t="s">
        <v>69</v>
      </c>
      <c r="GE261" s="3" t="s">
        <v>75</v>
      </c>
      <c r="GF261" s="3" t="s">
        <v>56</v>
      </c>
      <c r="GG261" s="3" t="s">
        <v>58</v>
      </c>
      <c r="GH261" s="3" t="s">
        <v>63</v>
      </c>
      <c r="GI261" s="3" t="s">
        <v>61</v>
      </c>
      <c r="GJ261" s="9" t="str">
        <f t="shared" si="909"/>
        <v>Elfenbenskusten</v>
      </c>
      <c r="GK261" s="9" t="str">
        <f t="shared" si="909"/>
        <v>Iran</v>
      </c>
      <c r="GL261" s="9" t="str">
        <f t="shared" si="909"/>
        <v>Österrike</v>
      </c>
      <c r="GM261" s="9" t="str">
        <f t="shared" si="909"/>
        <v>Haiti</v>
      </c>
      <c r="GN261" s="9" t="str">
        <f t="shared" si="909"/>
        <v>Sydkorea</v>
      </c>
      <c r="GO261" s="9" t="str">
        <f t="shared" si="909"/>
        <v>Australien</v>
      </c>
      <c r="GP261" s="9" t="str">
        <f t="shared" si="909"/>
        <v>Ghana</v>
      </c>
      <c r="GQ261" s="9" t="str">
        <f t="shared" si="909"/>
        <v>Irak</v>
      </c>
      <c r="GR261" s="9" t="str">
        <f t="shared" si="908"/>
        <v/>
      </c>
    </row>
    <row r="262" spans="182:200" ht="14.25" customHeight="1" x14ac:dyDescent="0.25">
      <c r="FZ262" s="79">
        <v>260</v>
      </c>
      <c r="GA262" s="3" t="str">
        <f t="shared" si="910"/>
        <v>EGJCADIK</v>
      </c>
      <c r="GB262" s="3" t="s">
        <v>59</v>
      </c>
      <c r="GC262" s="3" t="s">
        <v>60</v>
      </c>
      <c r="GD262" s="3" t="s">
        <v>69</v>
      </c>
      <c r="GE262" s="3" t="s">
        <v>75</v>
      </c>
      <c r="GF262" s="3" t="s">
        <v>56</v>
      </c>
      <c r="GG262" s="3" t="s">
        <v>58</v>
      </c>
      <c r="GH262" s="3" t="s">
        <v>61</v>
      </c>
      <c r="GI262" s="3" t="s">
        <v>62</v>
      </c>
      <c r="GJ262" s="9" t="str">
        <f t="shared" si="909"/>
        <v>Elfenbenskusten</v>
      </c>
      <c r="GK262" s="9" t="str">
        <f t="shared" si="909"/>
        <v>Iran</v>
      </c>
      <c r="GL262" s="9" t="str">
        <f t="shared" si="909"/>
        <v>Österrike</v>
      </c>
      <c r="GM262" s="9" t="str">
        <f t="shared" si="909"/>
        <v>Haiti</v>
      </c>
      <c r="GN262" s="9" t="str">
        <f t="shared" si="909"/>
        <v>Sydkorea</v>
      </c>
      <c r="GO262" s="9" t="str">
        <f t="shared" si="909"/>
        <v>Australien</v>
      </c>
      <c r="GP262" s="9" t="str">
        <f t="shared" si="909"/>
        <v>Irak</v>
      </c>
      <c r="GQ262" s="9" t="str">
        <f t="shared" si="909"/>
        <v>Uzbekistan</v>
      </c>
      <c r="GR262" s="9" t="str">
        <f t="shared" ref="GR262:GR325" si="911">IFERROR(IF(AND(VLOOKUP(GB262,$FX$4:$FX$15,1,FALSE)=GB262,VLOOKUP(GC262,$FX$4:$FX$15,1,FALSE)=GC262,VLOOKUP(GD262,$FX$4:$FX$15,1,FALSE)=GD262,VLOOKUP(GE262,$FX$4:$FX$15,1,FALSE)=GE262,VLOOKUP(GF262,$FX$4:$FX$15,1,FALSE)=GF262,VLOOKUP(GG262,$FX$4:$FX$15,1,FALSE)=GG262,VLOOKUP(GH262,$FX$4:$FX$15,1,FALSE)=GH262,VLOOKUP(GI262,$FX$4:$FX$15,1,FALSE)=GI262),FZ262,""),"")</f>
        <v/>
      </c>
    </row>
    <row r="263" spans="182:200" ht="14.25" customHeight="1" x14ac:dyDescent="0.25">
      <c r="FZ263" s="79">
        <v>261</v>
      </c>
      <c r="GA263" s="3" t="str">
        <f t="shared" si="910"/>
        <v>HGECADLK</v>
      </c>
      <c r="GB263" s="3" t="s">
        <v>70</v>
      </c>
      <c r="GC263" s="3" t="s">
        <v>60</v>
      </c>
      <c r="GD263" s="3" t="s">
        <v>59</v>
      </c>
      <c r="GE263" s="3" t="s">
        <v>75</v>
      </c>
      <c r="GF263" s="3" t="s">
        <v>56</v>
      </c>
      <c r="GG263" s="3" t="s">
        <v>58</v>
      </c>
      <c r="GH263" s="3" t="s">
        <v>63</v>
      </c>
      <c r="GI263" s="3" t="s">
        <v>62</v>
      </c>
      <c r="GJ263" s="9" t="str">
        <f t="shared" si="909"/>
        <v>Saudiarabien</v>
      </c>
      <c r="GK263" s="9" t="str">
        <f t="shared" si="909"/>
        <v>Iran</v>
      </c>
      <c r="GL263" s="9" t="str">
        <f t="shared" si="909"/>
        <v>Elfenbenskusten</v>
      </c>
      <c r="GM263" s="9" t="str">
        <f t="shared" si="909"/>
        <v>Haiti</v>
      </c>
      <c r="GN263" s="9" t="str">
        <f t="shared" si="909"/>
        <v>Sydkorea</v>
      </c>
      <c r="GO263" s="9" t="str">
        <f t="shared" si="909"/>
        <v>Australien</v>
      </c>
      <c r="GP263" s="9" t="str">
        <f t="shared" si="909"/>
        <v>Ghana</v>
      </c>
      <c r="GQ263" s="9" t="str">
        <f t="shared" si="909"/>
        <v>Uzbekistan</v>
      </c>
      <c r="GR263" s="9" t="str">
        <f t="shared" si="911"/>
        <v/>
      </c>
    </row>
    <row r="264" spans="182:200" ht="14.25" customHeight="1" x14ac:dyDescent="0.25">
      <c r="FZ264" s="79">
        <v>262</v>
      </c>
      <c r="GA264" s="3" t="str">
        <f t="shared" si="910"/>
        <v>HGJCADLE</v>
      </c>
      <c r="GB264" s="3" t="s">
        <v>70</v>
      </c>
      <c r="GC264" s="3" t="s">
        <v>60</v>
      </c>
      <c r="GD264" s="3" t="s">
        <v>69</v>
      </c>
      <c r="GE264" s="3" t="s">
        <v>75</v>
      </c>
      <c r="GF264" s="3" t="s">
        <v>56</v>
      </c>
      <c r="GG264" s="3" t="s">
        <v>58</v>
      </c>
      <c r="GH264" s="3" t="s">
        <v>63</v>
      </c>
      <c r="GI264" s="3" t="s">
        <v>59</v>
      </c>
      <c r="GJ264" s="9" t="str">
        <f t="shared" si="909"/>
        <v>Saudiarabien</v>
      </c>
      <c r="GK264" s="9" t="str">
        <f t="shared" si="909"/>
        <v>Iran</v>
      </c>
      <c r="GL264" s="9" t="str">
        <f t="shared" si="909"/>
        <v>Österrike</v>
      </c>
      <c r="GM264" s="9" t="str">
        <f t="shared" si="909"/>
        <v>Haiti</v>
      </c>
      <c r="GN264" s="9" t="str">
        <f t="shared" si="909"/>
        <v>Sydkorea</v>
      </c>
      <c r="GO264" s="9" t="str">
        <f t="shared" si="909"/>
        <v>Australien</v>
      </c>
      <c r="GP264" s="9" t="str">
        <f t="shared" si="909"/>
        <v>Ghana</v>
      </c>
      <c r="GQ264" s="9" t="str">
        <f t="shared" si="909"/>
        <v>Elfenbenskusten</v>
      </c>
      <c r="GR264" s="9" t="str">
        <f t="shared" si="911"/>
        <v/>
      </c>
    </row>
    <row r="265" spans="182:200" ht="14.25" customHeight="1" x14ac:dyDescent="0.25">
      <c r="FZ265" s="79">
        <v>263</v>
      </c>
      <c r="GA265" s="3" t="str">
        <f t="shared" si="910"/>
        <v>HGJCADEK</v>
      </c>
      <c r="GB265" s="3" t="s">
        <v>70</v>
      </c>
      <c r="GC265" s="3" t="s">
        <v>60</v>
      </c>
      <c r="GD265" s="3" t="s">
        <v>69</v>
      </c>
      <c r="GE265" s="3" t="s">
        <v>75</v>
      </c>
      <c r="GF265" s="3" t="s">
        <v>56</v>
      </c>
      <c r="GG265" s="3" t="s">
        <v>58</v>
      </c>
      <c r="GH265" s="3" t="s">
        <v>59</v>
      </c>
      <c r="GI265" s="3" t="s">
        <v>62</v>
      </c>
      <c r="GJ265" s="9" t="str">
        <f t="shared" si="909"/>
        <v>Saudiarabien</v>
      </c>
      <c r="GK265" s="9" t="str">
        <f t="shared" si="909"/>
        <v>Iran</v>
      </c>
      <c r="GL265" s="9" t="str">
        <f t="shared" si="909"/>
        <v>Österrike</v>
      </c>
      <c r="GM265" s="9" t="str">
        <f t="shared" si="909"/>
        <v>Haiti</v>
      </c>
      <c r="GN265" s="9" t="str">
        <f t="shared" si="909"/>
        <v>Sydkorea</v>
      </c>
      <c r="GO265" s="9" t="str">
        <f t="shared" si="909"/>
        <v>Australien</v>
      </c>
      <c r="GP265" s="9" t="str">
        <f t="shared" si="909"/>
        <v>Elfenbenskusten</v>
      </c>
      <c r="GQ265" s="9" t="str">
        <f t="shared" si="909"/>
        <v>Uzbekistan</v>
      </c>
      <c r="GR265" s="9" t="str">
        <f t="shared" si="911"/>
        <v/>
      </c>
    </row>
    <row r="266" spans="182:200" ht="14.25" customHeight="1" x14ac:dyDescent="0.25">
      <c r="FZ266" s="79">
        <v>264</v>
      </c>
      <c r="GA266" s="3" t="str">
        <f t="shared" si="910"/>
        <v>HGECADLI</v>
      </c>
      <c r="GB266" s="3" t="s">
        <v>70</v>
      </c>
      <c r="GC266" s="3" t="s">
        <v>60</v>
      </c>
      <c r="GD266" s="3" t="s">
        <v>59</v>
      </c>
      <c r="GE266" s="3" t="s">
        <v>75</v>
      </c>
      <c r="GF266" s="3" t="s">
        <v>56</v>
      </c>
      <c r="GG266" s="3" t="s">
        <v>58</v>
      </c>
      <c r="GH266" s="3" t="s">
        <v>63</v>
      </c>
      <c r="GI266" s="3" t="s">
        <v>61</v>
      </c>
      <c r="GJ266" s="9" t="str">
        <f t="shared" si="909"/>
        <v>Saudiarabien</v>
      </c>
      <c r="GK266" s="9" t="str">
        <f t="shared" si="909"/>
        <v>Iran</v>
      </c>
      <c r="GL266" s="9" t="str">
        <f t="shared" si="909"/>
        <v>Elfenbenskusten</v>
      </c>
      <c r="GM266" s="9" t="str">
        <f t="shared" si="909"/>
        <v>Haiti</v>
      </c>
      <c r="GN266" s="9" t="str">
        <f t="shared" si="909"/>
        <v>Sydkorea</v>
      </c>
      <c r="GO266" s="9" t="str">
        <f t="shared" si="909"/>
        <v>Australien</v>
      </c>
      <c r="GP266" s="9" t="str">
        <f t="shared" si="909"/>
        <v>Ghana</v>
      </c>
      <c r="GQ266" s="9" t="str">
        <f t="shared" si="909"/>
        <v>Irak</v>
      </c>
      <c r="GR266" s="9" t="str">
        <f t="shared" si="911"/>
        <v/>
      </c>
    </row>
    <row r="267" spans="182:200" ht="14.25" customHeight="1" x14ac:dyDescent="0.25">
      <c r="FZ267" s="79">
        <v>265</v>
      </c>
      <c r="GA267" s="3" t="str">
        <f t="shared" si="910"/>
        <v>HGECADIK</v>
      </c>
      <c r="GB267" s="3" t="s">
        <v>70</v>
      </c>
      <c r="GC267" s="3" t="s">
        <v>60</v>
      </c>
      <c r="GD267" s="3" t="s">
        <v>59</v>
      </c>
      <c r="GE267" s="3" t="s">
        <v>75</v>
      </c>
      <c r="GF267" s="3" t="s">
        <v>56</v>
      </c>
      <c r="GG267" s="3" t="s">
        <v>58</v>
      </c>
      <c r="GH267" s="3" t="s">
        <v>61</v>
      </c>
      <c r="GI267" s="3" t="s">
        <v>62</v>
      </c>
      <c r="GJ267" s="9" t="str">
        <f t="shared" si="909"/>
        <v>Saudiarabien</v>
      </c>
      <c r="GK267" s="9" t="str">
        <f t="shared" si="909"/>
        <v>Iran</v>
      </c>
      <c r="GL267" s="9" t="str">
        <f t="shared" si="909"/>
        <v>Elfenbenskusten</v>
      </c>
      <c r="GM267" s="9" t="str">
        <f t="shared" ref="GM267:GQ317" si="912">VLOOKUP(GE267,$FM$3:$FN$15,2,FALSE)</f>
        <v>Haiti</v>
      </c>
      <c r="GN267" s="9" t="str">
        <f t="shared" si="912"/>
        <v>Sydkorea</v>
      </c>
      <c r="GO267" s="9" t="str">
        <f t="shared" si="912"/>
        <v>Australien</v>
      </c>
      <c r="GP267" s="9" t="str">
        <f t="shared" si="912"/>
        <v>Irak</v>
      </c>
      <c r="GQ267" s="9" t="str">
        <f t="shared" si="912"/>
        <v>Uzbekistan</v>
      </c>
      <c r="GR267" s="9" t="str">
        <f t="shared" si="911"/>
        <v/>
      </c>
    </row>
    <row r="268" spans="182:200" ht="14.25" customHeight="1" x14ac:dyDescent="0.25">
      <c r="FZ268" s="79">
        <v>266</v>
      </c>
      <c r="GA268" s="3" t="str">
        <f t="shared" si="910"/>
        <v>HGJCADEI</v>
      </c>
      <c r="GB268" s="3" t="s">
        <v>70</v>
      </c>
      <c r="GC268" s="3" t="s">
        <v>60</v>
      </c>
      <c r="GD268" s="3" t="s">
        <v>69</v>
      </c>
      <c r="GE268" s="3" t="s">
        <v>75</v>
      </c>
      <c r="GF268" s="3" t="s">
        <v>56</v>
      </c>
      <c r="GG268" s="3" t="s">
        <v>58</v>
      </c>
      <c r="GH268" s="3" t="s">
        <v>59</v>
      </c>
      <c r="GI268" s="3" t="s">
        <v>61</v>
      </c>
      <c r="GJ268" s="9" t="str">
        <f t="shared" ref="GJ268:GQ331" si="913">VLOOKUP(GB268,$FM$3:$FN$15,2,FALSE)</f>
        <v>Saudiarabien</v>
      </c>
      <c r="GK268" s="9" t="str">
        <f t="shared" si="913"/>
        <v>Iran</v>
      </c>
      <c r="GL268" s="9" t="str">
        <f t="shared" si="913"/>
        <v>Österrike</v>
      </c>
      <c r="GM268" s="9" t="str">
        <f t="shared" si="912"/>
        <v>Haiti</v>
      </c>
      <c r="GN268" s="9" t="str">
        <f t="shared" si="912"/>
        <v>Sydkorea</v>
      </c>
      <c r="GO268" s="9" t="str">
        <f t="shared" si="912"/>
        <v>Australien</v>
      </c>
      <c r="GP268" s="9" t="str">
        <f t="shared" si="912"/>
        <v>Elfenbenskusten</v>
      </c>
      <c r="GQ268" s="9" t="str">
        <f t="shared" si="912"/>
        <v>Irak</v>
      </c>
      <c r="GR268" s="9" t="str">
        <f t="shared" si="911"/>
        <v/>
      </c>
    </row>
    <row r="269" spans="182:200" ht="14.25" customHeight="1" x14ac:dyDescent="0.25">
      <c r="FZ269" s="79">
        <v>267</v>
      </c>
      <c r="GA269" s="3" t="str">
        <f t="shared" si="910"/>
        <v>CJEDAFLK</v>
      </c>
      <c r="GB269" s="3" t="s">
        <v>75</v>
      </c>
      <c r="GC269" s="3" t="s">
        <v>69</v>
      </c>
      <c r="GD269" s="3" t="s">
        <v>59</v>
      </c>
      <c r="GE269" s="3" t="s">
        <v>58</v>
      </c>
      <c r="GF269" s="3" t="s">
        <v>56</v>
      </c>
      <c r="GG269" s="3" t="s">
        <v>21</v>
      </c>
      <c r="GH269" s="3" t="s">
        <v>63</v>
      </c>
      <c r="GI269" s="3" t="s">
        <v>62</v>
      </c>
      <c r="GJ269" s="9" t="str">
        <f t="shared" si="913"/>
        <v>Haiti</v>
      </c>
      <c r="GK269" s="9" t="str">
        <f t="shared" si="913"/>
        <v>Österrike</v>
      </c>
      <c r="GL269" s="9" t="str">
        <f t="shared" si="913"/>
        <v>Elfenbenskusten</v>
      </c>
      <c r="GM269" s="9" t="str">
        <f t="shared" si="912"/>
        <v>Australien</v>
      </c>
      <c r="GN269" s="9" t="str">
        <f t="shared" si="912"/>
        <v>Sydkorea</v>
      </c>
      <c r="GO269" s="9" t="str">
        <f t="shared" si="912"/>
        <v>Sverige</v>
      </c>
      <c r="GP269" s="9" t="str">
        <f t="shared" si="912"/>
        <v>Ghana</v>
      </c>
      <c r="GQ269" s="9" t="str">
        <f t="shared" si="912"/>
        <v>Uzbekistan</v>
      </c>
      <c r="GR269" s="9" t="str">
        <f t="shared" si="911"/>
        <v/>
      </c>
    </row>
    <row r="270" spans="182:200" ht="14.25" customHeight="1" x14ac:dyDescent="0.25">
      <c r="FZ270" s="79">
        <v>268</v>
      </c>
      <c r="GA270" s="3" t="str">
        <f t="shared" si="910"/>
        <v>CEIDAFLK</v>
      </c>
      <c r="GB270" s="3" t="s">
        <v>75</v>
      </c>
      <c r="GC270" s="3" t="s">
        <v>59</v>
      </c>
      <c r="GD270" s="3" t="s">
        <v>61</v>
      </c>
      <c r="GE270" s="3" t="s">
        <v>58</v>
      </c>
      <c r="GF270" s="3" t="s">
        <v>56</v>
      </c>
      <c r="GG270" s="3" t="s">
        <v>21</v>
      </c>
      <c r="GH270" s="3" t="s">
        <v>63</v>
      </c>
      <c r="GI270" s="3" t="s">
        <v>62</v>
      </c>
      <c r="GJ270" s="9" t="str">
        <f t="shared" si="913"/>
        <v>Haiti</v>
      </c>
      <c r="GK270" s="9" t="str">
        <f t="shared" si="913"/>
        <v>Elfenbenskusten</v>
      </c>
      <c r="GL270" s="9" t="str">
        <f t="shared" si="913"/>
        <v>Irak</v>
      </c>
      <c r="GM270" s="9" t="str">
        <f t="shared" si="912"/>
        <v>Australien</v>
      </c>
      <c r="GN270" s="9" t="str">
        <f t="shared" si="912"/>
        <v>Sydkorea</v>
      </c>
      <c r="GO270" s="9" t="str">
        <f t="shared" si="912"/>
        <v>Sverige</v>
      </c>
      <c r="GP270" s="9" t="str">
        <f t="shared" si="912"/>
        <v>Ghana</v>
      </c>
      <c r="GQ270" s="9" t="str">
        <f t="shared" si="912"/>
        <v>Uzbekistan</v>
      </c>
      <c r="GR270" s="9" t="str">
        <f t="shared" si="911"/>
        <v/>
      </c>
    </row>
    <row r="271" spans="182:200" ht="14.25" customHeight="1" x14ac:dyDescent="0.25">
      <c r="FZ271" s="79">
        <v>269</v>
      </c>
      <c r="GA271" s="3" t="str">
        <f t="shared" si="910"/>
        <v>CJEDAFLI</v>
      </c>
      <c r="GB271" s="3" t="s">
        <v>75</v>
      </c>
      <c r="GC271" s="3" t="s">
        <v>69</v>
      </c>
      <c r="GD271" s="3" t="s">
        <v>59</v>
      </c>
      <c r="GE271" s="3" t="s">
        <v>58</v>
      </c>
      <c r="GF271" s="3" t="s">
        <v>56</v>
      </c>
      <c r="GG271" s="3" t="s">
        <v>21</v>
      </c>
      <c r="GH271" s="3" t="s">
        <v>63</v>
      </c>
      <c r="GI271" s="3" t="s">
        <v>61</v>
      </c>
      <c r="GJ271" s="9" t="str">
        <f t="shared" si="913"/>
        <v>Haiti</v>
      </c>
      <c r="GK271" s="9" t="str">
        <f t="shared" si="913"/>
        <v>Österrike</v>
      </c>
      <c r="GL271" s="9" t="str">
        <f t="shared" si="913"/>
        <v>Elfenbenskusten</v>
      </c>
      <c r="GM271" s="9" t="str">
        <f t="shared" si="912"/>
        <v>Australien</v>
      </c>
      <c r="GN271" s="9" t="str">
        <f t="shared" si="912"/>
        <v>Sydkorea</v>
      </c>
      <c r="GO271" s="9" t="str">
        <f t="shared" si="912"/>
        <v>Sverige</v>
      </c>
      <c r="GP271" s="9" t="str">
        <f t="shared" si="912"/>
        <v>Ghana</v>
      </c>
      <c r="GQ271" s="9" t="str">
        <f t="shared" si="912"/>
        <v>Irak</v>
      </c>
      <c r="GR271" s="9" t="str">
        <f t="shared" si="911"/>
        <v/>
      </c>
    </row>
    <row r="272" spans="182:200" ht="14.25" customHeight="1" x14ac:dyDescent="0.25">
      <c r="FZ272" s="79">
        <v>270</v>
      </c>
      <c r="GA272" s="3" t="str">
        <f t="shared" si="910"/>
        <v>CJEDAFIK</v>
      </c>
      <c r="GB272" s="3" t="s">
        <v>75</v>
      </c>
      <c r="GC272" s="3" t="s">
        <v>69</v>
      </c>
      <c r="GD272" s="3" t="s">
        <v>59</v>
      </c>
      <c r="GE272" s="3" t="s">
        <v>58</v>
      </c>
      <c r="GF272" s="3" t="s">
        <v>56</v>
      </c>
      <c r="GG272" s="3" t="s">
        <v>21</v>
      </c>
      <c r="GH272" s="3" t="s">
        <v>61</v>
      </c>
      <c r="GI272" s="3" t="s">
        <v>62</v>
      </c>
      <c r="GJ272" s="9" t="str">
        <f t="shared" si="913"/>
        <v>Haiti</v>
      </c>
      <c r="GK272" s="9" t="str">
        <f t="shared" si="913"/>
        <v>Österrike</v>
      </c>
      <c r="GL272" s="9" t="str">
        <f t="shared" si="913"/>
        <v>Elfenbenskusten</v>
      </c>
      <c r="GM272" s="9" t="str">
        <f t="shared" si="912"/>
        <v>Australien</v>
      </c>
      <c r="GN272" s="9" t="str">
        <f t="shared" si="912"/>
        <v>Sydkorea</v>
      </c>
      <c r="GO272" s="9" t="str">
        <f t="shared" si="912"/>
        <v>Sverige</v>
      </c>
      <c r="GP272" s="9" t="str">
        <f t="shared" si="912"/>
        <v>Irak</v>
      </c>
      <c r="GQ272" s="9" t="str">
        <f t="shared" si="912"/>
        <v>Uzbekistan</v>
      </c>
      <c r="GR272" s="9" t="str">
        <f t="shared" si="911"/>
        <v/>
      </c>
    </row>
    <row r="273" spans="182:200" ht="14.25" customHeight="1" x14ac:dyDescent="0.25">
      <c r="FZ273" s="79">
        <v>271</v>
      </c>
      <c r="GA273" s="3" t="str">
        <f t="shared" si="910"/>
        <v>HEFCADLK</v>
      </c>
      <c r="GB273" s="3" t="s">
        <v>70</v>
      </c>
      <c r="GC273" s="3" t="s">
        <v>59</v>
      </c>
      <c r="GD273" s="3" t="s">
        <v>21</v>
      </c>
      <c r="GE273" s="3" t="s">
        <v>75</v>
      </c>
      <c r="GF273" s="3" t="s">
        <v>56</v>
      </c>
      <c r="GG273" s="3" t="s">
        <v>58</v>
      </c>
      <c r="GH273" s="3" t="s">
        <v>63</v>
      </c>
      <c r="GI273" s="3" t="s">
        <v>62</v>
      </c>
      <c r="GJ273" s="9" t="str">
        <f t="shared" si="913"/>
        <v>Saudiarabien</v>
      </c>
      <c r="GK273" s="9" t="str">
        <f t="shared" si="913"/>
        <v>Elfenbenskusten</v>
      </c>
      <c r="GL273" s="9" t="str">
        <f t="shared" si="913"/>
        <v>Sverige</v>
      </c>
      <c r="GM273" s="9" t="str">
        <f t="shared" si="912"/>
        <v>Haiti</v>
      </c>
      <c r="GN273" s="9" t="str">
        <f t="shared" si="912"/>
        <v>Sydkorea</v>
      </c>
      <c r="GO273" s="9" t="str">
        <f t="shared" si="912"/>
        <v>Australien</v>
      </c>
      <c r="GP273" s="9" t="str">
        <f t="shared" si="912"/>
        <v>Ghana</v>
      </c>
      <c r="GQ273" s="9" t="str">
        <f t="shared" si="912"/>
        <v>Uzbekistan</v>
      </c>
      <c r="GR273" s="9" t="str">
        <f t="shared" si="911"/>
        <v/>
      </c>
    </row>
    <row r="274" spans="182:200" ht="14.25" customHeight="1" x14ac:dyDescent="0.25">
      <c r="FZ274" s="79">
        <v>272</v>
      </c>
      <c r="GA274" s="3" t="str">
        <f t="shared" si="910"/>
        <v>HJFCADLE</v>
      </c>
      <c r="GB274" s="3" t="s">
        <v>70</v>
      </c>
      <c r="GC274" s="3" t="s">
        <v>69</v>
      </c>
      <c r="GD274" s="3" t="s">
        <v>21</v>
      </c>
      <c r="GE274" s="3" t="s">
        <v>75</v>
      </c>
      <c r="GF274" s="3" t="s">
        <v>56</v>
      </c>
      <c r="GG274" s="3" t="s">
        <v>58</v>
      </c>
      <c r="GH274" s="3" t="s">
        <v>63</v>
      </c>
      <c r="GI274" s="3" t="s">
        <v>59</v>
      </c>
      <c r="GJ274" s="9" t="str">
        <f t="shared" si="913"/>
        <v>Saudiarabien</v>
      </c>
      <c r="GK274" s="9" t="str">
        <f t="shared" si="913"/>
        <v>Österrike</v>
      </c>
      <c r="GL274" s="9" t="str">
        <f t="shared" si="913"/>
        <v>Sverige</v>
      </c>
      <c r="GM274" s="9" t="str">
        <f t="shared" si="912"/>
        <v>Haiti</v>
      </c>
      <c r="GN274" s="9" t="str">
        <f t="shared" si="912"/>
        <v>Sydkorea</v>
      </c>
      <c r="GO274" s="9" t="str">
        <f t="shared" si="912"/>
        <v>Australien</v>
      </c>
      <c r="GP274" s="9" t="str">
        <f t="shared" si="912"/>
        <v>Ghana</v>
      </c>
      <c r="GQ274" s="9" t="str">
        <f t="shared" si="912"/>
        <v>Elfenbenskusten</v>
      </c>
      <c r="GR274" s="9" t="str">
        <f t="shared" si="911"/>
        <v/>
      </c>
    </row>
    <row r="275" spans="182:200" ht="14.25" customHeight="1" x14ac:dyDescent="0.25">
      <c r="FZ275" s="79">
        <v>273</v>
      </c>
      <c r="GA275" s="3" t="str">
        <f t="shared" si="910"/>
        <v>HJECAFDK</v>
      </c>
      <c r="GB275" s="3" t="s">
        <v>70</v>
      </c>
      <c r="GC275" s="3" t="s">
        <v>69</v>
      </c>
      <c r="GD275" s="3" t="s">
        <v>59</v>
      </c>
      <c r="GE275" s="3" t="s">
        <v>75</v>
      </c>
      <c r="GF275" s="3" t="s">
        <v>56</v>
      </c>
      <c r="GG275" s="3" t="s">
        <v>21</v>
      </c>
      <c r="GH275" s="3" t="s">
        <v>58</v>
      </c>
      <c r="GI275" s="3" t="s">
        <v>62</v>
      </c>
      <c r="GJ275" s="9" t="str">
        <f t="shared" si="913"/>
        <v>Saudiarabien</v>
      </c>
      <c r="GK275" s="9" t="str">
        <f t="shared" si="913"/>
        <v>Österrike</v>
      </c>
      <c r="GL275" s="9" t="str">
        <f t="shared" si="913"/>
        <v>Elfenbenskusten</v>
      </c>
      <c r="GM275" s="9" t="str">
        <f t="shared" si="912"/>
        <v>Haiti</v>
      </c>
      <c r="GN275" s="9" t="str">
        <f t="shared" si="912"/>
        <v>Sydkorea</v>
      </c>
      <c r="GO275" s="9" t="str">
        <f t="shared" si="912"/>
        <v>Sverige</v>
      </c>
      <c r="GP275" s="9" t="str">
        <f t="shared" si="912"/>
        <v>Australien</v>
      </c>
      <c r="GQ275" s="9" t="str">
        <f t="shared" si="912"/>
        <v>Uzbekistan</v>
      </c>
      <c r="GR275" s="9" t="str">
        <f t="shared" si="911"/>
        <v/>
      </c>
    </row>
    <row r="276" spans="182:200" ht="14.25" customHeight="1" x14ac:dyDescent="0.25">
      <c r="FZ276" s="79">
        <v>274</v>
      </c>
      <c r="GA276" s="3" t="str">
        <f t="shared" si="910"/>
        <v>HEFCADLI</v>
      </c>
      <c r="GB276" s="3" t="s">
        <v>70</v>
      </c>
      <c r="GC276" s="3" t="s">
        <v>59</v>
      </c>
      <c r="GD276" s="3" t="s">
        <v>21</v>
      </c>
      <c r="GE276" s="3" t="s">
        <v>75</v>
      </c>
      <c r="GF276" s="3" t="s">
        <v>56</v>
      </c>
      <c r="GG276" s="3" t="s">
        <v>58</v>
      </c>
      <c r="GH276" s="3" t="s">
        <v>63</v>
      </c>
      <c r="GI276" s="3" t="s">
        <v>61</v>
      </c>
      <c r="GJ276" s="9" t="str">
        <f t="shared" si="913"/>
        <v>Saudiarabien</v>
      </c>
      <c r="GK276" s="9" t="str">
        <f t="shared" si="913"/>
        <v>Elfenbenskusten</v>
      </c>
      <c r="GL276" s="9" t="str">
        <f t="shared" si="913"/>
        <v>Sverige</v>
      </c>
      <c r="GM276" s="9" t="str">
        <f t="shared" si="912"/>
        <v>Haiti</v>
      </c>
      <c r="GN276" s="9" t="str">
        <f t="shared" si="912"/>
        <v>Sydkorea</v>
      </c>
      <c r="GO276" s="9" t="str">
        <f t="shared" si="912"/>
        <v>Australien</v>
      </c>
      <c r="GP276" s="9" t="str">
        <f t="shared" si="912"/>
        <v>Ghana</v>
      </c>
      <c r="GQ276" s="9" t="str">
        <f t="shared" si="912"/>
        <v>Irak</v>
      </c>
      <c r="GR276" s="9" t="str">
        <f t="shared" si="911"/>
        <v/>
      </c>
    </row>
    <row r="277" spans="182:200" ht="14.25" customHeight="1" x14ac:dyDescent="0.25">
      <c r="FZ277" s="79">
        <v>275</v>
      </c>
      <c r="GA277" s="3" t="str">
        <f t="shared" si="910"/>
        <v>HEFCADIK</v>
      </c>
      <c r="GB277" s="3" t="s">
        <v>70</v>
      </c>
      <c r="GC277" s="3" t="s">
        <v>59</v>
      </c>
      <c r="GD277" s="3" t="s">
        <v>21</v>
      </c>
      <c r="GE277" s="3" t="s">
        <v>75</v>
      </c>
      <c r="GF277" s="3" t="s">
        <v>56</v>
      </c>
      <c r="GG277" s="3" t="s">
        <v>58</v>
      </c>
      <c r="GH277" s="3" t="s">
        <v>61</v>
      </c>
      <c r="GI277" s="3" t="s">
        <v>62</v>
      </c>
      <c r="GJ277" s="9" t="str">
        <f t="shared" si="913"/>
        <v>Saudiarabien</v>
      </c>
      <c r="GK277" s="9" t="str">
        <f t="shared" si="913"/>
        <v>Elfenbenskusten</v>
      </c>
      <c r="GL277" s="9" t="str">
        <f t="shared" si="913"/>
        <v>Sverige</v>
      </c>
      <c r="GM277" s="9" t="str">
        <f t="shared" si="912"/>
        <v>Haiti</v>
      </c>
      <c r="GN277" s="9" t="str">
        <f t="shared" si="912"/>
        <v>Sydkorea</v>
      </c>
      <c r="GO277" s="9" t="str">
        <f t="shared" si="912"/>
        <v>Australien</v>
      </c>
      <c r="GP277" s="9" t="str">
        <f t="shared" si="912"/>
        <v>Irak</v>
      </c>
      <c r="GQ277" s="9" t="str">
        <f t="shared" si="912"/>
        <v>Uzbekistan</v>
      </c>
      <c r="GR277" s="9" t="str">
        <f t="shared" si="911"/>
        <v/>
      </c>
    </row>
    <row r="278" spans="182:200" ht="14.25" customHeight="1" x14ac:dyDescent="0.25">
      <c r="FZ278" s="79">
        <v>276</v>
      </c>
      <c r="GA278" s="3" t="str">
        <f t="shared" si="910"/>
        <v>HJECAFDI</v>
      </c>
      <c r="GB278" s="3" t="s">
        <v>70</v>
      </c>
      <c r="GC278" s="3" t="s">
        <v>69</v>
      </c>
      <c r="GD278" s="3" t="s">
        <v>59</v>
      </c>
      <c r="GE278" s="3" t="s">
        <v>75</v>
      </c>
      <c r="GF278" s="3" t="s">
        <v>56</v>
      </c>
      <c r="GG278" s="3" t="s">
        <v>21</v>
      </c>
      <c r="GH278" s="3" t="s">
        <v>58</v>
      </c>
      <c r="GI278" s="3" t="s">
        <v>61</v>
      </c>
      <c r="GJ278" s="9" t="str">
        <f t="shared" si="913"/>
        <v>Saudiarabien</v>
      </c>
      <c r="GK278" s="9" t="str">
        <f t="shared" si="913"/>
        <v>Österrike</v>
      </c>
      <c r="GL278" s="9" t="str">
        <f t="shared" si="913"/>
        <v>Elfenbenskusten</v>
      </c>
      <c r="GM278" s="9" t="str">
        <f t="shared" si="912"/>
        <v>Haiti</v>
      </c>
      <c r="GN278" s="9" t="str">
        <f t="shared" si="912"/>
        <v>Sydkorea</v>
      </c>
      <c r="GO278" s="9" t="str">
        <f t="shared" si="912"/>
        <v>Sverige</v>
      </c>
      <c r="GP278" s="9" t="str">
        <f t="shared" si="912"/>
        <v>Australien</v>
      </c>
      <c r="GQ278" s="9" t="str">
        <f t="shared" si="912"/>
        <v>Irak</v>
      </c>
      <c r="GR278" s="9" t="str">
        <f t="shared" si="911"/>
        <v/>
      </c>
    </row>
    <row r="279" spans="182:200" ht="14.25" customHeight="1" x14ac:dyDescent="0.25">
      <c r="FZ279" s="79">
        <v>277</v>
      </c>
      <c r="GA279" s="3" t="str">
        <f t="shared" si="910"/>
        <v>CGEDAFLK</v>
      </c>
      <c r="GB279" s="3" t="s">
        <v>75</v>
      </c>
      <c r="GC279" s="3" t="s">
        <v>60</v>
      </c>
      <c r="GD279" s="3" t="s">
        <v>59</v>
      </c>
      <c r="GE279" s="3" t="s">
        <v>58</v>
      </c>
      <c r="GF279" s="3" t="s">
        <v>56</v>
      </c>
      <c r="GG279" s="3" t="s">
        <v>21</v>
      </c>
      <c r="GH279" s="3" t="s">
        <v>63</v>
      </c>
      <c r="GI279" s="3" t="s">
        <v>62</v>
      </c>
      <c r="GJ279" s="9" t="str">
        <f t="shared" si="913"/>
        <v>Haiti</v>
      </c>
      <c r="GK279" s="9" t="str">
        <f t="shared" si="913"/>
        <v>Iran</v>
      </c>
      <c r="GL279" s="9" t="str">
        <f t="shared" si="913"/>
        <v>Elfenbenskusten</v>
      </c>
      <c r="GM279" s="9" t="str">
        <f t="shared" si="912"/>
        <v>Australien</v>
      </c>
      <c r="GN279" s="9" t="str">
        <f t="shared" si="912"/>
        <v>Sydkorea</v>
      </c>
      <c r="GO279" s="9" t="str">
        <f t="shared" si="912"/>
        <v>Sverige</v>
      </c>
      <c r="GP279" s="9" t="str">
        <f t="shared" si="912"/>
        <v>Ghana</v>
      </c>
      <c r="GQ279" s="9" t="str">
        <f t="shared" si="912"/>
        <v>Uzbekistan</v>
      </c>
      <c r="GR279" s="9" t="str">
        <f t="shared" si="911"/>
        <v/>
      </c>
    </row>
    <row r="280" spans="182:200" ht="14.25" customHeight="1" x14ac:dyDescent="0.25">
      <c r="FZ280" s="79">
        <v>278</v>
      </c>
      <c r="GA280" s="3" t="str">
        <f t="shared" si="910"/>
        <v>CGJDAFLE</v>
      </c>
      <c r="GB280" s="3" t="s">
        <v>75</v>
      </c>
      <c r="GC280" s="3" t="s">
        <v>60</v>
      </c>
      <c r="GD280" s="3" t="s">
        <v>69</v>
      </c>
      <c r="GE280" s="3" t="s">
        <v>58</v>
      </c>
      <c r="GF280" s="3" t="s">
        <v>56</v>
      </c>
      <c r="GG280" s="3" t="s">
        <v>21</v>
      </c>
      <c r="GH280" s="3" t="s">
        <v>63</v>
      </c>
      <c r="GI280" s="3" t="s">
        <v>59</v>
      </c>
      <c r="GJ280" s="9" t="str">
        <f t="shared" si="913"/>
        <v>Haiti</v>
      </c>
      <c r="GK280" s="9" t="str">
        <f t="shared" si="913"/>
        <v>Iran</v>
      </c>
      <c r="GL280" s="9" t="str">
        <f t="shared" si="913"/>
        <v>Österrike</v>
      </c>
      <c r="GM280" s="9" t="str">
        <f t="shared" si="912"/>
        <v>Australien</v>
      </c>
      <c r="GN280" s="9" t="str">
        <f t="shared" si="912"/>
        <v>Sydkorea</v>
      </c>
      <c r="GO280" s="9" t="str">
        <f t="shared" si="912"/>
        <v>Sverige</v>
      </c>
      <c r="GP280" s="9" t="str">
        <f t="shared" si="912"/>
        <v>Ghana</v>
      </c>
      <c r="GQ280" s="9" t="str">
        <f t="shared" si="912"/>
        <v>Elfenbenskusten</v>
      </c>
      <c r="GR280" s="9" t="str">
        <f t="shared" si="911"/>
        <v/>
      </c>
    </row>
    <row r="281" spans="182:200" ht="14.25" customHeight="1" x14ac:dyDescent="0.25">
      <c r="FZ281" s="79">
        <v>279</v>
      </c>
      <c r="GA281" s="3" t="str">
        <f t="shared" si="910"/>
        <v>CGJDAFEK</v>
      </c>
      <c r="GB281" s="3" t="s">
        <v>75</v>
      </c>
      <c r="GC281" s="3" t="s">
        <v>60</v>
      </c>
      <c r="GD281" s="3" t="s">
        <v>69</v>
      </c>
      <c r="GE281" s="3" t="s">
        <v>58</v>
      </c>
      <c r="GF281" s="3" t="s">
        <v>56</v>
      </c>
      <c r="GG281" s="3" t="s">
        <v>21</v>
      </c>
      <c r="GH281" s="3" t="s">
        <v>59</v>
      </c>
      <c r="GI281" s="3" t="s">
        <v>62</v>
      </c>
      <c r="GJ281" s="9" t="str">
        <f t="shared" si="913"/>
        <v>Haiti</v>
      </c>
      <c r="GK281" s="9" t="str">
        <f t="shared" si="913"/>
        <v>Iran</v>
      </c>
      <c r="GL281" s="9" t="str">
        <f t="shared" si="913"/>
        <v>Österrike</v>
      </c>
      <c r="GM281" s="9" t="str">
        <f t="shared" si="912"/>
        <v>Australien</v>
      </c>
      <c r="GN281" s="9" t="str">
        <f t="shared" si="912"/>
        <v>Sydkorea</v>
      </c>
      <c r="GO281" s="9" t="str">
        <f t="shared" si="912"/>
        <v>Sverige</v>
      </c>
      <c r="GP281" s="9" t="str">
        <f t="shared" si="912"/>
        <v>Elfenbenskusten</v>
      </c>
      <c r="GQ281" s="9" t="str">
        <f t="shared" si="912"/>
        <v>Uzbekistan</v>
      </c>
      <c r="GR281" s="9" t="str">
        <f t="shared" si="911"/>
        <v/>
      </c>
    </row>
    <row r="282" spans="182:200" ht="14.25" customHeight="1" x14ac:dyDescent="0.25">
      <c r="FZ282" s="79">
        <v>280</v>
      </c>
      <c r="GA282" s="3" t="str">
        <f t="shared" si="910"/>
        <v>CGEDAFLI</v>
      </c>
      <c r="GB282" s="3" t="s">
        <v>75</v>
      </c>
      <c r="GC282" s="3" t="s">
        <v>60</v>
      </c>
      <c r="GD282" s="3" t="s">
        <v>59</v>
      </c>
      <c r="GE282" s="3" t="s">
        <v>58</v>
      </c>
      <c r="GF282" s="3" t="s">
        <v>56</v>
      </c>
      <c r="GG282" s="3" t="s">
        <v>21</v>
      </c>
      <c r="GH282" s="3" t="s">
        <v>63</v>
      </c>
      <c r="GI282" s="3" t="s">
        <v>61</v>
      </c>
      <c r="GJ282" s="9" t="str">
        <f t="shared" si="913"/>
        <v>Haiti</v>
      </c>
      <c r="GK282" s="9" t="str">
        <f t="shared" si="913"/>
        <v>Iran</v>
      </c>
      <c r="GL282" s="9" t="str">
        <f t="shared" si="913"/>
        <v>Elfenbenskusten</v>
      </c>
      <c r="GM282" s="9" t="str">
        <f t="shared" si="912"/>
        <v>Australien</v>
      </c>
      <c r="GN282" s="9" t="str">
        <f t="shared" si="912"/>
        <v>Sydkorea</v>
      </c>
      <c r="GO282" s="9" t="str">
        <f t="shared" si="912"/>
        <v>Sverige</v>
      </c>
      <c r="GP282" s="9" t="str">
        <f t="shared" si="912"/>
        <v>Ghana</v>
      </c>
      <c r="GQ282" s="9" t="str">
        <f t="shared" si="912"/>
        <v>Irak</v>
      </c>
      <c r="GR282" s="9" t="str">
        <f t="shared" si="911"/>
        <v/>
      </c>
    </row>
    <row r="283" spans="182:200" ht="14.25" customHeight="1" x14ac:dyDescent="0.25">
      <c r="FZ283" s="79">
        <v>281</v>
      </c>
      <c r="GA283" s="3" t="str">
        <f t="shared" si="910"/>
        <v>CGEDAFIK</v>
      </c>
      <c r="GB283" s="3" t="s">
        <v>75</v>
      </c>
      <c r="GC283" s="3" t="s">
        <v>60</v>
      </c>
      <c r="GD283" s="3" t="s">
        <v>59</v>
      </c>
      <c r="GE283" s="3" t="s">
        <v>58</v>
      </c>
      <c r="GF283" s="3" t="s">
        <v>56</v>
      </c>
      <c r="GG283" s="3" t="s">
        <v>21</v>
      </c>
      <c r="GH283" s="3" t="s">
        <v>61</v>
      </c>
      <c r="GI283" s="3" t="s">
        <v>62</v>
      </c>
      <c r="GJ283" s="9" t="str">
        <f t="shared" si="913"/>
        <v>Haiti</v>
      </c>
      <c r="GK283" s="9" t="str">
        <f t="shared" si="913"/>
        <v>Iran</v>
      </c>
      <c r="GL283" s="9" t="str">
        <f t="shared" si="913"/>
        <v>Elfenbenskusten</v>
      </c>
      <c r="GM283" s="9" t="str">
        <f t="shared" si="912"/>
        <v>Australien</v>
      </c>
      <c r="GN283" s="9" t="str">
        <f t="shared" si="912"/>
        <v>Sydkorea</v>
      </c>
      <c r="GO283" s="9" t="str">
        <f t="shared" si="912"/>
        <v>Sverige</v>
      </c>
      <c r="GP283" s="9" t="str">
        <f t="shared" si="912"/>
        <v>Irak</v>
      </c>
      <c r="GQ283" s="9" t="str">
        <f t="shared" si="912"/>
        <v>Uzbekistan</v>
      </c>
      <c r="GR283" s="9" t="str">
        <f t="shared" si="911"/>
        <v/>
      </c>
    </row>
    <row r="284" spans="182:200" ht="14.25" customHeight="1" x14ac:dyDescent="0.25">
      <c r="FZ284" s="79">
        <v>282</v>
      </c>
      <c r="GA284" s="3" t="str">
        <f t="shared" si="910"/>
        <v>CGJDAFEI</v>
      </c>
      <c r="GB284" s="3" t="s">
        <v>75</v>
      </c>
      <c r="GC284" s="3" t="s">
        <v>60</v>
      </c>
      <c r="GD284" s="3" t="s">
        <v>69</v>
      </c>
      <c r="GE284" s="3" t="s">
        <v>58</v>
      </c>
      <c r="GF284" s="3" t="s">
        <v>56</v>
      </c>
      <c r="GG284" s="3" t="s">
        <v>21</v>
      </c>
      <c r="GH284" s="3" t="s">
        <v>59</v>
      </c>
      <c r="GI284" s="3" t="s">
        <v>61</v>
      </c>
      <c r="GJ284" s="9" t="str">
        <f t="shared" si="913"/>
        <v>Haiti</v>
      </c>
      <c r="GK284" s="9" t="str">
        <f t="shared" si="913"/>
        <v>Iran</v>
      </c>
      <c r="GL284" s="9" t="str">
        <f t="shared" si="913"/>
        <v>Österrike</v>
      </c>
      <c r="GM284" s="9" t="str">
        <f t="shared" si="912"/>
        <v>Australien</v>
      </c>
      <c r="GN284" s="9" t="str">
        <f t="shared" si="912"/>
        <v>Sydkorea</v>
      </c>
      <c r="GO284" s="9" t="str">
        <f t="shared" si="912"/>
        <v>Sverige</v>
      </c>
      <c r="GP284" s="9" t="str">
        <f t="shared" si="912"/>
        <v>Elfenbenskusten</v>
      </c>
      <c r="GQ284" s="9" t="str">
        <f t="shared" si="912"/>
        <v>Irak</v>
      </c>
      <c r="GR284" s="9" t="str">
        <f t="shared" si="911"/>
        <v/>
      </c>
    </row>
    <row r="285" spans="182:200" ht="14.25" customHeight="1" x14ac:dyDescent="0.25">
      <c r="FZ285" s="79">
        <v>283</v>
      </c>
      <c r="GA285" s="3" t="str">
        <f t="shared" si="910"/>
        <v>HGFCADLE</v>
      </c>
      <c r="GB285" s="3" t="s">
        <v>70</v>
      </c>
      <c r="GC285" s="3" t="s">
        <v>60</v>
      </c>
      <c r="GD285" s="3" t="s">
        <v>21</v>
      </c>
      <c r="GE285" s="3" t="s">
        <v>75</v>
      </c>
      <c r="GF285" s="3" t="s">
        <v>56</v>
      </c>
      <c r="GG285" s="3" t="s">
        <v>58</v>
      </c>
      <c r="GH285" s="3" t="s">
        <v>63</v>
      </c>
      <c r="GI285" s="3" t="s">
        <v>59</v>
      </c>
      <c r="GJ285" s="9" t="str">
        <f t="shared" si="913"/>
        <v>Saudiarabien</v>
      </c>
      <c r="GK285" s="9" t="str">
        <f t="shared" si="913"/>
        <v>Iran</v>
      </c>
      <c r="GL285" s="9" t="str">
        <f t="shared" si="913"/>
        <v>Sverige</v>
      </c>
      <c r="GM285" s="9" t="str">
        <f t="shared" si="912"/>
        <v>Haiti</v>
      </c>
      <c r="GN285" s="9" t="str">
        <f t="shared" si="912"/>
        <v>Sydkorea</v>
      </c>
      <c r="GO285" s="9" t="str">
        <f t="shared" si="912"/>
        <v>Australien</v>
      </c>
      <c r="GP285" s="9" t="str">
        <f t="shared" si="912"/>
        <v>Ghana</v>
      </c>
      <c r="GQ285" s="9" t="str">
        <f t="shared" si="912"/>
        <v>Elfenbenskusten</v>
      </c>
      <c r="GR285" s="9" t="str">
        <f t="shared" si="911"/>
        <v/>
      </c>
    </row>
    <row r="286" spans="182:200" ht="14.25" customHeight="1" x14ac:dyDescent="0.25">
      <c r="FZ286" s="79">
        <v>284</v>
      </c>
      <c r="GA286" s="3" t="str">
        <f t="shared" si="910"/>
        <v>HGECAFDK</v>
      </c>
      <c r="GB286" s="3" t="s">
        <v>70</v>
      </c>
      <c r="GC286" s="3" t="s">
        <v>60</v>
      </c>
      <c r="GD286" s="3" t="s">
        <v>59</v>
      </c>
      <c r="GE286" s="3" t="s">
        <v>75</v>
      </c>
      <c r="GF286" s="3" t="s">
        <v>56</v>
      </c>
      <c r="GG286" s="3" t="s">
        <v>21</v>
      </c>
      <c r="GH286" s="3" t="s">
        <v>58</v>
      </c>
      <c r="GI286" s="3" t="s">
        <v>62</v>
      </c>
      <c r="GJ286" s="9" t="str">
        <f t="shared" si="913"/>
        <v>Saudiarabien</v>
      </c>
      <c r="GK286" s="9" t="str">
        <f t="shared" si="913"/>
        <v>Iran</v>
      </c>
      <c r="GL286" s="9" t="str">
        <f t="shared" si="913"/>
        <v>Elfenbenskusten</v>
      </c>
      <c r="GM286" s="9" t="str">
        <f t="shared" si="912"/>
        <v>Haiti</v>
      </c>
      <c r="GN286" s="9" t="str">
        <f t="shared" si="912"/>
        <v>Sydkorea</v>
      </c>
      <c r="GO286" s="9" t="str">
        <f t="shared" si="912"/>
        <v>Sverige</v>
      </c>
      <c r="GP286" s="9" t="str">
        <f t="shared" si="912"/>
        <v>Australien</v>
      </c>
      <c r="GQ286" s="9" t="str">
        <f t="shared" si="912"/>
        <v>Uzbekistan</v>
      </c>
      <c r="GR286" s="9" t="str">
        <f t="shared" si="911"/>
        <v/>
      </c>
    </row>
    <row r="287" spans="182:200" ht="14.25" customHeight="1" x14ac:dyDescent="0.25">
      <c r="FZ287" s="79">
        <v>285</v>
      </c>
      <c r="GA287" s="3" t="str">
        <f t="shared" si="910"/>
        <v>HGJCAFDE</v>
      </c>
      <c r="GB287" s="3" t="s">
        <v>70</v>
      </c>
      <c r="GC287" s="3" t="s">
        <v>60</v>
      </c>
      <c r="GD287" s="3" t="s">
        <v>69</v>
      </c>
      <c r="GE287" s="3" t="s">
        <v>75</v>
      </c>
      <c r="GF287" s="3" t="s">
        <v>56</v>
      </c>
      <c r="GG287" s="3" t="s">
        <v>21</v>
      </c>
      <c r="GH287" s="3" t="s">
        <v>58</v>
      </c>
      <c r="GI287" s="3" t="s">
        <v>59</v>
      </c>
      <c r="GJ287" s="9" t="str">
        <f t="shared" si="913"/>
        <v>Saudiarabien</v>
      </c>
      <c r="GK287" s="9" t="str">
        <f t="shared" si="913"/>
        <v>Iran</v>
      </c>
      <c r="GL287" s="9" t="str">
        <f t="shared" si="913"/>
        <v>Österrike</v>
      </c>
      <c r="GM287" s="9" t="str">
        <f t="shared" si="912"/>
        <v>Haiti</v>
      </c>
      <c r="GN287" s="9" t="str">
        <f t="shared" si="912"/>
        <v>Sydkorea</v>
      </c>
      <c r="GO287" s="9" t="str">
        <f t="shared" si="912"/>
        <v>Sverige</v>
      </c>
      <c r="GP287" s="9" t="str">
        <f t="shared" si="912"/>
        <v>Australien</v>
      </c>
      <c r="GQ287" s="9" t="str">
        <f t="shared" si="912"/>
        <v>Elfenbenskusten</v>
      </c>
      <c r="GR287" s="9" t="str">
        <f t="shared" si="911"/>
        <v/>
      </c>
    </row>
    <row r="288" spans="182:200" ht="14.25" customHeight="1" x14ac:dyDescent="0.25">
      <c r="FZ288" s="79">
        <v>286</v>
      </c>
      <c r="GA288" s="3" t="str">
        <f t="shared" si="910"/>
        <v>HGECAFDI</v>
      </c>
      <c r="GB288" s="3" t="s">
        <v>70</v>
      </c>
      <c r="GC288" s="3" t="s">
        <v>60</v>
      </c>
      <c r="GD288" s="3" t="s">
        <v>59</v>
      </c>
      <c r="GE288" s="3" t="s">
        <v>75</v>
      </c>
      <c r="GF288" s="3" t="s">
        <v>56</v>
      </c>
      <c r="GG288" s="3" t="s">
        <v>21</v>
      </c>
      <c r="GH288" s="3" t="s">
        <v>58</v>
      </c>
      <c r="GI288" s="3" t="s">
        <v>61</v>
      </c>
      <c r="GJ288" s="9" t="str">
        <f t="shared" si="913"/>
        <v>Saudiarabien</v>
      </c>
      <c r="GK288" s="9" t="str">
        <f t="shared" si="913"/>
        <v>Iran</v>
      </c>
      <c r="GL288" s="9" t="str">
        <f t="shared" si="913"/>
        <v>Elfenbenskusten</v>
      </c>
      <c r="GM288" s="9" t="str">
        <f t="shared" si="912"/>
        <v>Haiti</v>
      </c>
      <c r="GN288" s="9" t="str">
        <f t="shared" si="912"/>
        <v>Sydkorea</v>
      </c>
      <c r="GO288" s="9" t="str">
        <f t="shared" si="912"/>
        <v>Sverige</v>
      </c>
      <c r="GP288" s="9" t="str">
        <f t="shared" si="912"/>
        <v>Australien</v>
      </c>
      <c r="GQ288" s="9" t="str">
        <f t="shared" si="912"/>
        <v>Irak</v>
      </c>
      <c r="GR288" s="9" t="str">
        <f t="shared" si="911"/>
        <v/>
      </c>
    </row>
    <row r="289" spans="182:200" ht="14.25" customHeight="1" x14ac:dyDescent="0.25">
      <c r="FZ289" s="79">
        <v>287</v>
      </c>
      <c r="GA289" s="3" t="str">
        <f t="shared" si="910"/>
        <v>HJBAIGLK</v>
      </c>
      <c r="GB289" s="3" t="s">
        <v>70</v>
      </c>
      <c r="GC289" s="3" t="s">
        <v>69</v>
      </c>
      <c r="GD289" s="3" t="s">
        <v>57</v>
      </c>
      <c r="GE289" s="3" t="s">
        <v>56</v>
      </c>
      <c r="GF289" s="3" t="s">
        <v>61</v>
      </c>
      <c r="GG289" s="3" t="s">
        <v>60</v>
      </c>
      <c r="GH289" s="3" t="s">
        <v>63</v>
      </c>
      <c r="GI289" s="3" t="s">
        <v>62</v>
      </c>
      <c r="GJ289" s="9" t="str">
        <f t="shared" si="913"/>
        <v>Saudiarabien</v>
      </c>
      <c r="GK289" s="9" t="str">
        <f t="shared" si="913"/>
        <v>Österrike</v>
      </c>
      <c r="GL289" s="9" t="str">
        <f t="shared" si="913"/>
        <v>Qatar</v>
      </c>
      <c r="GM289" s="9" t="str">
        <f t="shared" si="912"/>
        <v>Sydkorea</v>
      </c>
      <c r="GN289" s="9" t="str">
        <f t="shared" si="912"/>
        <v>Irak</v>
      </c>
      <c r="GO289" s="9" t="str">
        <f t="shared" si="912"/>
        <v>Iran</v>
      </c>
      <c r="GP289" s="9" t="str">
        <f t="shared" si="912"/>
        <v>Ghana</v>
      </c>
      <c r="GQ289" s="9" t="str">
        <f t="shared" si="912"/>
        <v>Uzbekistan</v>
      </c>
      <c r="GR289" s="9" t="str">
        <f t="shared" si="911"/>
        <v/>
      </c>
    </row>
    <row r="290" spans="182:200" ht="14.25" customHeight="1" x14ac:dyDescent="0.25">
      <c r="FZ290" s="79">
        <v>288</v>
      </c>
      <c r="GA290" s="3" t="str">
        <f t="shared" si="910"/>
        <v>HJBAIFLK</v>
      </c>
      <c r="GB290" s="3" t="s">
        <v>70</v>
      </c>
      <c r="GC290" s="3" t="s">
        <v>69</v>
      </c>
      <c r="GD290" s="3" t="s">
        <v>57</v>
      </c>
      <c r="GE290" s="3" t="s">
        <v>56</v>
      </c>
      <c r="GF290" s="3" t="s">
        <v>61</v>
      </c>
      <c r="GG290" s="3" t="s">
        <v>21</v>
      </c>
      <c r="GH290" s="3" t="s">
        <v>63</v>
      </c>
      <c r="GI290" s="3" t="s">
        <v>62</v>
      </c>
      <c r="GJ290" s="9" t="str">
        <f t="shared" si="913"/>
        <v>Saudiarabien</v>
      </c>
      <c r="GK290" s="9" t="str">
        <f t="shared" si="913"/>
        <v>Österrike</v>
      </c>
      <c r="GL290" s="9" t="str">
        <f t="shared" si="913"/>
        <v>Qatar</v>
      </c>
      <c r="GM290" s="9" t="str">
        <f t="shared" si="912"/>
        <v>Sydkorea</v>
      </c>
      <c r="GN290" s="9" t="str">
        <f t="shared" si="912"/>
        <v>Irak</v>
      </c>
      <c r="GO290" s="9" t="str">
        <f t="shared" si="912"/>
        <v>Sverige</v>
      </c>
      <c r="GP290" s="9" t="str">
        <f t="shared" si="912"/>
        <v>Ghana</v>
      </c>
      <c r="GQ290" s="9" t="str">
        <f t="shared" si="912"/>
        <v>Uzbekistan</v>
      </c>
      <c r="GR290" s="9" t="str">
        <f t="shared" si="911"/>
        <v/>
      </c>
    </row>
    <row r="291" spans="182:200" ht="14.25" customHeight="1" x14ac:dyDescent="0.25">
      <c r="FZ291" s="79">
        <v>289</v>
      </c>
      <c r="GA291" s="3" t="str">
        <f t="shared" si="910"/>
        <v>IJBFAGLK</v>
      </c>
      <c r="GB291" s="3" t="s">
        <v>61</v>
      </c>
      <c r="GC291" s="3" t="s">
        <v>69</v>
      </c>
      <c r="GD291" s="3" t="s">
        <v>57</v>
      </c>
      <c r="GE291" s="3" t="s">
        <v>21</v>
      </c>
      <c r="GF291" s="3" t="s">
        <v>56</v>
      </c>
      <c r="GG291" s="3" t="s">
        <v>60</v>
      </c>
      <c r="GH291" s="3" t="s">
        <v>63</v>
      </c>
      <c r="GI291" s="3" t="s">
        <v>62</v>
      </c>
      <c r="GJ291" s="9" t="str">
        <f t="shared" si="913"/>
        <v>Irak</v>
      </c>
      <c r="GK291" s="9" t="str">
        <f t="shared" si="913"/>
        <v>Österrike</v>
      </c>
      <c r="GL291" s="9" t="str">
        <f t="shared" si="913"/>
        <v>Qatar</v>
      </c>
      <c r="GM291" s="9" t="str">
        <f t="shared" si="912"/>
        <v>Sverige</v>
      </c>
      <c r="GN291" s="9" t="str">
        <f t="shared" si="912"/>
        <v>Sydkorea</v>
      </c>
      <c r="GO291" s="9" t="str">
        <f t="shared" si="912"/>
        <v>Iran</v>
      </c>
      <c r="GP291" s="9" t="str">
        <f t="shared" si="912"/>
        <v>Ghana</v>
      </c>
      <c r="GQ291" s="9" t="str">
        <f t="shared" si="912"/>
        <v>Uzbekistan</v>
      </c>
      <c r="GR291" s="9" t="str">
        <f t="shared" si="911"/>
        <v/>
      </c>
    </row>
    <row r="292" spans="182:200" ht="14.25" customHeight="1" x14ac:dyDescent="0.25">
      <c r="FZ292" s="79">
        <v>290</v>
      </c>
      <c r="GA292" s="3" t="str">
        <f t="shared" si="910"/>
        <v>HJBFAGLK</v>
      </c>
      <c r="GB292" s="3" t="s">
        <v>70</v>
      </c>
      <c r="GC292" s="3" t="s">
        <v>69</v>
      </c>
      <c r="GD292" s="3" t="s">
        <v>57</v>
      </c>
      <c r="GE292" s="3" t="s">
        <v>21</v>
      </c>
      <c r="GF292" s="3" t="s">
        <v>56</v>
      </c>
      <c r="GG292" s="3" t="s">
        <v>60</v>
      </c>
      <c r="GH292" s="3" t="s">
        <v>63</v>
      </c>
      <c r="GI292" s="3" t="s">
        <v>62</v>
      </c>
      <c r="GJ292" s="9" t="str">
        <f t="shared" si="913"/>
        <v>Saudiarabien</v>
      </c>
      <c r="GK292" s="9" t="str">
        <f t="shared" si="913"/>
        <v>Österrike</v>
      </c>
      <c r="GL292" s="9" t="str">
        <f t="shared" si="913"/>
        <v>Qatar</v>
      </c>
      <c r="GM292" s="9" t="str">
        <f t="shared" si="912"/>
        <v>Sverige</v>
      </c>
      <c r="GN292" s="9" t="str">
        <f t="shared" si="912"/>
        <v>Sydkorea</v>
      </c>
      <c r="GO292" s="9" t="str">
        <f t="shared" si="912"/>
        <v>Iran</v>
      </c>
      <c r="GP292" s="9" t="str">
        <f t="shared" si="912"/>
        <v>Ghana</v>
      </c>
      <c r="GQ292" s="9" t="str">
        <f t="shared" si="912"/>
        <v>Uzbekistan</v>
      </c>
      <c r="GR292" s="9" t="str">
        <f t="shared" si="911"/>
        <v/>
      </c>
    </row>
    <row r="293" spans="182:200" ht="14.25" customHeight="1" x14ac:dyDescent="0.25">
      <c r="FZ293" s="79">
        <v>291</v>
      </c>
      <c r="GA293" s="3" t="str">
        <f t="shared" si="910"/>
        <v>HGBAIFLK</v>
      </c>
      <c r="GB293" s="3" t="s">
        <v>70</v>
      </c>
      <c r="GC293" s="3" t="s">
        <v>60</v>
      </c>
      <c r="GD293" s="3" t="s">
        <v>57</v>
      </c>
      <c r="GE293" s="3" t="s">
        <v>56</v>
      </c>
      <c r="GF293" s="3" t="s">
        <v>61</v>
      </c>
      <c r="GG293" s="3" t="s">
        <v>21</v>
      </c>
      <c r="GH293" s="3" t="s">
        <v>63</v>
      </c>
      <c r="GI293" s="3" t="s">
        <v>62</v>
      </c>
      <c r="GJ293" s="9" t="str">
        <f t="shared" si="913"/>
        <v>Saudiarabien</v>
      </c>
      <c r="GK293" s="9" t="str">
        <f t="shared" si="913"/>
        <v>Iran</v>
      </c>
      <c r="GL293" s="9" t="str">
        <f t="shared" si="913"/>
        <v>Qatar</v>
      </c>
      <c r="GM293" s="9" t="str">
        <f t="shared" si="912"/>
        <v>Sydkorea</v>
      </c>
      <c r="GN293" s="9" t="str">
        <f t="shared" si="912"/>
        <v>Irak</v>
      </c>
      <c r="GO293" s="9" t="str">
        <f t="shared" si="912"/>
        <v>Sverige</v>
      </c>
      <c r="GP293" s="9" t="str">
        <f t="shared" si="912"/>
        <v>Ghana</v>
      </c>
      <c r="GQ293" s="9" t="str">
        <f t="shared" si="912"/>
        <v>Uzbekistan</v>
      </c>
      <c r="GR293" s="9" t="str">
        <f t="shared" si="911"/>
        <v/>
      </c>
    </row>
    <row r="294" spans="182:200" ht="14.25" customHeight="1" x14ac:dyDescent="0.25">
      <c r="FZ294" s="79">
        <v>292</v>
      </c>
      <c r="GA294" s="3" t="str">
        <f t="shared" si="910"/>
        <v>HJBFAGLI</v>
      </c>
      <c r="GB294" s="3" t="s">
        <v>70</v>
      </c>
      <c r="GC294" s="3" t="s">
        <v>69</v>
      </c>
      <c r="GD294" s="3" t="s">
        <v>57</v>
      </c>
      <c r="GE294" s="3" t="s">
        <v>21</v>
      </c>
      <c r="GF294" s="3" t="s">
        <v>56</v>
      </c>
      <c r="GG294" s="3" t="s">
        <v>60</v>
      </c>
      <c r="GH294" s="3" t="s">
        <v>63</v>
      </c>
      <c r="GI294" s="3" t="s">
        <v>61</v>
      </c>
      <c r="GJ294" s="9" t="str">
        <f t="shared" si="913"/>
        <v>Saudiarabien</v>
      </c>
      <c r="GK294" s="9" t="str">
        <f t="shared" si="913"/>
        <v>Österrike</v>
      </c>
      <c r="GL294" s="9" t="str">
        <f t="shared" si="913"/>
        <v>Qatar</v>
      </c>
      <c r="GM294" s="9" t="str">
        <f t="shared" si="912"/>
        <v>Sverige</v>
      </c>
      <c r="GN294" s="9" t="str">
        <f t="shared" si="912"/>
        <v>Sydkorea</v>
      </c>
      <c r="GO294" s="9" t="str">
        <f t="shared" si="912"/>
        <v>Iran</v>
      </c>
      <c r="GP294" s="9" t="str">
        <f t="shared" si="912"/>
        <v>Ghana</v>
      </c>
      <c r="GQ294" s="9" t="str">
        <f t="shared" si="912"/>
        <v>Irak</v>
      </c>
      <c r="GR294" s="9" t="str">
        <f t="shared" si="911"/>
        <v/>
      </c>
    </row>
    <row r="295" spans="182:200" ht="14.25" customHeight="1" x14ac:dyDescent="0.25">
      <c r="FZ295" s="79">
        <v>293</v>
      </c>
      <c r="GA295" s="3" t="str">
        <f t="shared" si="910"/>
        <v>HJBFAGIK</v>
      </c>
      <c r="GB295" s="3" t="s">
        <v>70</v>
      </c>
      <c r="GC295" s="3" t="s">
        <v>69</v>
      </c>
      <c r="GD295" s="3" t="s">
        <v>57</v>
      </c>
      <c r="GE295" s="3" t="s">
        <v>21</v>
      </c>
      <c r="GF295" s="3" t="s">
        <v>56</v>
      </c>
      <c r="GG295" s="3" t="s">
        <v>60</v>
      </c>
      <c r="GH295" s="3" t="s">
        <v>61</v>
      </c>
      <c r="GI295" s="3" t="s">
        <v>62</v>
      </c>
      <c r="GJ295" s="9" t="str">
        <f t="shared" si="913"/>
        <v>Saudiarabien</v>
      </c>
      <c r="GK295" s="9" t="str">
        <f t="shared" si="913"/>
        <v>Österrike</v>
      </c>
      <c r="GL295" s="9" t="str">
        <f t="shared" si="913"/>
        <v>Qatar</v>
      </c>
      <c r="GM295" s="9" t="str">
        <f t="shared" si="912"/>
        <v>Sverige</v>
      </c>
      <c r="GN295" s="9" t="str">
        <f t="shared" si="912"/>
        <v>Sydkorea</v>
      </c>
      <c r="GO295" s="9" t="str">
        <f t="shared" si="912"/>
        <v>Iran</v>
      </c>
      <c r="GP295" s="9" t="str">
        <f t="shared" si="912"/>
        <v>Irak</v>
      </c>
      <c r="GQ295" s="9" t="str">
        <f t="shared" si="912"/>
        <v>Uzbekistan</v>
      </c>
      <c r="GR295" s="9" t="str">
        <f t="shared" si="911"/>
        <v/>
      </c>
    </row>
    <row r="296" spans="182:200" ht="14.25" customHeight="1" x14ac:dyDescent="0.25">
      <c r="FZ296" s="79">
        <v>294</v>
      </c>
      <c r="GA296" s="3" t="str">
        <f t="shared" si="910"/>
        <v>EJBAIHLK</v>
      </c>
      <c r="GB296" s="3" t="s">
        <v>59</v>
      </c>
      <c r="GC296" s="3" t="s">
        <v>69</v>
      </c>
      <c r="GD296" s="3" t="s">
        <v>57</v>
      </c>
      <c r="GE296" s="3" t="s">
        <v>56</v>
      </c>
      <c r="GF296" s="3" t="s">
        <v>61</v>
      </c>
      <c r="GG296" s="3" t="s">
        <v>70</v>
      </c>
      <c r="GH296" s="3" t="s">
        <v>63</v>
      </c>
      <c r="GI296" s="3" t="s">
        <v>62</v>
      </c>
      <c r="GJ296" s="9" t="str">
        <f t="shared" si="913"/>
        <v>Elfenbenskusten</v>
      </c>
      <c r="GK296" s="9" t="str">
        <f t="shared" si="913"/>
        <v>Österrike</v>
      </c>
      <c r="GL296" s="9" t="str">
        <f t="shared" si="913"/>
        <v>Qatar</v>
      </c>
      <c r="GM296" s="9" t="str">
        <f t="shared" si="912"/>
        <v>Sydkorea</v>
      </c>
      <c r="GN296" s="9" t="str">
        <f t="shared" si="912"/>
        <v>Irak</v>
      </c>
      <c r="GO296" s="9" t="str">
        <f t="shared" si="912"/>
        <v>Saudiarabien</v>
      </c>
      <c r="GP296" s="9" t="str">
        <f t="shared" si="912"/>
        <v>Ghana</v>
      </c>
      <c r="GQ296" s="9" t="str">
        <f t="shared" si="912"/>
        <v>Uzbekistan</v>
      </c>
      <c r="GR296" s="9" t="str">
        <f t="shared" si="911"/>
        <v/>
      </c>
    </row>
    <row r="297" spans="182:200" ht="14.25" customHeight="1" x14ac:dyDescent="0.25">
      <c r="FZ297" s="79">
        <v>295</v>
      </c>
      <c r="GA297" s="3" t="str">
        <f t="shared" si="910"/>
        <v>EJBAIGLK</v>
      </c>
      <c r="GB297" s="3" t="s">
        <v>59</v>
      </c>
      <c r="GC297" s="3" t="s">
        <v>69</v>
      </c>
      <c r="GD297" s="3" t="s">
        <v>57</v>
      </c>
      <c r="GE297" s="3" t="s">
        <v>56</v>
      </c>
      <c r="GF297" s="3" t="s">
        <v>61</v>
      </c>
      <c r="GG297" s="3" t="s">
        <v>60</v>
      </c>
      <c r="GH297" s="3" t="s">
        <v>63</v>
      </c>
      <c r="GI297" s="3" t="s">
        <v>62</v>
      </c>
      <c r="GJ297" s="9" t="str">
        <f t="shared" si="913"/>
        <v>Elfenbenskusten</v>
      </c>
      <c r="GK297" s="9" t="str">
        <f t="shared" si="913"/>
        <v>Österrike</v>
      </c>
      <c r="GL297" s="9" t="str">
        <f t="shared" si="913"/>
        <v>Qatar</v>
      </c>
      <c r="GM297" s="9" t="str">
        <f t="shared" si="912"/>
        <v>Sydkorea</v>
      </c>
      <c r="GN297" s="9" t="str">
        <f t="shared" si="912"/>
        <v>Irak</v>
      </c>
      <c r="GO297" s="9" t="str">
        <f t="shared" si="912"/>
        <v>Iran</v>
      </c>
      <c r="GP297" s="9" t="str">
        <f t="shared" si="912"/>
        <v>Ghana</v>
      </c>
      <c r="GQ297" s="9" t="str">
        <f t="shared" si="912"/>
        <v>Uzbekistan</v>
      </c>
      <c r="GR297" s="9" t="str">
        <f t="shared" si="911"/>
        <v/>
      </c>
    </row>
    <row r="298" spans="182:200" ht="14.25" customHeight="1" x14ac:dyDescent="0.25">
      <c r="FZ298" s="79">
        <v>296</v>
      </c>
      <c r="GA298" s="3" t="str">
        <f t="shared" si="910"/>
        <v>EJBAHGLK</v>
      </c>
      <c r="GB298" s="3" t="s">
        <v>59</v>
      </c>
      <c r="GC298" s="3" t="s">
        <v>69</v>
      </c>
      <c r="GD298" s="3" t="s">
        <v>57</v>
      </c>
      <c r="GE298" s="3" t="s">
        <v>56</v>
      </c>
      <c r="GF298" s="3" t="s">
        <v>70</v>
      </c>
      <c r="GG298" s="3" t="s">
        <v>60</v>
      </c>
      <c r="GH298" s="3" t="s">
        <v>63</v>
      </c>
      <c r="GI298" s="3" t="s">
        <v>62</v>
      </c>
      <c r="GJ298" s="9" t="str">
        <f t="shared" si="913"/>
        <v>Elfenbenskusten</v>
      </c>
      <c r="GK298" s="9" t="str">
        <f t="shared" si="913"/>
        <v>Österrike</v>
      </c>
      <c r="GL298" s="9" t="str">
        <f t="shared" si="913"/>
        <v>Qatar</v>
      </c>
      <c r="GM298" s="9" t="str">
        <f t="shared" si="912"/>
        <v>Sydkorea</v>
      </c>
      <c r="GN298" s="9" t="str">
        <f t="shared" si="912"/>
        <v>Saudiarabien</v>
      </c>
      <c r="GO298" s="9" t="str">
        <f t="shared" si="912"/>
        <v>Iran</v>
      </c>
      <c r="GP298" s="9" t="str">
        <f t="shared" si="912"/>
        <v>Ghana</v>
      </c>
      <c r="GQ298" s="9" t="str">
        <f t="shared" si="912"/>
        <v>Uzbekistan</v>
      </c>
      <c r="GR298" s="9" t="str">
        <f t="shared" si="911"/>
        <v/>
      </c>
    </row>
    <row r="299" spans="182:200" ht="14.25" customHeight="1" x14ac:dyDescent="0.25">
      <c r="FZ299" s="79">
        <v>297</v>
      </c>
      <c r="GA299" s="3" t="str">
        <f t="shared" si="910"/>
        <v>EGBAIHLK</v>
      </c>
      <c r="GB299" s="3" t="s">
        <v>59</v>
      </c>
      <c r="GC299" s="3" t="s">
        <v>60</v>
      </c>
      <c r="GD299" s="3" t="s">
        <v>57</v>
      </c>
      <c r="GE299" s="3" t="s">
        <v>56</v>
      </c>
      <c r="GF299" s="3" t="s">
        <v>61</v>
      </c>
      <c r="GG299" s="3" t="s">
        <v>70</v>
      </c>
      <c r="GH299" s="3" t="s">
        <v>63</v>
      </c>
      <c r="GI299" s="3" t="s">
        <v>62</v>
      </c>
      <c r="GJ299" s="9" t="str">
        <f t="shared" si="913"/>
        <v>Elfenbenskusten</v>
      </c>
      <c r="GK299" s="9" t="str">
        <f t="shared" si="913"/>
        <v>Iran</v>
      </c>
      <c r="GL299" s="9" t="str">
        <f t="shared" si="913"/>
        <v>Qatar</v>
      </c>
      <c r="GM299" s="9" t="str">
        <f t="shared" si="912"/>
        <v>Sydkorea</v>
      </c>
      <c r="GN299" s="9" t="str">
        <f t="shared" si="912"/>
        <v>Irak</v>
      </c>
      <c r="GO299" s="9" t="str">
        <f t="shared" si="912"/>
        <v>Saudiarabien</v>
      </c>
      <c r="GP299" s="9" t="str">
        <f t="shared" si="912"/>
        <v>Ghana</v>
      </c>
      <c r="GQ299" s="9" t="str">
        <f t="shared" si="912"/>
        <v>Uzbekistan</v>
      </c>
      <c r="GR299" s="9" t="str">
        <f t="shared" si="911"/>
        <v/>
      </c>
    </row>
    <row r="300" spans="182:200" ht="14.25" customHeight="1" x14ac:dyDescent="0.25">
      <c r="FZ300" s="79">
        <v>298</v>
      </c>
      <c r="GA300" s="3" t="str">
        <f t="shared" si="910"/>
        <v>EJBAHGLI</v>
      </c>
      <c r="GB300" s="3" t="s">
        <v>59</v>
      </c>
      <c r="GC300" s="3" t="s">
        <v>69</v>
      </c>
      <c r="GD300" s="3" t="s">
        <v>57</v>
      </c>
      <c r="GE300" s="3" t="s">
        <v>56</v>
      </c>
      <c r="GF300" s="3" t="s">
        <v>70</v>
      </c>
      <c r="GG300" s="3" t="s">
        <v>60</v>
      </c>
      <c r="GH300" s="3" t="s">
        <v>63</v>
      </c>
      <c r="GI300" s="3" t="s">
        <v>61</v>
      </c>
      <c r="GJ300" s="9" t="str">
        <f t="shared" si="913"/>
        <v>Elfenbenskusten</v>
      </c>
      <c r="GK300" s="9" t="str">
        <f t="shared" si="913"/>
        <v>Österrike</v>
      </c>
      <c r="GL300" s="9" t="str">
        <f t="shared" si="913"/>
        <v>Qatar</v>
      </c>
      <c r="GM300" s="9" t="str">
        <f t="shared" si="912"/>
        <v>Sydkorea</v>
      </c>
      <c r="GN300" s="9" t="str">
        <f t="shared" si="912"/>
        <v>Saudiarabien</v>
      </c>
      <c r="GO300" s="9" t="str">
        <f t="shared" si="912"/>
        <v>Iran</v>
      </c>
      <c r="GP300" s="9" t="str">
        <f t="shared" si="912"/>
        <v>Ghana</v>
      </c>
      <c r="GQ300" s="9" t="str">
        <f t="shared" si="912"/>
        <v>Irak</v>
      </c>
      <c r="GR300" s="9" t="str">
        <f t="shared" si="911"/>
        <v/>
      </c>
    </row>
    <row r="301" spans="182:200" ht="14.25" customHeight="1" x14ac:dyDescent="0.25">
      <c r="FZ301" s="79">
        <v>299</v>
      </c>
      <c r="GA301" s="3" t="str">
        <f t="shared" si="910"/>
        <v>EJBAHGIK</v>
      </c>
      <c r="GB301" s="3" t="s">
        <v>59</v>
      </c>
      <c r="GC301" s="3" t="s">
        <v>69</v>
      </c>
      <c r="GD301" s="3" t="s">
        <v>57</v>
      </c>
      <c r="GE301" s="3" t="s">
        <v>56</v>
      </c>
      <c r="GF301" s="3" t="s">
        <v>70</v>
      </c>
      <c r="GG301" s="3" t="s">
        <v>60</v>
      </c>
      <c r="GH301" s="3" t="s">
        <v>61</v>
      </c>
      <c r="GI301" s="3" t="s">
        <v>62</v>
      </c>
      <c r="GJ301" s="9" t="str">
        <f t="shared" si="913"/>
        <v>Elfenbenskusten</v>
      </c>
      <c r="GK301" s="9" t="str">
        <f t="shared" si="913"/>
        <v>Österrike</v>
      </c>
      <c r="GL301" s="9" t="str">
        <f t="shared" si="913"/>
        <v>Qatar</v>
      </c>
      <c r="GM301" s="9" t="str">
        <f t="shared" si="912"/>
        <v>Sydkorea</v>
      </c>
      <c r="GN301" s="9" t="str">
        <f t="shared" si="912"/>
        <v>Saudiarabien</v>
      </c>
      <c r="GO301" s="9" t="str">
        <f t="shared" si="912"/>
        <v>Iran</v>
      </c>
      <c r="GP301" s="9" t="str">
        <f t="shared" si="912"/>
        <v>Irak</v>
      </c>
      <c r="GQ301" s="9" t="str">
        <f t="shared" si="912"/>
        <v>Uzbekistan</v>
      </c>
      <c r="GR301" s="9" t="str">
        <f t="shared" si="911"/>
        <v/>
      </c>
    </row>
    <row r="302" spans="182:200" ht="14.25" customHeight="1" x14ac:dyDescent="0.25">
      <c r="FZ302" s="79">
        <v>300</v>
      </c>
      <c r="GA302" s="3" t="str">
        <f t="shared" si="910"/>
        <v>EJBAIFLK</v>
      </c>
      <c r="GB302" s="3" t="s">
        <v>59</v>
      </c>
      <c r="GC302" s="3" t="s">
        <v>69</v>
      </c>
      <c r="GD302" s="3" t="s">
        <v>57</v>
      </c>
      <c r="GE302" s="3" t="s">
        <v>56</v>
      </c>
      <c r="GF302" s="3" t="s">
        <v>61</v>
      </c>
      <c r="GG302" s="3" t="s">
        <v>21</v>
      </c>
      <c r="GH302" s="3" t="s">
        <v>63</v>
      </c>
      <c r="GI302" s="3" t="s">
        <v>62</v>
      </c>
      <c r="GJ302" s="9" t="str">
        <f t="shared" si="913"/>
        <v>Elfenbenskusten</v>
      </c>
      <c r="GK302" s="9" t="str">
        <f t="shared" si="913"/>
        <v>Österrike</v>
      </c>
      <c r="GL302" s="9" t="str">
        <f t="shared" si="913"/>
        <v>Qatar</v>
      </c>
      <c r="GM302" s="9" t="str">
        <f t="shared" si="912"/>
        <v>Sydkorea</v>
      </c>
      <c r="GN302" s="9" t="str">
        <f t="shared" si="912"/>
        <v>Irak</v>
      </c>
      <c r="GO302" s="9" t="str">
        <f t="shared" si="912"/>
        <v>Sverige</v>
      </c>
      <c r="GP302" s="9" t="str">
        <f t="shared" si="912"/>
        <v>Ghana</v>
      </c>
      <c r="GQ302" s="9" t="str">
        <f t="shared" si="912"/>
        <v>Uzbekistan</v>
      </c>
      <c r="GR302" s="9" t="str">
        <f t="shared" si="911"/>
        <v/>
      </c>
    </row>
    <row r="303" spans="182:200" ht="14.25" customHeight="1" x14ac:dyDescent="0.25">
      <c r="FZ303" s="79">
        <v>301</v>
      </c>
      <c r="GA303" s="3" t="str">
        <f t="shared" si="910"/>
        <v>EJBFAHLK</v>
      </c>
      <c r="GB303" s="3" t="s">
        <v>59</v>
      </c>
      <c r="GC303" s="3" t="s">
        <v>69</v>
      </c>
      <c r="GD303" s="3" t="s">
        <v>57</v>
      </c>
      <c r="GE303" s="3" t="s">
        <v>21</v>
      </c>
      <c r="GF303" s="3" t="s">
        <v>56</v>
      </c>
      <c r="GG303" s="3" t="s">
        <v>70</v>
      </c>
      <c r="GH303" s="3" t="s">
        <v>63</v>
      </c>
      <c r="GI303" s="3" t="s">
        <v>62</v>
      </c>
      <c r="GJ303" s="9" t="str">
        <f t="shared" si="913"/>
        <v>Elfenbenskusten</v>
      </c>
      <c r="GK303" s="9" t="str">
        <f t="shared" si="913"/>
        <v>Österrike</v>
      </c>
      <c r="GL303" s="9" t="str">
        <f t="shared" si="913"/>
        <v>Qatar</v>
      </c>
      <c r="GM303" s="9" t="str">
        <f t="shared" si="912"/>
        <v>Sverige</v>
      </c>
      <c r="GN303" s="9" t="str">
        <f t="shared" si="912"/>
        <v>Sydkorea</v>
      </c>
      <c r="GO303" s="9" t="str">
        <f t="shared" si="912"/>
        <v>Saudiarabien</v>
      </c>
      <c r="GP303" s="9" t="str">
        <f t="shared" si="912"/>
        <v>Ghana</v>
      </c>
      <c r="GQ303" s="9" t="str">
        <f t="shared" si="912"/>
        <v>Uzbekistan</v>
      </c>
      <c r="GR303" s="9" t="str">
        <f t="shared" si="911"/>
        <v/>
      </c>
    </row>
    <row r="304" spans="182:200" ht="14.25" customHeight="1" x14ac:dyDescent="0.25">
      <c r="FZ304" s="79">
        <v>302</v>
      </c>
      <c r="GA304" s="3" t="str">
        <f t="shared" si="910"/>
        <v>EIBFAHLK</v>
      </c>
      <c r="GB304" s="3" t="s">
        <v>59</v>
      </c>
      <c r="GC304" s="3" t="s">
        <v>61</v>
      </c>
      <c r="GD304" s="3" t="s">
        <v>57</v>
      </c>
      <c r="GE304" s="3" t="s">
        <v>21</v>
      </c>
      <c r="GF304" s="3" t="s">
        <v>56</v>
      </c>
      <c r="GG304" s="3" t="s">
        <v>70</v>
      </c>
      <c r="GH304" s="3" t="s">
        <v>63</v>
      </c>
      <c r="GI304" s="3" t="s">
        <v>62</v>
      </c>
      <c r="GJ304" s="9" t="str">
        <f t="shared" si="913"/>
        <v>Elfenbenskusten</v>
      </c>
      <c r="GK304" s="9" t="str">
        <f t="shared" si="913"/>
        <v>Irak</v>
      </c>
      <c r="GL304" s="9" t="str">
        <f t="shared" si="913"/>
        <v>Qatar</v>
      </c>
      <c r="GM304" s="9" t="str">
        <f t="shared" si="912"/>
        <v>Sverige</v>
      </c>
      <c r="GN304" s="9" t="str">
        <f t="shared" si="912"/>
        <v>Sydkorea</v>
      </c>
      <c r="GO304" s="9" t="str">
        <f t="shared" si="912"/>
        <v>Saudiarabien</v>
      </c>
      <c r="GP304" s="9" t="str">
        <f t="shared" si="912"/>
        <v>Ghana</v>
      </c>
      <c r="GQ304" s="9" t="str">
        <f t="shared" si="912"/>
        <v>Uzbekistan</v>
      </c>
      <c r="GR304" s="9" t="str">
        <f t="shared" si="911"/>
        <v/>
      </c>
    </row>
    <row r="305" spans="182:200" ht="14.25" customHeight="1" x14ac:dyDescent="0.25">
      <c r="FZ305" s="79">
        <v>303</v>
      </c>
      <c r="GA305" s="3" t="str">
        <f t="shared" si="910"/>
        <v>EJBFAHLI</v>
      </c>
      <c r="GB305" s="3" t="s">
        <v>59</v>
      </c>
      <c r="GC305" s="3" t="s">
        <v>69</v>
      </c>
      <c r="GD305" s="3" t="s">
        <v>57</v>
      </c>
      <c r="GE305" s="3" t="s">
        <v>21</v>
      </c>
      <c r="GF305" s="3" t="s">
        <v>56</v>
      </c>
      <c r="GG305" s="3" t="s">
        <v>70</v>
      </c>
      <c r="GH305" s="3" t="s">
        <v>63</v>
      </c>
      <c r="GI305" s="3" t="s">
        <v>61</v>
      </c>
      <c r="GJ305" s="9" t="str">
        <f t="shared" si="913"/>
        <v>Elfenbenskusten</v>
      </c>
      <c r="GK305" s="9" t="str">
        <f t="shared" si="913"/>
        <v>Österrike</v>
      </c>
      <c r="GL305" s="9" t="str">
        <f t="shared" si="913"/>
        <v>Qatar</v>
      </c>
      <c r="GM305" s="9" t="str">
        <f t="shared" si="912"/>
        <v>Sverige</v>
      </c>
      <c r="GN305" s="9" t="str">
        <f t="shared" si="912"/>
        <v>Sydkorea</v>
      </c>
      <c r="GO305" s="9" t="str">
        <f t="shared" si="912"/>
        <v>Saudiarabien</v>
      </c>
      <c r="GP305" s="9" t="str">
        <f t="shared" si="912"/>
        <v>Ghana</v>
      </c>
      <c r="GQ305" s="9" t="str">
        <f t="shared" si="912"/>
        <v>Irak</v>
      </c>
      <c r="GR305" s="9" t="str">
        <f t="shared" si="911"/>
        <v/>
      </c>
    </row>
    <row r="306" spans="182:200" ht="14.25" customHeight="1" x14ac:dyDescent="0.25">
      <c r="FZ306" s="79">
        <v>304</v>
      </c>
      <c r="GA306" s="3" t="str">
        <f t="shared" si="910"/>
        <v>EJBFAHIK</v>
      </c>
      <c r="GB306" s="3" t="s">
        <v>59</v>
      </c>
      <c r="GC306" s="3" t="s">
        <v>69</v>
      </c>
      <c r="GD306" s="3" t="s">
        <v>57</v>
      </c>
      <c r="GE306" s="3" t="s">
        <v>21</v>
      </c>
      <c r="GF306" s="3" t="s">
        <v>56</v>
      </c>
      <c r="GG306" s="3" t="s">
        <v>70</v>
      </c>
      <c r="GH306" s="3" t="s">
        <v>61</v>
      </c>
      <c r="GI306" s="3" t="s">
        <v>62</v>
      </c>
      <c r="GJ306" s="9" t="str">
        <f t="shared" si="913"/>
        <v>Elfenbenskusten</v>
      </c>
      <c r="GK306" s="9" t="str">
        <f t="shared" si="913"/>
        <v>Österrike</v>
      </c>
      <c r="GL306" s="9" t="str">
        <f t="shared" si="913"/>
        <v>Qatar</v>
      </c>
      <c r="GM306" s="9" t="str">
        <f t="shared" si="912"/>
        <v>Sverige</v>
      </c>
      <c r="GN306" s="9" t="str">
        <f t="shared" si="912"/>
        <v>Sydkorea</v>
      </c>
      <c r="GO306" s="9" t="str">
        <f t="shared" si="912"/>
        <v>Saudiarabien</v>
      </c>
      <c r="GP306" s="9" t="str">
        <f t="shared" si="912"/>
        <v>Irak</v>
      </c>
      <c r="GQ306" s="9" t="str">
        <f t="shared" si="912"/>
        <v>Uzbekistan</v>
      </c>
      <c r="GR306" s="9" t="str">
        <f t="shared" si="911"/>
        <v/>
      </c>
    </row>
    <row r="307" spans="182:200" ht="14.25" customHeight="1" x14ac:dyDescent="0.25">
      <c r="FZ307" s="79">
        <v>305</v>
      </c>
      <c r="GA307" s="3" t="str">
        <f t="shared" si="910"/>
        <v>EJBFAGLK</v>
      </c>
      <c r="GB307" s="3" t="s">
        <v>59</v>
      </c>
      <c r="GC307" s="3" t="s">
        <v>69</v>
      </c>
      <c r="GD307" s="3" t="s">
        <v>57</v>
      </c>
      <c r="GE307" s="3" t="s">
        <v>21</v>
      </c>
      <c r="GF307" s="3" t="s">
        <v>56</v>
      </c>
      <c r="GG307" s="3" t="s">
        <v>60</v>
      </c>
      <c r="GH307" s="3" t="s">
        <v>63</v>
      </c>
      <c r="GI307" s="3" t="s">
        <v>62</v>
      </c>
      <c r="GJ307" s="9" t="str">
        <f t="shared" si="913"/>
        <v>Elfenbenskusten</v>
      </c>
      <c r="GK307" s="9" t="str">
        <f t="shared" si="913"/>
        <v>Österrike</v>
      </c>
      <c r="GL307" s="9" t="str">
        <f t="shared" si="913"/>
        <v>Qatar</v>
      </c>
      <c r="GM307" s="9" t="str">
        <f t="shared" si="912"/>
        <v>Sverige</v>
      </c>
      <c r="GN307" s="9" t="str">
        <f t="shared" si="912"/>
        <v>Sydkorea</v>
      </c>
      <c r="GO307" s="9" t="str">
        <f t="shared" si="912"/>
        <v>Iran</v>
      </c>
      <c r="GP307" s="9" t="str">
        <f t="shared" si="912"/>
        <v>Ghana</v>
      </c>
      <c r="GQ307" s="9" t="str">
        <f t="shared" si="912"/>
        <v>Uzbekistan</v>
      </c>
      <c r="GR307" s="9" t="str">
        <f t="shared" si="911"/>
        <v/>
      </c>
    </row>
    <row r="308" spans="182:200" ht="14.25" customHeight="1" x14ac:dyDescent="0.25">
      <c r="FZ308" s="79">
        <v>306</v>
      </c>
      <c r="GA308" s="3" t="str">
        <f t="shared" si="910"/>
        <v>EGBAIFLK</v>
      </c>
      <c r="GB308" s="3" t="s">
        <v>59</v>
      </c>
      <c r="GC308" s="3" t="s">
        <v>60</v>
      </c>
      <c r="GD308" s="3" t="s">
        <v>57</v>
      </c>
      <c r="GE308" s="3" t="s">
        <v>56</v>
      </c>
      <c r="GF308" s="3" t="s">
        <v>61</v>
      </c>
      <c r="GG308" s="3" t="s">
        <v>21</v>
      </c>
      <c r="GH308" s="3" t="s">
        <v>63</v>
      </c>
      <c r="GI308" s="3" t="s">
        <v>62</v>
      </c>
      <c r="GJ308" s="9" t="str">
        <f t="shared" si="913"/>
        <v>Elfenbenskusten</v>
      </c>
      <c r="GK308" s="9" t="str">
        <f t="shared" si="913"/>
        <v>Iran</v>
      </c>
      <c r="GL308" s="9" t="str">
        <f t="shared" si="913"/>
        <v>Qatar</v>
      </c>
      <c r="GM308" s="9" t="str">
        <f t="shared" si="912"/>
        <v>Sydkorea</v>
      </c>
      <c r="GN308" s="9" t="str">
        <f t="shared" si="912"/>
        <v>Irak</v>
      </c>
      <c r="GO308" s="9" t="str">
        <f t="shared" si="912"/>
        <v>Sverige</v>
      </c>
      <c r="GP308" s="9" t="str">
        <f t="shared" si="912"/>
        <v>Ghana</v>
      </c>
      <c r="GQ308" s="9" t="str">
        <f t="shared" si="912"/>
        <v>Uzbekistan</v>
      </c>
      <c r="GR308" s="9" t="str">
        <f t="shared" si="911"/>
        <v/>
      </c>
    </row>
    <row r="309" spans="182:200" ht="14.25" customHeight="1" x14ac:dyDescent="0.25">
      <c r="FZ309" s="79">
        <v>307</v>
      </c>
      <c r="GA309" s="3" t="str">
        <f t="shared" si="910"/>
        <v>EJBFAGLI</v>
      </c>
      <c r="GB309" s="3" t="s">
        <v>59</v>
      </c>
      <c r="GC309" s="3" t="s">
        <v>69</v>
      </c>
      <c r="GD309" s="3" t="s">
        <v>57</v>
      </c>
      <c r="GE309" s="3" t="s">
        <v>21</v>
      </c>
      <c r="GF309" s="3" t="s">
        <v>56</v>
      </c>
      <c r="GG309" s="3" t="s">
        <v>60</v>
      </c>
      <c r="GH309" s="3" t="s">
        <v>63</v>
      </c>
      <c r="GI309" s="3" t="s">
        <v>61</v>
      </c>
      <c r="GJ309" s="9" t="str">
        <f t="shared" si="913"/>
        <v>Elfenbenskusten</v>
      </c>
      <c r="GK309" s="9" t="str">
        <f t="shared" si="913"/>
        <v>Österrike</v>
      </c>
      <c r="GL309" s="9" t="str">
        <f t="shared" si="913"/>
        <v>Qatar</v>
      </c>
      <c r="GM309" s="9" t="str">
        <f t="shared" si="912"/>
        <v>Sverige</v>
      </c>
      <c r="GN309" s="9" t="str">
        <f t="shared" si="912"/>
        <v>Sydkorea</v>
      </c>
      <c r="GO309" s="9" t="str">
        <f t="shared" si="912"/>
        <v>Iran</v>
      </c>
      <c r="GP309" s="9" t="str">
        <f t="shared" si="912"/>
        <v>Ghana</v>
      </c>
      <c r="GQ309" s="9" t="str">
        <f t="shared" si="912"/>
        <v>Irak</v>
      </c>
      <c r="GR309" s="9" t="str">
        <f t="shared" si="911"/>
        <v/>
      </c>
    </row>
    <row r="310" spans="182:200" ht="14.25" customHeight="1" x14ac:dyDescent="0.25">
      <c r="FZ310" s="79">
        <v>308</v>
      </c>
      <c r="GA310" s="3" t="str">
        <f t="shared" si="910"/>
        <v>EJBFAGIK</v>
      </c>
      <c r="GB310" s="3" t="s">
        <v>59</v>
      </c>
      <c r="GC310" s="3" t="s">
        <v>69</v>
      </c>
      <c r="GD310" s="3" t="s">
        <v>57</v>
      </c>
      <c r="GE310" s="3" t="s">
        <v>21</v>
      </c>
      <c r="GF310" s="3" t="s">
        <v>56</v>
      </c>
      <c r="GG310" s="3" t="s">
        <v>60</v>
      </c>
      <c r="GH310" s="3" t="s">
        <v>61</v>
      </c>
      <c r="GI310" s="3" t="s">
        <v>62</v>
      </c>
      <c r="GJ310" s="9" t="str">
        <f t="shared" si="913"/>
        <v>Elfenbenskusten</v>
      </c>
      <c r="GK310" s="9" t="str">
        <f t="shared" si="913"/>
        <v>Österrike</v>
      </c>
      <c r="GL310" s="9" t="str">
        <f t="shared" si="913"/>
        <v>Qatar</v>
      </c>
      <c r="GM310" s="9" t="str">
        <f t="shared" si="912"/>
        <v>Sverige</v>
      </c>
      <c r="GN310" s="9" t="str">
        <f t="shared" si="912"/>
        <v>Sydkorea</v>
      </c>
      <c r="GO310" s="9" t="str">
        <f t="shared" si="912"/>
        <v>Iran</v>
      </c>
      <c r="GP310" s="9" t="str">
        <f t="shared" si="912"/>
        <v>Irak</v>
      </c>
      <c r="GQ310" s="9" t="str">
        <f t="shared" si="912"/>
        <v>Uzbekistan</v>
      </c>
      <c r="GR310" s="9" t="str">
        <f t="shared" si="911"/>
        <v/>
      </c>
    </row>
    <row r="311" spans="182:200" ht="14.25" customHeight="1" x14ac:dyDescent="0.25">
      <c r="FZ311" s="79">
        <v>309</v>
      </c>
      <c r="GA311" s="3" t="str">
        <f t="shared" si="910"/>
        <v>EGBFAHLK</v>
      </c>
      <c r="GB311" s="3" t="s">
        <v>59</v>
      </c>
      <c r="GC311" s="3" t="s">
        <v>60</v>
      </c>
      <c r="GD311" s="3" t="s">
        <v>57</v>
      </c>
      <c r="GE311" s="3" t="s">
        <v>21</v>
      </c>
      <c r="GF311" s="3" t="s">
        <v>56</v>
      </c>
      <c r="GG311" s="3" t="s">
        <v>70</v>
      </c>
      <c r="GH311" s="3" t="s">
        <v>63</v>
      </c>
      <c r="GI311" s="3" t="s">
        <v>62</v>
      </c>
      <c r="GJ311" s="9" t="str">
        <f t="shared" si="913"/>
        <v>Elfenbenskusten</v>
      </c>
      <c r="GK311" s="9" t="str">
        <f t="shared" si="913"/>
        <v>Iran</v>
      </c>
      <c r="GL311" s="9" t="str">
        <f t="shared" si="913"/>
        <v>Qatar</v>
      </c>
      <c r="GM311" s="9" t="str">
        <f t="shared" si="912"/>
        <v>Sverige</v>
      </c>
      <c r="GN311" s="9" t="str">
        <f t="shared" si="912"/>
        <v>Sydkorea</v>
      </c>
      <c r="GO311" s="9" t="str">
        <f t="shared" si="912"/>
        <v>Saudiarabien</v>
      </c>
      <c r="GP311" s="9" t="str">
        <f t="shared" si="912"/>
        <v>Ghana</v>
      </c>
      <c r="GQ311" s="9" t="str">
        <f t="shared" si="912"/>
        <v>Uzbekistan</v>
      </c>
      <c r="GR311" s="9" t="str">
        <f t="shared" si="911"/>
        <v/>
      </c>
    </row>
    <row r="312" spans="182:200" ht="14.25" customHeight="1" x14ac:dyDescent="0.25">
      <c r="FZ312" s="79">
        <v>310</v>
      </c>
      <c r="GA312" s="3" t="str">
        <f t="shared" si="910"/>
        <v>HJBFAGLE</v>
      </c>
      <c r="GB312" s="3" t="s">
        <v>70</v>
      </c>
      <c r="GC312" s="3" t="s">
        <v>69</v>
      </c>
      <c r="GD312" s="3" t="s">
        <v>57</v>
      </c>
      <c r="GE312" s="3" t="s">
        <v>21</v>
      </c>
      <c r="GF312" s="3" t="s">
        <v>56</v>
      </c>
      <c r="GG312" s="3" t="s">
        <v>60</v>
      </c>
      <c r="GH312" s="3" t="s">
        <v>63</v>
      </c>
      <c r="GI312" s="3" t="s">
        <v>59</v>
      </c>
      <c r="GJ312" s="9" t="str">
        <f t="shared" si="913"/>
        <v>Saudiarabien</v>
      </c>
      <c r="GK312" s="9" t="str">
        <f t="shared" si="913"/>
        <v>Österrike</v>
      </c>
      <c r="GL312" s="9" t="str">
        <f t="shared" si="913"/>
        <v>Qatar</v>
      </c>
      <c r="GM312" s="9" t="str">
        <f t="shared" si="912"/>
        <v>Sverige</v>
      </c>
      <c r="GN312" s="9" t="str">
        <f t="shared" si="912"/>
        <v>Sydkorea</v>
      </c>
      <c r="GO312" s="9" t="str">
        <f t="shared" si="912"/>
        <v>Iran</v>
      </c>
      <c r="GP312" s="9" t="str">
        <f t="shared" si="912"/>
        <v>Ghana</v>
      </c>
      <c r="GQ312" s="9" t="str">
        <f t="shared" si="912"/>
        <v>Elfenbenskusten</v>
      </c>
      <c r="GR312" s="9" t="str">
        <f t="shared" si="911"/>
        <v/>
      </c>
    </row>
    <row r="313" spans="182:200" ht="14.25" customHeight="1" x14ac:dyDescent="0.25">
      <c r="FZ313" s="79">
        <v>311</v>
      </c>
      <c r="GA313" s="3" t="str">
        <f t="shared" si="910"/>
        <v>HJBFAGEK</v>
      </c>
      <c r="GB313" s="3" t="s">
        <v>70</v>
      </c>
      <c r="GC313" s="3" t="s">
        <v>69</v>
      </c>
      <c r="GD313" s="3" t="s">
        <v>57</v>
      </c>
      <c r="GE313" s="3" t="s">
        <v>21</v>
      </c>
      <c r="GF313" s="3" t="s">
        <v>56</v>
      </c>
      <c r="GG313" s="3" t="s">
        <v>60</v>
      </c>
      <c r="GH313" s="3" t="s">
        <v>59</v>
      </c>
      <c r="GI313" s="3" t="s">
        <v>62</v>
      </c>
      <c r="GJ313" s="9" t="str">
        <f t="shared" si="913"/>
        <v>Saudiarabien</v>
      </c>
      <c r="GK313" s="9" t="str">
        <f t="shared" si="913"/>
        <v>Österrike</v>
      </c>
      <c r="GL313" s="9" t="str">
        <f t="shared" si="913"/>
        <v>Qatar</v>
      </c>
      <c r="GM313" s="9" t="str">
        <f t="shared" si="912"/>
        <v>Sverige</v>
      </c>
      <c r="GN313" s="9" t="str">
        <f t="shared" si="912"/>
        <v>Sydkorea</v>
      </c>
      <c r="GO313" s="9" t="str">
        <f t="shared" si="912"/>
        <v>Iran</v>
      </c>
      <c r="GP313" s="9" t="str">
        <f t="shared" si="912"/>
        <v>Elfenbenskusten</v>
      </c>
      <c r="GQ313" s="9" t="str">
        <f t="shared" si="912"/>
        <v>Uzbekistan</v>
      </c>
      <c r="GR313" s="9" t="str">
        <f t="shared" si="911"/>
        <v/>
      </c>
    </row>
    <row r="314" spans="182:200" ht="14.25" customHeight="1" x14ac:dyDescent="0.25">
      <c r="FZ314" s="79">
        <v>312</v>
      </c>
      <c r="GA314" s="3" t="str">
        <f t="shared" si="910"/>
        <v>EGBFAHLI</v>
      </c>
      <c r="GB314" s="3" t="s">
        <v>59</v>
      </c>
      <c r="GC314" s="3" t="s">
        <v>60</v>
      </c>
      <c r="GD314" s="3" t="s">
        <v>57</v>
      </c>
      <c r="GE314" s="3" t="s">
        <v>21</v>
      </c>
      <c r="GF314" s="3" t="s">
        <v>56</v>
      </c>
      <c r="GG314" s="3" t="s">
        <v>70</v>
      </c>
      <c r="GH314" s="3" t="s">
        <v>63</v>
      </c>
      <c r="GI314" s="3" t="s">
        <v>61</v>
      </c>
      <c r="GJ314" s="9" t="str">
        <f t="shared" si="913"/>
        <v>Elfenbenskusten</v>
      </c>
      <c r="GK314" s="9" t="str">
        <f t="shared" si="913"/>
        <v>Iran</v>
      </c>
      <c r="GL314" s="9" t="str">
        <f t="shared" si="913"/>
        <v>Qatar</v>
      </c>
      <c r="GM314" s="9" t="str">
        <f t="shared" si="912"/>
        <v>Sverige</v>
      </c>
      <c r="GN314" s="9" t="str">
        <f t="shared" si="912"/>
        <v>Sydkorea</v>
      </c>
      <c r="GO314" s="9" t="str">
        <f t="shared" si="912"/>
        <v>Saudiarabien</v>
      </c>
      <c r="GP314" s="9" t="str">
        <f t="shared" si="912"/>
        <v>Ghana</v>
      </c>
      <c r="GQ314" s="9" t="str">
        <f t="shared" si="912"/>
        <v>Irak</v>
      </c>
      <c r="GR314" s="9" t="str">
        <f t="shared" si="911"/>
        <v/>
      </c>
    </row>
    <row r="315" spans="182:200" ht="14.25" customHeight="1" x14ac:dyDescent="0.25">
      <c r="FZ315" s="79">
        <v>313</v>
      </c>
      <c r="GA315" s="3" t="str">
        <f t="shared" si="910"/>
        <v>EGBFAHIK</v>
      </c>
      <c r="GB315" s="3" t="s">
        <v>59</v>
      </c>
      <c r="GC315" s="3" t="s">
        <v>60</v>
      </c>
      <c r="GD315" s="3" t="s">
        <v>57</v>
      </c>
      <c r="GE315" s="3" t="s">
        <v>21</v>
      </c>
      <c r="GF315" s="3" t="s">
        <v>56</v>
      </c>
      <c r="GG315" s="3" t="s">
        <v>70</v>
      </c>
      <c r="GH315" s="3" t="s">
        <v>61</v>
      </c>
      <c r="GI315" s="3" t="s">
        <v>62</v>
      </c>
      <c r="GJ315" s="9" t="str">
        <f t="shared" si="913"/>
        <v>Elfenbenskusten</v>
      </c>
      <c r="GK315" s="9" t="str">
        <f t="shared" si="913"/>
        <v>Iran</v>
      </c>
      <c r="GL315" s="9" t="str">
        <f t="shared" si="913"/>
        <v>Qatar</v>
      </c>
      <c r="GM315" s="9" t="str">
        <f t="shared" si="912"/>
        <v>Sverige</v>
      </c>
      <c r="GN315" s="9" t="str">
        <f t="shared" si="912"/>
        <v>Sydkorea</v>
      </c>
      <c r="GO315" s="9" t="str">
        <f t="shared" si="912"/>
        <v>Saudiarabien</v>
      </c>
      <c r="GP315" s="9" t="str">
        <f t="shared" si="912"/>
        <v>Irak</v>
      </c>
      <c r="GQ315" s="9" t="str">
        <f t="shared" si="912"/>
        <v>Uzbekistan</v>
      </c>
      <c r="GR315" s="9" t="str">
        <f t="shared" si="911"/>
        <v/>
      </c>
    </row>
    <row r="316" spans="182:200" ht="14.25" customHeight="1" x14ac:dyDescent="0.25">
      <c r="FZ316" s="79">
        <v>314</v>
      </c>
      <c r="GA316" s="3" t="str">
        <f t="shared" si="910"/>
        <v>HJBFAGEI</v>
      </c>
      <c r="GB316" s="3" t="s">
        <v>70</v>
      </c>
      <c r="GC316" s="3" t="s">
        <v>69</v>
      </c>
      <c r="GD316" s="3" t="s">
        <v>57</v>
      </c>
      <c r="GE316" s="3" t="s">
        <v>21</v>
      </c>
      <c r="GF316" s="3" t="s">
        <v>56</v>
      </c>
      <c r="GG316" s="3" t="s">
        <v>60</v>
      </c>
      <c r="GH316" s="3" t="s">
        <v>59</v>
      </c>
      <c r="GI316" s="3" t="s">
        <v>61</v>
      </c>
      <c r="GJ316" s="9" t="str">
        <f t="shared" si="913"/>
        <v>Saudiarabien</v>
      </c>
      <c r="GK316" s="9" t="str">
        <f t="shared" si="913"/>
        <v>Österrike</v>
      </c>
      <c r="GL316" s="9" t="str">
        <f t="shared" si="913"/>
        <v>Qatar</v>
      </c>
      <c r="GM316" s="9" t="str">
        <f t="shared" si="912"/>
        <v>Sverige</v>
      </c>
      <c r="GN316" s="9" t="str">
        <f t="shared" si="912"/>
        <v>Sydkorea</v>
      </c>
      <c r="GO316" s="9" t="str">
        <f t="shared" si="912"/>
        <v>Iran</v>
      </c>
      <c r="GP316" s="9" t="str">
        <f t="shared" si="912"/>
        <v>Elfenbenskusten</v>
      </c>
      <c r="GQ316" s="9" t="str">
        <f t="shared" si="912"/>
        <v>Irak</v>
      </c>
      <c r="GR316" s="9" t="str">
        <f t="shared" si="911"/>
        <v/>
      </c>
    </row>
    <row r="317" spans="182:200" ht="14.25" customHeight="1" x14ac:dyDescent="0.25">
      <c r="FZ317" s="79">
        <v>315</v>
      </c>
      <c r="GA317" s="3" t="str">
        <f t="shared" si="910"/>
        <v>IJBDAHLK</v>
      </c>
      <c r="GB317" s="3" t="s">
        <v>61</v>
      </c>
      <c r="GC317" s="3" t="s">
        <v>69</v>
      </c>
      <c r="GD317" s="3" t="s">
        <v>57</v>
      </c>
      <c r="GE317" s="3" t="s">
        <v>58</v>
      </c>
      <c r="GF317" s="3" t="s">
        <v>56</v>
      </c>
      <c r="GG317" s="3" t="s">
        <v>70</v>
      </c>
      <c r="GH317" s="3" t="s">
        <v>63</v>
      </c>
      <c r="GI317" s="3" t="s">
        <v>62</v>
      </c>
      <c r="GJ317" s="9" t="str">
        <f t="shared" si="913"/>
        <v>Irak</v>
      </c>
      <c r="GK317" s="9" t="str">
        <f t="shared" si="913"/>
        <v>Österrike</v>
      </c>
      <c r="GL317" s="9" t="str">
        <f t="shared" si="913"/>
        <v>Qatar</v>
      </c>
      <c r="GM317" s="9" t="str">
        <f t="shared" si="912"/>
        <v>Australien</v>
      </c>
      <c r="GN317" s="9" t="str">
        <f t="shared" si="912"/>
        <v>Sydkorea</v>
      </c>
      <c r="GO317" s="9" t="str">
        <f t="shared" si="912"/>
        <v>Saudiarabien</v>
      </c>
      <c r="GP317" s="9" t="str">
        <f t="shared" si="912"/>
        <v>Ghana</v>
      </c>
      <c r="GQ317" s="9" t="str">
        <f t="shared" si="912"/>
        <v>Uzbekistan</v>
      </c>
      <c r="GR317" s="9" t="str">
        <f t="shared" si="911"/>
        <v/>
      </c>
    </row>
    <row r="318" spans="182:200" ht="14.25" customHeight="1" x14ac:dyDescent="0.25">
      <c r="FZ318" s="79">
        <v>316</v>
      </c>
      <c r="GA318" s="3" t="str">
        <f t="shared" si="910"/>
        <v>IJBDAGLK</v>
      </c>
      <c r="GB318" s="3" t="s">
        <v>61</v>
      </c>
      <c r="GC318" s="3" t="s">
        <v>69</v>
      </c>
      <c r="GD318" s="3" t="s">
        <v>57</v>
      </c>
      <c r="GE318" s="3" t="s">
        <v>58</v>
      </c>
      <c r="GF318" s="3" t="s">
        <v>56</v>
      </c>
      <c r="GG318" s="3" t="s">
        <v>60</v>
      </c>
      <c r="GH318" s="3" t="s">
        <v>63</v>
      </c>
      <c r="GI318" s="3" t="s">
        <v>62</v>
      </c>
      <c r="GJ318" s="9" t="str">
        <f t="shared" si="913"/>
        <v>Irak</v>
      </c>
      <c r="GK318" s="9" t="str">
        <f t="shared" si="913"/>
        <v>Österrike</v>
      </c>
      <c r="GL318" s="9" t="str">
        <f t="shared" si="913"/>
        <v>Qatar</v>
      </c>
      <c r="GM318" s="9" t="str">
        <f t="shared" si="913"/>
        <v>Australien</v>
      </c>
      <c r="GN318" s="9" t="str">
        <f t="shared" si="913"/>
        <v>Sydkorea</v>
      </c>
      <c r="GO318" s="9" t="str">
        <f t="shared" si="913"/>
        <v>Iran</v>
      </c>
      <c r="GP318" s="9" t="str">
        <f t="shared" si="913"/>
        <v>Ghana</v>
      </c>
      <c r="GQ318" s="9" t="str">
        <f t="shared" si="913"/>
        <v>Uzbekistan</v>
      </c>
      <c r="GR318" s="9" t="str">
        <f t="shared" si="911"/>
        <v/>
      </c>
    </row>
    <row r="319" spans="182:200" ht="14.25" customHeight="1" x14ac:dyDescent="0.25">
      <c r="FZ319" s="79">
        <v>317</v>
      </c>
      <c r="GA319" s="3" t="str">
        <f t="shared" si="910"/>
        <v>HJBDAGLK</v>
      </c>
      <c r="GB319" s="3" t="s">
        <v>70</v>
      </c>
      <c r="GC319" s="3" t="s">
        <v>69</v>
      </c>
      <c r="GD319" s="3" t="s">
        <v>57</v>
      </c>
      <c r="GE319" s="3" t="s">
        <v>58</v>
      </c>
      <c r="GF319" s="3" t="s">
        <v>56</v>
      </c>
      <c r="GG319" s="3" t="s">
        <v>60</v>
      </c>
      <c r="GH319" s="3" t="s">
        <v>63</v>
      </c>
      <c r="GI319" s="3" t="s">
        <v>62</v>
      </c>
      <c r="GJ319" s="9" t="str">
        <f t="shared" si="913"/>
        <v>Saudiarabien</v>
      </c>
      <c r="GK319" s="9" t="str">
        <f t="shared" si="913"/>
        <v>Österrike</v>
      </c>
      <c r="GL319" s="9" t="str">
        <f t="shared" si="913"/>
        <v>Qatar</v>
      </c>
      <c r="GM319" s="9" t="str">
        <f t="shared" si="913"/>
        <v>Australien</v>
      </c>
      <c r="GN319" s="9" t="str">
        <f t="shared" si="913"/>
        <v>Sydkorea</v>
      </c>
      <c r="GO319" s="9" t="str">
        <f t="shared" si="913"/>
        <v>Iran</v>
      </c>
      <c r="GP319" s="9" t="str">
        <f t="shared" si="913"/>
        <v>Ghana</v>
      </c>
      <c r="GQ319" s="9" t="str">
        <f t="shared" si="913"/>
        <v>Uzbekistan</v>
      </c>
      <c r="GR319" s="9" t="str">
        <f t="shared" si="911"/>
        <v/>
      </c>
    </row>
    <row r="320" spans="182:200" ht="14.25" customHeight="1" x14ac:dyDescent="0.25">
      <c r="FZ320" s="79">
        <v>318</v>
      </c>
      <c r="GA320" s="3" t="str">
        <f t="shared" si="910"/>
        <v>IGBDAHLK</v>
      </c>
      <c r="GB320" s="3" t="s">
        <v>61</v>
      </c>
      <c r="GC320" s="3" t="s">
        <v>60</v>
      </c>
      <c r="GD320" s="3" t="s">
        <v>57</v>
      </c>
      <c r="GE320" s="3" t="s">
        <v>58</v>
      </c>
      <c r="GF320" s="3" t="s">
        <v>56</v>
      </c>
      <c r="GG320" s="3" t="s">
        <v>70</v>
      </c>
      <c r="GH320" s="3" t="s">
        <v>63</v>
      </c>
      <c r="GI320" s="3" t="s">
        <v>62</v>
      </c>
      <c r="GJ320" s="9" t="str">
        <f t="shared" si="913"/>
        <v>Irak</v>
      </c>
      <c r="GK320" s="9" t="str">
        <f t="shared" si="913"/>
        <v>Iran</v>
      </c>
      <c r="GL320" s="9" t="str">
        <f t="shared" si="913"/>
        <v>Qatar</v>
      </c>
      <c r="GM320" s="9" t="str">
        <f t="shared" si="913"/>
        <v>Australien</v>
      </c>
      <c r="GN320" s="9" t="str">
        <f t="shared" si="913"/>
        <v>Sydkorea</v>
      </c>
      <c r="GO320" s="9" t="str">
        <f t="shared" si="913"/>
        <v>Saudiarabien</v>
      </c>
      <c r="GP320" s="9" t="str">
        <f t="shared" si="913"/>
        <v>Ghana</v>
      </c>
      <c r="GQ320" s="9" t="str">
        <f t="shared" si="913"/>
        <v>Uzbekistan</v>
      </c>
      <c r="GR320" s="9" t="str">
        <f t="shared" si="911"/>
        <v/>
      </c>
    </row>
    <row r="321" spans="182:200" ht="14.25" customHeight="1" x14ac:dyDescent="0.25">
      <c r="FZ321" s="79">
        <v>319</v>
      </c>
      <c r="GA321" s="3" t="str">
        <f t="shared" si="910"/>
        <v>HJBDAGLI</v>
      </c>
      <c r="GB321" s="3" t="s">
        <v>70</v>
      </c>
      <c r="GC321" s="3" t="s">
        <v>69</v>
      </c>
      <c r="GD321" s="3" t="s">
        <v>57</v>
      </c>
      <c r="GE321" s="3" t="s">
        <v>58</v>
      </c>
      <c r="GF321" s="3" t="s">
        <v>56</v>
      </c>
      <c r="GG321" s="3" t="s">
        <v>60</v>
      </c>
      <c r="GH321" s="3" t="s">
        <v>63</v>
      </c>
      <c r="GI321" s="3" t="s">
        <v>61</v>
      </c>
      <c r="GJ321" s="9" t="str">
        <f t="shared" si="913"/>
        <v>Saudiarabien</v>
      </c>
      <c r="GK321" s="9" t="str">
        <f t="shared" si="913"/>
        <v>Österrike</v>
      </c>
      <c r="GL321" s="9" t="str">
        <f t="shared" si="913"/>
        <v>Qatar</v>
      </c>
      <c r="GM321" s="9" t="str">
        <f t="shared" si="913"/>
        <v>Australien</v>
      </c>
      <c r="GN321" s="9" t="str">
        <f t="shared" si="913"/>
        <v>Sydkorea</v>
      </c>
      <c r="GO321" s="9" t="str">
        <f t="shared" si="913"/>
        <v>Iran</v>
      </c>
      <c r="GP321" s="9" t="str">
        <f t="shared" si="913"/>
        <v>Ghana</v>
      </c>
      <c r="GQ321" s="9" t="str">
        <f t="shared" si="913"/>
        <v>Irak</v>
      </c>
      <c r="GR321" s="9" t="str">
        <f t="shared" si="911"/>
        <v/>
      </c>
    </row>
    <row r="322" spans="182:200" ht="14.25" customHeight="1" x14ac:dyDescent="0.25">
      <c r="FZ322" s="79">
        <v>320</v>
      </c>
      <c r="GA322" s="3" t="str">
        <f t="shared" si="910"/>
        <v>HJBDAGIK</v>
      </c>
      <c r="GB322" s="3" t="s">
        <v>70</v>
      </c>
      <c r="GC322" s="3" t="s">
        <v>69</v>
      </c>
      <c r="GD322" s="3" t="s">
        <v>57</v>
      </c>
      <c r="GE322" s="3" t="s">
        <v>58</v>
      </c>
      <c r="GF322" s="3" t="s">
        <v>56</v>
      </c>
      <c r="GG322" s="3" t="s">
        <v>60</v>
      </c>
      <c r="GH322" s="3" t="s">
        <v>61</v>
      </c>
      <c r="GI322" s="3" t="s">
        <v>62</v>
      </c>
      <c r="GJ322" s="9" t="str">
        <f t="shared" si="913"/>
        <v>Saudiarabien</v>
      </c>
      <c r="GK322" s="9" t="str">
        <f t="shared" si="913"/>
        <v>Österrike</v>
      </c>
      <c r="GL322" s="9" t="str">
        <f t="shared" si="913"/>
        <v>Qatar</v>
      </c>
      <c r="GM322" s="9" t="str">
        <f t="shared" si="913"/>
        <v>Australien</v>
      </c>
      <c r="GN322" s="9" t="str">
        <f t="shared" si="913"/>
        <v>Sydkorea</v>
      </c>
      <c r="GO322" s="9" t="str">
        <f t="shared" si="913"/>
        <v>Iran</v>
      </c>
      <c r="GP322" s="9" t="str">
        <f t="shared" si="913"/>
        <v>Irak</v>
      </c>
      <c r="GQ322" s="9" t="str">
        <f t="shared" si="913"/>
        <v>Uzbekistan</v>
      </c>
      <c r="GR322" s="9" t="str">
        <f t="shared" si="911"/>
        <v/>
      </c>
    </row>
    <row r="323" spans="182:200" ht="14.25" customHeight="1" x14ac:dyDescent="0.25">
      <c r="FZ323" s="79">
        <v>321</v>
      </c>
      <c r="GA323" s="3" t="str">
        <f t="shared" si="910"/>
        <v>IJBDAFLK</v>
      </c>
      <c r="GB323" s="3" t="s">
        <v>61</v>
      </c>
      <c r="GC323" s="3" t="s">
        <v>69</v>
      </c>
      <c r="GD323" s="3" t="s">
        <v>57</v>
      </c>
      <c r="GE323" s="3" t="s">
        <v>58</v>
      </c>
      <c r="GF323" s="3" t="s">
        <v>56</v>
      </c>
      <c r="GG323" s="3" t="s">
        <v>21</v>
      </c>
      <c r="GH323" s="3" t="s">
        <v>63</v>
      </c>
      <c r="GI323" s="3" t="s">
        <v>62</v>
      </c>
      <c r="GJ323" s="9" t="str">
        <f t="shared" si="913"/>
        <v>Irak</v>
      </c>
      <c r="GK323" s="9" t="str">
        <f t="shared" si="913"/>
        <v>Österrike</v>
      </c>
      <c r="GL323" s="9" t="str">
        <f t="shared" si="913"/>
        <v>Qatar</v>
      </c>
      <c r="GM323" s="9" t="str">
        <f t="shared" si="913"/>
        <v>Australien</v>
      </c>
      <c r="GN323" s="9" t="str">
        <f t="shared" si="913"/>
        <v>Sydkorea</v>
      </c>
      <c r="GO323" s="9" t="str">
        <f t="shared" si="913"/>
        <v>Sverige</v>
      </c>
      <c r="GP323" s="9" t="str">
        <f t="shared" si="913"/>
        <v>Ghana</v>
      </c>
      <c r="GQ323" s="9" t="str">
        <f t="shared" si="913"/>
        <v>Uzbekistan</v>
      </c>
      <c r="GR323" s="9" t="str">
        <f t="shared" si="911"/>
        <v/>
      </c>
    </row>
    <row r="324" spans="182:200" ht="14.25" customHeight="1" x14ac:dyDescent="0.25">
      <c r="FZ324" s="79">
        <v>322</v>
      </c>
      <c r="GA324" s="3" t="str">
        <f t="shared" si="910"/>
        <v>HJBDAFLK</v>
      </c>
      <c r="GB324" s="3" t="s">
        <v>70</v>
      </c>
      <c r="GC324" s="3" t="s">
        <v>69</v>
      </c>
      <c r="GD324" s="3" t="s">
        <v>57</v>
      </c>
      <c r="GE324" s="3" t="s">
        <v>58</v>
      </c>
      <c r="GF324" s="3" t="s">
        <v>56</v>
      </c>
      <c r="GG324" s="3" t="s">
        <v>21</v>
      </c>
      <c r="GH324" s="3" t="s">
        <v>63</v>
      </c>
      <c r="GI324" s="3" t="s">
        <v>62</v>
      </c>
      <c r="GJ324" s="9" t="str">
        <f t="shared" si="913"/>
        <v>Saudiarabien</v>
      </c>
      <c r="GK324" s="9" t="str">
        <f t="shared" si="913"/>
        <v>Österrike</v>
      </c>
      <c r="GL324" s="9" t="str">
        <f t="shared" si="913"/>
        <v>Qatar</v>
      </c>
      <c r="GM324" s="9" t="str">
        <f t="shared" si="913"/>
        <v>Australien</v>
      </c>
      <c r="GN324" s="9" t="str">
        <f t="shared" si="913"/>
        <v>Sydkorea</v>
      </c>
      <c r="GO324" s="9" t="str">
        <f t="shared" si="913"/>
        <v>Sverige</v>
      </c>
      <c r="GP324" s="9" t="str">
        <f t="shared" si="913"/>
        <v>Ghana</v>
      </c>
      <c r="GQ324" s="9" t="str">
        <f t="shared" si="913"/>
        <v>Uzbekistan</v>
      </c>
      <c r="GR324" s="9" t="str">
        <f t="shared" si="911"/>
        <v/>
      </c>
    </row>
    <row r="325" spans="182:200" ht="14.25" customHeight="1" x14ac:dyDescent="0.25">
      <c r="FZ325" s="79">
        <v>323</v>
      </c>
      <c r="GA325" s="3" t="str">
        <f t="shared" ref="GA325:GA388" si="914">GB325&amp;GC325&amp;GD325&amp;GE325&amp;GF325&amp;GG325&amp;GH325&amp;GI325</f>
        <v>HIBDAFLK</v>
      </c>
      <c r="GB325" s="3" t="s">
        <v>70</v>
      </c>
      <c r="GC325" s="3" t="s">
        <v>61</v>
      </c>
      <c r="GD325" s="3" t="s">
        <v>57</v>
      </c>
      <c r="GE325" s="3" t="s">
        <v>58</v>
      </c>
      <c r="GF325" s="3" t="s">
        <v>56</v>
      </c>
      <c r="GG325" s="3" t="s">
        <v>21</v>
      </c>
      <c r="GH325" s="3" t="s">
        <v>63</v>
      </c>
      <c r="GI325" s="3" t="s">
        <v>62</v>
      </c>
      <c r="GJ325" s="9" t="str">
        <f t="shared" si="913"/>
        <v>Saudiarabien</v>
      </c>
      <c r="GK325" s="9" t="str">
        <f t="shared" si="913"/>
        <v>Irak</v>
      </c>
      <c r="GL325" s="9" t="str">
        <f t="shared" si="913"/>
        <v>Qatar</v>
      </c>
      <c r="GM325" s="9" t="str">
        <f t="shared" si="913"/>
        <v>Australien</v>
      </c>
      <c r="GN325" s="9" t="str">
        <f t="shared" si="913"/>
        <v>Sydkorea</v>
      </c>
      <c r="GO325" s="9" t="str">
        <f t="shared" si="913"/>
        <v>Sverige</v>
      </c>
      <c r="GP325" s="9" t="str">
        <f t="shared" si="913"/>
        <v>Ghana</v>
      </c>
      <c r="GQ325" s="9" t="str">
        <f t="shared" si="913"/>
        <v>Uzbekistan</v>
      </c>
      <c r="GR325" s="9" t="str">
        <f t="shared" si="911"/>
        <v/>
      </c>
    </row>
    <row r="326" spans="182:200" ht="14.25" customHeight="1" x14ac:dyDescent="0.25">
      <c r="FZ326" s="79">
        <v>324</v>
      </c>
      <c r="GA326" s="3" t="str">
        <f t="shared" si="914"/>
        <v>HJBDAFLI</v>
      </c>
      <c r="GB326" s="3" t="s">
        <v>70</v>
      </c>
      <c r="GC326" s="3" t="s">
        <v>69</v>
      </c>
      <c r="GD326" s="3" t="s">
        <v>57</v>
      </c>
      <c r="GE326" s="3" t="s">
        <v>58</v>
      </c>
      <c r="GF326" s="3" t="s">
        <v>56</v>
      </c>
      <c r="GG326" s="3" t="s">
        <v>21</v>
      </c>
      <c r="GH326" s="3" t="s">
        <v>63</v>
      </c>
      <c r="GI326" s="3" t="s">
        <v>61</v>
      </c>
      <c r="GJ326" s="9" t="str">
        <f t="shared" si="913"/>
        <v>Saudiarabien</v>
      </c>
      <c r="GK326" s="9" t="str">
        <f t="shared" si="913"/>
        <v>Österrike</v>
      </c>
      <c r="GL326" s="9" t="str">
        <f t="shared" si="913"/>
        <v>Qatar</v>
      </c>
      <c r="GM326" s="9" t="str">
        <f t="shared" si="913"/>
        <v>Australien</v>
      </c>
      <c r="GN326" s="9" t="str">
        <f t="shared" si="913"/>
        <v>Sydkorea</v>
      </c>
      <c r="GO326" s="9" t="str">
        <f t="shared" si="913"/>
        <v>Sverige</v>
      </c>
      <c r="GP326" s="9" t="str">
        <f t="shared" si="913"/>
        <v>Ghana</v>
      </c>
      <c r="GQ326" s="9" t="str">
        <f t="shared" si="913"/>
        <v>Irak</v>
      </c>
      <c r="GR326" s="9" t="str">
        <f t="shared" ref="GR326:GR389" si="915">IFERROR(IF(AND(VLOOKUP(GB326,$FX$4:$FX$15,1,FALSE)=GB326,VLOOKUP(GC326,$FX$4:$FX$15,1,FALSE)=GC326,VLOOKUP(GD326,$FX$4:$FX$15,1,FALSE)=GD326,VLOOKUP(GE326,$FX$4:$FX$15,1,FALSE)=GE326,VLOOKUP(GF326,$FX$4:$FX$15,1,FALSE)=GF326,VLOOKUP(GG326,$FX$4:$FX$15,1,FALSE)=GG326,VLOOKUP(GH326,$FX$4:$FX$15,1,FALSE)=GH326,VLOOKUP(GI326,$FX$4:$FX$15,1,FALSE)=GI326),FZ326,""),"")</f>
        <v/>
      </c>
    </row>
    <row r="327" spans="182:200" ht="14.25" customHeight="1" x14ac:dyDescent="0.25">
      <c r="FZ327" s="79">
        <v>325</v>
      </c>
      <c r="GA327" s="3" t="str">
        <f t="shared" si="914"/>
        <v>HJBDAFIK</v>
      </c>
      <c r="GB327" s="3" t="s">
        <v>70</v>
      </c>
      <c r="GC327" s="3" t="s">
        <v>69</v>
      </c>
      <c r="GD327" s="3" t="s">
        <v>57</v>
      </c>
      <c r="GE327" s="3" t="s">
        <v>58</v>
      </c>
      <c r="GF327" s="3" t="s">
        <v>56</v>
      </c>
      <c r="GG327" s="3" t="s">
        <v>21</v>
      </c>
      <c r="GH327" s="3" t="s">
        <v>61</v>
      </c>
      <c r="GI327" s="3" t="s">
        <v>62</v>
      </c>
      <c r="GJ327" s="9" t="str">
        <f t="shared" si="913"/>
        <v>Saudiarabien</v>
      </c>
      <c r="GK327" s="9" t="str">
        <f t="shared" si="913"/>
        <v>Österrike</v>
      </c>
      <c r="GL327" s="9" t="str">
        <f t="shared" si="913"/>
        <v>Qatar</v>
      </c>
      <c r="GM327" s="9" t="str">
        <f t="shared" si="913"/>
        <v>Australien</v>
      </c>
      <c r="GN327" s="9" t="str">
        <f t="shared" si="913"/>
        <v>Sydkorea</v>
      </c>
      <c r="GO327" s="9" t="str">
        <f t="shared" si="913"/>
        <v>Sverige</v>
      </c>
      <c r="GP327" s="9" t="str">
        <f t="shared" si="913"/>
        <v>Irak</v>
      </c>
      <c r="GQ327" s="9" t="str">
        <f t="shared" si="913"/>
        <v>Uzbekistan</v>
      </c>
      <c r="GR327" s="9" t="str">
        <f t="shared" si="915"/>
        <v/>
      </c>
    </row>
    <row r="328" spans="182:200" ht="14.25" customHeight="1" x14ac:dyDescent="0.25">
      <c r="FZ328" s="79">
        <v>326</v>
      </c>
      <c r="GA328" s="3" t="str">
        <f t="shared" si="914"/>
        <v>FJBDAGLK</v>
      </c>
      <c r="GB328" s="3" t="s">
        <v>21</v>
      </c>
      <c r="GC328" s="3" t="s">
        <v>69</v>
      </c>
      <c r="GD328" s="3" t="s">
        <v>57</v>
      </c>
      <c r="GE328" s="3" t="s">
        <v>58</v>
      </c>
      <c r="GF328" s="3" t="s">
        <v>56</v>
      </c>
      <c r="GG328" s="3" t="s">
        <v>60</v>
      </c>
      <c r="GH328" s="3" t="s">
        <v>63</v>
      </c>
      <c r="GI328" s="3" t="s">
        <v>62</v>
      </c>
      <c r="GJ328" s="9" t="str">
        <f t="shared" si="913"/>
        <v>Sverige</v>
      </c>
      <c r="GK328" s="9" t="str">
        <f t="shared" si="913"/>
        <v>Österrike</v>
      </c>
      <c r="GL328" s="9" t="str">
        <f t="shared" si="913"/>
        <v>Qatar</v>
      </c>
      <c r="GM328" s="9" t="str">
        <f t="shared" si="913"/>
        <v>Australien</v>
      </c>
      <c r="GN328" s="9" t="str">
        <f t="shared" si="913"/>
        <v>Sydkorea</v>
      </c>
      <c r="GO328" s="9" t="str">
        <f t="shared" si="913"/>
        <v>Iran</v>
      </c>
      <c r="GP328" s="9" t="str">
        <f t="shared" si="913"/>
        <v>Ghana</v>
      </c>
      <c r="GQ328" s="9" t="str">
        <f t="shared" si="913"/>
        <v>Uzbekistan</v>
      </c>
      <c r="GR328" s="9" t="str">
        <f t="shared" si="915"/>
        <v/>
      </c>
    </row>
    <row r="329" spans="182:200" ht="14.25" customHeight="1" x14ac:dyDescent="0.25">
      <c r="FZ329" s="79">
        <v>327</v>
      </c>
      <c r="GA329" s="3" t="str">
        <f t="shared" si="914"/>
        <v>IGBDAFLK</v>
      </c>
      <c r="GB329" s="3" t="s">
        <v>61</v>
      </c>
      <c r="GC329" s="3" t="s">
        <v>60</v>
      </c>
      <c r="GD329" s="3" t="s">
        <v>57</v>
      </c>
      <c r="GE329" s="3" t="s">
        <v>58</v>
      </c>
      <c r="GF329" s="3" t="s">
        <v>56</v>
      </c>
      <c r="GG329" s="3" t="s">
        <v>21</v>
      </c>
      <c r="GH329" s="3" t="s">
        <v>63</v>
      </c>
      <c r="GI329" s="3" t="s">
        <v>62</v>
      </c>
      <c r="GJ329" s="9" t="str">
        <f t="shared" si="913"/>
        <v>Irak</v>
      </c>
      <c r="GK329" s="9" t="str">
        <f t="shared" si="913"/>
        <v>Iran</v>
      </c>
      <c r="GL329" s="9" t="str">
        <f t="shared" si="913"/>
        <v>Qatar</v>
      </c>
      <c r="GM329" s="9" t="str">
        <f t="shared" si="913"/>
        <v>Australien</v>
      </c>
      <c r="GN329" s="9" t="str">
        <f t="shared" si="913"/>
        <v>Sydkorea</v>
      </c>
      <c r="GO329" s="9" t="str">
        <f t="shared" si="913"/>
        <v>Sverige</v>
      </c>
      <c r="GP329" s="9" t="str">
        <f t="shared" si="913"/>
        <v>Ghana</v>
      </c>
      <c r="GQ329" s="9" t="str">
        <f t="shared" si="913"/>
        <v>Uzbekistan</v>
      </c>
      <c r="GR329" s="9" t="str">
        <f t="shared" si="915"/>
        <v/>
      </c>
    </row>
    <row r="330" spans="182:200" ht="14.25" customHeight="1" x14ac:dyDescent="0.25">
      <c r="FZ330" s="79">
        <v>328</v>
      </c>
      <c r="GA330" s="3" t="str">
        <f t="shared" si="914"/>
        <v>FJBDAGLI</v>
      </c>
      <c r="GB330" s="3" t="s">
        <v>21</v>
      </c>
      <c r="GC330" s="3" t="s">
        <v>69</v>
      </c>
      <c r="GD330" s="3" t="s">
        <v>57</v>
      </c>
      <c r="GE330" s="3" t="s">
        <v>58</v>
      </c>
      <c r="GF330" s="3" t="s">
        <v>56</v>
      </c>
      <c r="GG330" s="3" t="s">
        <v>60</v>
      </c>
      <c r="GH330" s="3" t="s">
        <v>63</v>
      </c>
      <c r="GI330" s="3" t="s">
        <v>61</v>
      </c>
      <c r="GJ330" s="9" t="str">
        <f t="shared" si="913"/>
        <v>Sverige</v>
      </c>
      <c r="GK330" s="9" t="str">
        <f t="shared" si="913"/>
        <v>Österrike</v>
      </c>
      <c r="GL330" s="9" t="str">
        <f t="shared" si="913"/>
        <v>Qatar</v>
      </c>
      <c r="GM330" s="9" t="str">
        <f t="shared" si="913"/>
        <v>Australien</v>
      </c>
      <c r="GN330" s="9" t="str">
        <f t="shared" si="913"/>
        <v>Sydkorea</v>
      </c>
      <c r="GO330" s="9" t="str">
        <f t="shared" si="913"/>
        <v>Iran</v>
      </c>
      <c r="GP330" s="9" t="str">
        <f t="shared" si="913"/>
        <v>Ghana</v>
      </c>
      <c r="GQ330" s="9" t="str">
        <f t="shared" si="913"/>
        <v>Irak</v>
      </c>
      <c r="GR330" s="9" t="str">
        <f t="shared" si="915"/>
        <v/>
      </c>
    </row>
    <row r="331" spans="182:200" ht="14.25" customHeight="1" x14ac:dyDescent="0.25">
      <c r="FZ331" s="79">
        <v>329</v>
      </c>
      <c r="GA331" s="3" t="str">
        <f t="shared" si="914"/>
        <v>FJBDAGIK</v>
      </c>
      <c r="GB331" s="3" t="s">
        <v>21</v>
      </c>
      <c r="GC331" s="3" t="s">
        <v>69</v>
      </c>
      <c r="GD331" s="3" t="s">
        <v>57</v>
      </c>
      <c r="GE331" s="3" t="s">
        <v>58</v>
      </c>
      <c r="GF331" s="3" t="s">
        <v>56</v>
      </c>
      <c r="GG331" s="3" t="s">
        <v>60</v>
      </c>
      <c r="GH331" s="3" t="s">
        <v>61</v>
      </c>
      <c r="GI331" s="3" t="s">
        <v>62</v>
      </c>
      <c r="GJ331" s="9" t="str">
        <f t="shared" si="913"/>
        <v>Sverige</v>
      </c>
      <c r="GK331" s="9" t="str">
        <f t="shared" ref="GK331:GQ367" si="916">VLOOKUP(GC331,$FM$3:$FN$15,2,FALSE)</f>
        <v>Österrike</v>
      </c>
      <c r="GL331" s="9" t="str">
        <f t="shared" si="916"/>
        <v>Qatar</v>
      </c>
      <c r="GM331" s="9" t="str">
        <f t="shared" si="916"/>
        <v>Australien</v>
      </c>
      <c r="GN331" s="9" t="str">
        <f t="shared" si="916"/>
        <v>Sydkorea</v>
      </c>
      <c r="GO331" s="9" t="str">
        <f t="shared" si="916"/>
        <v>Iran</v>
      </c>
      <c r="GP331" s="9" t="str">
        <f t="shared" si="916"/>
        <v>Irak</v>
      </c>
      <c r="GQ331" s="9" t="str">
        <f t="shared" si="916"/>
        <v>Uzbekistan</v>
      </c>
      <c r="GR331" s="9" t="str">
        <f t="shared" si="915"/>
        <v/>
      </c>
    </row>
    <row r="332" spans="182:200" ht="14.25" customHeight="1" x14ac:dyDescent="0.25">
      <c r="FZ332" s="79">
        <v>330</v>
      </c>
      <c r="GA332" s="3" t="str">
        <f t="shared" si="914"/>
        <v>HGBDAFLK</v>
      </c>
      <c r="GB332" s="3" t="s">
        <v>70</v>
      </c>
      <c r="GC332" s="3" t="s">
        <v>60</v>
      </c>
      <c r="GD332" s="3" t="s">
        <v>57</v>
      </c>
      <c r="GE332" s="3" t="s">
        <v>58</v>
      </c>
      <c r="GF332" s="3" t="s">
        <v>56</v>
      </c>
      <c r="GG332" s="3" t="s">
        <v>21</v>
      </c>
      <c r="GH332" s="3" t="s">
        <v>63</v>
      </c>
      <c r="GI332" s="3" t="s">
        <v>62</v>
      </c>
      <c r="GJ332" s="9" t="str">
        <f t="shared" ref="GJ332:GM395" si="917">VLOOKUP(GB332,$FM$3:$FN$15,2,FALSE)</f>
        <v>Saudiarabien</v>
      </c>
      <c r="GK332" s="9" t="str">
        <f t="shared" si="916"/>
        <v>Iran</v>
      </c>
      <c r="GL332" s="9" t="str">
        <f t="shared" si="916"/>
        <v>Qatar</v>
      </c>
      <c r="GM332" s="9" t="str">
        <f t="shared" si="916"/>
        <v>Australien</v>
      </c>
      <c r="GN332" s="9" t="str">
        <f t="shared" si="916"/>
        <v>Sydkorea</v>
      </c>
      <c r="GO332" s="9" t="str">
        <f t="shared" si="916"/>
        <v>Sverige</v>
      </c>
      <c r="GP332" s="9" t="str">
        <f t="shared" si="916"/>
        <v>Ghana</v>
      </c>
      <c r="GQ332" s="9" t="str">
        <f t="shared" si="916"/>
        <v>Uzbekistan</v>
      </c>
      <c r="GR332" s="9" t="str">
        <f t="shared" si="915"/>
        <v/>
      </c>
    </row>
    <row r="333" spans="182:200" ht="14.25" customHeight="1" x14ac:dyDescent="0.25">
      <c r="FZ333" s="79">
        <v>331</v>
      </c>
      <c r="GA333" s="3" t="str">
        <f t="shared" si="914"/>
        <v>HGBDAFLJ</v>
      </c>
      <c r="GB333" s="3" t="s">
        <v>70</v>
      </c>
      <c r="GC333" s="3" t="s">
        <v>60</v>
      </c>
      <c r="GD333" s="3" t="s">
        <v>57</v>
      </c>
      <c r="GE333" s="3" t="s">
        <v>58</v>
      </c>
      <c r="GF333" s="3" t="s">
        <v>56</v>
      </c>
      <c r="GG333" s="3" t="s">
        <v>21</v>
      </c>
      <c r="GH333" s="3" t="s">
        <v>63</v>
      </c>
      <c r="GI333" s="3" t="s">
        <v>69</v>
      </c>
      <c r="GJ333" s="9" t="str">
        <f t="shared" si="917"/>
        <v>Saudiarabien</v>
      </c>
      <c r="GK333" s="9" t="str">
        <f t="shared" si="916"/>
        <v>Iran</v>
      </c>
      <c r="GL333" s="9" t="str">
        <f t="shared" si="916"/>
        <v>Qatar</v>
      </c>
      <c r="GM333" s="9" t="str">
        <f t="shared" si="916"/>
        <v>Australien</v>
      </c>
      <c r="GN333" s="9" t="str">
        <f t="shared" si="916"/>
        <v>Sydkorea</v>
      </c>
      <c r="GO333" s="9" t="str">
        <f t="shared" si="916"/>
        <v>Sverige</v>
      </c>
      <c r="GP333" s="9" t="str">
        <f t="shared" si="916"/>
        <v>Ghana</v>
      </c>
      <c r="GQ333" s="9" t="str">
        <f t="shared" si="916"/>
        <v>Österrike</v>
      </c>
      <c r="GR333" s="9" t="str">
        <f t="shared" si="915"/>
        <v/>
      </c>
    </row>
    <row r="334" spans="182:200" ht="14.25" customHeight="1" x14ac:dyDescent="0.25">
      <c r="FZ334" s="79">
        <v>332</v>
      </c>
      <c r="GA334" s="3" t="str">
        <f t="shared" si="914"/>
        <v>HGBDAFJK</v>
      </c>
      <c r="GB334" s="3" t="s">
        <v>70</v>
      </c>
      <c r="GC334" s="3" t="s">
        <v>60</v>
      </c>
      <c r="GD334" s="3" t="s">
        <v>57</v>
      </c>
      <c r="GE334" s="3" t="s">
        <v>58</v>
      </c>
      <c r="GF334" s="3" t="s">
        <v>56</v>
      </c>
      <c r="GG334" s="3" t="s">
        <v>21</v>
      </c>
      <c r="GH334" s="3" t="s">
        <v>69</v>
      </c>
      <c r="GI334" s="3" t="s">
        <v>62</v>
      </c>
      <c r="GJ334" s="9" t="str">
        <f t="shared" si="917"/>
        <v>Saudiarabien</v>
      </c>
      <c r="GK334" s="9" t="str">
        <f t="shared" si="916"/>
        <v>Iran</v>
      </c>
      <c r="GL334" s="9" t="str">
        <f t="shared" si="916"/>
        <v>Qatar</v>
      </c>
      <c r="GM334" s="9" t="str">
        <f t="shared" si="916"/>
        <v>Australien</v>
      </c>
      <c r="GN334" s="9" t="str">
        <f t="shared" si="916"/>
        <v>Sydkorea</v>
      </c>
      <c r="GO334" s="9" t="str">
        <f t="shared" si="916"/>
        <v>Sverige</v>
      </c>
      <c r="GP334" s="9" t="str">
        <f t="shared" si="916"/>
        <v>Österrike</v>
      </c>
      <c r="GQ334" s="9" t="str">
        <f t="shared" si="916"/>
        <v>Uzbekistan</v>
      </c>
      <c r="GR334" s="9" t="str">
        <f t="shared" si="915"/>
        <v/>
      </c>
    </row>
    <row r="335" spans="182:200" ht="14.25" customHeight="1" x14ac:dyDescent="0.25">
      <c r="FZ335" s="79">
        <v>333</v>
      </c>
      <c r="GA335" s="3" t="str">
        <f t="shared" si="914"/>
        <v>HGBDAFLI</v>
      </c>
      <c r="GB335" s="3" t="s">
        <v>70</v>
      </c>
      <c r="GC335" s="3" t="s">
        <v>60</v>
      </c>
      <c r="GD335" s="3" t="s">
        <v>57</v>
      </c>
      <c r="GE335" s="3" t="s">
        <v>58</v>
      </c>
      <c r="GF335" s="3" t="s">
        <v>56</v>
      </c>
      <c r="GG335" s="3" t="s">
        <v>21</v>
      </c>
      <c r="GH335" s="3" t="s">
        <v>63</v>
      </c>
      <c r="GI335" s="3" t="s">
        <v>61</v>
      </c>
      <c r="GJ335" s="9" t="str">
        <f t="shared" si="917"/>
        <v>Saudiarabien</v>
      </c>
      <c r="GK335" s="9" t="str">
        <f t="shared" si="916"/>
        <v>Iran</v>
      </c>
      <c r="GL335" s="9" t="str">
        <f t="shared" si="916"/>
        <v>Qatar</v>
      </c>
      <c r="GM335" s="9" t="str">
        <f t="shared" si="916"/>
        <v>Australien</v>
      </c>
      <c r="GN335" s="9" t="str">
        <f t="shared" si="916"/>
        <v>Sydkorea</v>
      </c>
      <c r="GO335" s="9" t="str">
        <f t="shared" si="916"/>
        <v>Sverige</v>
      </c>
      <c r="GP335" s="9" t="str">
        <f t="shared" si="916"/>
        <v>Ghana</v>
      </c>
      <c r="GQ335" s="9" t="str">
        <f t="shared" si="916"/>
        <v>Irak</v>
      </c>
      <c r="GR335" s="9" t="str">
        <f t="shared" si="915"/>
        <v/>
      </c>
    </row>
    <row r="336" spans="182:200" ht="14.25" customHeight="1" x14ac:dyDescent="0.25">
      <c r="FZ336" s="79">
        <v>334</v>
      </c>
      <c r="GA336" s="3" t="str">
        <f t="shared" si="914"/>
        <v>HGBDAFIK</v>
      </c>
      <c r="GB336" s="3" t="s">
        <v>70</v>
      </c>
      <c r="GC336" s="3" t="s">
        <v>60</v>
      </c>
      <c r="GD336" s="3" t="s">
        <v>57</v>
      </c>
      <c r="GE336" s="3" t="s">
        <v>58</v>
      </c>
      <c r="GF336" s="3" t="s">
        <v>56</v>
      </c>
      <c r="GG336" s="3" t="s">
        <v>21</v>
      </c>
      <c r="GH336" s="3" t="s">
        <v>61</v>
      </c>
      <c r="GI336" s="3" t="s">
        <v>62</v>
      </c>
      <c r="GJ336" s="9" t="str">
        <f t="shared" si="917"/>
        <v>Saudiarabien</v>
      </c>
      <c r="GK336" s="9" t="str">
        <f t="shared" si="916"/>
        <v>Iran</v>
      </c>
      <c r="GL336" s="9" t="str">
        <f t="shared" si="916"/>
        <v>Qatar</v>
      </c>
      <c r="GM336" s="9" t="str">
        <f t="shared" si="916"/>
        <v>Australien</v>
      </c>
      <c r="GN336" s="9" t="str">
        <f t="shared" si="916"/>
        <v>Sydkorea</v>
      </c>
      <c r="GO336" s="9" t="str">
        <f t="shared" si="916"/>
        <v>Sverige</v>
      </c>
      <c r="GP336" s="9" t="str">
        <f t="shared" si="916"/>
        <v>Irak</v>
      </c>
      <c r="GQ336" s="9" t="str">
        <f t="shared" si="916"/>
        <v>Uzbekistan</v>
      </c>
      <c r="GR336" s="9" t="str">
        <f t="shared" si="915"/>
        <v/>
      </c>
    </row>
    <row r="337" spans="182:200" ht="14.25" customHeight="1" x14ac:dyDescent="0.25">
      <c r="FZ337" s="79">
        <v>335</v>
      </c>
      <c r="GA337" s="3" t="str">
        <f t="shared" si="914"/>
        <v>HGBDAFIJ</v>
      </c>
      <c r="GB337" s="3" t="s">
        <v>70</v>
      </c>
      <c r="GC337" s="3" t="s">
        <v>60</v>
      </c>
      <c r="GD337" s="3" t="s">
        <v>57</v>
      </c>
      <c r="GE337" s="3" t="s">
        <v>58</v>
      </c>
      <c r="GF337" s="3" t="s">
        <v>56</v>
      </c>
      <c r="GG337" s="3" t="s">
        <v>21</v>
      </c>
      <c r="GH337" s="3" t="s">
        <v>61</v>
      </c>
      <c r="GI337" s="3" t="s">
        <v>69</v>
      </c>
      <c r="GJ337" s="9" t="str">
        <f t="shared" si="917"/>
        <v>Saudiarabien</v>
      </c>
      <c r="GK337" s="9" t="str">
        <f t="shared" si="916"/>
        <v>Iran</v>
      </c>
      <c r="GL337" s="9" t="str">
        <f t="shared" si="916"/>
        <v>Qatar</v>
      </c>
      <c r="GM337" s="9" t="str">
        <f t="shared" si="916"/>
        <v>Australien</v>
      </c>
      <c r="GN337" s="9" t="str">
        <f t="shared" si="916"/>
        <v>Sydkorea</v>
      </c>
      <c r="GO337" s="9" t="str">
        <f t="shared" si="916"/>
        <v>Sverige</v>
      </c>
      <c r="GP337" s="9" t="str">
        <f t="shared" si="916"/>
        <v>Irak</v>
      </c>
      <c r="GQ337" s="9" t="str">
        <f t="shared" si="916"/>
        <v>Österrike</v>
      </c>
      <c r="GR337" s="9" t="str">
        <f t="shared" si="915"/>
        <v/>
      </c>
    </row>
    <row r="338" spans="182:200" ht="14.25" customHeight="1" x14ac:dyDescent="0.25">
      <c r="FZ338" s="79">
        <v>336</v>
      </c>
      <c r="GA338" s="3" t="str">
        <f t="shared" si="914"/>
        <v>EJBAIDLK</v>
      </c>
      <c r="GB338" s="3" t="s">
        <v>59</v>
      </c>
      <c r="GC338" s="3" t="s">
        <v>69</v>
      </c>
      <c r="GD338" s="3" t="s">
        <v>57</v>
      </c>
      <c r="GE338" s="3" t="s">
        <v>56</v>
      </c>
      <c r="GF338" s="3" t="s">
        <v>61</v>
      </c>
      <c r="GG338" s="3" t="s">
        <v>58</v>
      </c>
      <c r="GH338" s="3" t="s">
        <v>63</v>
      </c>
      <c r="GI338" s="3" t="s">
        <v>62</v>
      </c>
      <c r="GJ338" s="9" t="str">
        <f t="shared" si="917"/>
        <v>Elfenbenskusten</v>
      </c>
      <c r="GK338" s="9" t="str">
        <f t="shared" si="916"/>
        <v>Österrike</v>
      </c>
      <c r="GL338" s="9" t="str">
        <f t="shared" si="916"/>
        <v>Qatar</v>
      </c>
      <c r="GM338" s="9" t="str">
        <f t="shared" si="916"/>
        <v>Sydkorea</v>
      </c>
      <c r="GN338" s="9" t="str">
        <f t="shared" si="916"/>
        <v>Irak</v>
      </c>
      <c r="GO338" s="9" t="str">
        <f t="shared" si="916"/>
        <v>Australien</v>
      </c>
      <c r="GP338" s="9" t="str">
        <f t="shared" si="916"/>
        <v>Ghana</v>
      </c>
      <c r="GQ338" s="9" t="str">
        <f t="shared" si="916"/>
        <v>Uzbekistan</v>
      </c>
      <c r="GR338" s="9" t="str">
        <f t="shared" si="915"/>
        <v/>
      </c>
    </row>
    <row r="339" spans="182:200" ht="14.25" customHeight="1" x14ac:dyDescent="0.25">
      <c r="FZ339" s="79">
        <v>337</v>
      </c>
      <c r="GA339" s="3" t="str">
        <f t="shared" si="914"/>
        <v>EJBDAHLK</v>
      </c>
      <c r="GB339" s="3" t="s">
        <v>59</v>
      </c>
      <c r="GC339" s="3" t="s">
        <v>69</v>
      </c>
      <c r="GD339" s="3" t="s">
        <v>57</v>
      </c>
      <c r="GE339" s="3" t="s">
        <v>58</v>
      </c>
      <c r="GF339" s="3" t="s">
        <v>56</v>
      </c>
      <c r="GG339" s="3" t="s">
        <v>70</v>
      </c>
      <c r="GH339" s="3" t="s">
        <v>63</v>
      </c>
      <c r="GI339" s="3" t="s">
        <v>62</v>
      </c>
      <c r="GJ339" s="9" t="str">
        <f t="shared" si="917"/>
        <v>Elfenbenskusten</v>
      </c>
      <c r="GK339" s="9" t="str">
        <f t="shared" si="916"/>
        <v>Österrike</v>
      </c>
      <c r="GL339" s="9" t="str">
        <f t="shared" si="916"/>
        <v>Qatar</v>
      </c>
      <c r="GM339" s="9" t="str">
        <f t="shared" si="916"/>
        <v>Australien</v>
      </c>
      <c r="GN339" s="9" t="str">
        <f t="shared" si="916"/>
        <v>Sydkorea</v>
      </c>
      <c r="GO339" s="9" t="str">
        <f t="shared" si="916"/>
        <v>Saudiarabien</v>
      </c>
      <c r="GP339" s="9" t="str">
        <f t="shared" si="916"/>
        <v>Ghana</v>
      </c>
      <c r="GQ339" s="9" t="str">
        <f t="shared" si="916"/>
        <v>Uzbekistan</v>
      </c>
      <c r="GR339" s="9" t="str">
        <f t="shared" si="915"/>
        <v/>
      </c>
    </row>
    <row r="340" spans="182:200" ht="14.25" customHeight="1" x14ac:dyDescent="0.25">
      <c r="FZ340" s="79">
        <v>338</v>
      </c>
      <c r="GA340" s="3" t="str">
        <f t="shared" si="914"/>
        <v>EIBDAHLK</v>
      </c>
      <c r="GB340" s="3" t="s">
        <v>59</v>
      </c>
      <c r="GC340" s="3" t="s">
        <v>61</v>
      </c>
      <c r="GD340" s="3" t="s">
        <v>57</v>
      </c>
      <c r="GE340" s="3" t="s">
        <v>58</v>
      </c>
      <c r="GF340" s="3" t="s">
        <v>56</v>
      </c>
      <c r="GG340" s="3" t="s">
        <v>70</v>
      </c>
      <c r="GH340" s="3" t="s">
        <v>63</v>
      </c>
      <c r="GI340" s="3" t="s">
        <v>62</v>
      </c>
      <c r="GJ340" s="9" t="str">
        <f t="shared" si="917"/>
        <v>Elfenbenskusten</v>
      </c>
      <c r="GK340" s="9" t="str">
        <f t="shared" si="916"/>
        <v>Irak</v>
      </c>
      <c r="GL340" s="9" t="str">
        <f t="shared" si="916"/>
        <v>Qatar</v>
      </c>
      <c r="GM340" s="9" t="str">
        <f t="shared" si="916"/>
        <v>Australien</v>
      </c>
      <c r="GN340" s="9" t="str">
        <f t="shared" si="916"/>
        <v>Sydkorea</v>
      </c>
      <c r="GO340" s="9" t="str">
        <f t="shared" si="916"/>
        <v>Saudiarabien</v>
      </c>
      <c r="GP340" s="9" t="str">
        <f t="shared" si="916"/>
        <v>Ghana</v>
      </c>
      <c r="GQ340" s="9" t="str">
        <f t="shared" si="916"/>
        <v>Uzbekistan</v>
      </c>
      <c r="GR340" s="9" t="str">
        <f t="shared" si="915"/>
        <v/>
      </c>
    </row>
    <row r="341" spans="182:200" ht="14.25" customHeight="1" x14ac:dyDescent="0.25">
      <c r="FZ341" s="79">
        <v>339</v>
      </c>
      <c r="GA341" s="3" t="str">
        <f t="shared" si="914"/>
        <v>EJBDAHLI</v>
      </c>
      <c r="GB341" s="3" t="s">
        <v>59</v>
      </c>
      <c r="GC341" s="3" t="s">
        <v>69</v>
      </c>
      <c r="GD341" s="3" t="s">
        <v>57</v>
      </c>
      <c r="GE341" s="3" t="s">
        <v>58</v>
      </c>
      <c r="GF341" s="3" t="s">
        <v>56</v>
      </c>
      <c r="GG341" s="3" t="s">
        <v>70</v>
      </c>
      <c r="GH341" s="3" t="s">
        <v>63</v>
      </c>
      <c r="GI341" s="3" t="s">
        <v>61</v>
      </c>
      <c r="GJ341" s="9" t="str">
        <f t="shared" si="917"/>
        <v>Elfenbenskusten</v>
      </c>
      <c r="GK341" s="9" t="str">
        <f t="shared" si="916"/>
        <v>Österrike</v>
      </c>
      <c r="GL341" s="9" t="str">
        <f t="shared" si="916"/>
        <v>Qatar</v>
      </c>
      <c r="GM341" s="9" t="str">
        <f t="shared" si="916"/>
        <v>Australien</v>
      </c>
      <c r="GN341" s="9" t="str">
        <f t="shared" si="916"/>
        <v>Sydkorea</v>
      </c>
      <c r="GO341" s="9" t="str">
        <f t="shared" si="916"/>
        <v>Saudiarabien</v>
      </c>
      <c r="GP341" s="9" t="str">
        <f t="shared" si="916"/>
        <v>Ghana</v>
      </c>
      <c r="GQ341" s="9" t="str">
        <f t="shared" si="916"/>
        <v>Irak</v>
      </c>
      <c r="GR341" s="9" t="str">
        <f t="shared" si="915"/>
        <v/>
      </c>
    </row>
    <row r="342" spans="182:200" ht="14.25" customHeight="1" x14ac:dyDescent="0.25">
      <c r="FZ342" s="79">
        <v>340</v>
      </c>
      <c r="GA342" s="3" t="str">
        <f t="shared" si="914"/>
        <v>EJBDAHIK</v>
      </c>
      <c r="GB342" s="3" t="s">
        <v>59</v>
      </c>
      <c r="GC342" s="3" t="s">
        <v>69</v>
      </c>
      <c r="GD342" s="3" t="s">
        <v>57</v>
      </c>
      <c r="GE342" s="3" t="s">
        <v>58</v>
      </c>
      <c r="GF342" s="3" t="s">
        <v>56</v>
      </c>
      <c r="GG342" s="3" t="s">
        <v>70</v>
      </c>
      <c r="GH342" s="3" t="s">
        <v>61</v>
      </c>
      <c r="GI342" s="3" t="s">
        <v>62</v>
      </c>
      <c r="GJ342" s="9" t="str">
        <f t="shared" si="917"/>
        <v>Elfenbenskusten</v>
      </c>
      <c r="GK342" s="9" t="str">
        <f t="shared" si="916"/>
        <v>Österrike</v>
      </c>
      <c r="GL342" s="9" t="str">
        <f t="shared" si="916"/>
        <v>Qatar</v>
      </c>
      <c r="GM342" s="9" t="str">
        <f t="shared" si="916"/>
        <v>Australien</v>
      </c>
      <c r="GN342" s="9" t="str">
        <f t="shared" si="916"/>
        <v>Sydkorea</v>
      </c>
      <c r="GO342" s="9" t="str">
        <f t="shared" si="916"/>
        <v>Saudiarabien</v>
      </c>
      <c r="GP342" s="9" t="str">
        <f t="shared" si="916"/>
        <v>Irak</v>
      </c>
      <c r="GQ342" s="9" t="str">
        <f t="shared" si="916"/>
        <v>Uzbekistan</v>
      </c>
      <c r="GR342" s="9" t="str">
        <f t="shared" si="915"/>
        <v/>
      </c>
    </row>
    <row r="343" spans="182:200" ht="14.25" customHeight="1" x14ac:dyDescent="0.25">
      <c r="FZ343" s="79">
        <v>341</v>
      </c>
      <c r="GA343" s="3" t="str">
        <f t="shared" si="914"/>
        <v>EJBDAGLK</v>
      </c>
      <c r="GB343" s="3" t="s">
        <v>59</v>
      </c>
      <c r="GC343" s="3" t="s">
        <v>69</v>
      </c>
      <c r="GD343" s="3" t="s">
        <v>57</v>
      </c>
      <c r="GE343" s="3" t="s">
        <v>58</v>
      </c>
      <c r="GF343" s="3" t="s">
        <v>56</v>
      </c>
      <c r="GG343" s="3" t="s">
        <v>60</v>
      </c>
      <c r="GH343" s="3" t="s">
        <v>63</v>
      </c>
      <c r="GI343" s="3" t="s">
        <v>62</v>
      </c>
      <c r="GJ343" s="9" t="str">
        <f t="shared" si="917"/>
        <v>Elfenbenskusten</v>
      </c>
      <c r="GK343" s="9" t="str">
        <f t="shared" si="916"/>
        <v>Österrike</v>
      </c>
      <c r="GL343" s="9" t="str">
        <f t="shared" si="916"/>
        <v>Qatar</v>
      </c>
      <c r="GM343" s="9" t="str">
        <f t="shared" si="916"/>
        <v>Australien</v>
      </c>
      <c r="GN343" s="9" t="str">
        <f t="shared" si="916"/>
        <v>Sydkorea</v>
      </c>
      <c r="GO343" s="9" t="str">
        <f t="shared" si="916"/>
        <v>Iran</v>
      </c>
      <c r="GP343" s="9" t="str">
        <f t="shared" si="916"/>
        <v>Ghana</v>
      </c>
      <c r="GQ343" s="9" t="str">
        <f t="shared" si="916"/>
        <v>Uzbekistan</v>
      </c>
      <c r="GR343" s="9" t="str">
        <f t="shared" si="915"/>
        <v/>
      </c>
    </row>
    <row r="344" spans="182:200" ht="14.25" customHeight="1" x14ac:dyDescent="0.25">
      <c r="FZ344" s="79">
        <v>342</v>
      </c>
      <c r="GA344" s="3" t="str">
        <f t="shared" si="914"/>
        <v>EGBAIDLK</v>
      </c>
      <c r="GB344" s="3" t="s">
        <v>59</v>
      </c>
      <c r="GC344" s="3" t="s">
        <v>60</v>
      </c>
      <c r="GD344" s="3" t="s">
        <v>57</v>
      </c>
      <c r="GE344" s="3" t="s">
        <v>56</v>
      </c>
      <c r="GF344" s="3" t="s">
        <v>61</v>
      </c>
      <c r="GG344" s="3" t="s">
        <v>58</v>
      </c>
      <c r="GH344" s="3" t="s">
        <v>63</v>
      </c>
      <c r="GI344" s="3" t="s">
        <v>62</v>
      </c>
      <c r="GJ344" s="9" t="str">
        <f t="shared" si="917"/>
        <v>Elfenbenskusten</v>
      </c>
      <c r="GK344" s="9" t="str">
        <f t="shared" si="916"/>
        <v>Iran</v>
      </c>
      <c r="GL344" s="9" t="str">
        <f t="shared" si="916"/>
        <v>Qatar</v>
      </c>
      <c r="GM344" s="9" t="str">
        <f t="shared" si="916"/>
        <v>Sydkorea</v>
      </c>
      <c r="GN344" s="9" t="str">
        <f t="shared" si="916"/>
        <v>Irak</v>
      </c>
      <c r="GO344" s="9" t="str">
        <f t="shared" si="916"/>
        <v>Australien</v>
      </c>
      <c r="GP344" s="9" t="str">
        <f t="shared" si="916"/>
        <v>Ghana</v>
      </c>
      <c r="GQ344" s="9" t="str">
        <f t="shared" si="916"/>
        <v>Uzbekistan</v>
      </c>
      <c r="GR344" s="9" t="str">
        <f t="shared" si="915"/>
        <v/>
      </c>
    </row>
    <row r="345" spans="182:200" ht="14.25" customHeight="1" x14ac:dyDescent="0.25">
      <c r="FZ345" s="79">
        <v>343</v>
      </c>
      <c r="GA345" s="3" t="str">
        <f t="shared" si="914"/>
        <v>EJBDAGLI</v>
      </c>
      <c r="GB345" s="3" t="s">
        <v>59</v>
      </c>
      <c r="GC345" s="3" t="s">
        <v>69</v>
      </c>
      <c r="GD345" s="3" t="s">
        <v>57</v>
      </c>
      <c r="GE345" s="3" t="s">
        <v>58</v>
      </c>
      <c r="GF345" s="3" t="s">
        <v>56</v>
      </c>
      <c r="GG345" s="3" t="s">
        <v>60</v>
      </c>
      <c r="GH345" s="3" t="s">
        <v>63</v>
      </c>
      <c r="GI345" s="3" t="s">
        <v>61</v>
      </c>
      <c r="GJ345" s="9" t="str">
        <f t="shared" si="917"/>
        <v>Elfenbenskusten</v>
      </c>
      <c r="GK345" s="9" t="str">
        <f t="shared" si="916"/>
        <v>Österrike</v>
      </c>
      <c r="GL345" s="9" t="str">
        <f t="shared" si="916"/>
        <v>Qatar</v>
      </c>
      <c r="GM345" s="9" t="str">
        <f t="shared" si="916"/>
        <v>Australien</v>
      </c>
      <c r="GN345" s="9" t="str">
        <f t="shared" si="916"/>
        <v>Sydkorea</v>
      </c>
      <c r="GO345" s="9" t="str">
        <f t="shared" si="916"/>
        <v>Iran</v>
      </c>
      <c r="GP345" s="9" t="str">
        <f t="shared" si="916"/>
        <v>Ghana</v>
      </c>
      <c r="GQ345" s="9" t="str">
        <f t="shared" si="916"/>
        <v>Irak</v>
      </c>
      <c r="GR345" s="9" t="str">
        <f t="shared" si="915"/>
        <v/>
      </c>
    </row>
    <row r="346" spans="182:200" ht="14.25" customHeight="1" x14ac:dyDescent="0.25">
      <c r="FZ346" s="79">
        <v>344</v>
      </c>
      <c r="GA346" s="3" t="str">
        <f t="shared" si="914"/>
        <v>EJBDAGIK</v>
      </c>
      <c r="GB346" s="3" t="s">
        <v>59</v>
      </c>
      <c r="GC346" s="3" t="s">
        <v>69</v>
      </c>
      <c r="GD346" s="3" t="s">
        <v>57</v>
      </c>
      <c r="GE346" s="3" t="s">
        <v>58</v>
      </c>
      <c r="GF346" s="3" t="s">
        <v>56</v>
      </c>
      <c r="GG346" s="3" t="s">
        <v>60</v>
      </c>
      <c r="GH346" s="3" t="s">
        <v>61</v>
      </c>
      <c r="GI346" s="3" t="s">
        <v>62</v>
      </c>
      <c r="GJ346" s="9" t="str">
        <f t="shared" si="917"/>
        <v>Elfenbenskusten</v>
      </c>
      <c r="GK346" s="9" t="str">
        <f t="shared" si="916"/>
        <v>Österrike</v>
      </c>
      <c r="GL346" s="9" t="str">
        <f t="shared" si="916"/>
        <v>Qatar</v>
      </c>
      <c r="GM346" s="9" t="str">
        <f t="shared" si="916"/>
        <v>Australien</v>
      </c>
      <c r="GN346" s="9" t="str">
        <f t="shared" si="916"/>
        <v>Sydkorea</v>
      </c>
      <c r="GO346" s="9" t="str">
        <f t="shared" si="916"/>
        <v>Iran</v>
      </c>
      <c r="GP346" s="9" t="str">
        <f t="shared" si="916"/>
        <v>Irak</v>
      </c>
      <c r="GQ346" s="9" t="str">
        <f t="shared" si="916"/>
        <v>Uzbekistan</v>
      </c>
      <c r="GR346" s="9" t="str">
        <f t="shared" si="915"/>
        <v/>
      </c>
    </row>
    <row r="347" spans="182:200" ht="14.25" customHeight="1" x14ac:dyDescent="0.25">
      <c r="FZ347" s="79">
        <v>345</v>
      </c>
      <c r="GA347" s="3" t="str">
        <f t="shared" si="914"/>
        <v>EGBDAHLK</v>
      </c>
      <c r="GB347" s="3" t="s">
        <v>59</v>
      </c>
      <c r="GC347" s="3" t="s">
        <v>60</v>
      </c>
      <c r="GD347" s="3" t="s">
        <v>57</v>
      </c>
      <c r="GE347" s="3" t="s">
        <v>58</v>
      </c>
      <c r="GF347" s="3" t="s">
        <v>56</v>
      </c>
      <c r="GG347" s="3" t="s">
        <v>70</v>
      </c>
      <c r="GH347" s="3" t="s">
        <v>63</v>
      </c>
      <c r="GI347" s="3" t="s">
        <v>62</v>
      </c>
      <c r="GJ347" s="9" t="str">
        <f t="shared" si="917"/>
        <v>Elfenbenskusten</v>
      </c>
      <c r="GK347" s="9" t="str">
        <f t="shared" si="916"/>
        <v>Iran</v>
      </c>
      <c r="GL347" s="9" t="str">
        <f t="shared" si="916"/>
        <v>Qatar</v>
      </c>
      <c r="GM347" s="9" t="str">
        <f t="shared" si="916"/>
        <v>Australien</v>
      </c>
      <c r="GN347" s="9" t="str">
        <f t="shared" si="916"/>
        <v>Sydkorea</v>
      </c>
      <c r="GO347" s="9" t="str">
        <f t="shared" si="916"/>
        <v>Saudiarabien</v>
      </c>
      <c r="GP347" s="9" t="str">
        <f t="shared" si="916"/>
        <v>Ghana</v>
      </c>
      <c r="GQ347" s="9" t="str">
        <f t="shared" si="916"/>
        <v>Uzbekistan</v>
      </c>
      <c r="GR347" s="9" t="str">
        <f t="shared" si="915"/>
        <v/>
      </c>
    </row>
    <row r="348" spans="182:200" ht="14.25" customHeight="1" x14ac:dyDescent="0.25">
      <c r="FZ348" s="79">
        <v>346</v>
      </c>
      <c r="GA348" s="3" t="str">
        <f t="shared" si="914"/>
        <v>HJBDAGLE</v>
      </c>
      <c r="GB348" s="3" t="s">
        <v>70</v>
      </c>
      <c r="GC348" s="3" t="s">
        <v>69</v>
      </c>
      <c r="GD348" s="3" t="s">
        <v>57</v>
      </c>
      <c r="GE348" s="3" t="s">
        <v>58</v>
      </c>
      <c r="GF348" s="3" t="s">
        <v>56</v>
      </c>
      <c r="GG348" s="3" t="s">
        <v>60</v>
      </c>
      <c r="GH348" s="3" t="s">
        <v>63</v>
      </c>
      <c r="GI348" s="3" t="s">
        <v>59</v>
      </c>
      <c r="GJ348" s="9" t="str">
        <f t="shared" si="917"/>
        <v>Saudiarabien</v>
      </c>
      <c r="GK348" s="9" t="str">
        <f t="shared" si="916"/>
        <v>Österrike</v>
      </c>
      <c r="GL348" s="9" t="str">
        <f t="shared" si="916"/>
        <v>Qatar</v>
      </c>
      <c r="GM348" s="9" t="str">
        <f t="shared" si="916"/>
        <v>Australien</v>
      </c>
      <c r="GN348" s="9" t="str">
        <f t="shared" si="916"/>
        <v>Sydkorea</v>
      </c>
      <c r="GO348" s="9" t="str">
        <f t="shared" si="916"/>
        <v>Iran</v>
      </c>
      <c r="GP348" s="9" t="str">
        <f t="shared" si="916"/>
        <v>Ghana</v>
      </c>
      <c r="GQ348" s="9" t="str">
        <f t="shared" si="916"/>
        <v>Elfenbenskusten</v>
      </c>
      <c r="GR348" s="9" t="str">
        <f t="shared" si="915"/>
        <v/>
      </c>
    </row>
    <row r="349" spans="182:200" ht="14.25" customHeight="1" x14ac:dyDescent="0.25">
      <c r="FZ349" s="79">
        <v>347</v>
      </c>
      <c r="GA349" s="3" t="str">
        <f t="shared" si="914"/>
        <v>HJBDAGEK</v>
      </c>
      <c r="GB349" s="3" t="s">
        <v>70</v>
      </c>
      <c r="GC349" s="3" t="s">
        <v>69</v>
      </c>
      <c r="GD349" s="3" t="s">
        <v>57</v>
      </c>
      <c r="GE349" s="3" t="s">
        <v>58</v>
      </c>
      <c r="GF349" s="3" t="s">
        <v>56</v>
      </c>
      <c r="GG349" s="3" t="s">
        <v>60</v>
      </c>
      <c r="GH349" s="3" t="s">
        <v>59</v>
      </c>
      <c r="GI349" s="3" t="s">
        <v>62</v>
      </c>
      <c r="GJ349" s="9" t="str">
        <f t="shared" si="917"/>
        <v>Saudiarabien</v>
      </c>
      <c r="GK349" s="9" t="str">
        <f t="shared" si="916"/>
        <v>Österrike</v>
      </c>
      <c r="GL349" s="9" t="str">
        <f t="shared" si="916"/>
        <v>Qatar</v>
      </c>
      <c r="GM349" s="9" t="str">
        <f t="shared" si="916"/>
        <v>Australien</v>
      </c>
      <c r="GN349" s="9" t="str">
        <f t="shared" si="916"/>
        <v>Sydkorea</v>
      </c>
      <c r="GO349" s="9" t="str">
        <f t="shared" si="916"/>
        <v>Iran</v>
      </c>
      <c r="GP349" s="9" t="str">
        <f t="shared" si="916"/>
        <v>Elfenbenskusten</v>
      </c>
      <c r="GQ349" s="9" t="str">
        <f t="shared" si="916"/>
        <v>Uzbekistan</v>
      </c>
      <c r="GR349" s="9" t="str">
        <f t="shared" si="915"/>
        <v/>
      </c>
    </row>
    <row r="350" spans="182:200" ht="14.25" customHeight="1" x14ac:dyDescent="0.25">
      <c r="FZ350" s="79">
        <v>348</v>
      </c>
      <c r="GA350" s="3" t="str">
        <f t="shared" si="914"/>
        <v>EGBDAHLI</v>
      </c>
      <c r="GB350" s="3" t="s">
        <v>59</v>
      </c>
      <c r="GC350" s="3" t="s">
        <v>60</v>
      </c>
      <c r="GD350" s="3" t="s">
        <v>57</v>
      </c>
      <c r="GE350" s="3" t="s">
        <v>58</v>
      </c>
      <c r="GF350" s="3" t="s">
        <v>56</v>
      </c>
      <c r="GG350" s="3" t="s">
        <v>70</v>
      </c>
      <c r="GH350" s="3" t="s">
        <v>63</v>
      </c>
      <c r="GI350" s="3" t="s">
        <v>61</v>
      </c>
      <c r="GJ350" s="9" t="str">
        <f t="shared" si="917"/>
        <v>Elfenbenskusten</v>
      </c>
      <c r="GK350" s="9" t="str">
        <f t="shared" si="916"/>
        <v>Iran</v>
      </c>
      <c r="GL350" s="9" t="str">
        <f t="shared" si="916"/>
        <v>Qatar</v>
      </c>
      <c r="GM350" s="9" t="str">
        <f t="shared" si="916"/>
        <v>Australien</v>
      </c>
      <c r="GN350" s="9" t="str">
        <f t="shared" si="916"/>
        <v>Sydkorea</v>
      </c>
      <c r="GO350" s="9" t="str">
        <f t="shared" si="916"/>
        <v>Saudiarabien</v>
      </c>
      <c r="GP350" s="9" t="str">
        <f t="shared" si="916"/>
        <v>Ghana</v>
      </c>
      <c r="GQ350" s="9" t="str">
        <f t="shared" si="916"/>
        <v>Irak</v>
      </c>
      <c r="GR350" s="9" t="str">
        <f t="shared" si="915"/>
        <v/>
      </c>
    </row>
    <row r="351" spans="182:200" ht="14.25" customHeight="1" x14ac:dyDescent="0.25">
      <c r="FZ351" s="79">
        <v>349</v>
      </c>
      <c r="GA351" s="3" t="str">
        <f t="shared" si="914"/>
        <v>EGBDAHIK</v>
      </c>
      <c r="GB351" s="3" t="s">
        <v>59</v>
      </c>
      <c r="GC351" s="3" t="s">
        <v>60</v>
      </c>
      <c r="GD351" s="3" t="s">
        <v>57</v>
      </c>
      <c r="GE351" s="3" t="s">
        <v>58</v>
      </c>
      <c r="GF351" s="3" t="s">
        <v>56</v>
      </c>
      <c r="GG351" s="3" t="s">
        <v>70</v>
      </c>
      <c r="GH351" s="3" t="s">
        <v>61</v>
      </c>
      <c r="GI351" s="3" t="s">
        <v>62</v>
      </c>
      <c r="GJ351" s="9" t="str">
        <f t="shared" si="917"/>
        <v>Elfenbenskusten</v>
      </c>
      <c r="GK351" s="9" t="str">
        <f t="shared" si="916"/>
        <v>Iran</v>
      </c>
      <c r="GL351" s="9" t="str">
        <f t="shared" si="916"/>
        <v>Qatar</v>
      </c>
      <c r="GM351" s="9" t="str">
        <f t="shared" si="916"/>
        <v>Australien</v>
      </c>
      <c r="GN351" s="9" t="str">
        <f t="shared" si="916"/>
        <v>Sydkorea</v>
      </c>
      <c r="GO351" s="9" t="str">
        <f t="shared" si="916"/>
        <v>Saudiarabien</v>
      </c>
      <c r="GP351" s="9" t="str">
        <f t="shared" si="916"/>
        <v>Irak</v>
      </c>
      <c r="GQ351" s="9" t="str">
        <f t="shared" si="916"/>
        <v>Uzbekistan</v>
      </c>
      <c r="GR351" s="9" t="str">
        <f t="shared" si="915"/>
        <v/>
      </c>
    </row>
    <row r="352" spans="182:200" ht="14.25" customHeight="1" x14ac:dyDescent="0.25">
      <c r="FZ352" s="79">
        <v>350</v>
      </c>
      <c r="GA352" s="3" t="str">
        <f t="shared" si="914"/>
        <v>HJBDAGEI</v>
      </c>
      <c r="GB352" s="3" t="s">
        <v>70</v>
      </c>
      <c r="GC352" s="3" t="s">
        <v>69</v>
      </c>
      <c r="GD352" s="3" t="s">
        <v>57</v>
      </c>
      <c r="GE352" s="3" t="s">
        <v>58</v>
      </c>
      <c r="GF352" s="3" t="s">
        <v>56</v>
      </c>
      <c r="GG352" s="3" t="s">
        <v>60</v>
      </c>
      <c r="GH352" s="3" t="s">
        <v>59</v>
      </c>
      <c r="GI352" s="3" t="s">
        <v>61</v>
      </c>
      <c r="GJ352" s="9" t="str">
        <f t="shared" si="917"/>
        <v>Saudiarabien</v>
      </c>
      <c r="GK352" s="9" t="str">
        <f t="shared" si="916"/>
        <v>Österrike</v>
      </c>
      <c r="GL352" s="9" t="str">
        <f t="shared" si="916"/>
        <v>Qatar</v>
      </c>
      <c r="GM352" s="9" t="str">
        <f t="shared" si="916"/>
        <v>Australien</v>
      </c>
      <c r="GN352" s="9" t="str">
        <f t="shared" si="916"/>
        <v>Sydkorea</v>
      </c>
      <c r="GO352" s="9" t="str">
        <f t="shared" si="916"/>
        <v>Iran</v>
      </c>
      <c r="GP352" s="9" t="str">
        <f t="shared" si="916"/>
        <v>Elfenbenskusten</v>
      </c>
      <c r="GQ352" s="9" t="str">
        <f t="shared" si="916"/>
        <v>Irak</v>
      </c>
      <c r="GR352" s="9" t="str">
        <f t="shared" si="915"/>
        <v/>
      </c>
    </row>
    <row r="353" spans="182:200" ht="14.25" customHeight="1" x14ac:dyDescent="0.25">
      <c r="FZ353" s="79">
        <v>351</v>
      </c>
      <c r="GA353" s="3" t="str">
        <f t="shared" si="914"/>
        <v>EJBDAFLK</v>
      </c>
      <c r="GB353" s="3" t="s">
        <v>59</v>
      </c>
      <c r="GC353" s="3" t="s">
        <v>69</v>
      </c>
      <c r="GD353" s="3" t="s">
        <v>57</v>
      </c>
      <c r="GE353" s="3" t="s">
        <v>58</v>
      </c>
      <c r="GF353" s="3" t="s">
        <v>56</v>
      </c>
      <c r="GG353" s="3" t="s">
        <v>21</v>
      </c>
      <c r="GH353" s="3" t="s">
        <v>63</v>
      </c>
      <c r="GI353" s="3" t="s">
        <v>62</v>
      </c>
      <c r="GJ353" s="9" t="str">
        <f t="shared" si="917"/>
        <v>Elfenbenskusten</v>
      </c>
      <c r="GK353" s="9" t="str">
        <f t="shared" si="916"/>
        <v>Österrike</v>
      </c>
      <c r="GL353" s="9" t="str">
        <f t="shared" si="916"/>
        <v>Qatar</v>
      </c>
      <c r="GM353" s="9" t="str">
        <f t="shared" si="916"/>
        <v>Australien</v>
      </c>
      <c r="GN353" s="9" t="str">
        <f t="shared" si="916"/>
        <v>Sydkorea</v>
      </c>
      <c r="GO353" s="9" t="str">
        <f t="shared" si="916"/>
        <v>Sverige</v>
      </c>
      <c r="GP353" s="9" t="str">
        <f t="shared" si="916"/>
        <v>Ghana</v>
      </c>
      <c r="GQ353" s="9" t="str">
        <f t="shared" si="916"/>
        <v>Uzbekistan</v>
      </c>
      <c r="GR353" s="9" t="str">
        <f t="shared" si="915"/>
        <v/>
      </c>
    </row>
    <row r="354" spans="182:200" ht="14.25" customHeight="1" x14ac:dyDescent="0.25">
      <c r="FZ354" s="79">
        <v>352</v>
      </c>
      <c r="GA354" s="3" t="str">
        <f t="shared" si="914"/>
        <v>EIBDAFLK</v>
      </c>
      <c r="GB354" s="3" t="s">
        <v>59</v>
      </c>
      <c r="GC354" s="3" t="s">
        <v>61</v>
      </c>
      <c r="GD354" s="3" t="s">
        <v>57</v>
      </c>
      <c r="GE354" s="3" t="s">
        <v>58</v>
      </c>
      <c r="GF354" s="3" t="s">
        <v>56</v>
      </c>
      <c r="GG354" s="3" t="s">
        <v>21</v>
      </c>
      <c r="GH354" s="3" t="s">
        <v>63</v>
      </c>
      <c r="GI354" s="3" t="s">
        <v>62</v>
      </c>
      <c r="GJ354" s="9" t="str">
        <f t="shared" si="917"/>
        <v>Elfenbenskusten</v>
      </c>
      <c r="GK354" s="9" t="str">
        <f t="shared" si="916"/>
        <v>Irak</v>
      </c>
      <c r="GL354" s="9" t="str">
        <f t="shared" si="916"/>
        <v>Qatar</v>
      </c>
      <c r="GM354" s="9" t="str">
        <f t="shared" si="916"/>
        <v>Australien</v>
      </c>
      <c r="GN354" s="9" t="str">
        <f t="shared" si="916"/>
        <v>Sydkorea</v>
      </c>
      <c r="GO354" s="9" t="str">
        <f t="shared" si="916"/>
        <v>Sverige</v>
      </c>
      <c r="GP354" s="9" t="str">
        <f t="shared" si="916"/>
        <v>Ghana</v>
      </c>
      <c r="GQ354" s="9" t="str">
        <f t="shared" si="916"/>
        <v>Uzbekistan</v>
      </c>
      <c r="GR354" s="9" t="str">
        <f t="shared" si="915"/>
        <v/>
      </c>
    </row>
    <row r="355" spans="182:200" ht="14.25" customHeight="1" x14ac:dyDescent="0.25">
      <c r="FZ355" s="79">
        <v>353</v>
      </c>
      <c r="GA355" s="3" t="str">
        <f t="shared" si="914"/>
        <v>EJBDAFLI</v>
      </c>
      <c r="GB355" s="3" t="s">
        <v>59</v>
      </c>
      <c r="GC355" s="3" t="s">
        <v>69</v>
      </c>
      <c r="GD355" s="3" t="s">
        <v>57</v>
      </c>
      <c r="GE355" s="3" t="s">
        <v>58</v>
      </c>
      <c r="GF355" s="3" t="s">
        <v>56</v>
      </c>
      <c r="GG355" s="3" t="s">
        <v>21</v>
      </c>
      <c r="GH355" s="3" t="s">
        <v>63</v>
      </c>
      <c r="GI355" s="3" t="s">
        <v>61</v>
      </c>
      <c r="GJ355" s="9" t="str">
        <f t="shared" si="917"/>
        <v>Elfenbenskusten</v>
      </c>
      <c r="GK355" s="9" t="str">
        <f t="shared" si="916"/>
        <v>Österrike</v>
      </c>
      <c r="GL355" s="9" t="str">
        <f t="shared" si="916"/>
        <v>Qatar</v>
      </c>
      <c r="GM355" s="9" t="str">
        <f t="shared" si="916"/>
        <v>Australien</v>
      </c>
      <c r="GN355" s="9" t="str">
        <f t="shared" si="916"/>
        <v>Sydkorea</v>
      </c>
      <c r="GO355" s="9" t="str">
        <f t="shared" si="916"/>
        <v>Sverige</v>
      </c>
      <c r="GP355" s="9" t="str">
        <f t="shared" si="916"/>
        <v>Ghana</v>
      </c>
      <c r="GQ355" s="9" t="str">
        <f t="shared" si="916"/>
        <v>Irak</v>
      </c>
      <c r="GR355" s="9" t="str">
        <f t="shared" si="915"/>
        <v/>
      </c>
    </row>
    <row r="356" spans="182:200" ht="14.25" customHeight="1" x14ac:dyDescent="0.25">
      <c r="FZ356" s="79">
        <v>354</v>
      </c>
      <c r="GA356" s="3" t="str">
        <f t="shared" si="914"/>
        <v>EJBDAFIK</v>
      </c>
      <c r="GB356" s="3" t="s">
        <v>59</v>
      </c>
      <c r="GC356" s="3" t="s">
        <v>69</v>
      </c>
      <c r="GD356" s="3" t="s">
        <v>57</v>
      </c>
      <c r="GE356" s="3" t="s">
        <v>58</v>
      </c>
      <c r="GF356" s="3" t="s">
        <v>56</v>
      </c>
      <c r="GG356" s="3" t="s">
        <v>21</v>
      </c>
      <c r="GH356" s="3" t="s">
        <v>61</v>
      </c>
      <c r="GI356" s="3" t="s">
        <v>62</v>
      </c>
      <c r="GJ356" s="9" t="str">
        <f t="shared" si="917"/>
        <v>Elfenbenskusten</v>
      </c>
      <c r="GK356" s="9" t="str">
        <f t="shared" si="916"/>
        <v>Österrike</v>
      </c>
      <c r="GL356" s="9" t="str">
        <f t="shared" si="916"/>
        <v>Qatar</v>
      </c>
      <c r="GM356" s="9" t="str">
        <f t="shared" si="916"/>
        <v>Australien</v>
      </c>
      <c r="GN356" s="9" t="str">
        <f t="shared" si="916"/>
        <v>Sydkorea</v>
      </c>
      <c r="GO356" s="9" t="str">
        <f t="shared" si="916"/>
        <v>Sverige</v>
      </c>
      <c r="GP356" s="9" t="str">
        <f t="shared" si="916"/>
        <v>Irak</v>
      </c>
      <c r="GQ356" s="9" t="str">
        <f t="shared" si="916"/>
        <v>Uzbekistan</v>
      </c>
      <c r="GR356" s="9" t="str">
        <f t="shared" si="915"/>
        <v/>
      </c>
    </row>
    <row r="357" spans="182:200" ht="14.25" customHeight="1" x14ac:dyDescent="0.25">
      <c r="FZ357" s="79">
        <v>355</v>
      </c>
      <c r="GA357" s="3" t="str">
        <f t="shared" si="914"/>
        <v>HEBDAFLK</v>
      </c>
      <c r="GB357" s="3" t="s">
        <v>70</v>
      </c>
      <c r="GC357" s="3" t="s">
        <v>59</v>
      </c>
      <c r="GD357" s="3" t="s">
        <v>57</v>
      </c>
      <c r="GE357" s="3" t="s">
        <v>58</v>
      </c>
      <c r="GF357" s="3" t="s">
        <v>56</v>
      </c>
      <c r="GG357" s="3" t="s">
        <v>21</v>
      </c>
      <c r="GH357" s="3" t="s">
        <v>63</v>
      </c>
      <c r="GI357" s="3" t="s">
        <v>62</v>
      </c>
      <c r="GJ357" s="9" t="str">
        <f t="shared" si="917"/>
        <v>Saudiarabien</v>
      </c>
      <c r="GK357" s="9" t="str">
        <f t="shared" si="916"/>
        <v>Elfenbenskusten</v>
      </c>
      <c r="GL357" s="9" t="str">
        <f t="shared" si="916"/>
        <v>Qatar</v>
      </c>
      <c r="GM357" s="9" t="str">
        <f t="shared" si="916"/>
        <v>Australien</v>
      </c>
      <c r="GN357" s="9" t="str">
        <f t="shared" si="916"/>
        <v>Sydkorea</v>
      </c>
      <c r="GO357" s="9" t="str">
        <f t="shared" si="916"/>
        <v>Sverige</v>
      </c>
      <c r="GP357" s="9" t="str">
        <f t="shared" si="916"/>
        <v>Ghana</v>
      </c>
      <c r="GQ357" s="9" t="str">
        <f t="shared" si="916"/>
        <v>Uzbekistan</v>
      </c>
      <c r="GR357" s="9" t="str">
        <f t="shared" si="915"/>
        <v/>
      </c>
    </row>
    <row r="358" spans="182:200" ht="14.25" customHeight="1" x14ac:dyDescent="0.25">
      <c r="FZ358" s="79">
        <v>356</v>
      </c>
      <c r="GA358" s="3" t="str">
        <f t="shared" si="914"/>
        <v>HJBDAFLE</v>
      </c>
      <c r="GB358" s="3" t="s">
        <v>70</v>
      </c>
      <c r="GC358" s="3" t="s">
        <v>69</v>
      </c>
      <c r="GD358" s="3" t="s">
        <v>57</v>
      </c>
      <c r="GE358" s="3" t="s">
        <v>58</v>
      </c>
      <c r="GF358" s="3" t="s">
        <v>56</v>
      </c>
      <c r="GG358" s="3" t="s">
        <v>21</v>
      </c>
      <c r="GH358" s="3" t="s">
        <v>63</v>
      </c>
      <c r="GI358" s="3" t="s">
        <v>59</v>
      </c>
      <c r="GJ358" s="9" t="str">
        <f t="shared" si="917"/>
        <v>Saudiarabien</v>
      </c>
      <c r="GK358" s="9" t="str">
        <f t="shared" si="916"/>
        <v>Österrike</v>
      </c>
      <c r="GL358" s="9" t="str">
        <f t="shared" si="916"/>
        <v>Qatar</v>
      </c>
      <c r="GM358" s="9" t="str">
        <f t="shared" si="916"/>
        <v>Australien</v>
      </c>
      <c r="GN358" s="9" t="str">
        <f t="shared" si="916"/>
        <v>Sydkorea</v>
      </c>
      <c r="GO358" s="9" t="str">
        <f t="shared" si="916"/>
        <v>Sverige</v>
      </c>
      <c r="GP358" s="9" t="str">
        <f t="shared" si="916"/>
        <v>Ghana</v>
      </c>
      <c r="GQ358" s="9" t="str">
        <f t="shared" si="916"/>
        <v>Elfenbenskusten</v>
      </c>
      <c r="GR358" s="9" t="str">
        <f t="shared" si="915"/>
        <v/>
      </c>
    </row>
    <row r="359" spans="182:200" ht="14.25" customHeight="1" x14ac:dyDescent="0.25">
      <c r="FZ359" s="79">
        <v>357</v>
      </c>
      <c r="GA359" s="3" t="str">
        <f t="shared" si="914"/>
        <v>HJBDAFEK</v>
      </c>
      <c r="GB359" s="3" t="s">
        <v>70</v>
      </c>
      <c r="GC359" s="3" t="s">
        <v>69</v>
      </c>
      <c r="GD359" s="3" t="s">
        <v>57</v>
      </c>
      <c r="GE359" s="3" t="s">
        <v>58</v>
      </c>
      <c r="GF359" s="3" t="s">
        <v>56</v>
      </c>
      <c r="GG359" s="3" t="s">
        <v>21</v>
      </c>
      <c r="GH359" s="3" t="s">
        <v>59</v>
      </c>
      <c r="GI359" s="3" t="s">
        <v>62</v>
      </c>
      <c r="GJ359" s="9" t="str">
        <f t="shared" si="917"/>
        <v>Saudiarabien</v>
      </c>
      <c r="GK359" s="9" t="str">
        <f t="shared" si="916"/>
        <v>Österrike</v>
      </c>
      <c r="GL359" s="9" t="str">
        <f t="shared" si="916"/>
        <v>Qatar</v>
      </c>
      <c r="GM359" s="9" t="str">
        <f t="shared" si="916"/>
        <v>Australien</v>
      </c>
      <c r="GN359" s="9" t="str">
        <f t="shared" si="916"/>
        <v>Sydkorea</v>
      </c>
      <c r="GO359" s="9" t="str">
        <f t="shared" si="916"/>
        <v>Sverige</v>
      </c>
      <c r="GP359" s="9" t="str">
        <f t="shared" si="916"/>
        <v>Elfenbenskusten</v>
      </c>
      <c r="GQ359" s="9" t="str">
        <f t="shared" si="916"/>
        <v>Uzbekistan</v>
      </c>
      <c r="GR359" s="9" t="str">
        <f t="shared" si="915"/>
        <v/>
      </c>
    </row>
    <row r="360" spans="182:200" ht="14.25" customHeight="1" x14ac:dyDescent="0.25">
      <c r="FZ360" s="79">
        <v>358</v>
      </c>
      <c r="GA360" s="3" t="str">
        <f t="shared" si="914"/>
        <v>HEBDAFLI</v>
      </c>
      <c r="GB360" s="3" t="s">
        <v>70</v>
      </c>
      <c r="GC360" s="3" t="s">
        <v>59</v>
      </c>
      <c r="GD360" s="3" t="s">
        <v>57</v>
      </c>
      <c r="GE360" s="3" t="s">
        <v>58</v>
      </c>
      <c r="GF360" s="3" t="s">
        <v>56</v>
      </c>
      <c r="GG360" s="3" t="s">
        <v>21</v>
      </c>
      <c r="GH360" s="3" t="s">
        <v>63</v>
      </c>
      <c r="GI360" s="3" t="s">
        <v>61</v>
      </c>
      <c r="GJ360" s="9" t="str">
        <f t="shared" si="917"/>
        <v>Saudiarabien</v>
      </c>
      <c r="GK360" s="9" t="str">
        <f t="shared" si="916"/>
        <v>Elfenbenskusten</v>
      </c>
      <c r="GL360" s="9" t="str">
        <f t="shared" si="916"/>
        <v>Qatar</v>
      </c>
      <c r="GM360" s="9" t="str">
        <f t="shared" si="916"/>
        <v>Australien</v>
      </c>
      <c r="GN360" s="9" t="str">
        <f t="shared" si="916"/>
        <v>Sydkorea</v>
      </c>
      <c r="GO360" s="9" t="str">
        <f t="shared" si="916"/>
        <v>Sverige</v>
      </c>
      <c r="GP360" s="9" t="str">
        <f t="shared" si="916"/>
        <v>Ghana</v>
      </c>
      <c r="GQ360" s="9" t="str">
        <f t="shared" si="916"/>
        <v>Irak</v>
      </c>
      <c r="GR360" s="9" t="str">
        <f t="shared" si="915"/>
        <v/>
      </c>
    </row>
    <row r="361" spans="182:200" ht="14.25" customHeight="1" x14ac:dyDescent="0.25">
      <c r="FZ361" s="79">
        <v>359</v>
      </c>
      <c r="GA361" s="3" t="str">
        <f t="shared" si="914"/>
        <v>HEBDAFIK</v>
      </c>
      <c r="GB361" s="3" t="s">
        <v>70</v>
      </c>
      <c r="GC361" s="3" t="s">
        <v>59</v>
      </c>
      <c r="GD361" s="3" t="s">
        <v>57</v>
      </c>
      <c r="GE361" s="3" t="s">
        <v>58</v>
      </c>
      <c r="GF361" s="3" t="s">
        <v>56</v>
      </c>
      <c r="GG361" s="3" t="s">
        <v>21</v>
      </c>
      <c r="GH361" s="3" t="s">
        <v>61</v>
      </c>
      <c r="GI361" s="3" t="s">
        <v>62</v>
      </c>
      <c r="GJ361" s="9" t="str">
        <f t="shared" si="917"/>
        <v>Saudiarabien</v>
      </c>
      <c r="GK361" s="9" t="str">
        <f t="shared" si="916"/>
        <v>Elfenbenskusten</v>
      </c>
      <c r="GL361" s="9" t="str">
        <f t="shared" si="916"/>
        <v>Qatar</v>
      </c>
      <c r="GM361" s="9" t="str">
        <f t="shared" si="916"/>
        <v>Australien</v>
      </c>
      <c r="GN361" s="9" t="str">
        <f t="shared" si="916"/>
        <v>Sydkorea</v>
      </c>
      <c r="GO361" s="9" t="str">
        <f t="shared" si="916"/>
        <v>Sverige</v>
      </c>
      <c r="GP361" s="9" t="str">
        <f t="shared" si="916"/>
        <v>Irak</v>
      </c>
      <c r="GQ361" s="9" t="str">
        <f t="shared" si="916"/>
        <v>Uzbekistan</v>
      </c>
      <c r="GR361" s="9" t="str">
        <f t="shared" si="915"/>
        <v/>
      </c>
    </row>
    <row r="362" spans="182:200" ht="14.25" customHeight="1" x14ac:dyDescent="0.25">
      <c r="FZ362" s="79">
        <v>360</v>
      </c>
      <c r="GA362" s="3" t="str">
        <f t="shared" si="914"/>
        <v>HJBDAFEI</v>
      </c>
      <c r="GB362" s="3" t="s">
        <v>70</v>
      </c>
      <c r="GC362" s="3" t="s">
        <v>69</v>
      </c>
      <c r="GD362" s="3" t="s">
        <v>57</v>
      </c>
      <c r="GE362" s="3" t="s">
        <v>58</v>
      </c>
      <c r="GF362" s="3" t="s">
        <v>56</v>
      </c>
      <c r="GG362" s="3" t="s">
        <v>21</v>
      </c>
      <c r="GH362" s="3" t="s">
        <v>59</v>
      </c>
      <c r="GI362" s="3" t="s">
        <v>61</v>
      </c>
      <c r="GJ362" s="9" t="str">
        <f t="shared" si="917"/>
        <v>Saudiarabien</v>
      </c>
      <c r="GK362" s="9" t="str">
        <f t="shared" si="916"/>
        <v>Österrike</v>
      </c>
      <c r="GL362" s="9" t="str">
        <f t="shared" si="916"/>
        <v>Qatar</v>
      </c>
      <c r="GM362" s="9" t="str">
        <f t="shared" si="916"/>
        <v>Australien</v>
      </c>
      <c r="GN362" s="9" t="str">
        <f t="shared" si="916"/>
        <v>Sydkorea</v>
      </c>
      <c r="GO362" s="9" t="str">
        <f t="shared" si="916"/>
        <v>Sverige</v>
      </c>
      <c r="GP362" s="9" t="str">
        <f t="shared" si="916"/>
        <v>Elfenbenskusten</v>
      </c>
      <c r="GQ362" s="9" t="str">
        <f t="shared" si="916"/>
        <v>Irak</v>
      </c>
      <c r="GR362" s="9" t="str">
        <f t="shared" si="915"/>
        <v/>
      </c>
    </row>
    <row r="363" spans="182:200" ht="14.25" customHeight="1" x14ac:dyDescent="0.25">
      <c r="FZ363" s="79">
        <v>361</v>
      </c>
      <c r="GA363" s="3" t="str">
        <f t="shared" si="914"/>
        <v>EGBDAFLK</v>
      </c>
      <c r="GB363" s="3" t="s">
        <v>59</v>
      </c>
      <c r="GC363" s="3" t="s">
        <v>60</v>
      </c>
      <c r="GD363" s="3" t="s">
        <v>57</v>
      </c>
      <c r="GE363" s="3" t="s">
        <v>58</v>
      </c>
      <c r="GF363" s="3" t="s">
        <v>56</v>
      </c>
      <c r="GG363" s="3" t="s">
        <v>21</v>
      </c>
      <c r="GH363" s="3" t="s">
        <v>63</v>
      </c>
      <c r="GI363" s="3" t="s">
        <v>62</v>
      </c>
      <c r="GJ363" s="9" t="str">
        <f t="shared" si="917"/>
        <v>Elfenbenskusten</v>
      </c>
      <c r="GK363" s="9" t="str">
        <f t="shared" si="916"/>
        <v>Iran</v>
      </c>
      <c r="GL363" s="9" t="str">
        <f t="shared" si="916"/>
        <v>Qatar</v>
      </c>
      <c r="GM363" s="9" t="str">
        <f t="shared" si="916"/>
        <v>Australien</v>
      </c>
      <c r="GN363" s="9" t="str">
        <f t="shared" si="916"/>
        <v>Sydkorea</v>
      </c>
      <c r="GO363" s="9" t="str">
        <f t="shared" si="916"/>
        <v>Sverige</v>
      </c>
      <c r="GP363" s="9" t="str">
        <f t="shared" si="916"/>
        <v>Ghana</v>
      </c>
      <c r="GQ363" s="9" t="str">
        <f t="shared" si="916"/>
        <v>Uzbekistan</v>
      </c>
      <c r="GR363" s="9" t="str">
        <f t="shared" si="915"/>
        <v/>
      </c>
    </row>
    <row r="364" spans="182:200" ht="14.25" customHeight="1" x14ac:dyDescent="0.25">
      <c r="FZ364" s="79">
        <v>362</v>
      </c>
      <c r="GA364" s="3" t="str">
        <f t="shared" si="914"/>
        <v>EGBDAFLJ</v>
      </c>
      <c r="GB364" s="3" t="s">
        <v>59</v>
      </c>
      <c r="GC364" s="3" t="s">
        <v>60</v>
      </c>
      <c r="GD364" s="3" t="s">
        <v>57</v>
      </c>
      <c r="GE364" s="3" t="s">
        <v>58</v>
      </c>
      <c r="GF364" s="3" t="s">
        <v>56</v>
      </c>
      <c r="GG364" s="3" t="s">
        <v>21</v>
      </c>
      <c r="GH364" s="3" t="s">
        <v>63</v>
      </c>
      <c r="GI364" s="3" t="s">
        <v>69</v>
      </c>
      <c r="GJ364" s="9" t="str">
        <f t="shared" si="917"/>
        <v>Elfenbenskusten</v>
      </c>
      <c r="GK364" s="9" t="str">
        <f t="shared" si="916"/>
        <v>Iran</v>
      </c>
      <c r="GL364" s="9" t="str">
        <f t="shared" si="916"/>
        <v>Qatar</v>
      </c>
      <c r="GM364" s="9" t="str">
        <f t="shared" si="916"/>
        <v>Australien</v>
      </c>
      <c r="GN364" s="9" t="str">
        <f t="shared" si="916"/>
        <v>Sydkorea</v>
      </c>
      <c r="GO364" s="9" t="str">
        <f t="shared" si="916"/>
        <v>Sverige</v>
      </c>
      <c r="GP364" s="9" t="str">
        <f t="shared" si="916"/>
        <v>Ghana</v>
      </c>
      <c r="GQ364" s="9" t="str">
        <f t="shared" si="916"/>
        <v>Österrike</v>
      </c>
      <c r="GR364" s="9" t="str">
        <f t="shared" si="915"/>
        <v/>
      </c>
    </row>
    <row r="365" spans="182:200" ht="14.25" customHeight="1" x14ac:dyDescent="0.25">
      <c r="FZ365" s="79">
        <v>363</v>
      </c>
      <c r="GA365" s="3" t="str">
        <f t="shared" si="914"/>
        <v>EGBDAFJK</v>
      </c>
      <c r="GB365" s="3" t="s">
        <v>59</v>
      </c>
      <c r="GC365" s="3" t="s">
        <v>60</v>
      </c>
      <c r="GD365" s="3" t="s">
        <v>57</v>
      </c>
      <c r="GE365" s="3" t="s">
        <v>58</v>
      </c>
      <c r="GF365" s="3" t="s">
        <v>56</v>
      </c>
      <c r="GG365" s="3" t="s">
        <v>21</v>
      </c>
      <c r="GH365" s="3" t="s">
        <v>69</v>
      </c>
      <c r="GI365" s="3" t="s">
        <v>62</v>
      </c>
      <c r="GJ365" s="9" t="str">
        <f t="shared" si="917"/>
        <v>Elfenbenskusten</v>
      </c>
      <c r="GK365" s="9" t="str">
        <f t="shared" si="916"/>
        <v>Iran</v>
      </c>
      <c r="GL365" s="9" t="str">
        <f t="shared" si="916"/>
        <v>Qatar</v>
      </c>
      <c r="GM365" s="9" t="str">
        <f t="shared" si="916"/>
        <v>Australien</v>
      </c>
      <c r="GN365" s="9" t="str">
        <f t="shared" si="916"/>
        <v>Sydkorea</v>
      </c>
      <c r="GO365" s="9" t="str">
        <f t="shared" si="916"/>
        <v>Sverige</v>
      </c>
      <c r="GP365" s="9" t="str">
        <f t="shared" si="916"/>
        <v>Österrike</v>
      </c>
      <c r="GQ365" s="9" t="str">
        <f t="shared" si="916"/>
        <v>Uzbekistan</v>
      </c>
      <c r="GR365" s="9" t="str">
        <f t="shared" si="915"/>
        <v/>
      </c>
    </row>
    <row r="366" spans="182:200" ht="14.25" customHeight="1" x14ac:dyDescent="0.25">
      <c r="FZ366" s="79">
        <v>364</v>
      </c>
      <c r="GA366" s="3" t="str">
        <f t="shared" si="914"/>
        <v>EGBDAFLI</v>
      </c>
      <c r="GB366" s="3" t="s">
        <v>59</v>
      </c>
      <c r="GC366" s="3" t="s">
        <v>60</v>
      </c>
      <c r="GD366" s="3" t="s">
        <v>57</v>
      </c>
      <c r="GE366" s="3" t="s">
        <v>58</v>
      </c>
      <c r="GF366" s="3" t="s">
        <v>56</v>
      </c>
      <c r="GG366" s="3" t="s">
        <v>21</v>
      </c>
      <c r="GH366" s="3" t="s">
        <v>63</v>
      </c>
      <c r="GI366" s="3" t="s">
        <v>61</v>
      </c>
      <c r="GJ366" s="9" t="str">
        <f t="shared" si="917"/>
        <v>Elfenbenskusten</v>
      </c>
      <c r="GK366" s="9" t="str">
        <f t="shared" si="916"/>
        <v>Iran</v>
      </c>
      <c r="GL366" s="9" t="str">
        <f t="shared" si="916"/>
        <v>Qatar</v>
      </c>
      <c r="GM366" s="9" t="str">
        <f t="shared" si="916"/>
        <v>Australien</v>
      </c>
      <c r="GN366" s="9" t="str">
        <f t="shared" si="916"/>
        <v>Sydkorea</v>
      </c>
      <c r="GO366" s="9" t="str">
        <f t="shared" si="916"/>
        <v>Sverige</v>
      </c>
      <c r="GP366" s="9" t="str">
        <f t="shared" si="916"/>
        <v>Ghana</v>
      </c>
      <c r="GQ366" s="9" t="str">
        <f t="shared" si="916"/>
        <v>Irak</v>
      </c>
      <c r="GR366" s="9" t="str">
        <f t="shared" si="915"/>
        <v/>
      </c>
    </row>
    <row r="367" spans="182:200" ht="14.25" customHeight="1" x14ac:dyDescent="0.25">
      <c r="FZ367" s="79">
        <v>365</v>
      </c>
      <c r="GA367" s="3" t="str">
        <f t="shared" si="914"/>
        <v>EGBDAFIK</v>
      </c>
      <c r="GB367" s="3" t="s">
        <v>59</v>
      </c>
      <c r="GC367" s="3" t="s">
        <v>60</v>
      </c>
      <c r="GD367" s="3" t="s">
        <v>57</v>
      </c>
      <c r="GE367" s="3" t="s">
        <v>58</v>
      </c>
      <c r="GF367" s="3" t="s">
        <v>56</v>
      </c>
      <c r="GG367" s="3" t="s">
        <v>21</v>
      </c>
      <c r="GH367" s="3" t="s">
        <v>61</v>
      </c>
      <c r="GI367" s="3" t="s">
        <v>62</v>
      </c>
      <c r="GJ367" s="9" t="str">
        <f t="shared" si="917"/>
        <v>Elfenbenskusten</v>
      </c>
      <c r="GK367" s="9" t="str">
        <f t="shared" si="916"/>
        <v>Iran</v>
      </c>
      <c r="GL367" s="9" t="str">
        <f t="shared" si="916"/>
        <v>Qatar</v>
      </c>
      <c r="GM367" s="9" t="str">
        <f t="shared" si="916"/>
        <v>Australien</v>
      </c>
      <c r="GN367" s="9" t="str">
        <f t="shared" ref="GN367:GQ430" si="918">VLOOKUP(GF367,$FM$3:$FN$15,2,FALSE)</f>
        <v>Sydkorea</v>
      </c>
      <c r="GO367" s="9" t="str">
        <f t="shared" si="918"/>
        <v>Sverige</v>
      </c>
      <c r="GP367" s="9" t="str">
        <f t="shared" si="918"/>
        <v>Irak</v>
      </c>
      <c r="GQ367" s="9" t="str">
        <f t="shared" si="918"/>
        <v>Uzbekistan</v>
      </c>
      <c r="GR367" s="9" t="str">
        <f t="shared" si="915"/>
        <v/>
      </c>
    </row>
    <row r="368" spans="182:200" ht="14.25" customHeight="1" x14ac:dyDescent="0.25">
      <c r="FZ368" s="79">
        <v>366</v>
      </c>
      <c r="GA368" s="3" t="str">
        <f t="shared" si="914"/>
        <v>EGBDAFIJ</v>
      </c>
      <c r="GB368" s="3" t="s">
        <v>59</v>
      </c>
      <c r="GC368" s="3" t="s">
        <v>60</v>
      </c>
      <c r="GD368" s="3" t="s">
        <v>57</v>
      </c>
      <c r="GE368" s="3" t="s">
        <v>58</v>
      </c>
      <c r="GF368" s="3" t="s">
        <v>56</v>
      </c>
      <c r="GG368" s="3" t="s">
        <v>21</v>
      </c>
      <c r="GH368" s="3" t="s">
        <v>61</v>
      </c>
      <c r="GI368" s="3" t="s">
        <v>69</v>
      </c>
      <c r="GJ368" s="9" t="str">
        <f t="shared" si="917"/>
        <v>Elfenbenskusten</v>
      </c>
      <c r="GK368" s="9" t="str">
        <f t="shared" si="917"/>
        <v>Iran</v>
      </c>
      <c r="GL368" s="9" t="str">
        <f t="shared" si="917"/>
        <v>Qatar</v>
      </c>
      <c r="GM368" s="9" t="str">
        <f t="shared" si="917"/>
        <v>Australien</v>
      </c>
      <c r="GN368" s="9" t="str">
        <f t="shared" si="918"/>
        <v>Sydkorea</v>
      </c>
      <c r="GO368" s="9" t="str">
        <f t="shared" si="918"/>
        <v>Sverige</v>
      </c>
      <c r="GP368" s="9" t="str">
        <f t="shared" si="918"/>
        <v>Irak</v>
      </c>
      <c r="GQ368" s="9" t="str">
        <f t="shared" si="918"/>
        <v>Österrike</v>
      </c>
      <c r="GR368" s="9" t="str">
        <f t="shared" si="915"/>
        <v/>
      </c>
    </row>
    <row r="369" spans="182:200" ht="14.25" customHeight="1" x14ac:dyDescent="0.25">
      <c r="FZ369" s="79">
        <v>367</v>
      </c>
      <c r="GA369" s="3" t="str">
        <f t="shared" si="914"/>
        <v>HGBDAFLE</v>
      </c>
      <c r="GB369" s="3" t="s">
        <v>70</v>
      </c>
      <c r="GC369" s="3" t="s">
        <v>60</v>
      </c>
      <c r="GD369" s="3" t="s">
        <v>57</v>
      </c>
      <c r="GE369" s="3" t="s">
        <v>58</v>
      </c>
      <c r="GF369" s="3" t="s">
        <v>56</v>
      </c>
      <c r="GG369" s="3" t="s">
        <v>21</v>
      </c>
      <c r="GH369" s="3" t="s">
        <v>63</v>
      </c>
      <c r="GI369" s="3" t="s">
        <v>59</v>
      </c>
      <c r="GJ369" s="9" t="str">
        <f t="shared" si="917"/>
        <v>Saudiarabien</v>
      </c>
      <c r="GK369" s="9" t="str">
        <f t="shared" si="917"/>
        <v>Iran</v>
      </c>
      <c r="GL369" s="9" t="str">
        <f t="shared" si="917"/>
        <v>Qatar</v>
      </c>
      <c r="GM369" s="9" t="str">
        <f t="shared" si="917"/>
        <v>Australien</v>
      </c>
      <c r="GN369" s="9" t="str">
        <f t="shared" si="918"/>
        <v>Sydkorea</v>
      </c>
      <c r="GO369" s="9" t="str">
        <f t="shared" si="918"/>
        <v>Sverige</v>
      </c>
      <c r="GP369" s="9" t="str">
        <f t="shared" si="918"/>
        <v>Ghana</v>
      </c>
      <c r="GQ369" s="9" t="str">
        <f t="shared" si="918"/>
        <v>Elfenbenskusten</v>
      </c>
      <c r="GR369" s="9" t="str">
        <f t="shared" si="915"/>
        <v/>
      </c>
    </row>
    <row r="370" spans="182:200" ht="14.25" customHeight="1" x14ac:dyDescent="0.25">
      <c r="FZ370" s="79">
        <v>368</v>
      </c>
      <c r="GA370" s="3" t="str">
        <f t="shared" si="914"/>
        <v>HGBDAFEK</v>
      </c>
      <c r="GB370" s="3" t="s">
        <v>70</v>
      </c>
      <c r="GC370" s="3" t="s">
        <v>60</v>
      </c>
      <c r="GD370" s="3" t="s">
        <v>57</v>
      </c>
      <c r="GE370" s="3" t="s">
        <v>58</v>
      </c>
      <c r="GF370" s="3" t="s">
        <v>56</v>
      </c>
      <c r="GG370" s="3" t="s">
        <v>21</v>
      </c>
      <c r="GH370" s="3" t="s">
        <v>59</v>
      </c>
      <c r="GI370" s="3" t="s">
        <v>62</v>
      </c>
      <c r="GJ370" s="9" t="str">
        <f t="shared" si="917"/>
        <v>Saudiarabien</v>
      </c>
      <c r="GK370" s="9" t="str">
        <f t="shared" si="917"/>
        <v>Iran</v>
      </c>
      <c r="GL370" s="9" t="str">
        <f t="shared" si="917"/>
        <v>Qatar</v>
      </c>
      <c r="GM370" s="9" t="str">
        <f t="shared" si="917"/>
        <v>Australien</v>
      </c>
      <c r="GN370" s="9" t="str">
        <f t="shared" si="918"/>
        <v>Sydkorea</v>
      </c>
      <c r="GO370" s="9" t="str">
        <f t="shared" si="918"/>
        <v>Sverige</v>
      </c>
      <c r="GP370" s="9" t="str">
        <f t="shared" si="918"/>
        <v>Elfenbenskusten</v>
      </c>
      <c r="GQ370" s="9" t="str">
        <f t="shared" si="918"/>
        <v>Uzbekistan</v>
      </c>
      <c r="GR370" s="9" t="str">
        <f t="shared" si="915"/>
        <v/>
      </c>
    </row>
    <row r="371" spans="182:200" ht="14.25" customHeight="1" x14ac:dyDescent="0.25">
      <c r="FZ371" s="79">
        <v>369</v>
      </c>
      <c r="GA371" s="3" t="str">
        <f t="shared" si="914"/>
        <v>HGBDAFEJ</v>
      </c>
      <c r="GB371" s="3" t="s">
        <v>70</v>
      </c>
      <c r="GC371" s="3" t="s">
        <v>60</v>
      </c>
      <c r="GD371" s="3" t="s">
        <v>57</v>
      </c>
      <c r="GE371" s="3" t="s">
        <v>58</v>
      </c>
      <c r="GF371" s="3" t="s">
        <v>56</v>
      </c>
      <c r="GG371" s="3" t="s">
        <v>21</v>
      </c>
      <c r="GH371" s="3" t="s">
        <v>59</v>
      </c>
      <c r="GI371" s="3" t="s">
        <v>69</v>
      </c>
      <c r="GJ371" s="9" t="str">
        <f t="shared" si="917"/>
        <v>Saudiarabien</v>
      </c>
      <c r="GK371" s="9" t="str">
        <f t="shared" si="917"/>
        <v>Iran</v>
      </c>
      <c r="GL371" s="9" t="str">
        <f t="shared" si="917"/>
        <v>Qatar</v>
      </c>
      <c r="GM371" s="9" t="str">
        <f t="shared" si="917"/>
        <v>Australien</v>
      </c>
      <c r="GN371" s="9" t="str">
        <f t="shared" si="918"/>
        <v>Sydkorea</v>
      </c>
      <c r="GO371" s="9" t="str">
        <f t="shared" si="918"/>
        <v>Sverige</v>
      </c>
      <c r="GP371" s="9" t="str">
        <f t="shared" si="918"/>
        <v>Elfenbenskusten</v>
      </c>
      <c r="GQ371" s="9" t="str">
        <f t="shared" si="918"/>
        <v>Österrike</v>
      </c>
      <c r="GR371" s="9" t="str">
        <f t="shared" si="915"/>
        <v/>
      </c>
    </row>
    <row r="372" spans="182:200" ht="14.25" customHeight="1" x14ac:dyDescent="0.25">
      <c r="FZ372" s="79">
        <v>370</v>
      </c>
      <c r="GA372" s="3" t="str">
        <f t="shared" si="914"/>
        <v>HGBDAFEI</v>
      </c>
      <c r="GB372" s="3" t="s">
        <v>70</v>
      </c>
      <c r="GC372" s="3" t="s">
        <v>60</v>
      </c>
      <c r="GD372" s="3" t="s">
        <v>57</v>
      </c>
      <c r="GE372" s="3" t="s">
        <v>58</v>
      </c>
      <c r="GF372" s="3" t="s">
        <v>56</v>
      </c>
      <c r="GG372" s="3" t="s">
        <v>21</v>
      </c>
      <c r="GH372" s="3" t="s">
        <v>59</v>
      </c>
      <c r="GI372" s="3" t="s">
        <v>61</v>
      </c>
      <c r="GJ372" s="9" t="str">
        <f t="shared" si="917"/>
        <v>Saudiarabien</v>
      </c>
      <c r="GK372" s="9" t="str">
        <f t="shared" si="917"/>
        <v>Iran</v>
      </c>
      <c r="GL372" s="9" t="str">
        <f t="shared" si="917"/>
        <v>Qatar</v>
      </c>
      <c r="GM372" s="9" t="str">
        <f t="shared" si="917"/>
        <v>Australien</v>
      </c>
      <c r="GN372" s="9" t="str">
        <f t="shared" si="918"/>
        <v>Sydkorea</v>
      </c>
      <c r="GO372" s="9" t="str">
        <f t="shared" si="918"/>
        <v>Sverige</v>
      </c>
      <c r="GP372" s="9" t="str">
        <f t="shared" si="918"/>
        <v>Elfenbenskusten</v>
      </c>
      <c r="GQ372" s="9" t="str">
        <f t="shared" si="918"/>
        <v>Irak</v>
      </c>
      <c r="GR372" s="9" t="str">
        <f t="shared" si="915"/>
        <v/>
      </c>
    </row>
    <row r="373" spans="182:200" ht="14.25" customHeight="1" x14ac:dyDescent="0.25">
      <c r="FZ373" s="79">
        <v>371</v>
      </c>
      <c r="GA373" s="3" t="str">
        <f t="shared" si="914"/>
        <v>IJBCAHLK</v>
      </c>
      <c r="GB373" s="3" t="s">
        <v>61</v>
      </c>
      <c r="GC373" s="3" t="s">
        <v>69</v>
      </c>
      <c r="GD373" s="3" t="s">
        <v>57</v>
      </c>
      <c r="GE373" s="3" t="s">
        <v>75</v>
      </c>
      <c r="GF373" s="3" t="s">
        <v>56</v>
      </c>
      <c r="GG373" s="3" t="s">
        <v>70</v>
      </c>
      <c r="GH373" s="3" t="s">
        <v>63</v>
      </c>
      <c r="GI373" s="3" t="s">
        <v>62</v>
      </c>
      <c r="GJ373" s="9" t="str">
        <f t="shared" si="917"/>
        <v>Irak</v>
      </c>
      <c r="GK373" s="9" t="str">
        <f t="shared" si="917"/>
        <v>Österrike</v>
      </c>
      <c r="GL373" s="9" t="str">
        <f t="shared" si="917"/>
        <v>Qatar</v>
      </c>
      <c r="GM373" s="9" t="str">
        <f t="shared" si="917"/>
        <v>Haiti</v>
      </c>
      <c r="GN373" s="9" t="str">
        <f t="shared" si="918"/>
        <v>Sydkorea</v>
      </c>
      <c r="GO373" s="9" t="str">
        <f t="shared" si="918"/>
        <v>Saudiarabien</v>
      </c>
      <c r="GP373" s="9" t="str">
        <f t="shared" si="918"/>
        <v>Ghana</v>
      </c>
      <c r="GQ373" s="9" t="str">
        <f t="shared" si="918"/>
        <v>Uzbekistan</v>
      </c>
      <c r="GR373" s="9" t="str">
        <f t="shared" si="915"/>
        <v/>
      </c>
    </row>
    <row r="374" spans="182:200" ht="14.25" customHeight="1" x14ac:dyDescent="0.25">
      <c r="FZ374" s="79">
        <v>372</v>
      </c>
      <c r="GA374" s="3" t="str">
        <f t="shared" si="914"/>
        <v>IJBCAGLK</v>
      </c>
      <c r="GB374" s="3" t="s">
        <v>61</v>
      </c>
      <c r="GC374" s="3" t="s">
        <v>69</v>
      </c>
      <c r="GD374" s="3" t="s">
        <v>57</v>
      </c>
      <c r="GE374" s="3" t="s">
        <v>75</v>
      </c>
      <c r="GF374" s="3" t="s">
        <v>56</v>
      </c>
      <c r="GG374" s="3" t="s">
        <v>60</v>
      </c>
      <c r="GH374" s="3" t="s">
        <v>63</v>
      </c>
      <c r="GI374" s="3" t="s">
        <v>62</v>
      </c>
      <c r="GJ374" s="9" t="str">
        <f t="shared" si="917"/>
        <v>Irak</v>
      </c>
      <c r="GK374" s="9" t="str">
        <f t="shared" si="917"/>
        <v>Österrike</v>
      </c>
      <c r="GL374" s="9" t="str">
        <f t="shared" si="917"/>
        <v>Qatar</v>
      </c>
      <c r="GM374" s="9" t="str">
        <f t="shared" si="917"/>
        <v>Haiti</v>
      </c>
      <c r="GN374" s="9" t="str">
        <f t="shared" si="918"/>
        <v>Sydkorea</v>
      </c>
      <c r="GO374" s="9" t="str">
        <f t="shared" si="918"/>
        <v>Iran</v>
      </c>
      <c r="GP374" s="9" t="str">
        <f t="shared" si="918"/>
        <v>Ghana</v>
      </c>
      <c r="GQ374" s="9" t="str">
        <f t="shared" si="918"/>
        <v>Uzbekistan</v>
      </c>
      <c r="GR374" s="9" t="str">
        <f t="shared" si="915"/>
        <v/>
      </c>
    </row>
    <row r="375" spans="182:200" ht="14.25" customHeight="1" x14ac:dyDescent="0.25">
      <c r="FZ375" s="79">
        <v>373</v>
      </c>
      <c r="GA375" s="3" t="str">
        <f t="shared" si="914"/>
        <v>HJBCAGLK</v>
      </c>
      <c r="GB375" s="3" t="s">
        <v>70</v>
      </c>
      <c r="GC375" s="3" t="s">
        <v>69</v>
      </c>
      <c r="GD375" s="3" t="s">
        <v>57</v>
      </c>
      <c r="GE375" s="3" t="s">
        <v>75</v>
      </c>
      <c r="GF375" s="3" t="s">
        <v>56</v>
      </c>
      <c r="GG375" s="3" t="s">
        <v>60</v>
      </c>
      <c r="GH375" s="3" t="s">
        <v>63</v>
      </c>
      <c r="GI375" s="3" t="s">
        <v>62</v>
      </c>
      <c r="GJ375" s="9" t="str">
        <f t="shared" si="917"/>
        <v>Saudiarabien</v>
      </c>
      <c r="GK375" s="9" t="str">
        <f t="shared" si="917"/>
        <v>Österrike</v>
      </c>
      <c r="GL375" s="9" t="str">
        <f t="shared" si="917"/>
        <v>Qatar</v>
      </c>
      <c r="GM375" s="9" t="str">
        <f t="shared" si="917"/>
        <v>Haiti</v>
      </c>
      <c r="GN375" s="9" t="str">
        <f t="shared" si="918"/>
        <v>Sydkorea</v>
      </c>
      <c r="GO375" s="9" t="str">
        <f t="shared" si="918"/>
        <v>Iran</v>
      </c>
      <c r="GP375" s="9" t="str">
        <f t="shared" si="918"/>
        <v>Ghana</v>
      </c>
      <c r="GQ375" s="9" t="str">
        <f t="shared" si="918"/>
        <v>Uzbekistan</v>
      </c>
      <c r="GR375" s="9" t="str">
        <f t="shared" si="915"/>
        <v/>
      </c>
    </row>
    <row r="376" spans="182:200" ht="14.25" customHeight="1" x14ac:dyDescent="0.25">
      <c r="FZ376" s="79">
        <v>374</v>
      </c>
      <c r="GA376" s="3" t="str">
        <f t="shared" si="914"/>
        <v>IGBCAHLK</v>
      </c>
      <c r="GB376" s="3" t="s">
        <v>61</v>
      </c>
      <c r="GC376" s="3" t="s">
        <v>60</v>
      </c>
      <c r="GD376" s="3" t="s">
        <v>57</v>
      </c>
      <c r="GE376" s="3" t="s">
        <v>75</v>
      </c>
      <c r="GF376" s="3" t="s">
        <v>56</v>
      </c>
      <c r="GG376" s="3" t="s">
        <v>70</v>
      </c>
      <c r="GH376" s="3" t="s">
        <v>63</v>
      </c>
      <c r="GI376" s="3" t="s">
        <v>62</v>
      </c>
      <c r="GJ376" s="9" t="str">
        <f t="shared" si="917"/>
        <v>Irak</v>
      </c>
      <c r="GK376" s="9" t="str">
        <f t="shared" si="917"/>
        <v>Iran</v>
      </c>
      <c r="GL376" s="9" t="str">
        <f t="shared" si="917"/>
        <v>Qatar</v>
      </c>
      <c r="GM376" s="9" t="str">
        <f t="shared" si="917"/>
        <v>Haiti</v>
      </c>
      <c r="GN376" s="9" t="str">
        <f t="shared" si="918"/>
        <v>Sydkorea</v>
      </c>
      <c r="GO376" s="9" t="str">
        <f t="shared" si="918"/>
        <v>Saudiarabien</v>
      </c>
      <c r="GP376" s="9" t="str">
        <f t="shared" si="918"/>
        <v>Ghana</v>
      </c>
      <c r="GQ376" s="9" t="str">
        <f t="shared" si="918"/>
        <v>Uzbekistan</v>
      </c>
      <c r="GR376" s="9" t="str">
        <f t="shared" si="915"/>
        <v/>
      </c>
    </row>
    <row r="377" spans="182:200" ht="14.25" customHeight="1" x14ac:dyDescent="0.25">
      <c r="FZ377" s="79">
        <v>375</v>
      </c>
      <c r="GA377" s="3" t="str">
        <f t="shared" si="914"/>
        <v>HJBCAGLI</v>
      </c>
      <c r="GB377" s="3" t="s">
        <v>70</v>
      </c>
      <c r="GC377" s="3" t="s">
        <v>69</v>
      </c>
      <c r="GD377" s="3" t="s">
        <v>57</v>
      </c>
      <c r="GE377" s="3" t="s">
        <v>75</v>
      </c>
      <c r="GF377" s="3" t="s">
        <v>56</v>
      </c>
      <c r="GG377" s="3" t="s">
        <v>60</v>
      </c>
      <c r="GH377" s="3" t="s">
        <v>63</v>
      </c>
      <c r="GI377" s="3" t="s">
        <v>61</v>
      </c>
      <c r="GJ377" s="9" t="str">
        <f t="shared" si="917"/>
        <v>Saudiarabien</v>
      </c>
      <c r="GK377" s="9" t="str">
        <f t="shared" si="917"/>
        <v>Österrike</v>
      </c>
      <c r="GL377" s="9" t="str">
        <f t="shared" si="917"/>
        <v>Qatar</v>
      </c>
      <c r="GM377" s="9" t="str">
        <f t="shared" si="917"/>
        <v>Haiti</v>
      </c>
      <c r="GN377" s="9" t="str">
        <f t="shared" si="918"/>
        <v>Sydkorea</v>
      </c>
      <c r="GO377" s="9" t="str">
        <f t="shared" si="918"/>
        <v>Iran</v>
      </c>
      <c r="GP377" s="9" t="str">
        <f t="shared" si="918"/>
        <v>Ghana</v>
      </c>
      <c r="GQ377" s="9" t="str">
        <f t="shared" si="918"/>
        <v>Irak</v>
      </c>
      <c r="GR377" s="9" t="str">
        <f t="shared" si="915"/>
        <v/>
      </c>
    </row>
    <row r="378" spans="182:200" ht="14.25" customHeight="1" x14ac:dyDescent="0.25">
      <c r="FZ378" s="79">
        <v>376</v>
      </c>
      <c r="GA378" s="3" t="str">
        <f t="shared" si="914"/>
        <v>HJBCAGIK</v>
      </c>
      <c r="GB378" s="3" t="s">
        <v>70</v>
      </c>
      <c r="GC378" s="3" t="s">
        <v>69</v>
      </c>
      <c r="GD378" s="3" t="s">
        <v>57</v>
      </c>
      <c r="GE378" s="3" t="s">
        <v>75</v>
      </c>
      <c r="GF378" s="3" t="s">
        <v>56</v>
      </c>
      <c r="GG378" s="3" t="s">
        <v>60</v>
      </c>
      <c r="GH378" s="3" t="s">
        <v>61</v>
      </c>
      <c r="GI378" s="3" t="s">
        <v>62</v>
      </c>
      <c r="GJ378" s="9" t="str">
        <f t="shared" si="917"/>
        <v>Saudiarabien</v>
      </c>
      <c r="GK378" s="9" t="str">
        <f t="shared" si="917"/>
        <v>Österrike</v>
      </c>
      <c r="GL378" s="9" t="str">
        <f t="shared" si="917"/>
        <v>Qatar</v>
      </c>
      <c r="GM378" s="9" t="str">
        <f t="shared" si="917"/>
        <v>Haiti</v>
      </c>
      <c r="GN378" s="9" t="str">
        <f t="shared" si="918"/>
        <v>Sydkorea</v>
      </c>
      <c r="GO378" s="9" t="str">
        <f t="shared" si="918"/>
        <v>Iran</v>
      </c>
      <c r="GP378" s="9" t="str">
        <f t="shared" si="918"/>
        <v>Irak</v>
      </c>
      <c r="GQ378" s="9" t="str">
        <f t="shared" si="918"/>
        <v>Uzbekistan</v>
      </c>
      <c r="GR378" s="9" t="str">
        <f t="shared" si="915"/>
        <v/>
      </c>
    </row>
    <row r="379" spans="182:200" ht="14.25" customHeight="1" x14ac:dyDescent="0.25">
      <c r="FZ379" s="79">
        <v>377</v>
      </c>
      <c r="GA379" s="3" t="str">
        <f t="shared" si="914"/>
        <v>IJBCAFLK</v>
      </c>
      <c r="GB379" s="3" t="s">
        <v>61</v>
      </c>
      <c r="GC379" s="3" t="s">
        <v>69</v>
      </c>
      <c r="GD379" s="3" t="s">
        <v>57</v>
      </c>
      <c r="GE379" s="3" t="s">
        <v>75</v>
      </c>
      <c r="GF379" s="3" t="s">
        <v>56</v>
      </c>
      <c r="GG379" s="3" t="s">
        <v>21</v>
      </c>
      <c r="GH379" s="3" t="s">
        <v>63</v>
      </c>
      <c r="GI379" s="3" t="s">
        <v>62</v>
      </c>
      <c r="GJ379" s="9" t="str">
        <f t="shared" si="917"/>
        <v>Irak</v>
      </c>
      <c r="GK379" s="9" t="str">
        <f t="shared" si="917"/>
        <v>Österrike</v>
      </c>
      <c r="GL379" s="9" t="str">
        <f t="shared" si="917"/>
        <v>Qatar</v>
      </c>
      <c r="GM379" s="9" t="str">
        <f t="shared" si="917"/>
        <v>Haiti</v>
      </c>
      <c r="GN379" s="9" t="str">
        <f t="shared" si="918"/>
        <v>Sydkorea</v>
      </c>
      <c r="GO379" s="9" t="str">
        <f t="shared" si="918"/>
        <v>Sverige</v>
      </c>
      <c r="GP379" s="9" t="str">
        <f t="shared" si="918"/>
        <v>Ghana</v>
      </c>
      <c r="GQ379" s="9" t="str">
        <f t="shared" si="918"/>
        <v>Uzbekistan</v>
      </c>
      <c r="GR379" s="9" t="str">
        <f t="shared" si="915"/>
        <v/>
      </c>
    </row>
    <row r="380" spans="182:200" ht="14.25" customHeight="1" x14ac:dyDescent="0.25">
      <c r="FZ380" s="79">
        <v>378</v>
      </c>
      <c r="GA380" s="3" t="str">
        <f t="shared" si="914"/>
        <v>HJBCAFLK</v>
      </c>
      <c r="GB380" s="3" t="s">
        <v>70</v>
      </c>
      <c r="GC380" s="3" t="s">
        <v>69</v>
      </c>
      <c r="GD380" s="3" t="s">
        <v>57</v>
      </c>
      <c r="GE380" s="3" t="s">
        <v>75</v>
      </c>
      <c r="GF380" s="3" t="s">
        <v>56</v>
      </c>
      <c r="GG380" s="3" t="s">
        <v>21</v>
      </c>
      <c r="GH380" s="3" t="s">
        <v>63</v>
      </c>
      <c r="GI380" s="3" t="s">
        <v>62</v>
      </c>
      <c r="GJ380" s="9" t="str">
        <f t="shared" si="917"/>
        <v>Saudiarabien</v>
      </c>
      <c r="GK380" s="9" t="str">
        <f t="shared" si="917"/>
        <v>Österrike</v>
      </c>
      <c r="GL380" s="9" t="str">
        <f t="shared" si="917"/>
        <v>Qatar</v>
      </c>
      <c r="GM380" s="9" t="str">
        <f t="shared" si="917"/>
        <v>Haiti</v>
      </c>
      <c r="GN380" s="9" t="str">
        <f t="shared" si="918"/>
        <v>Sydkorea</v>
      </c>
      <c r="GO380" s="9" t="str">
        <f t="shared" si="918"/>
        <v>Sverige</v>
      </c>
      <c r="GP380" s="9" t="str">
        <f t="shared" si="918"/>
        <v>Ghana</v>
      </c>
      <c r="GQ380" s="9" t="str">
        <f t="shared" si="918"/>
        <v>Uzbekistan</v>
      </c>
      <c r="GR380" s="9" t="str">
        <f t="shared" si="915"/>
        <v/>
      </c>
    </row>
    <row r="381" spans="182:200" ht="14.25" customHeight="1" x14ac:dyDescent="0.25">
      <c r="FZ381" s="79">
        <v>379</v>
      </c>
      <c r="GA381" s="3" t="str">
        <f t="shared" si="914"/>
        <v>HIBCAFLK</v>
      </c>
      <c r="GB381" s="3" t="s">
        <v>70</v>
      </c>
      <c r="GC381" s="3" t="s">
        <v>61</v>
      </c>
      <c r="GD381" s="3" t="s">
        <v>57</v>
      </c>
      <c r="GE381" s="3" t="s">
        <v>75</v>
      </c>
      <c r="GF381" s="3" t="s">
        <v>56</v>
      </c>
      <c r="GG381" s="3" t="s">
        <v>21</v>
      </c>
      <c r="GH381" s="3" t="s">
        <v>63</v>
      </c>
      <c r="GI381" s="3" t="s">
        <v>62</v>
      </c>
      <c r="GJ381" s="9" t="str">
        <f t="shared" si="917"/>
        <v>Saudiarabien</v>
      </c>
      <c r="GK381" s="9" t="str">
        <f t="shared" si="917"/>
        <v>Irak</v>
      </c>
      <c r="GL381" s="9" t="str">
        <f t="shared" si="917"/>
        <v>Qatar</v>
      </c>
      <c r="GM381" s="9" t="str">
        <f t="shared" si="917"/>
        <v>Haiti</v>
      </c>
      <c r="GN381" s="9" t="str">
        <f t="shared" si="918"/>
        <v>Sydkorea</v>
      </c>
      <c r="GO381" s="9" t="str">
        <f t="shared" si="918"/>
        <v>Sverige</v>
      </c>
      <c r="GP381" s="9" t="str">
        <f t="shared" si="918"/>
        <v>Ghana</v>
      </c>
      <c r="GQ381" s="9" t="str">
        <f t="shared" si="918"/>
        <v>Uzbekistan</v>
      </c>
      <c r="GR381" s="9" t="str">
        <f t="shared" si="915"/>
        <v/>
      </c>
    </row>
    <row r="382" spans="182:200" ht="14.25" customHeight="1" x14ac:dyDescent="0.25">
      <c r="FZ382" s="79">
        <v>380</v>
      </c>
      <c r="GA382" s="3" t="str">
        <f t="shared" si="914"/>
        <v>HJBCAFLI</v>
      </c>
      <c r="GB382" s="3" t="s">
        <v>70</v>
      </c>
      <c r="GC382" s="3" t="s">
        <v>69</v>
      </c>
      <c r="GD382" s="3" t="s">
        <v>57</v>
      </c>
      <c r="GE382" s="3" t="s">
        <v>75</v>
      </c>
      <c r="GF382" s="3" t="s">
        <v>56</v>
      </c>
      <c r="GG382" s="3" t="s">
        <v>21</v>
      </c>
      <c r="GH382" s="3" t="s">
        <v>63</v>
      </c>
      <c r="GI382" s="3" t="s">
        <v>61</v>
      </c>
      <c r="GJ382" s="9" t="str">
        <f t="shared" si="917"/>
        <v>Saudiarabien</v>
      </c>
      <c r="GK382" s="9" t="str">
        <f t="shared" si="917"/>
        <v>Österrike</v>
      </c>
      <c r="GL382" s="9" t="str">
        <f t="shared" si="917"/>
        <v>Qatar</v>
      </c>
      <c r="GM382" s="9" t="str">
        <f t="shared" si="917"/>
        <v>Haiti</v>
      </c>
      <c r="GN382" s="9" t="str">
        <f t="shared" si="918"/>
        <v>Sydkorea</v>
      </c>
      <c r="GO382" s="9" t="str">
        <f t="shared" si="918"/>
        <v>Sverige</v>
      </c>
      <c r="GP382" s="9" t="str">
        <f t="shared" si="918"/>
        <v>Ghana</v>
      </c>
      <c r="GQ382" s="9" t="str">
        <f t="shared" si="918"/>
        <v>Irak</v>
      </c>
      <c r="GR382" s="9" t="str">
        <f t="shared" si="915"/>
        <v/>
      </c>
    </row>
    <row r="383" spans="182:200" ht="14.25" customHeight="1" x14ac:dyDescent="0.25">
      <c r="FZ383" s="79">
        <v>381</v>
      </c>
      <c r="GA383" s="3" t="str">
        <f t="shared" si="914"/>
        <v>HJBCAFIK</v>
      </c>
      <c r="GB383" s="3" t="s">
        <v>70</v>
      </c>
      <c r="GC383" s="3" t="s">
        <v>69</v>
      </c>
      <c r="GD383" s="3" t="s">
        <v>57</v>
      </c>
      <c r="GE383" s="3" t="s">
        <v>75</v>
      </c>
      <c r="GF383" s="3" t="s">
        <v>56</v>
      </c>
      <c r="GG383" s="3" t="s">
        <v>21</v>
      </c>
      <c r="GH383" s="3" t="s">
        <v>61</v>
      </c>
      <c r="GI383" s="3" t="s">
        <v>62</v>
      </c>
      <c r="GJ383" s="9" t="str">
        <f t="shared" si="917"/>
        <v>Saudiarabien</v>
      </c>
      <c r="GK383" s="9" t="str">
        <f t="shared" si="917"/>
        <v>Österrike</v>
      </c>
      <c r="GL383" s="9" t="str">
        <f t="shared" si="917"/>
        <v>Qatar</v>
      </c>
      <c r="GM383" s="9" t="str">
        <f t="shared" si="917"/>
        <v>Haiti</v>
      </c>
      <c r="GN383" s="9" t="str">
        <f t="shared" si="918"/>
        <v>Sydkorea</v>
      </c>
      <c r="GO383" s="9" t="str">
        <f t="shared" si="918"/>
        <v>Sverige</v>
      </c>
      <c r="GP383" s="9" t="str">
        <f t="shared" si="918"/>
        <v>Irak</v>
      </c>
      <c r="GQ383" s="9" t="str">
        <f t="shared" si="918"/>
        <v>Uzbekistan</v>
      </c>
      <c r="GR383" s="9" t="str">
        <f t="shared" si="915"/>
        <v/>
      </c>
    </row>
    <row r="384" spans="182:200" ht="14.25" customHeight="1" x14ac:dyDescent="0.25">
      <c r="FZ384" s="79">
        <v>382</v>
      </c>
      <c r="GA384" s="3" t="str">
        <f t="shared" si="914"/>
        <v>CJBFAGLK</v>
      </c>
      <c r="GB384" s="3" t="s">
        <v>75</v>
      </c>
      <c r="GC384" s="3" t="s">
        <v>69</v>
      </c>
      <c r="GD384" s="3" t="s">
        <v>57</v>
      </c>
      <c r="GE384" s="3" t="s">
        <v>21</v>
      </c>
      <c r="GF384" s="3" t="s">
        <v>56</v>
      </c>
      <c r="GG384" s="3" t="s">
        <v>60</v>
      </c>
      <c r="GH384" s="3" t="s">
        <v>63</v>
      </c>
      <c r="GI384" s="3" t="s">
        <v>62</v>
      </c>
      <c r="GJ384" s="9" t="str">
        <f t="shared" si="917"/>
        <v>Haiti</v>
      </c>
      <c r="GK384" s="9" t="str">
        <f t="shared" si="917"/>
        <v>Österrike</v>
      </c>
      <c r="GL384" s="9" t="str">
        <f t="shared" si="917"/>
        <v>Qatar</v>
      </c>
      <c r="GM384" s="9" t="str">
        <f t="shared" si="917"/>
        <v>Sverige</v>
      </c>
      <c r="GN384" s="9" t="str">
        <f t="shared" si="918"/>
        <v>Sydkorea</v>
      </c>
      <c r="GO384" s="9" t="str">
        <f t="shared" si="918"/>
        <v>Iran</v>
      </c>
      <c r="GP384" s="9" t="str">
        <f t="shared" si="918"/>
        <v>Ghana</v>
      </c>
      <c r="GQ384" s="9" t="str">
        <f t="shared" si="918"/>
        <v>Uzbekistan</v>
      </c>
      <c r="GR384" s="9" t="str">
        <f t="shared" si="915"/>
        <v/>
      </c>
    </row>
    <row r="385" spans="182:200" ht="14.25" customHeight="1" x14ac:dyDescent="0.25">
      <c r="FZ385" s="79">
        <v>383</v>
      </c>
      <c r="GA385" s="3" t="str">
        <f t="shared" si="914"/>
        <v>IGBCAFLK</v>
      </c>
      <c r="GB385" s="3" t="s">
        <v>61</v>
      </c>
      <c r="GC385" s="3" t="s">
        <v>60</v>
      </c>
      <c r="GD385" s="3" t="s">
        <v>57</v>
      </c>
      <c r="GE385" s="3" t="s">
        <v>75</v>
      </c>
      <c r="GF385" s="3" t="s">
        <v>56</v>
      </c>
      <c r="GG385" s="3" t="s">
        <v>21</v>
      </c>
      <c r="GH385" s="3" t="s">
        <v>63</v>
      </c>
      <c r="GI385" s="3" t="s">
        <v>62</v>
      </c>
      <c r="GJ385" s="9" t="str">
        <f t="shared" si="917"/>
        <v>Irak</v>
      </c>
      <c r="GK385" s="9" t="str">
        <f t="shared" si="917"/>
        <v>Iran</v>
      </c>
      <c r="GL385" s="9" t="str">
        <f t="shared" si="917"/>
        <v>Qatar</v>
      </c>
      <c r="GM385" s="9" t="str">
        <f t="shared" si="917"/>
        <v>Haiti</v>
      </c>
      <c r="GN385" s="9" t="str">
        <f t="shared" si="918"/>
        <v>Sydkorea</v>
      </c>
      <c r="GO385" s="9" t="str">
        <f t="shared" si="918"/>
        <v>Sverige</v>
      </c>
      <c r="GP385" s="9" t="str">
        <f t="shared" si="918"/>
        <v>Ghana</v>
      </c>
      <c r="GQ385" s="9" t="str">
        <f t="shared" si="918"/>
        <v>Uzbekistan</v>
      </c>
      <c r="GR385" s="9" t="str">
        <f t="shared" si="915"/>
        <v/>
      </c>
    </row>
    <row r="386" spans="182:200" ht="14.25" customHeight="1" x14ac:dyDescent="0.25">
      <c r="FZ386" s="79">
        <v>384</v>
      </c>
      <c r="GA386" s="3" t="str">
        <f t="shared" si="914"/>
        <v>CJBFAGLI</v>
      </c>
      <c r="GB386" s="3" t="s">
        <v>75</v>
      </c>
      <c r="GC386" s="3" t="s">
        <v>69</v>
      </c>
      <c r="GD386" s="3" t="s">
        <v>57</v>
      </c>
      <c r="GE386" s="3" t="s">
        <v>21</v>
      </c>
      <c r="GF386" s="3" t="s">
        <v>56</v>
      </c>
      <c r="GG386" s="3" t="s">
        <v>60</v>
      </c>
      <c r="GH386" s="3" t="s">
        <v>63</v>
      </c>
      <c r="GI386" s="3" t="s">
        <v>61</v>
      </c>
      <c r="GJ386" s="9" t="str">
        <f t="shared" si="917"/>
        <v>Haiti</v>
      </c>
      <c r="GK386" s="9" t="str">
        <f t="shared" si="917"/>
        <v>Österrike</v>
      </c>
      <c r="GL386" s="9" t="str">
        <f t="shared" si="917"/>
        <v>Qatar</v>
      </c>
      <c r="GM386" s="9" t="str">
        <f t="shared" si="917"/>
        <v>Sverige</v>
      </c>
      <c r="GN386" s="9" t="str">
        <f t="shared" si="918"/>
        <v>Sydkorea</v>
      </c>
      <c r="GO386" s="9" t="str">
        <f t="shared" si="918"/>
        <v>Iran</v>
      </c>
      <c r="GP386" s="9" t="str">
        <f t="shared" si="918"/>
        <v>Ghana</v>
      </c>
      <c r="GQ386" s="9" t="str">
        <f t="shared" si="918"/>
        <v>Irak</v>
      </c>
      <c r="GR386" s="9" t="str">
        <f t="shared" si="915"/>
        <v/>
      </c>
    </row>
    <row r="387" spans="182:200" ht="14.25" customHeight="1" x14ac:dyDescent="0.25">
      <c r="FZ387" s="79">
        <v>385</v>
      </c>
      <c r="GA387" s="3" t="str">
        <f t="shared" si="914"/>
        <v>CJBFAGIK</v>
      </c>
      <c r="GB387" s="3" t="s">
        <v>75</v>
      </c>
      <c r="GC387" s="3" t="s">
        <v>69</v>
      </c>
      <c r="GD387" s="3" t="s">
        <v>57</v>
      </c>
      <c r="GE387" s="3" t="s">
        <v>21</v>
      </c>
      <c r="GF387" s="3" t="s">
        <v>56</v>
      </c>
      <c r="GG387" s="3" t="s">
        <v>60</v>
      </c>
      <c r="GH387" s="3" t="s">
        <v>61</v>
      </c>
      <c r="GI387" s="3" t="s">
        <v>62</v>
      </c>
      <c r="GJ387" s="9" t="str">
        <f t="shared" si="917"/>
        <v>Haiti</v>
      </c>
      <c r="GK387" s="9" t="str">
        <f t="shared" si="917"/>
        <v>Österrike</v>
      </c>
      <c r="GL387" s="9" t="str">
        <f t="shared" si="917"/>
        <v>Qatar</v>
      </c>
      <c r="GM387" s="9" t="str">
        <f t="shared" si="917"/>
        <v>Sverige</v>
      </c>
      <c r="GN387" s="9" t="str">
        <f t="shared" si="918"/>
        <v>Sydkorea</v>
      </c>
      <c r="GO387" s="9" t="str">
        <f t="shared" si="918"/>
        <v>Iran</v>
      </c>
      <c r="GP387" s="9" t="str">
        <f t="shared" si="918"/>
        <v>Irak</v>
      </c>
      <c r="GQ387" s="9" t="str">
        <f t="shared" si="918"/>
        <v>Uzbekistan</v>
      </c>
      <c r="GR387" s="9" t="str">
        <f t="shared" si="915"/>
        <v/>
      </c>
    </row>
    <row r="388" spans="182:200" ht="14.25" customHeight="1" x14ac:dyDescent="0.25">
      <c r="FZ388" s="79">
        <v>386</v>
      </c>
      <c r="GA388" s="3" t="str">
        <f t="shared" si="914"/>
        <v>HGBCAFLK</v>
      </c>
      <c r="GB388" s="3" t="s">
        <v>70</v>
      </c>
      <c r="GC388" s="3" t="s">
        <v>60</v>
      </c>
      <c r="GD388" s="3" t="s">
        <v>57</v>
      </c>
      <c r="GE388" s="3" t="s">
        <v>75</v>
      </c>
      <c r="GF388" s="3" t="s">
        <v>56</v>
      </c>
      <c r="GG388" s="3" t="s">
        <v>21</v>
      </c>
      <c r="GH388" s="3" t="s">
        <v>63</v>
      </c>
      <c r="GI388" s="3" t="s">
        <v>62</v>
      </c>
      <c r="GJ388" s="9" t="str">
        <f t="shared" si="917"/>
        <v>Saudiarabien</v>
      </c>
      <c r="GK388" s="9" t="str">
        <f t="shared" si="917"/>
        <v>Iran</v>
      </c>
      <c r="GL388" s="9" t="str">
        <f t="shared" si="917"/>
        <v>Qatar</v>
      </c>
      <c r="GM388" s="9" t="str">
        <f t="shared" si="917"/>
        <v>Haiti</v>
      </c>
      <c r="GN388" s="9" t="str">
        <f t="shared" si="918"/>
        <v>Sydkorea</v>
      </c>
      <c r="GO388" s="9" t="str">
        <f t="shared" si="918"/>
        <v>Sverige</v>
      </c>
      <c r="GP388" s="9" t="str">
        <f t="shared" si="918"/>
        <v>Ghana</v>
      </c>
      <c r="GQ388" s="9" t="str">
        <f t="shared" si="918"/>
        <v>Uzbekistan</v>
      </c>
      <c r="GR388" s="9" t="str">
        <f t="shared" si="915"/>
        <v/>
      </c>
    </row>
    <row r="389" spans="182:200" ht="14.25" customHeight="1" x14ac:dyDescent="0.25">
      <c r="FZ389" s="79">
        <v>387</v>
      </c>
      <c r="GA389" s="3" t="str">
        <f t="shared" ref="GA389:GA452" si="919">GB389&amp;GC389&amp;GD389&amp;GE389&amp;GF389&amp;GG389&amp;GH389&amp;GI389</f>
        <v>HGBCAFLJ</v>
      </c>
      <c r="GB389" s="3" t="s">
        <v>70</v>
      </c>
      <c r="GC389" s="3" t="s">
        <v>60</v>
      </c>
      <c r="GD389" s="3" t="s">
        <v>57</v>
      </c>
      <c r="GE389" s="3" t="s">
        <v>75</v>
      </c>
      <c r="GF389" s="3" t="s">
        <v>56</v>
      </c>
      <c r="GG389" s="3" t="s">
        <v>21</v>
      </c>
      <c r="GH389" s="3" t="s">
        <v>63</v>
      </c>
      <c r="GI389" s="3" t="s">
        <v>69</v>
      </c>
      <c r="GJ389" s="9" t="str">
        <f t="shared" si="917"/>
        <v>Saudiarabien</v>
      </c>
      <c r="GK389" s="9" t="str">
        <f t="shared" si="917"/>
        <v>Iran</v>
      </c>
      <c r="GL389" s="9" t="str">
        <f t="shared" si="917"/>
        <v>Qatar</v>
      </c>
      <c r="GM389" s="9" t="str">
        <f t="shared" si="917"/>
        <v>Haiti</v>
      </c>
      <c r="GN389" s="9" t="str">
        <f t="shared" si="918"/>
        <v>Sydkorea</v>
      </c>
      <c r="GO389" s="9" t="str">
        <f t="shared" si="918"/>
        <v>Sverige</v>
      </c>
      <c r="GP389" s="9" t="str">
        <f t="shared" si="918"/>
        <v>Ghana</v>
      </c>
      <c r="GQ389" s="9" t="str">
        <f t="shared" si="918"/>
        <v>Österrike</v>
      </c>
      <c r="GR389" s="9" t="str">
        <f t="shared" si="915"/>
        <v/>
      </c>
    </row>
    <row r="390" spans="182:200" ht="14.25" customHeight="1" x14ac:dyDescent="0.25">
      <c r="FZ390" s="79">
        <v>388</v>
      </c>
      <c r="GA390" s="3" t="str">
        <f t="shared" si="919"/>
        <v>HGBCAFJK</v>
      </c>
      <c r="GB390" s="3" t="s">
        <v>70</v>
      </c>
      <c r="GC390" s="3" t="s">
        <v>60</v>
      </c>
      <c r="GD390" s="3" t="s">
        <v>57</v>
      </c>
      <c r="GE390" s="3" t="s">
        <v>75</v>
      </c>
      <c r="GF390" s="3" t="s">
        <v>56</v>
      </c>
      <c r="GG390" s="3" t="s">
        <v>21</v>
      </c>
      <c r="GH390" s="3" t="s">
        <v>69</v>
      </c>
      <c r="GI390" s="3" t="s">
        <v>62</v>
      </c>
      <c r="GJ390" s="9" t="str">
        <f t="shared" si="917"/>
        <v>Saudiarabien</v>
      </c>
      <c r="GK390" s="9" t="str">
        <f t="shared" si="917"/>
        <v>Iran</v>
      </c>
      <c r="GL390" s="9" t="str">
        <f t="shared" si="917"/>
        <v>Qatar</v>
      </c>
      <c r="GM390" s="9" t="str">
        <f t="shared" si="917"/>
        <v>Haiti</v>
      </c>
      <c r="GN390" s="9" t="str">
        <f t="shared" si="918"/>
        <v>Sydkorea</v>
      </c>
      <c r="GO390" s="9" t="str">
        <f t="shared" si="918"/>
        <v>Sverige</v>
      </c>
      <c r="GP390" s="9" t="str">
        <f t="shared" si="918"/>
        <v>Österrike</v>
      </c>
      <c r="GQ390" s="9" t="str">
        <f t="shared" si="918"/>
        <v>Uzbekistan</v>
      </c>
      <c r="GR390" s="9" t="str">
        <f t="shared" ref="GR390:GR453" si="920">IFERROR(IF(AND(VLOOKUP(GB390,$FX$4:$FX$15,1,FALSE)=GB390,VLOOKUP(GC390,$FX$4:$FX$15,1,FALSE)=GC390,VLOOKUP(GD390,$FX$4:$FX$15,1,FALSE)=GD390,VLOOKUP(GE390,$FX$4:$FX$15,1,FALSE)=GE390,VLOOKUP(GF390,$FX$4:$FX$15,1,FALSE)=GF390,VLOOKUP(GG390,$FX$4:$FX$15,1,FALSE)=GG390,VLOOKUP(GH390,$FX$4:$FX$15,1,FALSE)=GH390,VLOOKUP(GI390,$FX$4:$FX$15,1,FALSE)=GI390),FZ390,""),"")</f>
        <v/>
      </c>
    </row>
    <row r="391" spans="182:200" ht="14.25" customHeight="1" x14ac:dyDescent="0.25">
      <c r="FZ391" s="79">
        <v>389</v>
      </c>
      <c r="GA391" s="3" t="str">
        <f t="shared" si="919"/>
        <v>HGBCAFLI</v>
      </c>
      <c r="GB391" s="3" t="s">
        <v>70</v>
      </c>
      <c r="GC391" s="3" t="s">
        <v>60</v>
      </c>
      <c r="GD391" s="3" t="s">
        <v>57</v>
      </c>
      <c r="GE391" s="3" t="s">
        <v>75</v>
      </c>
      <c r="GF391" s="3" t="s">
        <v>56</v>
      </c>
      <c r="GG391" s="3" t="s">
        <v>21</v>
      </c>
      <c r="GH391" s="3" t="s">
        <v>63</v>
      </c>
      <c r="GI391" s="3" t="s">
        <v>61</v>
      </c>
      <c r="GJ391" s="9" t="str">
        <f t="shared" si="917"/>
        <v>Saudiarabien</v>
      </c>
      <c r="GK391" s="9" t="str">
        <f t="shared" si="917"/>
        <v>Iran</v>
      </c>
      <c r="GL391" s="9" t="str">
        <f t="shared" si="917"/>
        <v>Qatar</v>
      </c>
      <c r="GM391" s="9" t="str">
        <f t="shared" si="917"/>
        <v>Haiti</v>
      </c>
      <c r="GN391" s="9" t="str">
        <f t="shared" si="918"/>
        <v>Sydkorea</v>
      </c>
      <c r="GO391" s="9" t="str">
        <f t="shared" si="918"/>
        <v>Sverige</v>
      </c>
      <c r="GP391" s="9" t="str">
        <f t="shared" si="918"/>
        <v>Ghana</v>
      </c>
      <c r="GQ391" s="9" t="str">
        <f t="shared" si="918"/>
        <v>Irak</v>
      </c>
      <c r="GR391" s="9" t="str">
        <f t="shared" si="920"/>
        <v/>
      </c>
    </row>
    <row r="392" spans="182:200" ht="14.25" customHeight="1" x14ac:dyDescent="0.25">
      <c r="FZ392" s="79">
        <v>390</v>
      </c>
      <c r="GA392" s="3" t="str">
        <f t="shared" si="919"/>
        <v>HGBCAFIK</v>
      </c>
      <c r="GB392" s="3" t="s">
        <v>70</v>
      </c>
      <c r="GC392" s="3" t="s">
        <v>60</v>
      </c>
      <c r="GD392" s="3" t="s">
        <v>57</v>
      </c>
      <c r="GE392" s="3" t="s">
        <v>75</v>
      </c>
      <c r="GF392" s="3" t="s">
        <v>56</v>
      </c>
      <c r="GG392" s="3" t="s">
        <v>21</v>
      </c>
      <c r="GH392" s="3" t="s">
        <v>61</v>
      </c>
      <c r="GI392" s="3" t="s">
        <v>62</v>
      </c>
      <c r="GJ392" s="9" t="str">
        <f t="shared" si="917"/>
        <v>Saudiarabien</v>
      </c>
      <c r="GK392" s="9" t="str">
        <f t="shared" si="917"/>
        <v>Iran</v>
      </c>
      <c r="GL392" s="9" t="str">
        <f t="shared" si="917"/>
        <v>Qatar</v>
      </c>
      <c r="GM392" s="9" t="str">
        <f t="shared" si="917"/>
        <v>Haiti</v>
      </c>
      <c r="GN392" s="9" t="str">
        <f t="shared" si="918"/>
        <v>Sydkorea</v>
      </c>
      <c r="GO392" s="9" t="str">
        <f t="shared" si="918"/>
        <v>Sverige</v>
      </c>
      <c r="GP392" s="9" t="str">
        <f t="shared" si="918"/>
        <v>Irak</v>
      </c>
      <c r="GQ392" s="9" t="str">
        <f t="shared" si="918"/>
        <v>Uzbekistan</v>
      </c>
      <c r="GR392" s="9" t="str">
        <f t="shared" si="920"/>
        <v/>
      </c>
    </row>
    <row r="393" spans="182:200" ht="14.25" customHeight="1" x14ac:dyDescent="0.25">
      <c r="FZ393" s="79">
        <v>391</v>
      </c>
      <c r="GA393" s="3" t="str">
        <f t="shared" si="919"/>
        <v>HGBCAFIJ</v>
      </c>
      <c r="GB393" s="3" t="s">
        <v>70</v>
      </c>
      <c r="GC393" s="3" t="s">
        <v>60</v>
      </c>
      <c r="GD393" s="3" t="s">
        <v>57</v>
      </c>
      <c r="GE393" s="3" t="s">
        <v>75</v>
      </c>
      <c r="GF393" s="3" t="s">
        <v>56</v>
      </c>
      <c r="GG393" s="3" t="s">
        <v>21</v>
      </c>
      <c r="GH393" s="3" t="s">
        <v>61</v>
      </c>
      <c r="GI393" s="3" t="s">
        <v>69</v>
      </c>
      <c r="GJ393" s="9" t="str">
        <f t="shared" si="917"/>
        <v>Saudiarabien</v>
      </c>
      <c r="GK393" s="9" t="str">
        <f t="shared" si="917"/>
        <v>Iran</v>
      </c>
      <c r="GL393" s="9" t="str">
        <f t="shared" si="917"/>
        <v>Qatar</v>
      </c>
      <c r="GM393" s="9" t="str">
        <f t="shared" si="917"/>
        <v>Haiti</v>
      </c>
      <c r="GN393" s="9" t="str">
        <f t="shared" si="918"/>
        <v>Sydkorea</v>
      </c>
      <c r="GO393" s="9" t="str">
        <f t="shared" si="918"/>
        <v>Sverige</v>
      </c>
      <c r="GP393" s="9" t="str">
        <f t="shared" si="918"/>
        <v>Irak</v>
      </c>
      <c r="GQ393" s="9" t="str">
        <f t="shared" si="918"/>
        <v>Österrike</v>
      </c>
      <c r="GR393" s="9" t="str">
        <f t="shared" si="920"/>
        <v/>
      </c>
    </row>
    <row r="394" spans="182:200" ht="14.25" customHeight="1" x14ac:dyDescent="0.25">
      <c r="FZ394" s="79">
        <v>392</v>
      </c>
      <c r="GA394" s="3" t="str">
        <f t="shared" si="919"/>
        <v>EJBAICLK</v>
      </c>
      <c r="GB394" s="3" t="s">
        <v>59</v>
      </c>
      <c r="GC394" s="3" t="s">
        <v>69</v>
      </c>
      <c r="GD394" s="3" t="s">
        <v>57</v>
      </c>
      <c r="GE394" s="3" t="s">
        <v>56</v>
      </c>
      <c r="GF394" s="3" t="s">
        <v>61</v>
      </c>
      <c r="GG394" s="3" t="s">
        <v>75</v>
      </c>
      <c r="GH394" s="3" t="s">
        <v>63</v>
      </c>
      <c r="GI394" s="3" t="s">
        <v>62</v>
      </c>
      <c r="GJ394" s="9" t="str">
        <f t="shared" si="917"/>
        <v>Elfenbenskusten</v>
      </c>
      <c r="GK394" s="9" t="str">
        <f t="shared" si="917"/>
        <v>Österrike</v>
      </c>
      <c r="GL394" s="9" t="str">
        <f t="shared" si="917"/>
        <v>Qatar</v>
      </c>
      <c r="GM394" s="9" t="str">
        <f t="shared" si="917"/>
        <v>Sydkorea</v>
      </c>
      <c r="GN394" s="9" t="str">
        <f t="shared" si="918"/>
        <v>Irak</v>
      </c>
      <c r="GO394" s="9" t="str">
        <f t="shared" si="918"/>
        <v>Haiti</v>
      </c>
      <c r="GP394" s="9" t="str">
        <f t="shared" si="918"/>
        <v>Ghana</v>
      </c>
      <c r="GQ394" s="9" t="str">
        <f t="shared" si="918"/>
        <v>Uzbekistan</v>
      </c>
      <c r="GR394" s="9" t="str">
        <f t="shared" si="920"/>
        <v/>
      </c>
    </row>
    <row r="395" spans="182:200" ht="14.25" customHeight="1" x14ac:dyDescent="0.25">
      <c r="FZ395" s="79">
        <v>393</v>
      </c>
      <c r="GA395" s="3" t="str">
        <f t="shared" si="919"/>
        <v>EJBCAHLK</v>
      </c>
      <c r="GB395" s="3" t="s">
        <v>59</v>
      </c>
      <c r="GC395" s="3" t="s">
        <v>69</v>
      </c>
      <c r="GD395" s="3" t="s">
        <v>57</v>
      </c>
      <c r="GE395" s="3" t="s">
        <v>75</v>
      </c>
      <c r="GF395" s="3" t="s">
        <v>56</v>
      </c>
      <c r="GG395" s="3" t="s">
        <v>70</v>
      </c>
      <c r="GH395" s="3" t="s">
        <v>63</v>
      </c>
      <c r="GI395" s="3" t="s">
        <v>62</v>
      </c>
      <c r="GJ395" s="9" t="str">
        <f t="shared" si="917"/>
        <v>Elfenbenskusten</v>
      </c>
      <c r="GK395" s="9" t="str">
        <f t="shared" si="917"/>
        <v>Österrike</v>
      </c>
      <c r="GL395" s="9" t="str">
        <f t="shared" si="917"/>
        <v>Qatar</v>
      </c>
      <c r="GM395" s="9" t="str">
        <f t="shared" si="917"/>
        <v>Haiti</v>
      </c>
      <c r="GN395" s="9" t="str">
        <f t="shared" si="918"/>
        <v>Sydkorea</v>
      </c>
      <c r="GO395" s="9" t="str">
        <f t="shared" si="918"/>
        <v>Saudiarabien</v>
      </c>
      <c r="GP395" s="9" t="str">
        <f t="shared" si="918"/>
        <v>Ghana</v>
      </c>
      <c r="GQ395" s="9" t="str">
        <f t="shared" si="918"/>
        <v>Uzbekistan</v>
      </c>
      <c r="GR395" s="9" t="str">
        <f t="shared" si="920"/>
        <v/>
      </c>
    </row>
    <row r="396" spans="182:200" ht="14.25" customHeight="1" x14ac:dyDescent="0.25">
      <c r="FZ396" s="79">
        <v>394</v>
      </c>
      <c r="GA396" s="3" t="str">
        <f t="shared" si="919"/>
        <v>EIBCAHLK</v>
      </c>
      <c r="GB396" s="3" t="s">
        <v>59</v>
      </c>
      <c r="GC396" s="3" t="s">
        <v>61</v>
      </c>
      <c r="GD396" s="3" t="s">
        <v>57</v>
      </c>
      <c r="GE396" s="3" t="s">
        <v>75</v>
      </c>
      <c r="GF396" s="3" t="s">
        <v>56</v>
      </c>
      <c r="GG396" s="3" t="s">
        <v>70</v>
      </c>
      <c r="GH396" s="3" t="s">
        <v>63</v>
      </c>
      <c r="GI396" s="3" t="s">
        <v>62</v>
      </c>
      <c r="GJ396" s="9" t="str">
        <f t="shared" ref="GJ396:GP447" si="921">VLOOKUP(GB396,$FM$3:$FN$15,2,FALSE)</f>
        <v>Elfenbenskusten</v>
      </c>
      <c r="GK396" s="9" t="str">
        <f t="shared" si="921"/>
        <v>Irak</v>
      </c>
      <c r="GL396" s="9" t="str">
        <f t="shared" si="921"/>
        <v>Qatar</v>
      </c>
      <c r="GM396" s="9" t="str">
        <f t="shared" si="921"/>
        <v>Haiti</v>
      </c>
      <c r="GN396" s="9" t="str">
        <f t="shared" si="918"/>
        <v>Sydkorea</v>
      </c>
      <c r="GO396" s="9" t="str">
        <f t="shared" si="918"/>
        <v>Saudiarabien</v>
      </c>
      <c r="GP396" s="9" t="str">
        <f t="shared" si="918"/>
        <v>Ghana</v>
      </c>
      <c r="GQ396" s="9" t="str">
        <f t="shared" si="918"/>
        <v>Uzbekistan</v>
      </c>
      <c r="GR396" s="9" t="str">
        <f t="shared" si="920"/>
        <v/>
      </c>
    </row>
    <row r="397" spans="182:200" ht="14.25" customHeight="1" x14ac:dyDescent="0.25">
      <c r="FZ397" s="79">
        <v>395</v>
      </c>
      <c r="GA397" s="3" t="str">
        <f t="shared" si="919"/>
        <v>EJBCAHLI</v>
      </c>
      <c r="GB397" s="3" t="s">
        <v>59</v>
      </c>
      <c r="GC397" s="3" t="s">
        <v>69</v>
      </c>
      <c r="GD397" s="3" t="s">
        <v>57</v>
      </c>
      <c r="GE397" s="3" t="s">
        <v>75</v>
      </c>
      <c r="GF397" s="3" t="s">
        <v>56</v>
      </c>
      <c r="GG397" s="3" t="s">
        <v>70</v>
      </c>
      <c r="GH397" s="3" t="s">
        <v>63</v>
      </c>
      <c r="GI397" s="3" t="s">
        <v>61</v>
      </c>
      <c r="GJ397" s="9" t="str">
        <f t="shared" si="921"/>
        <v>Elfenbenskusten</v>
      </c>
      <c r="GK397" s="9" t="str">
        <f t="shared" si="921"/>
        <v>Österrike</v>
      </c>
      <c r="GL397" s="9" t="str">
        <f t="shared" si="921"/>
        <v>Qatar</v>
      </c>
      <c r="GM397" s="9" t="str">
        <f t="shared" si="921"/>
        <v>Haiti</v>
      </c>
      <c r="GN397" s="9" t="str">
        <f t="shared" si="918"/>
        <v>Sydkorea</v>
      </c>
      <c r="GO397" s="9" t="str">
        <f t="shared" si="918"/>
        <v>Saudiarabien</v>
      </c>
      <c r="GP397" s="9" t="str">
        <f t="shared" si="918"/>
        <v>Ghana</v>
      </c>
      <c r="GQ397" s="9" t="str">
        <f t="shared" si="918"/>
        <v>Irak</v>
      </c>
      <c r="GR397" s="9" t="str">
        <f t="shared" si="920"/>
        <v/>
      </c>
    </row>
    <row r="398" spans="182:200" ht="14.25" customHeight="1" x14ac:dyDescent="0.25">
      <c r="FZ398" s="79">
        <v>396</v>
      </c>
      <c r="GA398" s="3" t="str">
        <f t="shared" si="919"/>
        <v>EJBCAHIK</v>
      </c>
      <c r="GB398" s="3" t="s">
        <v>59</v>
      </c>
      <c r="GC398" s="3" t="s">
        <v>69</v>
      </c>
      <c r="GD398" s="3" t="s">
        <v>57</v>
      </c>
      <c r="GE398" s="3" t="s">
        <v>75</v>
      </c>
      <c r="GF398" s="3" t="s">
        <v>56</v>
      </c>
      <c r="GG398" s="3" t="s">
        <v>70</v>
      </c>
      <c r="GH398" s="3" t="s">
        <v>61</v>
      </c>
      <c r="GI398" s="3" t="s">
        <v>62</v>
      </c>
      <c r="GJ398" s="9" t="str">
        <f t="shared" si="921"/>
        <v>Elfenbenskusten</v>
      </c>
      <c r="GK398" s="9" t="str">
        <f t="shared" si="921"/>
        <v>Österrike</v>
      </c>
      <c r="GL398" s="9" t="str">
        <f t="shared" si="921"/>
        <v>Qatar</v>
      </c>
      <c r="GM398" s="9" t="str">
        <f t="shared" si="921"/>
        <v>Haiti</v>
      </c>
      <c r="GN398" s="9" t="str">
        <f t="shared" si="918"/>
        <v>Sydkorea</v>
      </c>
      <c r="GO398" s="9" t="str">
        <f t="shared" si="918"/>
        <v>Saudiarabien</v>
      </c>
      <c r="GP398" s="9" t="str">
        <f t="shared" si="918"/>
        <v>Irak</v>
      </c>
      <c r="GQ398" s="9" t="str">
        <f t="shared" si="918"/>
        <v>Uzbekistan</v>
      </c>
      <c r="GR398" s="9" t="str">
        <f t="shared" si="920"/>
        <v/>
      </c>
    </row>
    <row r="399" spans="182:200" ht="14.25" customHeight="1" x14ac:dyDescent="0.25">
      <c r="FZ399" s="79">
        <v>397</v>
      </c>
      <c r="GA399" s="3" t="str">
        <f t="shared" si="919"/>
        <v>EJBCAGLK</v>
      </c>
      <c r="GB399" s="3" t="s">
        <v>59</v>
      </c>
      <c r="GC399" s="3" t="s">
        <v>69</v>
      </c>
      <c r="GD399" s="3" t="s">
        <v>57</v>
      </c>
      <c r="GE399" s="3" t="s">
        <v>75</v>
      </c>
      <c r="GF399" s="3" t="s">
        <v>56</v>
      </c>
      <c r="GG399" s="3" t="s">
        <v>60</v>
      </c>
      <c r="GH399" s="3" t="s">
        <v>63</v>
      </c>
      <c r="GI399" s="3" t="s">
        <v>62</v>
      </c>
      <c r="GJ399" s="9" t="str">
        <f t="shared" si="921"/>
        <v>Elfenbenskusten</v>
      </c>
      <c r="GK399" s="9" t="str">
        <f t="shared" si="921"/>
        <v>Österrike</v>
      </c>
      <c r="GL399" s="9" t="str">
        <f t="shared" si="921"/>
        <v>Qatar</v>
      </c>
      <c r="GM399" s="9" t="str">
        <f t="shared" si="921"/>
        <v>Haiti</v>
      </c>
      <c r="GN399" s="9" t="str">
        <f t="shared" si="918"/>
        <v>Sydkorea</v>
      </c>
      <c r="GO399" s="9" t="str">
        <f t="shared" si="918"/>
        <v>Iran</v>
      </c>
      <c r="GP399" s="9" t="str">
        <f t="shared" si="918"/>
        <v>Ghana</v>
      </c>
      <c r="GQ399" s="9" t="str">
        <f t="shared" si="918"/>
        <v>Uzbekistan</v>
      </c>
      <c r="GR399" s="9" t="str">
        <f t="shared" si="920"/>
        <v/>
      </c>
    </row>
    <row r="400" spans="182:200" ht="14.25" customHeight="1" x14ac:dyDescent="0.25">
      <c r="FZ400" s="79">
        <v>398</v>
      </c>
      <c r="GA400" s="3" t="str">
        <f t="shared" si="919"/>
        <v>EGBAICLK</v>
      </c>
      <c r="GB400" s="3" t="s">
        <v>59</v>
      </c>
      <c r="GC400" s="3" t="s">
        <v>60</v>
      </c>
      <c r="GD400" s="3" t="s">
        <v>57</v>
      </c>
      <c r="GE400" s="3" t="s">
        <v>56</v>
      </c>
      <c r="GF400" s="3" t="s">
        <v>61</v>
      </c>
      <c r="GG400" s="3" t="s">
        <v>75</v>
      </c>
      <c r="GH400" s="3" t="s">
        <v>63</v>
      </c>
      <c r="GI400" s="3" t="s">
        <v>62</v>
      </c>
      <c r="GJ400" s="9" t="str">
        <f t="shared" si="921"/>
        <v>Elfenbenskusten</v>
      </c>
      <c r="GK400" s="9" t="str">
        <f t="shared" si="921"/>
        <v>Iran</v>
      </c>
      <c r="GL400" s="9" t="str">
        <f t="shared" si="921"/>
        <v>Qatar</v>
      </c>
      <c r="GM400" s="9" t="str">
        <f t="shared" si="921"/>
        <v>Sydkorea</v>
      </c>
      <c r="GN400" s="9" t="str">
        <f t="shared" si="918"/>
        <v>Irak</v>
      </c>
      <c r="GO400" s="9" t="str">
        <f t="shared" si="918"/>
        <v>Haiti</v>
      </c>
      <c r="GP400" s="9" t="str">
        <f t="shared" si="918"/>
        <v>Ghana</v>
      </c>
      <c r="GQ400" s="9" t="str">
        <f t="shared" si="918"/>
        <v>Uzbekistan</v>
      </c>
      <c r="GR400" s="9" t="str">
        <f t="shared" si="920"/>
        <v/>
      </c>
    </row>
    <row r="401" spans="182:200" ht="14.25" customHeight="1" x14ac:dyDescent="0.25">
      <c r="FZ401" s="79">
        <v>399</v>
      </c>
      <c r="GA401" s="3" t="str">
        <f t="shared" si="919"/>
        <v>EJBCAGLI</v>
      </c>
      <c r="GB401" s="3" t="s">
        <v>59</v>
      </c>
      <c r="GC401" s="3" t="s">
        <v>69</v>
      </c>
      <c r="GD401" s="3" t="s">
        <v>57</v>
      </c>
      <c r="GE401" s="3" t="s">
        <v>75</v>
      </c>
      <c r="GF401" s="3" t="s">
        <v>56</v>
      </c>
      <c r="GG401" s="3" t="s">
        <v>60</v>
      </c>
      <c r="GH401" s="3" t="s">
        <v>63</v>
      </c>
      <c r="GI401" s="3" t="s">
        <v>61</v>
      </c>
      <c r="GJ401" s="9" t="str">
        <f t="shared" si="921"/>
        <v>Elfenbenskusten</v>
      </c>
      <c r="GK401" s="9" t="str">
        <f t="shared" si="921"/>
        <v>Österrike</v>
      </c>
      <c r="GL401" s="9" t="str">
        <f t="shared" si="921"/>
        <v>Qatar</v>
      </c>
      <c r="GM401" s="9" t="str">
        <f t="shared" si="921"/>
        <v>Haiti</v>
      </c>
      <c r="GN401" s="9" t="str">
        <f t="shared" si="918"/>
        <v>Sydkorea</v>
      </c>
      <c r="GO401" s="9" t="str">
        <f t="shared" si="918"/>
        <v>Iran</v>
      </c>
      <c r="GP401" s="9" t="str">
        <f t="shared" si="918"/>
        <v>Ghana</v>
      </c>
      <c r="GQ401" s="9" t="str">
        <f t="shared" si="918"/>
        <v>Irak</v>
      </c>
      <c r="GR401" s="9" t="str">
        <f t="shared" si="920"/>
        <v/>
      </c>
    </row>
    <row r="402" spans="182:200" ht="14.25" customHeight="1" x14ac:dyDescent="0.25">
      <c r="FZ402" s="79">
        <v>400</v>
      </c>
      <c r="GA402" s="3" t="str">
        <f t="shared" si="919"/>
        <v>EJBCAGIK</v>
      </c>
      <c r="GB402" s="3" t="s">
        <v>59</v>
      </c>
      <c r="GC402" s="3" t="s">
        <v>69</v>
      </c>
      <c r="GD402" s="3" t="s">
        <v>57</v>
      </c>
      <c r="GE402" s="3" t="s">
        <v>75</v>
      </c>
      <c r="GF402" s="3" t="s">
        <v>56</v>
      </c>
      <c r="GG402" s="3" t="s">
        <v>60</v>
      </c>
      <c r="GH402" s="3" t="s">
        <v>61</v>
      </c>
      <c r="GI402" s="3" t="s">
        <v>62</v>
      </c>
      <c r="GJ402" s="9" t="str">
        <f t="shared" si="921"/>
        <v>Elfenbenskusten</v>
      </c>
      <c r="GK402" s="9" t="str">
        <f t="shared" si="921"/>
        <v>Österrike</v>
      </c>
      <c r="GL402" s="9" t="str">
        <f t="shared" si="921"/>
        <v>Qatar</v>
      </c>
      <c r="GM402" s="9" t="str">
        <f t="shared" si="921"/>
        <v>Haiti</v>
      </c>
      <c r="GN402" s="9" t="str">
        <f t="shared" si="918"/>
        <v>Sydkorea</v>
      </c>
      <c r="GO402" s="9" t="str">
        <f t="shared" si="918"/>
        <v>Iran</v>
      </c>
      <c r="GP402" s="9" t="str">
        <f t="shared" si="918"/>
        <v>Irak</v>
      </c>
      <c r="GQ402" s="9" t="str">
        <f t="shared" si="918"/>
        <v>Uzbekistan</v>
      </c>
      <c r="GR402" s="9" t="str">
        <f t="shared" si="920"/>
        <v/>
      </c>
    </row>
    <row r="403" spans="182:200" ht="14.25" customHeight="1" x14ac:dyDescent="0.25">
      <c r="FZ403" s="79">
        <v>401</v>
      </c>
      <c r="GA403" s="3" t="str">
        <f t="shared" si="919"/>
        <v>EGBCAHLK</v>
      </c>
      <c r="GB403" s="3" t="s">
        <v>59</v>
      </c>
      <c r="GC403" s="3" t="s">
        <v>60</v>
      </c>
      <c r="GD403" s="3" t="s">
        <v>57</v>
      </c>
      <c r="GE403" s="3" t="s">
        <v>75</v>
      </c>
      <c r="GF403" s="3" t="s">
        <v>56</v>
      </c>
      <c r="GG403" s="3" t="s">
        <v>70</v>
      </c>
      <c r="GH403" s="3" t="s">
        <v>63</v>
      </c>
      <c r="GI403" s="3" t="s">
        <v>62</v>
      </c>
      <c r="GJ403" s="9" t="str">
        <f t="shared" si="921"/>
        <v>Elfenbenskusten</v>
      </c>
      <c r="GK403" s="9" t="str">
        <f t="shared" si="921"/>
        <v>Iran</v>
      </c>
      <c r="GL403" s="9" t="str">
        <f t="shared" si="921"/>
        <v>Qatar</v>
      </c>
      <c r="GM403" s="9" t="str">
        <f t="shared" si="921"/>
        <v>Haiti</v>
      </c>
      <c r="GN403" s="9" t="str">
        <f t="shared" si="918"/>
        <v>Sydkorea</v>
      </c>
      <c r="GO403" s="9" t="str">
        <f t="shared" si="918"/>
        <v>Saudiarabien</v>
      </c>
      <c r="GP403" s="9" t="str">
        <f t="shared" si="918"/>
        <v>Ghana</v>
      </c>
      <c r="GQ403" s="9" t="str">
        <f t="shared" si="918"/>
        <v>Uzbekistan</v>
      </c>
      <c r="GR403" s="9" t="str">
        <f t="shared" si="920"/>
        <v/>
      </c>
    </row>
    <row r="404" spans="182:200" ht="14.25" customHeight="1" x14ac:dyDescent="0.25">
      <c r="FZ404" s="79">
        <v>402</v>
      </c>
      <c r="GA404" s="3" t="str">
        <f t="shared" si="919"/>
        <v>HJBCAGLE</v>
      </c>
      <c r="GB404" s="3" t="s">
        <v>70</v>
      </c>
      <c r="GC404" s="3" t="s">
        <v>69</v>
      </c>
      <c r="GD404" s="3" t="s">
        <v>57</v>
      </c>
      <c r="GE404" s="3" t="s">
        <v>75</v>
      </c>
      <c r="GF404" s="3" t="s">
        <v>56</v>
      </c>
      <c r="GG404" s="3" t="s">
        <v>60</v>
      </c>
      <c r="GH404" s="3" t="s">
        <v>63</v>
      </c>
      <c r="GI404" s="3" t="s">
        <v>59</v>
      </c>
      <c r="GJ404" s="9" t="str">
        <f t="shared" si="921"/>
        <v>Saudiarabien</v>
      </c>
      <c r="GK404" s="9" t="str">
        <f t="shared" si="921"/>
        <v>Österrike</v>
      </c>
      <c r="GL404" s="9" t="str">
        <f t="shared" si="921"/>
        <v>Qatar</v>
      </c>
      <c r="GM404" s="9" t="str">
        <f t="shared" si="921"/>
        <v>Haiti</v>
      </c>
      <c r="GN404" s="9" t="str">
        <f t="shared" si="918"/>
        <v>Sydkorea</v>
      </c>
      <c r="GO404" s="9" t="str">
        <f t="shared" si="918"/>
        <v>Iran</v>
      </c>
      <c r="GP404" s="9" t="str">
        <f t="shared" si="918"/>
        <v>Ghana</v>
      </c>
      <c r="GQ404" s="9" t="str">
        <f t="shared" si="918"/>
        <v>Elfenbenskusten</v>
      </c>
      <c r="GR404" s="9" t="str">
        <f t="shared" si="920"/>
        <v/>
      </c>
    </row>
    <row r="405" spans="182:200" ht="14.25" customHeight="1" x14ac:dyDescent="0.25">
      <c r="FZ405" s="79">
        <v>403</v>
      </c>
      <c r="GA405" s="3" t="str">
        <f t="shared" si="919"/>
        <v>HJBCAGEK</v>
      </c>
      <c r="GB405" s="3" t="s">
        <v>70</v>
      </c>
      <c r="GC405" s="3" t="s">
        <v>69</v>
      </c>
      <c r="GD405" s="3" t="s">
        <v>57</v>
      </c>
      <c r="GE405" s="3" t="s">
        <v>75</v>
      </c>
      <c r="GF405" s="3" t="s">
        <v>56</v>
      </c>
      <c r="GG405" s="3" t="s">
        <v>60</v>
      </c>
      <c r="GH405" s="3" t="s">
        <v>59</v>
      </c>
      <c r="GI405" s="3" t="s">
        <v>62</v>
      </c>
      <c r="GJ405" s="9" t="str">
        <f t="shared" si="921"/>
        <v>Saudiarabien</v>
      </c>
      <c r="GK405" s="9" t="str">
        <f t="shared" si="921"/>
        <v>Österrike</v>
      </c>
      <c r="GL405" s="9" t="str">
        <f t="shared" si="921"/>
        <v>Qatar</v>
      </c>
      <c r="GM405" s="9" t="str">
        <f t="shared" si="921"/>
        <v>Haiti</v>
      </c>
      <c r="GN405" s="9" t="str">
        <f t="shared" si="918"/>
        <v>Sydkorea</v>
      </c>
      <c r="GO405" s="9" t="str">
        <f t="shared" si="918"/>
        <v>Iran</v>
      </c>
      <c r="GP405" s="9" t="str">
        <f t="shared" si="918"/>
        <v>Elfenbenskusten</v>
      </c>
      <c r="GQ405" s="9" t="str">
        <f t="shared" si="918"/>
        <v>Uzbekistan</v>
      </c>
      <c r="GR405" s="9" t="str">
        <f t="shared" si="920"/>
        <v/>
      </c>
    </row>
    <row r="406" spans="182:200" ht="14.25" customHeight="1" x14ac:dyDescent="0.25">
      <c r="FZ406" s="79">
        <v>404</v>
      </c>
      <c r="GA406" s="3" t="str">
        <f t="shared" si="919"/>
        <v>EGBCAHLI</v>
      </c>
      <c r="GB406" s="3" t="s">
        <v>59</v>
      </c>
      <c r="GC406" s="3" t="s">
        <v>60</v>
      </c>
      <c r="GD406" s="3" t="s">
        <v>57</v>
      </c>
      <c r="GE406" s="3" t="s">
        <v>75</v>
      </c>
      <c r="GF406" s="3" t="s">
        <v>56</v>
      </c>
      <c r="GG406" s="3" t="s">
        <v>70</v>
      </c>
      <c r="GH406" s="3" t="s">
        <v>63</v>
      </c>
      <c r="GI406" s="3" t="s">
        <v>61</v>
      </c>
      <c r="GJ406" s="9" t="str">
        <f t="shared" si="921"/>
        <v>Elfenbenskusten</v>
      </c>
      <c r="GK406" s="9" t="str">
        <f t="shared" si="921"/>
        <v>Iran</v>
      </c>
      <c r="GL406" s="9" t="str">
        <f t="shared" si="921"/>
        <v>Qatar</v>
      </c>
      <c r="GM406" s="9" t="str">
        <f t="shared" si="921"/>
        <v>Haiti</v>
      </c>
      <c r="GN406" s="9" t="str">
        <f t="shared" si="918"/>
        <v>Sydkorea</v>
      </c>
      <c r="GO406" s="9" t="str">
        <f t="shared" si="918"/>
        <v>Saudiarabien</v>
      </c>
      <c r="GP406" s="9" t="str">
        <f t="shared" si="918"/>
        <v>Ghana</v>
      </c>
      <c r="GQ406" s="9" t="str">
        <f t="shared" si="918"/>
        <v>Irak</v>
      </c>
      <c r="GR406" s="9" t="str">
        <f t="shared" si="920"/>
        <v/>
      </c>
    </row>
    <row r="407" spans="182:200" ht="14.25" customHeight="1" x14ac:dyDescent="0.25">
      <c r="FZ407" s="79">
        <v>405</v>
      </c>
      <c r="GA407" s="3" t="str">
        <f t="shared" si="919"/>
        <v>EGBCAHIK</v>
      </c>
      <c r="GB407" s="3" t="s">
        <v>59</v>
      </c>
      <c r="GC407" s="3" t="s">
        <v>60</v>
      </c>
      <c r="GD407" s="3" t="s">
        <v>57</v>
      </c>
      <c r="GE407" s="3" t="s">
        <v>75</v>
      </c>
      <c r="GF407" s="3" t="s">
        <v>56</v>
      </c>
      <c r="GG407" s="3" t="s">
        <v>70</v>
      </c>
      <c r="GH407" s="3" t="s">
        <v>61</v>
      </c>
      <c r="GI407" s="3" t="s">
        <v>62</v>
      </c>
      <c r="GJ407" s="9" t="str">
        <f t="shared" si="921"/>
        <v>Elfenbenskusten</v>
      </c>
      <c r="GK407" s="9" t="str">
        <f t="shared" si="921"/>
        <v>Iran</v>
      </c>
      <c r="GL407" s="9" t="str">
        <f t="shared" si="921"/>
        <v>Qatar</v>
      </c>
      <c r="GM407" s="9" t="str">
        <f t="shared" si="921"/>
        <v>Haiti</v>
      </c>
      <c r="GN407" s="9" t="str">
        <f t="shared" si="918"/>
        <v>Sydkorea</v>
      </c>
      <c r="GO407" s="9" t="str">
        <f t="shared" si="918"/>
        <v>Saudiarabien</v>
      </c>
      <c r="GP407" s="9" t="str">
        <f t="shared" si="918"/>
        <v>Irak</v>
      </c>
      <c r="GQ407" s="9" t="str">
        <f t="shared" si="918"/>
        <v>Uzbekistan</v>
      </c>
      <c r="GR407" s="9" t="str">
        <f t="shared" si="920"/>
        <v/>
      </c>
    </row>
    <row r="408" spans="182:200" ht="14.25" customHeight="1" x14ac:dyDescent="0.25">
      <c r="FZ408" s="79">
        <v>406</v>
      </c>
      <c r="GA408" s="3" t="str">
        <f t="shared" si="919"/>
        <v>HJBCAGEI</v>
      </c>
      <c r="GB408" s="3" t="s">
        <v>70</v>
      </c>
      <c r="GC408" s="3" t="s">
        <v>69</v>
      </c>
      <c r="GD408" s="3" t="s">
        <v>57</v>
      </c>
      <c r="GE408" s="3" t="s">
        <v>75</v>
      </c>
      <c r="GF408" s="3" t="s">
        <v>56</v>
      </c>
      <c r="GG408" s="3" t="s">
        <v>60</v>
      </c>
      <c r="GH408" s="3" t="s">
        <v>59</v>
      </c>
      <c r="GI408" s="3" t="s">
        <v>61</v>
      </c>
      <c r="GJ408" s="9" t="str">
        <f t="shared" si="921"/>
        <v>Saudiarabien</v>
      </c>
      <c r="GK408" s="9" t="str">
        <f t="shared" si="921"/>
        <v>Österrike</v>
      </c>
      <c r="GL408" s="9" t="str">
        <f t="shared" si="921"/>
        <v>Qatar</v>
      </c>
      <c r="GM408" s="9" t="str">
        <f t="shared" si="921"/>
        <v>Haiti</v>
      </c>
      <c r="GN408" s="9" t="str">
        <f t="shared" si="918"/>
        <v>Sydkorea</v>
      </c>
      <c r="GO408" s="9" t="str">
        <f t="shared" si="918"/>
        <v>Iran</v>
      </c>
      <c r="GP408" s="9" t="str">
        <f t="shared" si="918"/>
        <v>Elfenbenskusten</v>
      </c>
      <c r="GQ408" s="9" t="str">
        <f t="shared" si="918"/>
        <v>Irak</v>
      </c>
      <c r="GR408" s="9" t="str">
        <f t="shared" si="920"/>
        <v/>
      </c>
    </row>
    <row r="409" spans="182:200" ht="14.25" customHeight="1" x14ac:dyDescent="0.25">
      <c r="FZ409" s="79">
        <v>407</v>
      </c>
      <c r="GA409" s="3" t="str">
        <f t="shared" si="919"/>
        <v>EJBCAFLK</v>
      </c>
      <c r="GB409" s="3" t="s">
        <v>59</v>
      </c>
      <c r="GC409" s="3" t="s">
        <v>69</v>
      </c>
      <c r="GD409" s="3" t="s">
        <v>57</v>
      </c>
      <c r="GE409" s="3" t="s">
        <v>75</v>
      </c>
      <c r="GF409" s="3" t="s">
        <v>56</v>
      </c>
      <c r="GG409" s="3" t="s">
        <v>21</v>
      </c>
      <c r="GH409" s="3" t="s">
        <v>63</v>
      </c>
      <c r="GI409" s="3" t="s">
        <v>62</v>
      </c>
      <c r="GJ409" s="9" t="str">
        <f t="shared" si="921"/>
        <v>Elfenbenskusten</v>
      </c>
      <c r="GK409" s="9" t="str">
        <f t="shared" si="921"/>
        <v>Österrike</v>
      </c>
      <c r="GL409" s="9" t="str">
        <f t="shared" si="921"/>
        <v>Qatar</v>
      </c>
      <c r="GM409" s="9" t="str">
        <f t="shared" si="921"/>
        <v>Haiti</v>
      </c>
      <c r="GN409" s="9" t="str">
        <f t="shared" si="918"/>
        <v>Sydkorea</v>
      </c>
      <c r="GO409" s="9" t="str">
        <f t="shared" si="918"/>
        <v>Sverige</v>
      </c>
      <c r="GP409" s="9" t="str">
        <f t="shared" si="918"/>
        <v>Ghana</v>
      </c>
      <c r="GQ409" s="9" t="str">
        <f t="shared" si="918"/>
        <v>Uzbekistan</v>
      </c>
      <c r="GR409" s="9" t="str">
        <f t="shared" si="920"/>
        <v/>
      </c>
    </row>
    <row r="410" spans="182:200" ht="14.25" customHeight="1" x14ac:dyDescent="0.25">
      <c r="FZ410" s="79">
        <v>408</v>
      </c>
      <c r="GA410" s="3" t="str">
        <f t="shared" si="919"/>
        <v>EIBCAFLK</v>
      </c>
      <c r="GB410" s="3" t="s">
        <v>59</v>
      </c>
      <c r="GC410" s="3" t="s">
        <v>61</v>
      </c>
      <c r="GD410" s="3" t="s">
        <v>57</v>
      </c>
      <c r="GE410" s="3" t="s">
        <v>75</v>
      </c>
      <c r="GF410" s="3" t="s">
        <v>56</v>
      </c>
      <c r="GG410" s="3" t="s">
        <v>21</v>
      </c>
      <c r="GH410" s="3" t="s">
        <v>63</v>
      </c>
      <c r="GI410" s="3" t="s">
        <v>62</v>
      </c>
      <c r="GJ410" s="9" t="str">
        <f t="shared" si="921"/>
        <v>Elfenbenskusten</v>
      </c>
      <c r="GK410" s="9" t="str">
        <f t="shared" si="921"/>
        <v>Irak</v>
      </c>
      <c r="GL410" s="9" t="str">
        <f t="shared" si="921"/>
        <v>Qatar</v>
      </c>
      <c r="GM410" s="9" t="str">
        <f t="shared" si="921"/>
        <v>Haiti</v>
      </c>
      <c r="GN410" s="9" t="str">
        <f t="shared" si="918"/>
        <v>Sydkorea</v>
      </c>
      <c r="GO410" s="9" t="str">
        <f t="shared" si="918"/>
        <v>Sverige</v>
      </c>
      <c r="GP410" s="9" t="str">
        <f t="shared" si="918"/>
        <v>Ghana</v>
      </c>
      <c r="GQ410" s="9" t="str">
        <f t="shared" si="918"/>
        <v>Uzbekistan</v>
      </c>
      <c r="GR410" s="9" t="str">
        <f t="shared" si="920"/>
        <v/>
      </c>
    </row>
    <row r="411" spans="182:200" ht="14.25" customHeight="1" x14ac:dyDescent="0.25">
      <c r="FZ411" s="79">
        <v>409</v>
      </c>
      <c r="GA411" s="3" t="str">
        <f t="shared" si="919"/>
        <v>EJBCAFLI</v>
      </c>
      <c r="GB411" s="3" t="s">
        <v>59</v>
      </c>
      <c r="GC411" s="3" t="s">
        <v>69</v>
      </c>
      <c r="GD411" s="3" t="s">
        <v>57</v>
      </c>
      <c r="GE411" s="3" t="s">
        <v>75</v>
      </c>
      <c r="GF411" s="3" t="s">
        <v>56</v>
      </c>
      <c r="GG411" s="3" t="s">
        <v>21</v>
      </c>
      <c r="GH411" s="3" t="s">
        <v>63</v>
      </c>
      <c r="GI411" s="3" t="s">
        <v>61</v>
      </c>
      <c r="GJ411" s="9" t="str">
        <f t="shared" si="921"/>
        <v>Elfenbenskusten</v>
      </c>
      <c r="GK411" s="9" t="str">
        <f t="shared" si="921"/>
        <v>Österrike</v>
      </c>
      <c r="GL411" s="9" t="str">
        <f t="shared" si="921"/>
        <v>Qatar</v>
      </c>
      <c r="GM411" s="9" t="str">
        <f t="shared" si="921"/>
        <v>Haiti</v>
      </c>
      <c r="GN411" s="9" t="str">
        <f t="shared" si="918"/>
        <v>Sydkorea</v>
      </c>
      <c r="GO411" s="9" t="str">
        <f t="shared" si="918"/>
        <v>Sverige</v>
      </c>
      <c r="GP411" s="9" t="str">
        <f t="shared" si="918"/>
        <v>Ghana</v>
      </c>
      <c r="GQ411" s="9" t="str">
        <f t="shared" si="918"/>
        <v>Irak</v>
      </c>
      <c r="GR411" s="9" t="str">
        <f t="shared" si="920"/>
        <v/>
      </c>
    </row>
    <row r="412" spans="182:200" ht="14.25" customHeight="1" x14ac:dyDescent="0.25">
      <c r="FZ412" s="79">
        <v>410</v>
      </c>
      <c r="GA412" s="3" t="str">
        <f t="shared" si="919"/>
        <v>EJBCAFIK</v>
      </c>
      <c r="GB412" s="3" t="s">
        <v>59</v>
      </c>
      <c r="GC412" s="3" t="s">
        <v>69</v>
      </c>
      <c r="GD412" s="3" t="s">
        <v>57</v>
      </c>
      <c r="GE412" s="3" t="s">
        <v>75</v>
      </c>
      <c r="GF412" s="3" t="s">
        <v>56</v>
      </c>
      <c r="GG412" s="3" t="s">
        <v>21</v>
      </c>
      <c r="GH412" s="3" t="s">
        <v>61</v>
      </c>
      <c r="GI412" s="3" t="s">
        <v>62</v>
      </c>
      <c r="GJ412" s="9" t="str">
        <f t="shared" si="921"/>
        <v>Elfenbenskusten</v>
      </c>
      <c r="GK412" s="9" t="str">
        <f t="shared" si="921"/>
        <v>Österrike</v>
      </c>
      <c r="GL412" s="9" t="str">
        <f t="shared" si="921"/>
        <v>Qatar</v>
      </c>
      <c r="GM412" s="9" t="str">
        <f t="shared" si="921"/>
        <v>Haiti</v>
      </c>
      <c r="GN412" s="9" t="str">
        <f t="shared" si="918"/>
        <v>Sydkorea</v>
      </c>
      <c r="GO412" s="9" t="str">
        <f t="shared" si="918"/>
        <v>Sverige</v>
      </c>
      <c r="GP412" s="9" t="str">
        <f t="shared" si="918"/>
        <v>Irak</v>
      </c>
      <c r="GQ412" s="9" t="str">
        <f t="shared" si="918"/>
        <v>Uzbekistan</v>
      </c>
      <c r="GR412" s="9" t="str">
        <f t="shared" si="920"/>
        <v/>
      </c>
    </row>
    <row r="413" spans="182:200" ht="14.25" customHeight="1" x14ac:dyDescent="0.25">
      <c r="FZ413" s="79">
        <v>411</v>
      </c>
      <c r="GA413" s="3" t="str">
        <f t="shared" si="919"/>
        <v>HEBCAFLK</v>
      </c>
      <c r="GB413" s="3" t="s">
        <v>70</v>
      </c>
      <c r="GC413" s="3" t="s">
        <v>59</v>
      </c>
      <c r="GD413" s="3" t="s">
        <v>57</v>
      </c>
      <c r="GE413" s="3" t="s">
        <v>75</v>
      </c>
      <c r="GF413" s="3" t="s">
        <v>56</v>
      </c>
      <c r="GG413" s="3" t="s">
        <v>21</v>
      </c>
      <c r="GH413" s="3" t="s">
        <v>63</v>
      </c>
      <c r="GI413" s="3" t="s">
        <v>62</v>
      </c>
      <c r="GJ413" s="9" t="str">
        <f t="shared" si="921"/>
        <v>Saudiarabien</v>
      </c>
      <c r="GK413" s="9" t="str">
        <f t="shared" si="921"/>
        <v>Elfenbenskusten</v>
      </c>
      <c r="GL413" s="9" t="str">
        <f t="shared" si="921"/>
        <v>Qatar</v>
      </c>
      <c r="GM413" s="9" t="str">
        <f t="shared" si="921"/>
        <v>Haiti</v>
      </c>
      <c r="GN413" s="9" t="str">
        <f t="shared" si="918"/>
        <v>Sydkorea</v>
      </c>
      <c r="GO413" s="9" t="str">
        <f t="shared" si="918"/>
        <v>Sverige</v>
      </c>
      <c r="GP413" s="9" t="str">
        <f t="shared" si="918"/>
        <v>Ghana</v>
      </c>
      <c r="GQ413" s="9" t="str">
        <f t="shared" si="918"/>
        <v>Uzbekistan</v>
      </c>
      <c r="GR413" s="9" t="str">
        <f t="shared" si="920"/>
        <v/>
      </c>
    </row>
    <row r="414" spans="182:200" ht="14.25" customHeight="1" x14ac:dyDescent="0.25">
      <c r="FZ414" s="79">
        <v>412</v>
      </c>
      <c r="GA414" s="3" t="str">
        <f t="shared" si="919"/>
        <v>HJBCAFLE</v>
      </c>
      <c r="GB414" s="3" t="s">
        <v>70</v>
      </c>
      <c r="GC414" s="3" t="s">
        <v>69</v>
      </c>
      <c r="GD414" s="3" t="s">
        <v>57</v>
      </c>
      <c r="GE414" s="3" t="s">
        <v>75</v>
      </c>
      <c r="GF414" s="3" t="s">
        <v>56</v>
      </c>
      <c r="GG414" s="3" t="s">
        <v>21</v>
      </c>
      <c r="GH414" s="3" t="s">
        <v>63</v>
      </c>
      <c r="GI414" s="3" t="s">
        <v>59</v>
      </c>
      <c r="GJ414" s="9" t="str">
        <f t="shared" si="921"/>
        <v>Saudiarabien</v>
      </c>
      <c r="GK414" s="9" t="str">
        <f t="shared" si="921"/>
        <v>Österrike</v>
      </c>
      <c r="GL414" s="9" t="str">
        <f t="shared" si="921"/>
        <v>Qatar</v>
      </c>
      <c r="GM414" s="9" t="str">
        <f t="shared" si="921"/>
        <v>Haiti</v>
      </c>
      <c r="GN414" s="9" t="str">
        <f t="shared" si="918"/>
        <v>Sydkorea</v>
      </c>
      <c r="GO414" s="9" t="str">
        <f t="shared" si="918"/>
        <v>Sverige</v>
      </c>
      <c r="GP414" s="9" t="str">
        <f t="shared" si="918"/>
        <v>Ghana</v>
      </c>
      <c r="GQ414" s="9" t="str">
        <f t="shared" si="918"/>
        <v>Elfenbenskusten</v>
      </c>
      <c r="GR414" s="9" t="str">
        <f t="shared" si="920"/>
        <v/>
      </c>
    </row>
    <row r="415" spans="182:200" ht="14.25" customHeight="1" x14ac:dyDescent="0.25">
      <c r="FZ415" s="79">
        <v>413</v>
      </c>
      <c r="GA415" s="3" t="str">
        <f t="shared" si="919"/>
        <v>HJBCAFEK</v>
      </c>
      <c r="GB415" s="3" t="s">
        <v>70</v>
      </c>
      <c r="GC415" s="3" t="s">
        <v>69</v>
      </c>
      <c r="GD415" s="3" t="s">
        <v>57</v>
      </c>
      <c r="GE415" s="3" t="s">
        <v>75</v>
      </c>
      <c r="GF415" s="3" t="s">
        <v>56</v>
      </c>
      <c r="GG415" s="3" t="s">
        <v>21</v>
      </c>
      <c r="GH415" s="3" t="s">
        <v>59</v>
      </c>
      <c r="GI415" s="3" t="s">
        <v>62</v>
      </c>
      <c r="GJ415" s="9" t="str">
        <f t="shared" si="921"/>
        <v>Saudiarabien</v>
      </c>
      <c r="GK415" s="9" t="str">
        <f t="shared" si="921"/>
        <v>Österrike</v>
      </c>
      <c r="GL415" s="9" t="str">
        <f t="shared" si="921"/>
        <v>Qatar</v>
      </c>
      <c r="GM415" s="9" t="str">
        <f t="shared" si="921"/>
        <v>Haiti</v>
      </c>
      <c r="GN415" s="9" t="str">
        <f t="shared" si="918"/>
        <v>Sydkorea</v>
      </c>
      <c r="GO415" s="9" t="str">
        <f t="shared" si="918"/>
        <v>Sverige</v>
      </c>
      <c r="GP415" s="9" t="str">
        <f t="shared" si="918"/>
        <v>Elfenbenskusten</v>
      </c>
      <c r="GQ415" s="9" t="str">
        <f t="shared" si="918"/>
        <v>Uzbekistan</v>
      </c>
      <c r="GR415" s="9" t="str">
        <f t="shared" si="920"/>
        <v/>
      </c>
    </row>
    <row r="416" spans="182:200" ht="14.25" customHeight="1" x14ac:dyDescent="0.25">
      <c r="FZ416" s="79">
        <v>414</v>
      </c>
      <c r="GA416" s="3" t="str">
        <f t="shared" si="919"/>
        <v>HEBCAFLI</v>
      </c>
      <c r="GB416" s="3" t="s">
        <v>70</v>
      </c>
      <c r="GC416" s="3" t="s">
        <v>59</v>
      </c>
      <c r="GD416" s="3" t="s">
        <v>57</v>
      </c>
      <c r="GE416" s="3" t="s">
        <v>75</v>
      </c>
      <c r="GF416" s="3" t="s">
        <v>56</v>
      </c>
      <c r="GG416" s="3" t="s">
        <v>21</v>
      </c>
      <c r="GH416" s="3" t="s">
        <v>63</v>
      </c>
      <c r="GI416" s="3" t="s">
        <v>61</v>
      </c>
      <c r="GJ416" s="9" t="str">
        <f t="shared" si="921"/>
        <v>Saudiarabien</v>
      </c>
      <c r="GK416" s="9" t="str">
        <f t="shared" si="921"/>
        <v>Elfenbenskusten</v>
      </c>
      <c r="GL416" s="9" t="str">
        <f t="shared" si="921"/>
        <v>Qatar</v>
      </c>
      <c r="GM416" s="9" t="str">
        <f t="shared" si="921"/>
        <v>Haiti</v>
      </c>
      <c r="GN416" s="9" t="str">
        <f t="shared" si="918"/>
        <v>Sydkorea</v>
      </c>
      <c r="GO416" s="9" t="str">
        <f t="shared" si="918"/>
        <v>Sverige</v>
      </c>
      <c r="GP416" s="9" t="str">
        <f t="shared" si="918"/>
        <v>Ghana</v>
      </c>
      <c r="GQ416" s="9" t="str">
        <f t="shared" si="918"/>
        <v>Irak</v>
      </c>
      <c r="GR416" s="9" t="str">
        <f t="shared" si="920"/>
        <v/>
      </c>
    </row>
    <row r="417" spans="182:200" ht="14.25" customHeight="1" x14ac:dyDescent="0.25">
      <c r="FZ417" s="79">
        <v>415</v>
      </c>
      <c r="GA417" s="3" t="str">
        <f t="shared" si="919"/>
        <v>HEBCAFIK</v>
      </c>
      <c r="GB417" s="3" t="s">
        <v>70</v>
      </c>
      <c r="GC417" s="3" t="s">
        <v>59</v>
      </c>
      <c r="GD417" s="3" t="s">
        <v>57</v>
      </c>
      <c r="GE417" s="3" t="s">
        <v>75</v>
      </c>
      <c r="GF417" s="3" t="s">
        <v>56</v>
      </c>
      <c r="GG417" s="3" t="s">
        <v>21</v>
      </c>
      <c r="GH417" s="3" t="s">
        <v>61</v>
      </c>
      <c r="GI417" s="3" t="s">
        <v>62</v>
      </c>
      <c r="GJ417" s="9" t="str">
        <f t="shared" si="921"/>
        <v>Saudiarabien</v>
      </c>
      <c r="GK417" s="9" t="str">
        <f t="shared" si="921"/>
        <v>Elfenbenskusten</v>
      </c>
      <c r="GL417" s="9" t="str">
        <f t="shared" si="921"/>
        <v>Qatar</v>
      </c>
      <c r="GM417" s="9" t="str">
        <f t="shared" si="921"/>
        <v>Haiti</v>
      </c>
      <c r="GN417" s="9" t="str">
        <f t="shared" si="918"/>
        <v>Sydkorea</v>
      </c>
      <c r="GO417" s="9" t="str">
        <f t="shared" si="918"/>
        <v>Sverige</v>
      </c>
      <c r="GP417" s="9" t="str">
        <f t="shared" si="918"/>
        <v>Irak</v>
      </c>
      <c r="GQ417" s="9" t="str">
        <f t="shared" si="918"/>
        <v>Uzbekistan</v>
      </c>
      <c r="GR417" s="9" t="str">
        <f t="shared" si="920"/>
        <v/>
      </c>
    </row>
    <row r="418" spans="182:200" ht="14.25" customHeight="1" x14ac:dyDescent="0.25">
      <c r="FZ418" s="79">
        <v>416</v>
      </c>
      <c r="GA418" s="3" t="str">
        <f t="shared" si="919"/>
        <v>HJBCAFEI</v>
      </c>
      <c r="GB418" s="3" t="s">
        <v>70</v>
      </c>
      <c r="GC418" s="3" t="s">
        <v>69</v>
      </c>
      <c r="GD418" s="3" t="s">
        <v>57</v>
      </c>
      <c r="GE418" s="3" t="s">
        <v>75</v>
      </c>
      <c r="GF418" s="3" t="s">
        <v>56</v>
      </c>
      <c r="GG418" s="3" t="s">
        <v>21</v>
      </c>
      <c r="GH418" s="3" t="s">
        <v>59</v>
      </c>
      <c r="GI418" s="3" t="s">
        <v>61</v>
      </c>
      <c r="GJ418" s="9" t="str">
        <f t="shared" si="921"/>
        <v>Saudiarabien</v>
      </c>
      <c r="GK418" s="9" t="str">
        <f t="shared" si="921"/>
        <v>Österrike</v>
      </c>
      <c r="GL418" s="9" t="str">
        <f t="shared" si="921"/>
        <v>Qatar</v>
      </c>
      <c r="GM418" s="9" t="str">
        <f t="shared" si="921"/>
        <v>Haiti</v>
      </c>
      <c r="GN418" s="9" t="str">
        <f t="shared" si="918"/>
        <v>Sydkorea</v>
      </c>
      <c r="GO418" s="9" t="str">
        <f t="shared" si="918"/>
        <v>Sverige</v>
      </c>
      <c r="GP418" s="9" t="str">
        <f t="shared" si="918"/>
        <v>Elfenbenskusten</v>
      </c>
      <c r="GQ418" s="9" t="str">
        <f t="shared" si="918"/>
        <v>Irak</v>
      </c>
      <c r="GR418" s="9" t="str">
        <f t="shared" si="920"/>
        <v/>
      </c>
    </row>
    <row r="419" spans="182:200" ht="14.25" customHeight="1" x14ac:dyDescent="0.25">
      <c r="FZ419" s="79">
        <v>417</v>
      </c>
      <c r="GA419" s="3" t="str">
        <f t="shared" si="919"/>
        <v>EGBCAFLK</v>
      </c>
      <c r="GB419" s="3" t="s">
        <v>59</v>
      </c>
      <c r="GC419" s="3" t="s">
        <v>60</v>
      </c>
      <c r="GD419" s="3" t="s">
        <v>57</v>
      </c>
      <c r="GE419" s="3" t="s">
        <v>75</v>
      </c>
      <c r="GF419" s="3" t="s">
        <v>56</v>
      </c>
      <c r="GG419" s="3" t="s">
        <v>21</v>
      </c>
      <c r="GH419" s="3" t="s">
        <v>63</v>
      </c>
      <c r="GI419" s="3" t="s">
        <v>62</v>
      </c>
      <c r="GJ419" s="9" t="str">
        <f t="shared" si="921"/>
        <v>Elfenbenskusten</v>
      </c>
      <c r="GK419" s="9" t="str">
        <f t="shared" si="921"/>
        <v>Iran</v>
      </c>
      <c r="GL419" s="9" t="str">
        <f t="shared" si="921"/>
        <v>Qatar</v>
      </c>
      <c r="GM419" s="9" t="str">
        <f t="shared" si="921"/>
        <v>Haiti</v>
      </c>
      <c r="GN419" s="9" t="str">
        <f t="shared" si="918"/>
        <v>Sydkorea</v>
      </c>
      <c r="GO419" s="9" t="str">
        <f t="shared" si="918"/>
        <v>Sverige</v>
      </c>
      <c r="GP419" s="9" t="str">
        <f t="shared" si="918"/>
        <v>Ghana</v>
      </c>
      <c r="GQ419" s="9" t="str">
        <f t="shared" si="918"/>
        <v>Uzbekistan</v>
      </c>
      <c r="GR419" s="9" t="str">
        <f t="shared" si="920"/>
        <v/>
      </c>
    </row>
    <row r="420" spans="182:200" ht="14.25" customHeight="1" x14ac:dyDescent="0.25">
      <c r="FZ420" s="79">
        <v>418</v>
      </c>
      <c r="GA420" s="3" t="str">
        <f t="shared" si="919"/>
        <v>EGBCAFLJ</v>
      </c>
      <c r="GB420" s="3" t="s">
        <v>59</v>
      </c>
      <c r="GC420" s="3" t="s">
        <v>60</v>
      </c>
      <c r="GD420" s="3" t="s">
        <v>57</v>
      </c>
      <c r="GE420" s="3" t="s">
        <v>75</v>
      </c>
      <c r="GF420" s="3" t="s">
        <v>56</v>
      </c>
      <c r="GG420" s="3" t="s">
        <v>21</v>
      </c>
      <c r="GH420" s="3" t="s">
        <v>63</v>
      </c>
      <c r="GI420" s="3" t="s">
        <v>69</v>
      </c>
      <c r="GJ420" s="9" t="str">
        <f t="shared" si="921"/>
        <v>Elfenbenskusten</v>
      </c>
      <c r="GK420" s="9" t="str">
        <f t="shared" si="921"/>
        <v>Iran</v>
      </c>
      <c r="GL420" s="9" t="str">
        <f t="shared" si="921"/>
        <v>Qatar</v>
      </c>
      <c r="GM420" s="9" t="str">
        <f t="shared" si="921"/>
        <v>Haiti</v>
      </c>
      <c r="GN420" s="9" t="str">
        <f t="shared" si="918"/>
        <v>Sydkorea</v>
      </c>
      <c r="GO420" s="9" t="str">
        <f t="shared" si="918"/>
        <v>Sverige</v>
      </c>
      <c r="GP420" s="9" t="str">
        <f t="shared" si="918"/>
        <v>Ghana</v>
      </c>
      <c r="GQ420" s="9" t="str">
        <f t="shared" si="918"/>
        <v>Österrike</v>
      </c>
      <c r="GR420" s="9" t="str">
        <f t="shared" si="920"/>
        <v/>
      </c>
    </row>
    <row r="421" spans="182:200" ht="14.25" customHeight="1" x14ac:dyDescent="0.25">
      <c r="FZ421" s="79">
        <v>419</v>
      </c>
      <c r="GA421" s="3" t="str">
        <f t="shared" si="919"/>
        <v>EGBCAFJK</v>
      </c>
      <c r="GB421" s="3" t="s">
        <v>59</v>
      </c>
      <c r="GC421" s="3" t="s">
        <v>60</v>
      </c>
      <c r="GD421" s="3" t="s">
        <v>57</v>
      </c>
      <c r="GE421" s="3" t="s">
        <v>75</v>
      </c>
      <c r="GF421" s="3" t="s">
        <v>56</v>
      </c>
      <c r="GG421" s="3" t="s">
        <v>21</v>
      </c>
      <c r="GH421" s="3" t="s">
        <v>69</v>
      </c>
      <c r="GI421" s="3" t="s">
        <v>62</v>
      </c>
      <c r="GJ421" s="9" t="str">
        <f t="shared" si="921"/>
        <v>Elfenbenskusten</v>
      </c>
      <c r="GK421" s="9" t="str">
        <f t="shared" si="921"/>
        <v>Iran</v>
      </c>
      <c r="GL421" s="9" t="str">
        <f t="shared" si="921"/>
        <v>Qatar</v>
      </c>
      <c r="GM421" s="9" t="str">
        <f t="shared" si="921"/>
        <v>Haiti</v>
      </c>
      <c r="GN421" s="9" t="str">
        <f t="shared" si="918"/>
        <v>Sydkorea</v>
      </c>
      <c r="GO421" s="9" t="str">
        <f t="shared" si="918"/>
        <v>Sverige</v>
      </c>
      <c r="GP421" s="9" t="str">
        <f t="shared" si="918"/>
        <v>Österrike</v>
      </c>
      <c r="GQ421" s="9" t="str">
        <f t="shared" si="918"/>
        <v>Uzbekistan</v>
      </c>
      <c r="GR421" s="9" t="str">
        <f t="shared" si="920"/>
        <v/>
      </c>
    </row>
    <row r="422" spans="182:200" ht="14.25" customHeight="1" x14ac:dyDescent="0.25">
      <c r="FZ422" s="79">
        <v>420</v>
      </c>
      <c r="GA422" s="3" t="str">
        <f t="shared" si="919"/>
        <v>EGBCAFLI</v>
      </c>
      <c r="GB422" s="3" t="s">
        <v>59</v>
      </c>
      <c r="GC422" s="3" t="s">
        <v>60</v>
      </c>
      <c r="GD422" s="3" t="s">
        <v>57</v>
      </c>
      <c r="GE422" s="3" t="s">
        <v>75</v>
      </c>
      <c r="GF422" s="3" t="s">
        <v>56</v>
      </c>
      <c r="GG422" s="3" t="s">
        <v>21</v>
      </c>
      <c r="GH422" s="3" t="s">
        <v>63</v>
      </c>
      <c r="GI422" s="3" t="s">
        <v>61</v>
      </c>
      <c r="GJ422" s="9" t="str">
        <f t="shared" si="921"/>
        <v>Elfenbenskusten</v>
      </c>
      <c r="GK422" s="9" t="str">
        <f t="shared" si="921"/>
        <v>Iran</v>
      </c>
      <c r="GL422" s="9" t="str">
        <f t="shared" si="921"/>
        <v>Qatar</v>
      </c>
      <c r="GM422" s="9" t="str">
        <f t="shared" si="921"/>
        <v>Haiti</v>
      </c>
      <c r="GN422" s="9" t="str">
        <f t="shared" si="918"/>
        <v>Sydkorea</v>
      </c>
      <c r="GO422" s="9" t="str">
        <f t="shared" si="918"/>
        <v>Sverige</v>
      </c>
      <c r="GP422" s="9" t="str">
        <f t="shared" si="918"/>
        <v>Ghana</v>
      </c>
      <c r="GQ422" s="9" t="str">
        <f t="shared" si="918"/>
        <v>Irak</v>
      </c>
      <c r="GR422" s="9" t="str">
        <f t="shared" si="920"/>
        <v/>
      </c>
    </row>
    <row r="423" spans="182:200" ht="14.25" customHeight="1" x14ac:dyDescent="0.25">
      <c r="FZ423" s="79">
        <v>421</v>
      </c>
      <c r="GA423" s="3" t="str">
        <f t="shared" si="919"/>
        <v>EGBCAFIK</v>
      </c>
      <c r="GB423" s="3" t="s">
        <v>59</v>
      </c>
      <c r="GC423" s="3" t="s">
        <v>60</v>
      </c>
      <c r="GD423" s="3" t="s">
        <v>57</v>
      </c>
      <c r="GE423" s="3" t="s">
        <v>75</v>
      </c>
      <c r="GF423" s="3" t="s">
        <v>56</v>
      </c>
      <c r="GG423" s="3" t="s">
        <v>21</v>
      </c>
      <c r="GH423" s="3" t="s">
        <v>61</v>
      </c>
      <c r="GI423" s="3" t="s">
        <v>62</v>
      </c>
      <c r="GJ423" s="9" t="str">
        <f t="shared" si="921"/>
        <v>Elfenbenskusten</v>
      </c>
      <c r="GK423" s="9" t="str">
        <f t="shared" si="921"/>
        <v>Iran</v>
      </c>
      <c r="GL423" s="9" t="str">
        <f t="shared" si="921"/>
        <v>Qatar</v>
      </c>
      <c r="GM423" s="9" t="str">
        <f t="shared" si="921"/>
        <v>Haiti</v>
      </c>
      <c r="GN423" s="9" t="str">
        <f t="shared" si="918"/>
        <v>Sydkorea</v>
      </c>
      <c r="GO423" s="9" t="str">
        <f t="shared" si="918"/>
        <v>Sverige</v>
      </c>
      <c r="GP423" s="9" t="str">
        <f t="shared" si="918"/>
        <v>Irak</v>
      </c>
      <c r="GQ423" s="9" t="str">
        <f t="shared" si="918"/>
        <v>Uzbekistan</v>
      </c>
      <c r="GR423" s="9" t="str">
        <f t="shared" si="920"/>
        <v/>
      </c>
    </row>
    <row r="424" spans="182:200" ht="14.25" customHeight="1" x14ac:dyDescent="0.25">
      <c r="FZ424" s="79">
        <v>422</v>
      </c>
      <c r="GA424" s="3" t="str">
        <f t="shared" si="919"/>
        <v>EGBCAFIJ</v>
      </c>
      <c r="GB424" s="3" t="s">
        <v>59</v>
      </c>
      <c r="GC424" s="3" t="s">
        <v>60</v>
      </c>
      <c r="GD424" s="3" t="s">
        <v>57</v>
      </c>
      <c r="GE424" s="3" t="s">
        <v>75</v>
      </c>
      <c r="GF424" s="3" t="s">
        <v>56</v>
      </c>
      <c r="GG424" s="3" t="s">
        <v>21</v>
      </c>
      <c r="GH424" s="3" t="s">
        <v>61</v>
      </c>
      <c r="GI424" s="3" t="s">
        <v>69</v>
      </c>
      <c r="GJ424" s="9" t="str">
        <f t="shared" si="921"/>
        <v>Elfenbenskusten</v>
      </c>
      <c r="GK424" s="9" t="str">
        <f t="shared" si="921"/>
        <v>Iran</v>
      </c>
      <c r="GL424" s="9" t="str">
        <f t="shared" si="921"/>
        <v>Qatar</v>
      </c>
      <c r="GM424" s="9" t="str">
        <f t="shared" si="921"/>
        <v>Haiti</v>
      </c>
      <c r="GN424" s="9" t="str">
        <f t="shared" si="918"/>
        <v>Sydkorea</v>
      </c>
      <c r="GO424" s="9" t="str">
        <f t="shared" si="918"/>
        <v>Sverige</v>
      </c>
      <c r="GP424" s="9" t="str">
        <f t="shared" si="918"/>
        <v>Irak</v>
      </c>
      <c r="GQ424" s="9" t="str">
        <f t="shared" si="918"/>
        <v>Österrike</v>
      </c>
      <c r="GR424" s="9" t="str">
        <f t="shared" si="920"/>
        <v/>
      </c>
    </row>
    <row r="425" spans="182:200" ht="14.25" customHeight="1" x14ac:dyDescent="0.25">
      <c r="FZ425" s="79">
        <v>423</v>
      </c>
      <c r="GA425" s="3" t="str">
        <f t="shared" si="919"/>
        <v>HGBCAFLE</v>
      </c>
      <c r="GB425" s="3" t="s">
        <v>70</v>
      </c>
      <c r="GC425" s="3" t="s">
        <v>60</v>
      </c>
      <c r="GD425" s="3" t="s">
        <v>57</v>
      </c>
      <c r="GE425" s="3" t="s">
        <v>75</v>
      </c>
      <c r="GF425" s="3" t="s">
        <v>56</v>
      </c>
      <c r="GG425" s="3" t="s">
        <v>21</v>
      </c>
      <c r="GH425" s="3" t="s">
        <v>63</v>
      </c>
      <c r="GI425" s="3" t="s">
        <v>59</v>
      </c>
      <c r="GJ425" s="9" t="str">
        <f t="shared" si="921"/>
        <v>Saudiarabien</v>
      </c>
      <c r="GK425" s="9" t="str">
        <f t="shared" si="921"/>
        <v>Iran</v>
      </c>
      <c r="GL425" s="9" t="str">
        <f t="shared" si="921"/>
        <v>Qatar</v>
      </c>
      <c r="GM425" s="9" t="str">
        <f t="shared" si="921"/>
        <v>Haiti</v>
      </c>
      <c r="GN425" s="9" t="str">
        <f t="shared" si="918"/>
        <v>Sydkorea</v>
      </c>
      <c r="GO425" s="9" t="str">
        <f t="shared" si="918"/>
        <v>Sverige</v>
      </c>
      <c r="GP425" s="9" t="str">
        <f t="shared" si="918"/>
        <v>Ghana</v>
      </c>
      <c r="GQ425" s="9" t="str">
        <f t="shared" si="918"/>
        <v>Elfenbenskusten</v>
      </c>
      <c r="GR425" s="9" t="str">
        <f t="shared" si="920"/>
        <v/>
      </c>
    </row>
    <row r="426" spans="182:200" ht="14.25" customHeight="1" x14ac:dyDescent="0.25">
      <c r="FZ426" s="79">
        <v>424</v>
      </c>
      <c r="GA426" s="3" t="str">
        <f t="shared" si="919"/>
        <v>HGBCAFEK</v>
      </c>
      <c r="GB426" s="3" t="s">
        <v>70</v>
      </c>
      <c r="GC426" s="3" t="s">
        <v>60</v>
      </c>
      <c r="GD426" s="3" t="s">
        <v>57</v>
      </c>
      <c r="GE426" s="3" t="s">
        <v>75</v>
      </c>
      <c r="GF426" s="3" t="s">
        <v>56</v>
      </c>
      <c r="GG426" s="3" t="s">
        <v>21</v>
      </c>
      <c r="GH426" s="3" t="s">
        <v>59</v>
      </c>
      <c r="GI426" s="3" t="s">
        <v>62</v>
      </c>
      <c r="GJ426" s="9" t="str">
        <f t="shared" si="921"/>
        <v>Saudiarabien</v>
      </c>
      <c r="GK426" s="9" t="str">
        <f t="shared" si="921"/>
        <v>Iran</v>
      </c>
      <c r="GL426" s="9" t="str">
        <f t="shared" si="921"/>
        <v>Qatar</v>
      </c>
      <c r="GM426" s="9" t="str">
        <f t="shared" si="921"/>
        <v>Haiti</v>
      </c>
      <c r="GN426" s="9" t="str">
        <f t="shared" si="918"/>
        <v>Sydkorea</v>
      </c>
      <c r="GO426" s="9" t="str">
        <f t="shared" si="918"/>
        <v>Sverige</v>
      </c>
      <c r="GP426" s="9" t="str">
        <f t="shared" si="918"/>
        <v>Elfenbenskusten</v>
      </c>
      <c r="GQ426" s="9" t="str">
        <f t="shared" si="918"/>
        <v>Uzbekistan</v>
      </c>
      <c r="GR426" s="9" t="str">
        <f t="shared" si="920"/>
        <v/>
      </c>
    </row>
    <row r="427" spans="182:200" ht="14.25" customHeight="1" x14ac:dyDescent="0.25">
      <c r="FZ427" s="79">
        <v>425</v>
      </c>
      <c r="GA427" s="3" t="str">
        <f t="shared" si="919"/>
        <v>HGBCAFEJ</v>
      </c>
      <c r="GB427" s="3" t="s">
        <v>70</v>
      </c>
      <c r="GC427" s="3" t="s">
        <v>60</v>
      </c>
      <c r="GD427" s="3" t="s">
        <v>57</v>
      </c>
      <c r="GE427" s="3" t="s">
        <v>75</v>
      </c>
      <c r="GF427" s="3" t="s">
        <v>56</v>
      </c>
      <c r="GG427" s="3" t="s">
        <v>21</v>
      </c>
      <c r="GH427" s="3" t="s">
        <v>59</v>
      </c>
      <c r="GI427" s="3" t="s">
        <v>69</v>
      </c>
      <c r="GJ427" s="9" t="str">
        <f t="shared" si="921"/>
        <v>Saudiarabien</v>
      </c>
      <c r="GK427" s="9" t="str">
        <f t="shared" si="921"/>
        <v>Iran</v>
      </c>
      <c r="GL427" s="9" t="str">
        <f t="shared" si="921"/>
        <v>Qatar</v>
      </c>
      <c r="GM427" s="9" t="str">
        <f t="shared" si="921"/>
        <v>Haiti</v>
      </c>
      <c r="GN427" s="9" t="str">
        <f t="shared" si="918"/>
        <v>Sydkorea</v>
      </c>
      <c r="GO427" s="9" t="str">
        <f t="shared" si="918"/>
        <v>Sverige</v>
      </c>
      <c r="GP427" s="9" t="str">
        <f t="shared" si="918"/>
        <v>Elfenbenskusten</v>
      </c>
      <c r="GQ427" s="9" t="str">
        <f t="shared" si="918"/>
        <v>Österrike</v>
      </c>
      <c r="GR427" s="9" t="str">
        <f t="shared" si="920"/>
        <v/>
      </c>
    </row>
    <row r="428" spans="182:200" ht="14.25" customHeight="1" x14ac:dyDescent="0.25">
      <c r="FZ428" s="79">
        <v>426</v>
      </c>
      <c r="GA428" s="3" t="str">
        <f t="shared" si="919"/>
        <v>HGBCAFEI</v>
      </c>
      <c r="GB428" s="3" t="s">
        <v>70</v>
      </c>
      <c r="GC428" s="3" t="s">
        <v>60</v>
      </c>
      <c r="GD428" s="3" t="s">
        <v>57</v>
      </c>
      <c r="GE428" s="3" t="s">
        <v>75</v>
      </c>
      <c r="GF428" s="3" t="s">
        <v>56</v>
      </c>
      <c r="GG428" s="3" t="s">
        <v>21</v>
      </c>
      <c r="GH428" s="3" t="s">
        <v>59</v>
      </c>
      <c r="GI428" s="3" t="s">
        <v>61</v>
      </c>
      <c r="GJ428" s="9" t="str">
        <f t="shared" si="921"/>
        <v>Saudiarabien</v>
      </c>
      <c r="GK428" s="9" t="str">
        <f t="shared" si="921"/>
        <v>Iran</v>
      </c>
      <c r="GL428" s="9" t="str">
        <f t="shared" si="921"/>
        <v>Qatar</v>
      </c>
      <c r="GM428" s="9" t="str">
        <f t="shared" si="921"/>
        <v>Haiti</v>
      </c>
      <c r="GN428" s="9" t="str">
        <f t="shared" si="918"/>
        <v>Sydkorea</v>
      </c>
      <c r="GO428" s="9" t="str">
        <f t="shared" si="918"/>
        <v>Sverige</v>
      </c>
      <c r="GP428" s="9" t="str">
        <f t="shared" si="918"/>
        <v>Elfenbenskusten</v>
      </c>
      <c r="GQ428" s="9" t="str">
        <f t="shared" si="918"/>
        <v>Irak</v>
      </c>
      <c r="GR428" s="9" t="str">
        <f t="shared" si="920"/>
        <v/>
      </c>
    </row>
    <row r="429" spans="182:200" ht="14.25" customHeight="1" x14ac:dyDescent="0.25">
      <c r="FZ429" s="79">
        <v>427</v>
      </c>
      <c r="GA429" s="3" t="str">
        <f t="shared" si="919"/>
        <v>IJBCADLK</v>
      </c>
      <c r="GB429" s="3" t="s">
        <v>61</v>
      </c>
      <c r="GC429" s="3" t="s">
        <v>69</v>
      </c>
      <c r="GD429" s="3" t="s">
        <v>57</v>
      </c>
      <c r="GE429" s="3" t="s">
        <v>75</v>
      </c>
      <c r="GF429" s="3" t="s">
        <v>56</v>
      </c>
      <c r="GG429" s="3" t="s">
        <v>58</v>
      </c>
      <c r="GH429" s="3" t="s">
        <v>63</v>
      </c>
      <c r="GI429" s="3" t="s">
        <v>62</v>
      </c>
      <c r="GJ429" s="9" t="str">
        <f t="shared" si="921"/>
        <v>Irak</v>
      </c>
      <c r="GK429" s="9" t="str">
        <f t="shared" si="921"/>
        <v>Österrike</v>
      </c>
      <c r="GL429" s="9" t="str">
        <f t="shared" si="921"/>
        <v>Qatar</v>
      </c>
      <c r="GM429" s="9" t="str">
        <f t="shared" si="921"/>
        <v>Haiti</v>
      </c>
      <c r="GN429" s="9" t="str">
        <f t="shared" si="918"/>
        <v>Sydkorea</v>
      </c>
      <c r="GO429" s="9" t="str">
        <f t="shared" si="918"/>
        <v>Australien</v>
      </c>
      <c r="GP429" s="9" t="str">
        <f t="shared" si="918"/>
        <v>Ghana</v>
      </c>
      <c r="GQ429" s="9" t="str">
        <f t="shared" si="918"/>
        <v>Uzbekistan</v>
      </c>
      <c r="GR429" s="9" t="str">
        <f t="shared" si="920"/>
        <v/>
      </c>
    </row>
    <row r="430" spans="182:200" ht="14.25" customHeight="1" x14ac:dyDescent="0.25">
      <c r="FZ430" s="79">
        <v>428</v>
      </c>
      <c r="GA430" s="3" t="str">
        <f t="shared" si="919"/>
        <v>HJBCADLK</v>
      </c>
      <c r="GB430" s="3" t="s">
        <v>70</v>
      </c>
      <c r="GC430" s="3" t="s">
        <v>69</v>
      </c>
      <c r="GD430" s="3" t="s">
        <v>57</v>
      </c>
      <c r="GE430" s="3" t="s">
        <v>75</v>
      </c>
      <c r="GF430" s="3" t="s">
        <v>56</v>
      </c>
      <c r="GG430" s="3" t="s">
        <v>58</v>
      </c>
      <c r="GH430" s="3" t="s">
        <v>63</v>
      </c>
      <c r="GI430" s="3" t="s">
        <v>62</v>
      </c>
      <c r="GJ430" s="9" t="str">
        <f t="shared" si="921"/>
        <v>Saudiarabien</v>
      </c>
      <c r="GK430" s="9" t="str">
        <f t="shared" si="921"/>
        <v>Österrike</v>
      </c>
      <c r="GL430" s="9" t="str">
        <f t="shared" si="921"/>
        <v>Qatar</v>
      </c>
      <c r="GM430" s="9" t="str">
        <f t="shared" si="921"/>
        <v>Haiti</v>
      </c>
      <c r="GN430" s="9" t="str">
        <f t="shared" si="918"/>
        <v>Sydkorea</v>
      </c>
      <c r="GO430" s="9" t="str">
        <f t="shared" si="918"/>
        <v>Australien</v>
      </c>
      <c r="GP430" s="9" t="str">
        <f t="shared" si="918"/>
        <v>Ghana</v>
      </c>
      <c r="GQ430" s="9" t="str">
        <f t="shared" ref="GQ430:GQ493" si="922">VLOOKUP(GI430,$FM$3:$FN$15,2,FALSE)</f>
        <v>Uzbekistan</v>
      </c>
      <c r="GR430" s="9" t="str">
        <f t="shared" si="920"/>
        <v/>
      </c>
    </row>
    <row r="431" spans="182:200" ht="14.25" customHeight="1" x14ac:dyDescent="0.25">
      <c r="FZ431" s="79">
        <v>429</v>
      </c>
      <c r="GA431" s="3" t="str">
        <f t="shared" si="919"/>
        <v>HIBCADLK</v>
      </c>
      <c r="GB431" s="3" t="s">
        <v>70</v>
      </c>
      <c r="GC431" s="3" t="s">
        <v>61</v>
      </c>
      <c r="GD431" s="3" t="s">
        <v>57</v>
      </c>
      <c r="GE431" s="3" t="s">
        <v>75</v>
      </c>
      <c r="GF431" s="3" t="s">
        <v>56</v>
      </c>
      <c r="GG431" s="3" t="s">
        <v>58</v>
      </c>
      <c r="GH431" s="3" t="s">
        <v>63</v>
      </c>
      <c r="GI431" s="3" t="s">
        <v>62</v>
      </c>
      <c r="GJ431" s="9" t="str">
        <f t="shared" si="921"/>
        <v>Saudiarabien</v>
      </c>
      <c r="GK431" s="9" t="str">
        <f t="shared" si="921"/>
        <v>Irak</v>
      </c>
      <c r="GL431" s="9" t="str">
        <f t="shared" si="921"/>
        <v>Qatar</v>
      </c>
      <c r="GM431" s="9" t="str">
        <f t="shared" si="921"/>
        <v>Haiti</v>
      </c>
      <c r="GN431" s="9" t="str">
        <f t="shared" si="921"/>
        <v>Sydkorea</v>
      </c>
      <c r="GO431" s="9" t="str">
        <f t="shared" si="921"/>
        <v>Australien</v>
      </c>
      <c r="GP431" s="9" t="str">
        <f t="shared" si="921"/>
        <v>Ghana</v>
      </c>
      <c r="GQ431" s="9" t="str">
        <f t="shared" si="922"/>
        <v>Uzbekistan</v>
      </c>
      <c r="GR431" s="9" t="str">
        <f t="shared" si="920"/>
        <v/>
      </c>
    </row>
    <row r="432" spans="182:200" ht="14.25" customHeight="1" x14ac:dyDescent="0.25">
      <c r="FZ432" s="79">
        <v>430</v>
      </c>
      <c r="GA432" s="3" t="str">
        <f t="shared" si="919"/>
        <v>HJBCADLI</v>
      </c>
      <c r="GB432" s="3" t="s">
        <v>70</v>
      </c>
      <c r="GC432" s="3" t="s">
        <v>69</v>
      </c>
      <c r="GD432" s="3" t="s">
        <v>57</v>
      </c>
      <c r="GE432" s="3" t="s">
        <v>75</v>
      </c>
      <c r="GF432" s="3" t="s">
        <v>56</v>
      </c>
      <c r="GG432" s="3" t="s">
        <v>58</v>
      </c>
      <c r="GH432" s="3" t="s">
        <v>63</v>
      </c>
      <c r="GI432" s="3" t="s">
        <v>61</v>
      </c>
      <c r="GJ432" s="9" t="str">
        <f t="shared" si="921"/>
        <v>Saudiarabien</v>
      </c>
      <c r="GK432" s="9" t="str">
        <f t="shared" si="921"/>
        <v>Österrike</v>
      </c>
      <c r="GL432" s="9" t="str">
        <f t="shared" si="921"/>
        <v>Qatar</v>
      </c>
      <c r="GM432" s="9" t="str">
        <f t="shared" si="921"/>
        <v>Haiti</v>
      </c>
      <c r="GN432" s="9" t="str">
        <f t="shared" si="921"/>
        <v>Sydkorea</v>
      </c>
      <c r="GO432" s="9" t="str">
        <f t="shared" si="921"/>
        <v>Australien</v>
      </c>
      <c r="GP432" s="9" t="str">
        <f t="shared" si="921"/>
        <v>Ghana</v>
      </c>
      <c r="GQ432" s="9" t="str">
        <f t="shared" si="922"/>
        <v>Irak</v>
      </c>
      <c r="GR432" s="9" t="str">
        <f t="shared" si="920"/>
        <v/>
      </c>
    </row>
    <row r="433" spans="182:200" ht="14.25" customHeight="1" x14ac:dyDescent="0.25">
      <c r="FZ433" s="79">
        <v>431</v>
      </c>
      <c r="GA433" s="3" t="str">
        <f t="shared" si="919"/>
        <v>HJBCADIK</v>
      </c>
      <c r="GB433" s="3" t="s">
        <v>70</v>
      </c>
      <c r="GC433" s="3" t="s">
        <v>69</v>
      </c>
      <c r="GD433" s="3" t="s">
        <v>57</v>
      </c>
      <c r="GE433" s="3" t="s">
        <v>75</v>
      </c>
      <c r="GF433" s="3" t="s">
        <v>56</v>
      </c>
      <c r="GG433" s="3" t="s">
        <v>58</v>
      </c>
      <c r="GH433" s="3" t="s">
        <v>61</v>
      </c>
      <c r="GI433" s="3" t="s">
        <v>62</v>
      </c>
      <c r="GJ433" s="9" t="str">
        <f t="shared" si="921"/>
        <v>Saudiarabien</v>
      </c>
      <c r="GK433" s="9" t="str">
        <f t="shared" si="921"/>
        <v>Österrike</v>
      </c>
      <c r="GL433" s="9" t="str">
        <f t="shared" si="921"/>
        <v>Qatar</v>
      </c>
      <c r="GM433" s="9" t="str">
        <f t="shared" si="921"/>
        <v>Haiti</v>
      </c>
      <c r="GN433" s="9" t="str">
        <f t="shared" si="921"/>
        <v>Sydkorea</v>
      </c>
      <c r="GO433" s="9" t="str">
        <f t="shared" si="921"/>
        <v>Australien</v>
      </c>
      <c r="GP433" s="9" t="str">
        <f t="shared" si="921"/>
        <v>Irak</v>
      </c>
      <c r="GQ433" s="9" t="str">
        <f t="shared" si="922"/>
        <v>Uzbekistan</v>
      </c>
      <c r="GR433" s="9" t="str">
        <f t="shared" si="920"/>
        <v/>
      </c>
    </row>
    <row r="434" spans="182:200" ht="14.25" customHeight="1" x14ac:dyDescent="0.25">
      <c r="FZ434" s="79">
        <v>432</v>
      </c>
      <c r="GA434" s="3" t="str">
        <f t="shared" si="919"/>
        <v>CJBDAGLK</v>
      </c>
      <c r="GB434" s="3" t="s">
        <v>75</v>
      </c>
      <c r="GC434" s="3" t="s">
        <v>69</v>
      </c>
      <c r="GD434" s="3" t="s">
        <v>57</v>
      </c>
      <c r="GE434" s="3" t="s">
        <v>58</v>
      </c>
      <c r="GF434" s="3" t="s">
        <v>56</v>
      </c>
      <c r="GG434" s="3" t="s">
        <v>60</v>
      </c>
      <c r="GH434" s="3" t="s">
        <v>63</v>
      </c>
      <c r="GI434" s="3" t="s">
        <v>62</v>
      </c>
      <c r="GJ434" s="9" t="str">
        <f t="shared" si="921"/>
        <v>Haiti</v>
      </c>
      <c r="GK434" s="9" t="str">
        <f t="shared" si="921"/>
        <v>Österrike</v>
      </c>
      <c r="GL434" s="9" t="str">
        <f t="shared" si="921"/>
        <v>Qatar</v>
      </c>
      <c r="GM434" s="9" t="str">
        <f t="shared" si="921"/>
        <v>Australien</v>
      </c>
      <c r="GN434" s="9" t="str">
        <f t="shared" si="921"/>
        <v>Sydkorea</v>
      </c>
      <c r="GO434" s="9" t="str">
        <f t="shared" si="921"/>
        <v>Iran</v>
      </c>
      <c r="GP434" s="9" t="str">
        <f t="shared" si="921"/>
        <v>Ghana</v>
      </c>
      <c r="GQ434" s="9" t="str">
        <f t="shared" si="922"/>
        <v>Uzbekistan</v>
      </c>
      <c r="GR434" s="9" t="str">
        <f t="shared" si="920"/>
        <v/>
      </c>
    </row>
    <row r="435" spans="182:200" ht="14.25" customHeight="1" x14ac:dyDescent="0.25">
      <c r="FZ435" s="79">
        <v>433</v>
      </c>
      <c r="GA435" s="3" t="str">
        <f t="shared" si="919"/>
        <v>IGBCADLK</v>
      </c>
      <c r="GB435" s="3" t="s">
        <v>61</v>
      </c>
      <c r="GC435" s="3" t="s">
        <v>60</v>
      </c>
      <c r="GD435" s="3" t="s">
        <v>57</v>
      </c>
      <c r="GE435" s="3" t="s">
        <v>75</v>
      </c>
      <c r="GF435" s="3" t="s">
        <v>56</v>
      </c>
      <c r="GG435" s="3" t="s">
        <v>58</v>
      </c>
      <c r="GH435" s="3" t="s">
        <v>63</v>
      </c>
      <c r="GI435" s="3" t="s">
        <v>62</v>
      </c>
      <c r="GJ435" s="9" t="str">
        <f t="shared" si="921"/>
        <v>Irak</v>
      </c>
      <c r="GK435" s="9" t="str">
        <f t="shared" si="921"/>
        <v>Iran</v>
      </c>
      <c r="GL435" s="9" t="str">
        <f t="shared" si="921"/>
        <v>Qatar</v>
      </c>
      <c r="GM435" s="9" t="str">
        <f t="shared" si="921"/>
        <v>Haiti</v>
      </c>
      <c r="GN435" s="9" t="str">
        <f t="shared" si="921"/>
        <v>Sydkorea</v>
      </c>
      <c r="GO435" s="9" t="str">
        <f t="shared" si="921"/>
        <v>Australien</v>
      </c>
      <c r="GP435" s="9" t="str">
        <f t="shared" si="921"/>
        <v>Ghana</v>
      </c>
      <c r="GQ435" s="9" t="str">
        <f t="shared" si="922"/>
        <v>Uzbekistan</v>
      </c>
      <c r="GR435" s="9" t="str">
        <f t="shared" si="920"/>
        <v/>
      </c>
    </row>
    <row r="436" spans="182:200" ht="14.25" customHeight="1" x14ac:dyDescent="0.25">
      <c r="FZ436" s="79">
        <v>434</v>
      </c>
      <c r="GA436" s="3" t="str">
        <f t="shared" si="919"/>
        <v>CJBDAGLI</v>
      </c>
      <c r="GB436" s="3" t="s">
        <v>75</v>
      </c>
      <c r="GC436" s="3" t="s">
        <v>69</v>
      </c>
      <c r="GD436" s="3" t="s">
        <v>57</v>
      </c>
      <c r="GE436" s="3" t="s">
        <v>58</v>
      </c>
      <c r="GF436" s="3" t="s">
        <v>56</v>
      </c>
      <c r="GG436" s="3" t="s">
        <v>60</v>
      </c>
      <c r="GH436" s="3" t="s">
        <v>63</v>
      </c>
      <c r="GI436" s="3" t="s">
        <v>61</v>
      </c>
      <c r="GJ436" s="9" t="str">
        <f t="shared" si="921"/>
        <v>Haiti</v>
      </c>
      <c r="GK436" s="9" t="str">
        <f t="shared" si="921"/>
        <v>Österrike</v>
      </c>
      <c r="GL436" s="9" t="str">
        <f t="shared" si="921"/>
        <v>Qatar</v>
      </c>
      <c r="GM436" s="9" t="str">
        <f t="shared" si="921"/>
        <v>Australien</v>
      </c>
      <c r="GN436" s="9" t="str">
        <f t="shared" si="921"/>
        <v>Sydkorea</v>
      </c>
      <c r="GO436" s="9" t="str">
        <f t="shared" si="921"/>
        <v>Iran</v>
      </c>
      <c r="GP436" s="9" t="str">
        <f t="shared" si="921"/>
        <v>Ghana</v>
      </c>
      <c r="GQ436" s="9" t="str">
        <f t="shared" si="922"/>
        <v>Irak</v>
      </c>
      <c r="GR436" s="9" t="str">
        <f t="shared" si="920"/>
        <v/>
      </c>
    </row>
    <row r="437" spans="182:200" ht="14.25" customHeight="1" x14ac:dyDescent="0.25">
      <c r="FZ437" s="79">
        <v>435</v>
      </c>
      <c r="GA437" s="3" t="str">
        <f t="shared" si="919"/>
        <v>CJBDAGIK</v>
      </c>
      <c r="GB437" s="3" t="s">
        <v>75</v>
      </c>
      <c r="GC437" s="3" t="s">
        <v>69</v>
      </c>
      <c r="GD437" s="3" t="s">
        <v>57</v>
      </c>
      <c r="GE437" s="3" t="s">
        <v>58</v>
      </c>
      <c r="GF437" s="3" t="s">
        <v>56</v>
      </c>
      <c r="GG437" s="3" t="s">
        <v>60</v>
      </c>
      <c r="GH437" s="3" t="s">
        <v>61</v>
      </c>
      <c r="GI437" s="3" t="s">
        <v>62</v>
      </c>
      <c r="GJ437" s="9" t="str">
        <f t="shared" si="921"/>
        <v>Haiti</v>
      </c>
      <c r="GK437" s="9" t="str">
        <f t="shared" si="921"/>
        <v>Österrike</v>
      </c>
      <c r="GL437" s="9" t="str">
        <f t="shared" si="921"/>
        <v>Qatar</v>
      </c>
      <c r="GM437" s="9" t="str">
        <f t="shared" si="921"/>
        <v>Australien</v>
      </c>
      <c r="GN437" s="9" t="str">
        <f t="shared" si="921"/>
        <v>Sydkorea</v>
      </c>
      <c r="GO437" s="9" t="str">
        <f t="shared" si="921"/>
        <v>Iran</v>
      </c>
      <c r="GP437" s="9" t="str">
        <f t="shared" si="921"/>
        <v>Irak</v>
      </c>
      <c r="GQ437" s="9" t="str">
        <f t="shared" si="922"/>
        <v>Uzbekistan</v>
      </c>
      <c r="GR437" s="9" t="str">
        <f t="shared" si="920"/>
        <v/>
      </c>
    </row>
    <row r="438" spans="182:200" ht="14.25" customHeight="1" x14ac:dyDescent="0.25">
      <c r="FZ438" s="79">
        <v>436</v>
      </c>
      <c r="GA438" s="3" t="str">
        <f t="shared" si="919"/>
        <v>HGBCADLK</v>
      </c>
      <c r="GB438" s="3" t="s">
        <v>70</v>
      </c>
      <c r="GC438" s="3" t="s">
        <v>60</v>
      </c>
      <c r="GD438" s="3" t="s">
        <v>57</v>
      </c>
      <c r="GE438" s="3" t="s">
        <v>75</v>
      </c>
      <c r="GF438" s="3" t="s">
        <v>56</v>
      </c>
      <c r="GG438" s="3" t="s">
        <v>58</v>
      </c>
      <c r="GH438" s="3" t="s">
        <v>63</v>
      </c>
      <c r="GI438" s="3" t="s">
        <v>62</v>
      </c>
      <c r="GJ438" s="9" t="str">
        <f t="shared" si="921"/>
        <v>Saudiarabien</v>
      </c>
      <c r="GK438" s="9" t="str">
        <f t="shared" si="921"/>
        <v>Iran</v>
      </c>
      <c r="GL438" s="9" t="str">
        <f t="shared" si="921"/>
        <v>Qatar</v>
      </c>
      <c r="GM438" s="9" t="str">
        <f t="shared" si="921"/>
        <v>Haiti</v>
      </c>
      <c r="GN438" s="9" t="str">
        <f t="shared" si="921"/>
        <v>Sydkorea</v>
      </c>
      <c r="GO438" s="9" t="str">
        <f t="shared" si="921"/>
        <v>Australien</v>
      </c>
      <c r="GP438" s="9" t="str">
        <f t="shared" si="921"/>
        <v>Ghana</v>
      </c>
      <c r="GQ438" s="9" t="str">
        <f t="shared" si="922"/>
        <v>Uzbekistan</v>
      </c>
      <c r="GR438" s="9" t="str">
        <f t="shared" si="920"/>
        <v/>
      </c>
    </row>
    <row r="439" spans="182:200" ht="14.25" customHeight="1" x14ac:dyDescent="0.25">
      <c r="FZ439" s="79">
        <v>437</v>
      </c>
      <c r="GA439" s="3" t="str">
        <f t="shared" si="919"/>
        <v>HGBCADLJ</v>
      </c>
      <c r="GB439" s="3" t="s">
        <v>70</v>
      </c>
      <c r="GC439" s="3" t="s">
        <v>60</v>
      </c>
      <c r="GD439" s="3" t="s">
        <v>57</v>
      </c>
      <c r="GE439" s="3" t="s">
        <v>75</v>
      </c>
      <c r="GF439" s="3" t="s">
        <v>56</v>
      </c>
      <c r="GG439" s="3" t="s">
        <v>58</v>
      </c>
      <c r="GH439" s="3" t="s">
        <v>63</v>
      </c>
      <c r="GI439" s="3" t="s">
        <v>69</v>
      </c>
      <c r="GJ439" s="9" t="str">
        <f t="shared" si="921"/>
        <v>Saudiarabien</v>
      </c>
      <c r="GK439" s="9" t="str">
        <f t="shared" si="921"/>
        <v>Iran</v>
      </c>
      <c r="GL439" s="9" t="str">
        <f t="shared" si="921"/>
        <v>Qatar</v>
      </c>
      <c r="GM439" s="9" t="str">
        <f t="shared" si="921"/>
        <v>Haiti</v>
      </c>
      <c r="GN439" s="9" t="str">
        <f t="shared" si="921"/>
        <v>Sydkorea</v>
      </c>
      <c r="GO439" s="9" t="str">
        <f t="shared" si="921"/>
        <v>Australien</v>
      </c>
      <c r="GP439" s="9" t="str">
        <f t="shared" si="921"/>
        <v>Ghana</v>
      </c>
      <c r="GQ439" s="9" t="str">
        <f t="shared" si="922"/>
        <v>Österrike</v>
      </c>
      <c r="GR439" s="9" t="str">
        <f t="shared" si="920"/>
        <v/>
      </c>
    </row>
    <row r="440" spans="182:200" ht="14.25" customHeight="1" x14ac:dyDescent="0.25">
      <c r="FZ440" s="79">
        <v>438</v>
      </c>
      <c r="GA440" s="3" t="str">
        <f t="shared" si="919"/>
        <v>HGBCADJK</v>
      </c>
      <c r="GB440" s="3" t="s">
        <v>70</v>
      </c>
      <c r="GC440" s="3" t="s">
        <v>60</v>
      </c>
      <c r="GD440" s="3" t="s">
        <v>57</v>
      </c>
      <c r="GE440" s="3" t="s">
        <v>75</v>
      </c>
      <c r="GF440" s="3" t="s">
        <v>56</v>
      </c>
      <c r="GG440" s="3" t="s">
        <v>58</v>
      </c>
      <c r="GH440" s="3" t="s">
        <v>69</v>
      </c>
      <c r="GI440" s="3" t="s">
        <v>62</v>
      </c>
      <c r="GJ440" s="9" t="str">
        <f t="shared" si="921"/>
        <v>Saudiarabien</v>
      </c>
      <c r="GK440" s="9" t="str">
        <f t="shared" si="921"/>
        <v>Iran</v>
      </c>
      <c r="GL440" s="9" t="str">
        <f t="shared" si="921"/>
        <v>Qatar</v>
      </c>
      <c r="GM440" s="9" t="str">
        <f t="shared" si="921"/>
        <v>Haiti</v>
      </c>
      <c r="GN440" s="9" t="str">
        <f t="shared" si="921"/>
        <v>Sydkorea</v>
      </c>
      <c r="GO440" s="9" t="str">
        <f t="shared" si="921"/>
        <v>Australien</v>
      </c>
      <c r="GP440" s="9" t="str">
        <f t="shared" si="921"/>
        <v>Österrike</v>
      </c>
      <c r="GQ440" s="9" t="str">
        <f t="shared" si="922"/>
        <v>Uzbekistan</v>
      </c>
      <c r="GR440" s="9" t="str">
        <f t="shared" si="920"/>
        <v/>
      </c>
    </row>
    <row r="441" spans="182:200" ht="14.25" customHeight="1" x14ac:dyDescent="0.25">
      <c r="FZ441" s="79">
        <v>439</v>
      </c>
      <c r="GA441" s="3" t="str">
        <f t="shared" si="919"/>
        <v>HGBCADLI</v>
      </c>
      <c r="GB441" s="3" t="s">
        <v>70</v>
      </c>
      <c r="GC441" s="3" t="s">
        <v>60</v>
      </c>
      <c r="GD441" s="3" t="s">
        <v>57</v>
      </c>
      <c r="GE441" s="3" t="s">
        <v>75</v>
      </c>
      <c r="GF441" s="3" t="s">
        <v>56</v>
      </c>
      <c r="GG441" s="3" t="s">
        <v>58</v>
      </c>
      <c r="GH441" s="3" t="s">
        <v>63</v>
      </c>
      <c r="GI441" s="3" t="s">
        <v>61</v>
      </c>
      <c r="GJ441" s="9" t="str">
        <f t="shared" si="921"/>
        <v>Saudiarabien</v>
      </c>
      <c r="GK441" s="9" t="str">
        <f t="shared" si="921"/>
        <v>Iran</v>
      </c>
      <c r="GL441" s="9" t="str">
        <f t="shared" si="921"/>
        <v>Qatar</v>
      </c>
      <c r="GM441" s="9" t="str">
        <f t="shared" si="921"/>
        <v>Haiti</v>
      </c>
      <c r="GN441" s="9" t="str">
        <f t="shared" si="921"/>
        <v>Sydkorea</v>
      </c>
      <c r="GO441" s="9" t="str">
        <f t="shared" si="921"/>
        <v>Australien</v>
      </c>
      <c r="GP441" s="9" t="str">
        <f t="shared" si="921"/>
        <v>Ghana</v>
      </c>
      <c r="GQ441" s="9" t="str">
        <f t="shared" si="922"/>
        <v>Irak</v>
      </c>
      <c r="GR441" s="9" t="str">
        <f t="shared" si="920"/>
        <v/>
      </c>
    </row>
    <row r="442" spans="182:200" ht="14.25" customHeight="1" x14ac:dyDescent="0.25">
      <c r="FZ442" s="79">
        <v>440</v>
      </c>
      <c r="GA442" s="3" t="str">
        <f t="shared" si="919"/>
        <v>HGBCADIK</v>
      </c>
      <c r="GB442" s="3" t="s">
        <v>70</v>
      </c>
      <c r="GC442" s="3" t="s">
        <v>60</v>
      </c>
      <c r="GD442" s="3" t="s">
        <v>57</v>
      </c>
      <c r="GE442" s="3" t="s">
        <v>75</v>
      </c>
      <c r="GF442" s="3" t="s">
        <v>56</v>
      </c>
      <c r="GG442" s="3" t="s">
        <v>58</v>
      </c>
      <c r="GH442" s="3" t="s">
        <v>61</v>
      </c>
      <c r="GI442" s="3" t="s">
        <v>62</v>
      </c>
      <c r="GJ442" s="9" t="str">
        <f t="shared" si="921"/>
        <v>Saudiarabien</v>
      </c>
      <c r="GK442" s="9" t="str">
        <f t="shared" si="921"/>
        <v>Iran</v>
      </c>
      <c r="GL442" s="9" t="str">
        <f t="shared" si="921"/>
        <v>Qatar</v>
      </c>
      <c r="GM442" s="9" t="str">
        <f t="shared" si="921"/>
        <v>Haiti</v>
      </c>
      <c r="GN442" s="9" t="str">
        <f t="shared" si="921"/>
        <v>Sydkorea</v>
      </c>
      <c r="GO442" s="9" t="str">
        <f t="shared" si="921"/>
        <v>Australien</v>
      </c>
      <c r="GP442" s="9" t="str">
        <f t="shared" si="921"/>
        <v>Irak</v>
      </c>
      <c r="GQ442" s="9" t="str">
        <f t="shared" si="922"/>
        <v>Uzbekistan</v>
      </c>
      <c r="GR442" s="9" t="str">
        <f t="shared" si="920"/>
        <v/>
      </c>
    </row>
    <row r="443" spans="182:200" ht="14.25" customHeight="1" x14ac:dyDescent="0.25">
      <c r="FZ443" s="79">
        <v>441</v>
      </c>
      <c r="GA443" s="3" t="str">
        <f t="shared" si="919"/>
        <v>HGBCADIJ</v>
      </c>
      <c r="GB443" s="3" t="s">
        <v>70</v>
      </c>
      <c r="GC443" s="3" t="s">
        <v>60</v>
      </c>
      <c r="GD443" s="3" t="s">
        <v>57</v>
      </c>
      <c r="GE443" s="3" t="s">
        <v>75</v>
      </c>
      <c r="GF443" s="3" t="s">
        <v>56</v>
      </c>
      <c r="GG443" s="3" t="s">
        <v>58</v>
      </c>
      <c r="GH443" s="3" t="s">
        <v>61</v>
      </c>
      <c r="GI443" s="3" t="s">
        <v>69</v>
      </c>
      <c r="GJ443" s="9" t="str">
        <f t="shared" si="921"/>
        <v>Saudiarabien</v>
      </c>
      <c r="GK443" s="9" t="str">
        <f t="shared" si="921"/>
        <v>Iran</v>
      </c>
      <c r="GL443" s="9" t="str">
        <f t="shared" si="921"/>
        <v>Qatar</v>
      </c>
      <c r="GM443" s="9" t="str">
        <f t="shared" si="921"/>
        <v>Haiti</v>
      </c>
      <c r="GN443" s="9" t="str">
        <f t="shared" si="921"/>
        <v>Sydkorea</v>
      </c>
      <c r="GO443" s="9" t="str">
        <f t="shared" si="921"/>
        <v>Australien</v>
      </c>
      <c r="GP443" s="9" t="str">
        <f t="shared" si="921"/>
        <v>Irak</v>
      </c>
      <c r="GQ443" s="9" t="str">
        <f t="shared" si="922"/>
        <v>Österrike</v>
      </c>
      <c r="GR443" s="9" t="str">
        <f t="shared" si="920"/>
        <v/>
      </c>
    </row>
    <row r="444" spans="182:200" ht="14.25" customHeight="1" x14ac:dyDescent="0.25">
      <c r="FZ444" s="79">
        <v>442</v>
      </c>
      <c r="GA444" s="3" t="str">
        <f t="shared" si="919"/>
        <v>CJBDAFLK</v>
      </c>
      <c r="GB444" s="3" t="s">
        <v>75</v>
      </c>
      <c r="GC444" s="3" t="s">
        <v>69</v>
      </c>
      <c r="GD444" s="3" t="s">
        <v>57</v>
      </c>
      <c r="GE444" s="3" t="s">
        <v>58</v>
      </c>
      <c r="GF444" s="3" t="s">
        <v>56</v>
      </c>
      <c r="GG444" s="3" t="s">
        <v>21</v>
      </c>
      <c r="GH444" s="3" t="s">
        <v>63</v>
      </c>
      <c r="GI444" s="3" t="s">
        <v>62</v>
      </c>
      <c r="GJ444" s="9" t="str">
        <f t="shared" si="921"/>
        <v>Haiti</v>
      </c>
      <c r="GK444" s="9" t="str">
        <f t="shared" si="921"/>
        <v>Österrike</v>
      </c>
      <c r="GL444" s="9" t="str">
        <f t="shared" si="921"/>
        <v>Qatar</v>
      </c>
      <c r="GM444" s="9" t="str">
        <f t="shared" si="921"/>
        <v>Australien</v>
      </c>
      <c r="GN444" s="9" t="str">
        <f t="shared" si="921"/>
        <v>Sydkorea</v>
      </c>
      <c r="GO444" s="9" t="str">
        <f t="shared" si="921"/>
        <v>Sverige</v>
      </c>
      <c r="GP444" s="9" t="str">
        <f t="shared" si="921"/>
        <v>Ghana</v>
      </c>
      <c r="GQ444" s="9" t="str">
        <f t="shared" si="922"/>
        <v>Uzbekistan</v>
      </c>
      <c r="GR444" s="9" t="str">
        <f t="shared" si="920"/>
        <v/>
      </c>
    </row>
    <row r="445" spans="182:200" ht="14.25" customHeight="1" x14ac:dyDescent="0.25">
      <c r="FZ445" s="79">
        <v>443</v>
      </c>
      <c r="GA445" s="3" t="str">
        <f t="shared" si="919"/>
        <v>CIBDAFLK</v>
      </c>
      <c r="GB445" s="3" t="s">
        <v>75</v>
      </c>
      <c r="GC445" s="3" t="s">
        <v>61</v>
      </c>
      <c r="GD445" s="3" t="s">
        <v>57</v>
      </c>
      <c r="GE445" s="3" t="s">
        <v>58</v>
      </c>
      <c r="GF445" s="3" t="s">
        <v>56</v>
      </c>
      <c r="GG445" s="3" t="s">
        <v>21</v>
      </c>
      <c r="GH445" s="3" t="s">
        <v>63</v>
      </c>
      <c r="GI445" s="3" t="s">
        <v>62</v>
      </c>
      <c r="GJ445" s="9" t="str">
        <f t="shared" si="921"/>
        <v>Haiti</v>
      </c>
      <c r="GK445" s="9" t="str">
        <f t="shared" si="921"/>
        <v>Irak</v>
      </c>
      <c r="GL445" s="9" t="str">
        <f t="shared" si="921"/>
        <v>Qatar</v>
      </c>
      <c r="GM445" s="9" t="str">
        <f t="shared" si="921"/>
        <v>Australien</v>
      </c>
      <c r="GN445" s="9" t="str">
        <f t="shared" si="921"/>
        <v>Sydkorea</v>
      </c>
      <c r="GO445" s="9" t="str">
        <f t="shared" si="921"/>
        <v>Sverige</v>
      </c>
      <c r="GP445" s="9" t="str">
        <f t="shared" si="921"/>
        <v>Ghana</v>
      </c>
      <c r="GQ445" s="9" t="str">
        <f t="shared" si="922"/>
        <v>Uzbekistan</v>
      </c>
      <c r="GR445" s="9" t="str">
        <f t="shared" si="920"/>
        <v/>
      </c>
    </row>
    <row r="446" spans="182:200" ht="14.25" customHeight="1" x14ac:dyDescent="0.25">
      <c r="FZ446" s="79">
        <v>444</v>
      </c>
      <c r="GA446" s="3" t="str">
        <f t="shared" si="919"/>
        <v>CJBDAFLI</v>
      </c>
      <c r="GB446" s="3" t="s">
        <v>75</v>
      </c>
      <c r="GC446" s="3" t="s">
        <v>69</v>
      </c>
      <c r="GD446" s="3" t="s">
        <v>57</v>
      </c>
      <c r="GE446" s="3" t="s">
        <v>58</v>
      </c>
      <c r="GF446" s="3" t="s">
        <v>56</v>
      </c>
      <c r="GG446" s="3" t="s">
        <v>21</v>
      </c>
      <c r="GH446" s="3" t="s">
        <v>63</v>
      </c>
      <c r="GI446" s="3" t="s">
        <v>61</v>
      </c>
      <c r="GJ446" s="9" t="str">
        <f t="shared" si="921"/>
        <v>Haiti</v>
      </c>
      <c r="GK446" s="9" t="str">
        <f t="shared" si="921"/>
        <v>Österrike</v>
      </c>
      <c r="GL446" s="9" t="str">
        <f t="shared" si="921"/>
        <v>Qatar</v>
      </c>
      <c r="GM446" s="9" t="str">
        <f t="shared" si="921"/>
        <v>Australien</v>
      </c>
      <c r="GN446" s="9" t="str">
        <f t="shared" si="921"/>
        <v>Sydkorea</v>
      </c>
      <c r="GO446" s="9" t="str">
        <f t="shared" si="921"/>
        <v>Sverige</v>
      </c>
      <c r="GP446" s="9" t="str">
        <f t="shared" si="921"/>
        <v>Ghana</v>
      </c>
      <c r="GQ446" s="9" t="str">
        <f t="shared" si="922"/>
        <v>Irak</v>
      </c>
      <c r="GR446" s="9" t="str">
        <f t="shared" si="920"/>
        <v/>
      </c>
    </row>
    <row r="447" spans="182:200" ht="14.25" customHeight="1" x14ac:dyDescent="0.25">
      <c r="FZ447" s="79">
        <v>445</v>
      </c>
      <c r="GA447" s="3" t="str">
        <f t="shared" si="919"/>
        <v>CJBDAFIK</v>
      </c>
      <c r="GB447" s="3" t="s">
        <v>75</v>
      </c>
      <c r="GC447" s="3" t="s">
        <v>69</v>
      </c>
      <c r="GD447" s="3" t="s">
        <v>57</v>
      </c>
      <c r="GE447" s="3" t="s">
        <v>58</v>
      </c>
      <c r="GF447" s="3" t="s">
        <v>56</v>
      </c>
      <c r="GG447" s="3" t="s">
        <v>21</v>
      </c>
      <c r="GH447" s="3" t="s">
        <v>61</v>
      </c>
      <c r="GI447" s="3" t="s">
        <v>62</v>
      </c>
      <c r="GJ447" s="9" t="str">
        <f t="shared" si="921"/>
        <v>Haiti</v>
      </c>
      <c r="GK447" s="9" t="str">
        <f t="shared" si="921"/>
        <v>Österrike</v>
      </c>
      <c r="GL447" s="9" t="str">
        <f t="shared" si="921"/>
        <v>Qatar</v>
      </c>
      <c r="GM447" s="9" t="str">
        <f t="shared" ref="GM447:GQ498" si="923">VLOOKUP(GE447,$FM$3:$FN$15,2,FALSE)</f>
        <v>Australien</v>
      </c>
      <c r="GN447" s="9" t="str">
        <f t="shared" si="923"/>
        <v>Sydkorea</v>
      </c>
      <c r="GO447" s="9" t="str">
        <f t="shared" si="923"/>
        <v>Sverige</v>
      </c>
      <c r="GP447" s="9" t="str">
        <f t="shared" si="923"/>
        <v>Irak</v>
      </c>
      <c r="GQ447" s="9" t="str">
        <f t="shared" si="922"/>
        <v>Uzbekistan</v>
      </c>
      <c r="GR447" s="9" t="str">
        <f t="shared" si="920"/>
        <v/>
      </c>
    </row>
    <row r="448" spans="182:200" ht="14.25" customHeight="1" x14ac:dyDescent="0.25">
      <c r="FZ448" s="79">
        <v>446</v>
      </c>
      <c r="GA448" s="3" t="str">
        <f t="shared" si="919"/>
        <v>HFBCADLK</v>
      </c>
      <c r="GB448" s="3" t="s">
        <v>70</v>
      </c>
      <c r="GC448" s="3" t="s">
        <v>21</v>
      </c>
      <c r="GD448" s="3" t="s">
        <v>57</v>
      </c>
      <c r="GE448" s="3" t="s">
        <v>75</v>
      </c>
      <c r="GF448" s="3" t="s">
        <v>56</v>
      </c>
      <c r="GG448" s="3" t="s">
        <v>58</v>
      </c>
      <c r="GH448" s="3" t="s">
        <v>63</v>
      </c>
      <c r="GI448" s="3" t="s">
        <v>62</v>
      </c>
      <c r="GJ448" s="9" t="str">
        <f t="shared" ref="GJ448:GL498" si="924">VLOOKUP(GB448,$FM$3:$FN$15,2,FALSE)</f>
        <v>Saudiarabien</v>
      </c>
      <c r="GK448" s="9" t="str">
        <f t="shared" si="924"/>
        <v>Sverige</v>
      </c>
      <c r="GL448" s="9" t="str">
        <f t="shared" si="924"/>
        <v>Qatar</v>
      </c>
      <c r="GM448" s="9" t="str">
        <f t="shared" si="923"/>
        <v>Haiti</v>
      </c>
      <c r="GN448" s="9" t="str">
        <f t="shared" si="923"/>
        <v>Sydkorea</v>
      </c>
      <c r="GO448" s="9" t="str">
        <f t="shared" si="923"/>
        <v>Australien</v>
      </c>
      <c r="GP448" s="9" t="str">
        <f t="shared" si="923"/>
        <v>Ghana</v>
      </c>
      <c r="GQ448" s="9" t="str">
        <f t="shared" si="922"/>
        <v>Uzbekistan</v>
      </c>
      <c r="GR448" s="9" t="str">
        <f t="shared" si="920"/>
        <v/>
      </c>
    </row>
    <row r="449" spans="182:200" ht="14.25" customHeight="1" x14ac:dyDescent="0.25">
      <c r="FZ449" s="79">
        <v>447</v>
      </c>
      <c r="GA449" s="3" t="str">
        <f t="shared" si="919"/>
        <v>CJBDAFLH</v>
      </c>
      <c r="GB449" s="3" t="s">
        <v>75</v>
      </c>
      <c r="GC449" s="3" t="s">
        <v>69</v>
      </c>
      <c r="GD449" s="3" t="s">
        <v>57</v>
      </c>
      <c r="GE449" s="3" t="s">
        <v>58</v>
      </c>
      <c r="GF449" s="3" t="s">
        <v>56</v>
      </c>
      <c r="GG449" s="3" t="s">
        <v>21</v>
      </c>
      <c r="GH449" s="3" t="s">
        <v>63</v>
      </c>
      <c r="GI449" s="3" t="s">
        <v>70</v>
      </c>
      <c r="GJ449" s="9" t="str">
        <f t="shared" si="924"/>
        <v>Haiti</v>
      </c>
      <c r="GK449" s="9" t="str">
        <f t="shared" si="924"/>
        <v>Österrike</v>
      </c>
      <c r="GL449" s="9" t="str">
        <f t="shared" si="924"/>
        <v>Qatar</v>
      </c>
      <c r="GM449" s="9" t="str">
        <f t="shared" si="923"/>
        <v>Australien</v>
      </c>
      <c r="GN449" s="9" t="str">
        <f t="shared" si="923"/>
        <v>Sydkorea</v>
      </c>
      <c r="GO449" s="9" t="str">
        <f t="shared" si="923"/>
        <v>Sverige</v>
      </c>
      <c r="GP449" s="9" t="str">
        <f t="shared" si="923"/>
        <v>Ghana</v>
      </c>
      <c r="GQ449" s="9" t="str">
        <f t="shared" si="922"/>
        <v>Saudiarabien</v>
      </c>
      <c r="GR449" s="9" t="str">
        <f t="shared" si="920"/>
        <v/>
      </c>
    </row>
    <row r="450" spans="182:200" ht="14.25" customHeight="1" x14ac:dyDescent="0.25">
      <c r="FZ450" s="79">
        <v>448</v>
      </c>
      <c r="GA450" s="3" t="str">
        <f t="shared" si="919"/>
        <v>HJBCAFDK</v>
      </c>
      <c r="GB450" s="3" t="s">
        <v>70</v>
      </c>
      <c r="GC450" s="3" t="s">
        <v>69</v>
      </c>
      <c r="GD450" s="3" t="s">
        <v>57</v>
      </c>
      <c r="GE450" s="3" t="s">
        <v>75</v>
      </c>
      <c r="GF450" s="3" t="s">
        <v>56</v>
      </c>
      <c r="GG450" s="3" t="s">
        <v>21</v>
      </c>
      <c r="GH450" s="3" t="s">
        <v>58</v>
      </c>
      <c r="GI450" s="3" t="s">
        <v>62</v>
      </c>
      <c r="GJ450" s="9" t="str">
        <f t="shared" si="924"/>
        <v>Saudiarabien</v>
      </c>
      <c r="GK450" s="9" t="str">
        <f t="shared" si="924"/>
        <v>Österrike</v>
      </c>
      <c r="GL450" s="9" t="str">
        <f t="shared" si="924"/>
        <v>Qatar</v>
      </c>
      <c r="GM450" s="9" t="str">
        <f t="shared" si="923"/>
        <v>Haiti</v>
      </c>
      <c r="GN450" s="9" t="str">
        <f t="shared" si="923"/>
        <v>Sydkorea</v>
      </c>
      <c r="GO450" s="9" t="str">
        <f t="shared" si="923"/>
        <v>Sverige</v>
      </c>
      <c r="GP450" s="9" t="str">
        <f t="shared" si="923"/>
        <v>Australien</v>
      </c>
      <c r="GQ450" s="9" t="str">
        <f t="shared" si="922"/>
        <v>Uzbekistan</v>
      </c>
      <c r="GR450" s="9" t="str">
        <f t="shared" si="920"/>
        <v/>
      </c>
    </row>
    <row r="451" spans="182:200" ht="14.25" customHeight="1" x14ac:dyDescent="0.25">
      <c r="FZ451" s="79">
        <v>449</v>
      </c>
      <c r="GA451" s="3" t="str">
        <f t="shared" si="919"/>
        <v>HFBCADLI</v>
      </c>
      <c r="GB451" s="3" t="s">
        <v>70</v>
      </c>
      <c r="GC451" s="3" t="s">
        <v>21</v>
      </c>
      <c r="GD451" s="3" t="s">
        <v>57</v>
      </c>
      <c r="GE451" s="3" t="s">
        <v>75</v>
      </c>
      <c r="GF451" s="3" t="s">
        <v>56</v>
      </c>
      <c r="GG451" s="3" t="s">
        <v>58</v>
      </c>
      <c r="GH451" s="3" t="s">
        <v>63</v>
      </c>
      <c r="GI451" s="3" t="s">
        <v>61</v>
      </c>
      <c r="GJ451" s="9" t="str">
        <f t="shared" si="924"/>
        <v>Saudiarabien</v>
      </c>
      <c r="GK451" s="9" t="str">
        <f t="shared" si="924"/>
        <v>Sverige</v>
      </c>
      <c r="GL451" s="9" t="str">
        <f t="shared" si="924"/>
        <v>Qatar</v>
      </c>
      <c r="GM451" s="9" t="str">
        <f t="shared" si="923"/>
        <v>Haiti</v>
      </c>
      <c r="GN451" s="9" t="str">
        <f t="shared" si="923"/>
        <v>Sydkorea</v>
      </c>
      <c r="GO451" s="9" t="str">
        <f t="shared" si="923"/>
        <v>Australien</v>
      </c>
      <c r="GP451" s="9" t="str">
        <f t="shared" si="923"/>
        <v>Ghana</v>
      </c>
      <c r="GQ451" s="9" t="str">
        <f t="shared" si="922"/>
        <v>Irak</v>
      </c>
      <c r="GR451" s="9" t="str">
        <f t="shared" si="920"/>
        <v/>
      </c>
    </row>
    <row r="452" spans="182:200" ht="14.25" customHeight="1" x14ac:dyDescent="0.25">
      <c r="FZ452" s="79">
        <v>450</v>
      </c>
      <c r="GA452" s="3" t="str">
        <f t="shared" si="919"/>
        <v>HFBCADIK</v>
      </c>
      <c r="GB452" s="3" t="s">
        <v>70</v>
      </c>
      <c r="GC452" s="3" t="s">
        <v>21</v>
      </c>
      <c r="GD452" s="3" t="s">
        <v>57</v>
      </c>
      <c r="GE452" s="3" t="s">
        <v>75</v>
      </c>
      <c r="GF452" s="3" t="s">
        <v>56</v>
      </c>
      <c r="GG452" s="3" t="s">
        <v>58</v>
      </c>
      <c r="GH452" s="3" t="s">
        <v>61</v>
      </c>
      <c r="GI452" s="3" t="s">
        <v>62</v>
      </c>
      <c r="GJ452" s="9" t="str">
        <f t="shared" si="924"/>
        <v>Saudiarabien</v>
      </c>
      <c r="GK452" s="9" t="str">
        <f t="shared" si="924"/>
        <v>Sverige</v>
      </c>
      <c r="GL452" s="9" t="str">
        <f t="shared" si="924"/>
        <v>Qatar</v>
      </c>
      <c r="GM452" s="9" t="str">
        <f t="shared" si="923"/>
        <v>Haiti</v>
      </c>
      <c r="GN452" s="9" t="str">
        <f t="shared" si="923"/>
        <v>Sydkorea</v>
      </c>
      <c r="GO452" s="9" t="str">
        <f t="shared" si="923"/>
        <v>Australien</v>
      </c>
      <c r="GP452" s="9" t="str">
        <f t="shared" si="923"/>
        <v>Irak</v>
      </c>
      <c r="GQ452" s="9" t="str">
        <f t="shared" si="922"/>
        <v>Uzbekistan</v>
      </c>
      <c r="GR452" s="9" t="str">
        <f t="shared" si="920"/>
        <v/>
      </c>
    </row>
    <row r="453" spans="182:200" ht="14.25" customHeight="1" x14ac:dyDescent="0.25">
      <c r="FZ453" s="79">
        <v>451</v>
      </c>
      <c r="GA453" s="3" t="str">
        <f t="shared" ref="GA453:GA498" si="925">GB453&amp;GC453&amp;GD453&amp;GE453&amp;GF453&amp;GG453&amp;GH453&amp;GI453</f>
        <v>HJBCAFDI</v>
      </c>
      <c r="GB453" s="3" t="s">
        <v>70</v>
      </c>
      <c r="GC453" s="3" t="s">
        <v>69</v>
      </c>
      <c r="GD453" s="3" t="s">
        <v>57</v>
      </c>
      <c r="GE453" s="3" t="s">
        <v>75</v>
      </c>
      <c r="GF453" s="3" t="s">
        <v>56</v>
      </c>
      <c r="GG453" s="3" t="s">
        <v>21</v>
      </c>
      <c r="GH453" s="3" t="s">
        <v>58</v>
      </c>
      <c r="GI453" s="3" t="s">
        <v>61</v>
      </c>
      <c r="GJ453" s="9" t="str">
        <f t="shared" si="924"/>
        <v>Saudiarabien</v>
      </c>
      <c r="GK453" s="9" t="str">
        <f t="shared" si="924"/>
        <v>Österrike</v>
      </c>
      <c r="GL453" s="9" t="str">
        <f t="shared" si="924"/>
        <v>Qatar</v>
      </c>
      <c r="GM453" s="9" t="str">
        <f t="shared" si="923"/>
        <v>Haiti</v>
      </c>
      <c r="GN453" s="9" t="str">
        <f t="shared" si="923"/>
        <v>Sydkorea</v>
      </c>
      <c r="GO453" s="9" t="str">
        <f t="shared" si="923"/>
        <v>Sverige</v>
      </c>
      <c r="GP453" s="9" t="str">
        <f t="shared" si="923"/>
        <v>Australien</v>
      </c>
      <c r="GQ453" s="9" t="str">
        <f t="shared" si="922"/>
        <v>Irak</v>
      </c>
      <c r="GR453" s="9" t="str">
        <f t="shared" si="920"/>
        <v/>
      </c>
    </row>
    <row r="454" spans="182:200" ht="14.25" customHeight="1" x14ac:dyDescent="0.25">
      <c r="FZ454" s="79">
        <v>452</v>
      </c>
      <c r="GA454" s="3" t="str">
        <f t="shared" si="925"/>
        <v>CGBDAFLK</v>
      </c>
      <c r="GB454" s="3" t="s">
        <v>75</v>
      </c>
      <c r="GC454" s="3" t="s">
        <v>60</v>
      </c>
      <c r="GD454" s="3" t="s">
        <v>57</v>
      </c>
      <c r="GE454" s="3" t="s">
        <v>58</v>
      </c>
      <c r="GF454" s="3" t="s">
        <v>56</v>
      </c>
      <c r="GG454" s="3" t="s">
        <v>21</v>
      </c>
      <c r="GH454" s="3" t="s">
        <v>63</v>
      </c>
      <c r="GI454" s="3" t="s">
        <v>62</v>
      </c>
      <c r="GJ454" s="9" t="str">
        <f t="shared" si="924"/>
        <v>Haiti</v>
      </c>
      <c r="GK454" s="9" t="str">
        <f t="shared" si="924"/>
        <v>Iran</v>
      </c>
      <c r="GL454" s="9" t="str">
        <f t="shared" si="924"/>
        <v>Qatar</v>
      </c>
      <c r="GM454" s="9" t="str">
        <f t="shared" si="923"/>
        <v>Australien</v>
      </c>
      <c r="GN454" s="9" t="str">
        <f t="shared" si="923"/>
        <v>Sydkorea</v>
      </c>
      <c r="GO454" s="9" t="str">
        <f t="shared" si="923"/>
        <v>Sverige</v>
      </c>
      <c r="GP454" s="9" t="str">
        <f t="shared" si="923"/>
        <v>Ghana</v>
      </c>
      <c r="GQ454" s="9" t="str">
        <f t="shared" si="922"/>
        <v>Uzbekistan</v>
      </c>
      <c r="GR454" s="9" t="str">
        <f t="shared" ref="GR454:GR498" si="926">IFERROR(IF(AND(VLOOKUP(GB454,$FX$4:$FX$15,1,FALSE)=GB454,VLOOKUP(GC454,$FX$4:$FX$15,1,FALSE)=GC454,VLOOKUP(GD454,$FX$4:$FX$15,1,FALSE)=GD454,VLOOKUP(GE454,$FX$4:$FX$15,1,FALSE)=GE454,VLOOKUP(GF454,$FX$4:$FX$15,1,FALSE)=GF454,VLOOKUP(GG454,$FX$4:$FX$15,1,FALSE)=GG454,VLOOKUP(GH454,$FX$4:$FX$15,1,FALSE)=GH454,VLOOKUP(GI454,$FX$4:$FX$15,1,FALSE)=GI454),FZ454,""),"")</f>
        <v/>
      </c>
    </row>
    <row r="455" spans="182:200" ht="14.25" customHeight="1" x14ac:dyDescent="0.25">
      <c r="FZ455" s="79">
        <v>453</v>
      </c>
      <c r="GA455" s="3" t="str">
        <f t="shared" si="925"/>
        <v>CGBDAFLJ</v>
      </c>
      <c r="GB455" s="3" t="s">
        <v>75</v>
      </c>
      <c r="GC455" s="3" t="s">
        <v>60</v>
      </c>
      <c r="GD455" s="3" t="s">
        <v>57</v>
      </c>
      <c r="GE455" s="3" t="s">
        <v>58</v>
      </c>
      <c r="GF455" s="3" t="s">
        <v>56</v>
      </c>
      <c r="GG455" s="3" t="s">
        <v>21</v>
      </c>
      <c r="GH455" s="3" t="s">
        <v>63</v>
      </c>
      <c r="GI455" s="3" t="s">
        <v>69</v>
      </c>
      <c r="GJ455" s="9" t="str">
        <f t="shared" si="924"/>
        <v>Haiti</v>
      </c>
      <c r="GK455" s="9" t="str">
        <f t="shared" si="924"/>
        <v>Iran</v>
      </c>
      <c r="GL455" s="9" t="str">
        <f t="shared" si="924"/>
        <v>Qatar</v>
      </c>
      <c r="GM455" s="9" t="str">
        <f t="shared" si="923"/>
        <v>Australien</v>
      </c>
      <c r="GN455" s="9" t="str">
        <f t="shared" si="923"/>
        <v>Sydkorea</v>
      </c>
      <c r="GO455" s="9" t="str">
        <f t="shared" si="923"/>
        <v>Sverige</v>
      </c>
      <c r="GP455" s="9" t="str">
        <f t="shared" si="923"/>
        <v>Ghana</v>
      </c>
      <c r="GQ455" s="9" t="str">
        <f t="shared" si="922"/>
        <v>Österrike</v>
      </c>
      <c r="GR455" s="9" t="str">
        <f t="shared" si="926"/>
        <v/>
      </c>
    </row>
    <row r="456" spans="182:200" ht="14.25" customHeight="1" x14ac:dyDescent="0.25">
      <c r="FZ456" s="79">
        <v>454</v>
      </c>
      <c r="GA456" s="3" t="str">
        <f t="shared" si="925"/>
        <v>CGBDAFJK</v>
      </c>
      <c r="GB456" s="3" t="s">
        <v>75</v>
      </c>
      <c r="GC456" s="3" t="s">
        <v>60</v>
      </c>
      <c r="GD456" s="3" t="s">
        <v>57</v>
      </c>
      <c r="GE456" s="3" t="s">
        <v>58</v>
      </c>
      <c r="GF456" s="3" t="s">
        <v>56</v>
      </c>
      <c r="GG456" s="3" t="s">
        <v>21</v>
      </c>
      <c r="GH456" s="3" t="s">
        <v>69</v>
      </c>
      <c r="GI456" s="3" t="s">
        <v>62</v>
      </c>
      <c r="GJ456" s="9" t="str">
        <f t="shared" si="924"/>
        <v>Haiti</v>
      </c>
      <c r="GK456" s="9" t="str">
        <f t="shared" si="924"/>
        <v>Iran</v>
      </c>
      <c r="GL456" s="9" t="str">
        <f t="shared" si="924"/>
        <v>Qatar</v>
      </c>
      <c r="GM456" s="9" t="str">
        <f t="shared" si="923"/>
        <v>Australien</v>
      </c>
      <c r="GN456" s="9" t="str">
        <f t="shared" si="923"/>
        <v>Sydkorea</v>
      </c>
      <c r="GO456" s="9" t="str">
        <f t="shared" si="923"/>
        <v>Sverige</v>
      </c>
      <c r="GP456" s="9" t="str">
        <f t="shared" si="923"/>
        <v>Österrike</v>
      </c>
      <c r="GQ456" s="9" t="str">
        <f t="shared" si="922"/>
        <v>Uzbekistan</v>
      </c>
      <c r="GR456" s="9" t="str">
        <f t="shared" si="926"/>
        <v/>
      </c>
    </row>
    <row r="457" spans="182:200" ht="14.25" customHeight="1" x14ac:dyDescent="0.25">
      <c r="FZ457" s="79">
        <v>455</v>
      </c>
      <c r="GA457" s="3" t="str">
        <f t="shared" si="925"/>
        <v>CGBDAFLI</v>
      </c>
      <c r="GB457" s="3" t="s">
        <v>75</v>
      </c>
      <c r="GC457" s="3" t="s">
        <v>60</v>
      </c>
      <c r="GD457" s="3" t="s">
        <v>57</v>
      </c>
      <c r="GE457" s="3" t="s">
        <v>58</v>
      </c>
      <c r="GF457" s="3" t="s">
        <v>56</v>
      </c>
      <c r="GG457" s="3" t="s">
        <v>21</v>
      </c>
      <c r="GH457" s="3" t="s">
        <v>63</v>
      </c>
      <c r="GI457" s="3" t="s">
        <v>61</v>
      </c>
      <c r="GJ457" s="9" t="str">
        <f t="shared" si="924"/>
        <v>Haiti</v>
      </c>
      <c r="GK457" s="9" t="str">
        <f t="shared" si="924"/>
        <v>Iran</v>
      </c>
      <c r="GL457" s="9" t="str">
        <f t="shared" si="924"/>
        <v>Qatar</v>
      </c>
      <c r="GM457" s="9" t="str">
        <f t="shared" si="923"/>
        <v>Australien</v>
      </c>
      <c r="GN457" s="9" t="str">
        <f t="shared" si="923"/>
        <v>Sydkorea</v>
      </c>
      <c r="GO457" s="9" t="str">
        <f t="shared" si="923"/>
        <v>Sverige</v>
      </c>
      <c r="GP457" s="9" t="str">
        <f t="shared" si="923"/>
        <v>Ghana</v>
      </c>
      <c r="GQ457" s="9" t="str">
        <f t="shared" si="922"/>
        <v>Irak</v>
      </c>
      <c r="GR457" s="9" t="str">
        <f t="shared" si="926"/>
        <v/>
      </c>
    </row>
    <row r="458" spans="182:200" ht="14.25" customHeight="1" x14ac:dyDescent="0.25">
      <c r="FZ458" s="79">
        <v>456</v>
      </c>
      <c r="GA458" s="3" t="str">
        <f t="shared" si="925"/>
        <v>CGBDAFIK</v>
      </c>
      <c r="GB458" s="3" t="s">
        <v>75</v>
      </c>
      <c r="GC458" s="3" t="s">
        <v>60</v>
      </c>
      <c r="GD458" s="3" t="s">
        <v>57</v>
      </c>
      <c r="GE458" s="3" t="s">
        <v>58</v>
      </c>
      <c r="GF458" s="3" t="s">
        <v>56</v>
      </c>
      <c r="GG458" s="3" t="s">
        <v>21</v>
      </c>
      <c r="GH458" s="3" t="s">
        <v>61</v>
      </c>
      <c r="GI458" s="3" t="s">
        <v>62</v>
      </c>
      <c r="GJ458" s="9" t="str">
        <f t="shared" si="924"/>
        <v>Haiti</v>
      </c>
      <c r="GK458" s="9" t="str">
        <f t="shared" si="924"/>
        <v>Iran</v>
      </c>
      <c r="GL458" s="9" t="str">
        <f t="shared" si="924"/>
        <v>Qatar</v>
      </c>
      <c r="GM458" s="9" t="str">
        <f t="shared" si="923"/>
        <v>Australien</v>
      </c>
      <c r="GN458" s="9" t="str">
        <f t="shared" si="923"/>
        <v>Sydkorea</v>
      </c>
      <c r="GO458" s="9" t="str">
        <f t="shared" si="923"/>
        <v>Sverige</v>
      </c>
      <c r="GP458" s="9" t="str">
        <f t="shared" si="923"/>
        <v>Irak</v>
      </c>
      <c r="GQ458" s="9" t="str">
        <f t="shared" si="922"/>
        <v>Uzbekistan</v>
      </c>
      <c r="GR458" s="9" t="str">
        <f t="shared" si="926"/>
        <v/>
      </c>
    </row>
    <row r="459" spans="182:200" ht="14.25" customHeight="1" x14ac:dyDescent="0.25">
      <c r="FZ459" s="79">
        <v>457</v>
      </c>
      <c r="GA459" s="3" t="str">
        <f t="shared" si="925"/>
        <v>CGBDAFIJ</v>
      </c>
      <c r="GB459" s="3" t="s">
        <v>75</v>
      </c>
      <c r="GC459" s="3" t="s">
        <v>60</v>
      </c>
      <c r="GD459" s="3" t="s">
        <v>57</v>
      </c>
      <c r="GE459" s="3" t="s">
        <v>58</v>
      </c>
      <c r="GF459" s="3" t="s">
        <v>56</v>
      </c>
      <c r="GG459" s="3" t="s">
        <v>21</v>
      </c>
      <c r="GH459" s="3" t="s">
        <v>61</v>
      </c>
      <c r="GI459" s="3" t="s">
        <v>69</v>
      </c>
      <c r="GJ459" s="9" t="str">
        <f t="shared" si="924"/>
        <v>Haiti</v>
      </c>
      <c r="GK459" s="9" t="str">
        <f t="shared" si="924"/>
        <v>Iran</v>
      </c>
      <c r="GL459" s="9" t="str">
        <f t="shared" si="924"/>
        <v>Qatar</v>
      </c>
      <c r="GM459" s="9" t="str">
        <f t="shared" si="923"/>
        <v>Australien</v>
      </c>
      <c r="GN459" s="9" t="str">
        <f t="shared" si="923"/>
        <v>Sydkorea</v>
      </c>
      <c r="GO459" s="9" t="str">
        <f t="shared" si="923"/>
        <v>Sverige</v>
      </c>
      <c r="GP459" s="9" t="str">
        <f t="shared" si="923"/>
        <v>Irak</v>
      </c>
      <c r="GQ459" s="9" t="str">
        <f t="shared" si="922"/>
        <v>Österrike</v>
      </c>
      <c r="GR459" s="9" t="str">
        <f t="shared" si="926"/>
        <v/>
      </c>
    </row>
    <row r="460" spans="182:200" ht="14.25" customHeight="1" x14ac:dyDescent="0.25">
      <c r="FZ460" s="79">
        <v>458</v>
      </c>
      <c r="GA460" s="3" t="str">
        <f t="shared" si="925"/>
        <v>CGBDAFLH</v>
      </c>
      <c r="GB460" s="3" t="s">
        <v>75</v>
      </c>
      <c r="GC460" s="3" t="s">
        <v>60</v>
      </c>
      <c r="GD460" s="3" t="s">
        <v>57</v>
      </c>
      <c r="GE460" s="3" t="s">
        <v>58</v>
      </c>
      <c r="GF460" s="3" t="s">
        <v>56</v>
      </c>
      <c r="GG460" s="3" t="s">
        <v>21</v>
      </c>
      <c r="GH460" s="3" t="s">
        <v>63</v>
      </c>
      <c r="GI460" s="3" t="s">
        <v>70</v>
      </c>
      <c r="GJ460" s="9" t="str">
        <f t="shared" si="924"/>
        <v>Haiti</v>
      </c>
      <c r="GK460" s="9" t="str">
        <f t="shared" si="924"/>
        <v>Iran</v>
      </c>
      <c r="GL460" s="9" t="str">
        <f t="shared" si="924"/>
        <v>Qatar</v>
      </c>
      <c r="GM460" s="9" t="str">
        <f t="shared" si="923"/>
        <v>Australien</v>
      </c>
      <c r="GN460" s="9" t="str">
        <f t="shared" si="923"/>
        <v>Sydkorea</v>
      </c>
      <c r="GO460" s="9" t="str">
        <f t="shared" si="923"/>
        <v>Sverige</v>
      </c>
      <c r="GP460" s="9" t="str">
        <f t="shared" si="923"/>
        <v>Ghana</v>
      </c>
      <c r="GQ460" s="9" t="str">
        <f t="shared" si="922"/>
        <v>Saudiarabien</v>
      </c>
      <c r="GR460" s="9" t="str">
        <f t="shared" si="926"/>
        <v/>
      </c>
    </row>
    <row r="461" spans="182:200" ht="14.25" customHeight="1" x14ac:dyDescent="0.25">
      <c r="FZ461" s="79">
        <v>459</v>
      </c>
      <c r="GA461" s="3" t="str">
        <f t="shared" si="925"/>
        <v>HGBCAFDK</v>
      </c>
      <c r="GB461" s="3" t="s">
        <v>70</v>
      </c>
      <c r="GC461" s="3" t="s">
        <v>60</v>
      </c>
      <c r="GD461" s="3" t="s">
        <v>57</v>
      </c>
      <c r="GE461" s="3" t="s">
        <v>75</v>
      </c>
      <c r="GF461" s="3" t="s">
        <v>56</v>
      </c>
      <c r="GG461" s="3" t="s">
        <v>21</v>
      </c>
      <c r="GH461" s="3" t="s">
        <v>58</v>
      </c>
      <c r="GI461" s="3" t="s">
        <v>62</v>
      </c>
      <c r="GJ461" s="9" t="str">
        <f t="shared" si="924"/>
        <v>Saudiarabien</v>
      </c>
      <c r="GK461" s="9" t="str">
        <f t="shared" si="924"/>
        <v>Iran</v>
      </c>
      <c r="GL461" s="9" t="str">
        <f t="shared" si="924"/>
        <v>Qatar</v>
      </c>
      <c r="GM461" s="9" t="str">
        <f t="shared" si="923"/>
        <v>Haiti</v>
      </c>
      <c r="GN461" s="9" t="str">
        <f t="shared" si="923"/>
        <v>Sydkorea</v>
      </c>
      <c r="GO461" s="9" t="str">
        <f t="shared" si="923"/>
        <v>Sverige</v>
      </c>
      <c r="GP461" s="9" t="str">
        <f t="shared" si="923"/>
        <v>Australien</v>
      </c>
      <c r="GQ461" s="9" t="str">
        <f t="shared" si="922"/>
        <v>Uzbekistan</v>
      </c>
      <c r="GR461" s="9" t="str">
        <f t="shared" si="926"/>
        <v/>
      </c>
    </row>
    <row r="462" spans="182:200" ht="14.25" customHeight="1" x14ac:dyDescent="0.25">
      <c r="FZ462" s="79">
        <v>460</v>
      </c>
      <c r="GA462" s="3" t="str">
        <f t="shared" si="925"/>
        <v>HGBCAFDJ</v>
      </c>
      <c r="GB462" s="3" t="s">
        <v>70</v>
      </c>
      <c r="GC462" s="3" t="s">
        <v>60</v>
      </c>
      <c r="GD462" s="3" t="s">
        <v>57</v>
      </c>
      <c r="GE462" s="3" t="s">
        <v>75</v>
      </c>
      <c r="GF462" s="3" t="s">
        <v>56</v>
      </c>
      <c r="GG462" s="3" t="s">
        <v>21</v>
      </c>
      <c r="GH462" s="3" t="s">
        <v>58</v>
      </c>
      <c r="GI462" s="3" t="s">
        <v>69</v>
      </c>
      <c r="GJ462" s="9" t="str">
        <f t="shared" si="924"/>
        <v>Saudiarabien</v>
      </c>
      <c r="GK462" s="9" t="str">
        <f t="shared" si="924"/>
        <v>Iran</v>
      </c>
      <c r="GL462" s="9" t="str">
        <f t="shared" si="924"/>
        <v>Qatar</v>
      </c>
      <c r="GM462" s="9" t="str">
        <f t="shared" si="923"/>
        <v>Haiti</v>
      </c>
      <c r="GN462" s="9" t="str">
        <f t="shared" si="923"/>
        <v>Sydkorea</v>
      </c>
      <c r="GO462" s="9" t="str">
        <f t="shared" si="923"/>
        <v>Sverige</v>
      </c>
      <c r="GP462" s="9" t="str">
        <f t="shared" si="923"/>
        <v>Australien</v>
      </c>
      <c r="GQ462" s="9" t="str">
        <f t="shared" si="922"/>
        <v>Österrike</v>
      </c>
      <c r="GR462" s="9" t="str">
        <f t="shared" si="926"/>
        <v/>
      </c>
    </row>
    <row r="463" spans="182:200" ht="14.25" customHeight="1" x14ac:dyDescent="0.25">
      <c r="FZ463" s="79">
        <v>461</v>
      </c>
      <c r="GA463" s="3" t="str">
        <f t="shared" si="925"/>
        <v>HGBCAFDI</v>
      </c>
      <c r="GB463" s="3" t="s">
        <v>70</v>
      </c>
      <c r="GC463" s="3" t="s">
        <v>60</v>
      </c>
      <c r="GD463" s="3" t="s">
        <v>57</v>
      </c>
      <c r="GE463" s="3" t="s">
        <v>75</v>
      </c>
      <c r="GF463" s="3" t="s">
        <v>56</v>
      </c>
      <c r="GG463" s="3" t="s">
        <v>21</v>
      </c>
      <c r="GH463" s="3" t="s">
        <v>58</v>
      </c>
      <c r="GI463" s="3" t="s">
        <v>61</v>
      </c>
      <c r="GJ463" s="9" t="str">
        <f t="shared" si="924"/>
        <v>Saudiarabien</v>
      </c>
      <c r="GK463" s="9" t="str">
        <f t="shared" si="924"/>
        <v>Iran</v>
      </c>
      <c r="GL463" s="9" t="str">
        <f t="shared" si="924"/>
        <v>Qatar</v>
      </c>
      <c r="GM463" s="9" t="str">
        <f t="shared" si="923"/>
        <v>Haiti</v>
      </c>
      <c r="GN463" s="9" t="str">
        <f t="shared" si="923"/>
        <v>Sydkorea</v>
      </c>
      <c r="GO463" s="9" t="str">
        <f t="shared" si="923"/>
        <v>Sverige</v>
      </c>
      <c r="GP463" s="9" t="str">
        <f t="shared" si="923"/>
        <v>Australien</v>
      </c>
      <c r="GQ463" s="9" t="str">
        <f t="shared" si="922"/>
        <v>Irak</v>
      </c>
      <c r="GR463" s="9" t="str">
        <f t="shared" si="926"/>
        <v/>
      </c>
    </row>
    <row r="464" spans="182:200" ht="14.25" customHeight="1" x14ac:dyDescent="0.25">
      <c r="FZ464" s="79">
        <v>462</v>
      </c>
      <c r="GA464" s="3" t="str">
        <f t="shared" si="925"/>
        <v>EJBCADLK</v>
      </c>
      <c r="GB464" s="3" t="s">
        <v>59</v>
      </c>
      <c r="GC464" s="3" t="s">
        <v>69</v>
      </c>
      <c r="GD464" s="3" t="s">
        <v>57</v>
      </c>
      <c r="GE464" s="3" t="s">
        <v>75</v>
      </c>
      <c r="GF464" s="3" t="s">
        <v>56</v>
      </c>
      <c r="GG464" s="3" t="s">
        <v>58</v>
      </c>
      <c r="GH464" s="3" t="s">
        <v>63</v>
      </c>
      <c r="GI464" s="3" t="s">
        <v>62</v>
      </c>
      <c r="GJ464" s="9" t="str">
        <f t="shared" si="924"/>
        <v>Elfenbenskusten</v>
      </c>
      <c r="GK464" s="9" t="str">
        <f t="shared" si="924"/>
        <v>Österrike</v>
      </c>
      <c r="GL464" s="9" t="str">
        <f t="shared" si="924"/>
        <v>Qatar</v>
      </c>
      <c r="GM464" s="9" t="str">
        <f t="shared" si="923"/>
        <v>Haiti</v>
      </c>
      <c r="GN464" s="9" t="str">
        <f t="shared" si="923"/>
        <v>Sydkorea</v>
      </c>
      <c r="GO464" s="9" t="str">
        <f t="shared" si="923"/>
        <v>Australien</v>
      </c>
      <c r="GP464" s="9" t="str">
        <f t="shared" si="923"/>
        <v>Ghana</v>
      </c>
      <c r="GQ464" s="9" t="str">
        <f t="shared" si="922"/>
        <v>Uzbekistan</v>
      </c>
      <c r="GR464" s="9" t="str">
        <f t="shared" si="926"/>
        <v/>
      </c>
    </row>
    <row r="465" spans="182:200" ht="14.25" customHeight="1" x14ac:dyDescent="0.25">
      <c r="FZ465" s="79">
        <v>463</v>
      </c>
      <c r="GA465" s="3" t="str">
        <f t="shared" si="925"/>
        <v>EIBCADLK</v>
      </c>
      <c r="GB465" s="3" t="s">
        <v>59</v>
      </c>
      <c r="GC465" s="3" t="s">
        <v>61</v>
      </c>
      <c r="GD465" s="3" t="s">
        <v>57</v>
      </c>
      <c r="GE465" s="3" t="s">
        <v>75</v>
      </c>
      <c r="GF465" s="3" t="s">
        <v>56</v>
      </c>
      <c r="GG465" s="3" t="s">
        <v>58</v>
      </c>
      <c r="GH465" s="3" t="s">
        <v>63</v>
      </c>
      <c r="GI465" s="3" t="s">
        <v>62</v>
      </c>
      <c r="GJ465" s="9" t="str">
        <f t="shared" si="924"/>
        <v>Elfenbenskusten</v>
      </c>
      <c r="GK465" s="9" t="str">
        <f t="shared" si="924"/>
        <v>Irak</v>
      </c>
      <c r="GL465" s="9" t="str">
        <f t="shared" si="924"/>
        <v>Qatar</v>
      </c>
      <c r="GM465" s="9" t="str">
        <f t="shared" si="923"/>
        <v>Haiti</v>
      </c>
      <c r="GN465" s="9" t="str">
        <f t="shared" si="923"/>
        <v>Sydkorea</v>
      </c>
      <c r="GO465" s="9" t="str">
        <f t="shared" si="923"/>
        <v>Australien</v>
      </c>
      <c r="GP465" s="9" t="str">
        <f t="shared" si="923"/>
        <v>Ghana</v>
      </c>
      <c r="GQ465" s="9" t="str">
        <f t="shared" si="922"/>
        <v>Uzbekistan</v>
      </c>
      <c r="GR465" s="9" t="str">
        <f t="shared" si="926"/>
        <v/>
      </c>
    </row>
    <row r="466" spans="182:200" ht="14.25" customHeight="1" x14ac:dyDescent="0.25">
      <c r="FZ466" s="79">
        <v>464</v>
      </c>
      <c r="GA466" s="3" t="str">
        <f t="shared" si="925"/>
        <v>EJBCADLI</v>
      </c>
      <c r="GB466" s="3" t="s">
        <v>59</v>
      </c>
      <c r="GC466" s="3" t="s">
        <v>69</v>
      </c>
      <c r="GD466" s="3" t="s">
        <v>57</v>
      </c>
      <c r="GE466" s="3" t="s">
        <v>75</v>
      </c>
      <c r="GF466" s="3" t="s">
        <v>56</v>
      </c>
      <c r="GG466" s="3" t="s">
        <v>58</v>
      </c>
      <c r="GH466" s="3" t="s">
        <v>63</v>
      </c>
      <c r="GI466" s="3" t="s">
        <v>61</v>
      </c>
      <c r="GJ466" s="9" t="str">
        <f t="shared" si="924"/>
        <v>Elfenbenskusten</v>
      </c>
      <c r="GK466" s="9" t="str">
        <f t="shared" si="924"/>
        <v>Österrike</v>
      </c>
      <c r="GL466" s="9" t="str">
        <f t="shared" si="924"/>
        <v>Qatar</v>
      </c>
      <c r="GM466" s="9" t="str">
        <f t="shared" si="923"/>
        <v>Haiti</v>
      </c>
      <c r="GN466" s="9" t="str">
        <f t="shared" si="923"/>
        <v>Sydkorea</v>
      </c>
      <c r="GO466" s="9" t="str">
        <f t="shared" si="923"/>
        <v>Australien</v>
      </c>
      <c r="GP466" s="9" t="str">
        <f t="shared" si="923"/>
        <v>Ghana</v>
      </c>
      <c r="GQ466" s="9" t="str">
        <f t="shared" si="922"/>
        <v>Irak</v>
      </c>
      <c r="GR466" s="9" t="str">
        <f t="shared" si="926"/>
        <v/>
      </c>
    </row>
    <row r="467" spans="182:200" ht="14.25" customHeight="1" x14ac:dyDescent="0.25">
      <c r="FZ467" s="79">
        <v>465</v>
      </c>
      <c r="GA467" s="3" t="str">
        <f t="shared" si="925"/>
        <v>EJBCADIK</v>
      </c>
      <c r="GB467" s="3" t="s">
        <v>59</v>
      </c>
      <c r="GC467" s="3" t="s">
        <v>69</v>
      </c>
      <c r="GD467" s="3" t="s">
        <v>57</v>
      </c>
      <c r="GE467" s="3" t="s">
        <v>75</v>
      </c>
      <c r="GF467" s="3" t="s">
        <v>56</v>
      </c>
      <c r="GG467" s="3" t="s">
        <v>58</v>
      </c>
      <c r="GH467" s="3" t="s">
        <v>61</v>
      </c>
      <c r="GI467" s="3" t="s">
        <v>62</v>
      </c>
      <c r="GJ467" s="9" t="str">
        <f t="shared" si="924"/>
        <v>Elfenbenskusten</v>
      </c>
      <c r="GK467" s="9" t="str">
        <f t="shared" si="924"/>
        <v>Österrike</v>
      </c>
      <c r="GL467" s="9" t="str">
        <f t="shared" si="924"/>
        <v>Qatar</v>
      </c>
      <c r="GM467" s="9" t="str">
        <f t="shared" si="923"/>
        <v>Haiti</v>
      </c>
      <c r="GN467" s="9" t="str">
        <f t="shared" si="923"/>
        <v>Sydkorea</v>
      </c>
      <c r="GO467" s="9" t="str">
        <f t="shared" si="923"/>
        <v>Australien</v>
      </c>
      <c r="GP467" s="9" t="str">
        <f t="shared" si="923"/>
        <v>Irak</v>
      </c>
      <c r="GQ467" s="9" t="str">
        <f t="shared" si="922"/>
        <v>Uzbekistan</v>
      </c>
      <c r="GR467" s="9" t="str">
        <f t="shared" si="926"/>
        <v/>
      </c>
    </row>
    <row r="468" spans="182:200" ht="14.25" customHeight="1" x14ac:dyDescent="0.25">
      <c r="FZ468" s="79">
        <v>466</v>
      </c>
      <c r="GA468" s="3" t="str">
        <f t="shared" si="925"/>
        <v>HEBCADLK</v>
      </c>
      <c r="GB468" s="3" t="s">
        <v>70</v>
      </c>
      <c r="GC468" s="3" t="s">
        <v>59</v>
      </c>
      <c r="GD468" s="3" t="s">
        <v>57</v>
      </c>
      <c r="GE468" s="3" t="s">
        <v>75</v>
      </c>
      <c r="GF468" s="3" t="s">
        <v>56</v>
      </c>
      <c r="GG468" s="3" t="s">
        <v>58</v>
      </c>
      <c r="GH468" s="3" t="s">
        <v>63</v>
      </c>
      <c r="GI468" s="3" t="s">
        <v>62</v>
      </c>
      <c r="GJ468" s="9" t="str">
        <f t="shared" si="924"/>
        <v>Saudiarabien</v>
      </c>
      <c r="GK468" s="9" t="str">
        <f t="shared" si="924"/>
        <v>Elfenbenskusten</v>
      </c>
      <c r="GL468" s="9" t="str">
        <f t="shared" si="924"/>
        <v>Qatar</v>
      </c>
      <c r="GM468" s="9" t="str">
        <f t="shared" si="923"/>
        <v>Haiti</v>
      </c>
      <c r="GN468" s="9" t="str">
        <f t="shared" si="923"/>
        <v>Sydkorea</v>
      </c>
      <c r="GO468" s="9" t="str">
        <f t="shared" si="923"/>
        <v>Australien</v>
      </c>
      <c r="GP468" s="9" t="str">
        <f t="shared" si="923"/>
        <v>Ghana</v>
      </c>
      <c r="GQ468" s="9" t="str">
        <f t="shared" si="922"/>
        <v>Uzbekistan</v>
      </c>
      <c r="GR468" s="9" t="str">
        <f t="shared" si="926"/>
        <v/>
      </c>
    </row>
    <row r="469" spans="182:200" ht="14.25" customHeight="1" x14ac:dyDescent="0.25">
      <c r="FZ469" s="79">
        <v>467</v>
      </c>
      <c r="GA469" s="3" t="str">
        <f t="shared" si="925"/>
        <v>HJBCADLE</v>
      </c>
      <c r="GB469" s="3" t="s">
        <v>70</v>
      </c>
      <c r="GC469" s="3" t="s">
        <v>69</v>
      </c>
      <c r="GD469" s="3" t="s">
        <v>57</v>
      </c>
      <c r="GE469" s="3" t="s">
        <v>75</v>
      </c>
      <c r="GF469" s="3" t="s">
        <v>56</v>
      </c>
      <c r="GG469" s="3" t="s">
        <v>58</v>
      </c>
      <c r="GH469" s="3" t="s">
        <v>63</v>
      </c>
      <c r="GI469" s="3" t="s">
        <v>59</v>
      </c>
      <c r="GJ469" s="9" t="str">
        <f t="shared" si="924"/>
        <v>Saudiarabien</v>
      </c>
      <c r="GK469" s="9" t="str">
        <f t="shared" si="924"/>
        <v>Österrike</v>
      </c>
      <c r="GL469" s="9" t="str">
        <f t="shared" si="924"/>
        <v>Qatar</v>
      </c>
      <c r="GM469" s="9" t="str">
        <f t="shared" si="923"/>
        <v>Haiti</v>
      </c>
      <c r="GN469" s="9" t="str">
        <f t="shared" si="923"/>
        <v>Sydkorea</v>
      </c>
      <c r="GO469" s="9" t="str">
        <f t="shared" si="923"/>
        <v>Australien</v>
      </c>
      <c r="GP469" s="9" t="str">
        <f t="shared" si="923"/>
        <v>Ghana</v>
      </c>
      <c r="GQ469" s="9" t="str">
        <f t="shared" si="922"/>
        <v>Elfenbenskusten</v>
      </c>
      <c r="GR469" s="9" t="str">
        <f t="shared" si="926"/>
        <v/>
      </c>
    </row>
    <row r="470" spans="182:200" ht="14.25" customHeight="1" x14ac:dyDescent="0.25">
      <c r="FZ470" s="79">
        <v>468</v>
      </c>
      <c r="GA470" s="3" t="str">
        <f t="shared" si="925"/>
        <v>HJBCADEK</v>
      </c>
      <c r="GB470" s="3" t="s">
        <v>70</v>
      </c>
      <c r="GC470" s="3" t="s">
        <v>69</v>
      </c>
      <c r="GD470" s="3" t="s">
        <v>57</v>
      </c>
      <c r="GE470" s="3" t="s">
        <v>75</v>
      </c>
      <c r="GF470" s="3" t="s">
        <v>56</v>
      </c>
      <c r="GG470" s="3" t="s">
        <v>58</v>
      </c>
      <c r="GH470" s="3" t="s">
        <v>59</v>
      </c>
      <c r="GI470" s="3" t="s">
        <v>62</v>
      </c>
      <c r="GJ470" s="9" t="str">
        <f t="shared" si="924"/>
        <v>Saudiarabien</v>
      </c>
      <c r="GK470" s="9" t="str">
        <f t="shared" si="924"/>
        <v>Österrike</v>
      </c>
      <c r="GL470" s="9" t="str">
        <f t="shared" si="924"/>
        <v>Qatar</v>
      </c>
      <c r="GM470" s="9" t="str">
        <f t="shared" si="923"/>
        <v>Haiti</v>
      </c>
      <c r="GN470" s="9" t="str">
        <f t="shared" si="923"/>
        <v>Sydkorea</v>
      </c>
      <c r="GO470" s="9" t="str">
        <f t="shared" si="923"/>
        <v>Australien</v>
      </c>
      <c r="GP470" s="9" t="str">
        <f t="shared" si="923"/>
        <v>Elfenbenskusten</v>
      </c>
      <c r="GQ470" s="9" t="str">
        <f t="shared" si="922"/>
        <v>Uzbekistan</v>
      </c>
      <c r="GR470" s="9" t="str">
        <f t="shared" si="926"/>
        <v/>
      </c>
    </row>
    <row r="471" spans="182:200" ht="14.25" customHeight="1" x14ac:dyDescent="0.25">
      <c r="FZ471" s="79">
        <v>469</v>
      </c>
      <c r="GA471" s="3" t="str">
        <f t="shared" si="925"/>
        <v>HEBCADLI</v>
      </c>
      <c r="GB471" s="3" t="s">
        <v>70</v>
      </c>
      <c r="GC471" s="3" t="s">
        <v>59</v>
      </c>
      <c r="GD471" s="3" t="s">
        <v>57</v>
      </c>
      <c r="GE471" s="3" t="s">
        <v>75</v>
      </c>
      <c r="GF471" s="3" t="s">
        <v>56</v>
      </c>
      <c r="GG471" s="3" t="s">
        <v>58</v>
      </c>
      <c r="GH471" s="3" t="s">
        <v>63</v>
      </c>
      <c r="GI471" s="3" t="s">
        <v>61</v>
      </c>
      <c r="GJ471" s="9" t="str">
        <f t="shared" si="924"/>
        <v>Saudiarabien</v>
      </c>
      <c r="GK471" s="9" t="str">
        <f t="shared" si="924"/>
        <v>Elfenbenskusten</v>
      </c>
      <c r="GL471" s="9" t="str">
        <f t="shared" si="924"/>
        <v>Qatar</v>
      </c>
      <c r="GM471" s="9" t="str">
        <f t="shared" si="923"/>
        <v>Haiti</v>
      </c>
      <c r="GN471" s="9" t="str">
        <f t="shared" si="923"/>
        <v>Sydkorea</v>
      </c>
      <c r="GO471" s="9" t="str">
        <f t="shared" si="923"/>
        <v>Australien</v>
      </c>
      <c r="GP471" s="9" t="str">
        <f t="shared" si="923"/>
        <v>Ghana</v>
      </c>
      <c r="GQ471" s="9" t="str">
        <f t="shared" si="922"/>
        <v>Irak</v>
      </c>
      <c r="GR471" s="9" t="str">
        <f t="shared" si="926"/>
        <v/>
      </c>
    </row>
    <row r="472" spans="182:200" ht="14.25" customHeight="1" x14ac:dyDescent="0.25">
      <c r="FZ472" s="79">
        <v>470</v>
      </c>
      <c r="GA472" s="3" t="str">
        <f t="shared" si="925"/>
        <v>HEBCADIK</v>
      </c>
      <c r="GB472" s="3" t="s">
        <v>70</v>
      </c>
      <c r="GC472" s="3" t="s">
        <v>59</v>
      </c>
      <c r="GD472" s="3" t="s">
        <v>57</v>
      </c>
      <c r="GE472" s="3" t="s">
        <v>75</v>
      </c>
      <c r="GF472" s="3" t="s">
        <v>56</v>
      </c>
      <c r="GG472" s="3" t="s">
        <v>58</v>
      </c>
      <c r="GH472" s="3" t="s">
        <v>61</v>
      </c>
      <c r="GI472" s="3" t="s">
        <v>62</v>
      </c>
      <c r="GJ472" s="9" t="str">
        <f t="shared" si="924"/>
        <v>Saudiarabien</v>
      </c>
      <c r="GK472" s="9" t="str">
        <f t="shared" si="924"/>
        <v>Elfenbenskusten</v>
      </c>
      <c r="GL472" s="9" t="str">
        <f t="shared" si="924"/>
        <v>Qatar</v>
      </c>
      <c r="GM472" s="9" t="str">
        <f t="shared" si="923"/>
        <v>Haiti</v>
      </c>
      <c r="GN472" s="9" t="str">
        <f t="shared" si="923"/>
        <v>Sydkorea</v>
      </c>
      <c r="GO472" s="9" t="str">
        <f t="shared" si="923"/>
        <v>Australien</v>
      </c>
      <c r="GP472" s="9" t="str">
        <f t="shared" si="923"/>
        <v>Irak</v>
      </c>
      <c r="GQ472" s="9" t="str">
        <f t="shared" si="922"/>
        <v>Uzbekistan</v>
      </c>
      <c r="GR472" s="9" t="str">
        <f t="shared" si="926"/>
        <v/>
      </c>
    </row>
    <row r="473" spans="182:200" ht="14.25" customHeight="1" x14ac:dyDescent="0.25">
      <c r="FZ473" s="79">
        <v>471</v>
      </c>
      <c r="GA473" s="3" t="str">
        <f t="shared" si="925"/>
        <v>HJBCADEI</v>
      </c>
      <c r="GB473" s="3" t="s">
        <v>70</v>
      </c>
      <c r="GC473" s="3" t="s">
        <v>69</v>
      </c>
      <c r="GD473" s="3" t="s">
        <v>57</v>
      </c>
      <c r="GE473" s="3" t="s">
        <v>75</v>
      </c>
      <c r="GF473" s="3" t="s">
        <v>56</v>
      </c>
      <c r="GG473" s="3" t="s">
        <v>58</v>
      </c>
      <c r="GH473" s="3" t="s">
        <v>59</v>
      </c>
      <c r="GI473" s="3" t="s">
        <v>61</v>
      </c>
      <c r="GJ473" s="9" t="str">
        <f t="shared" si="924"/>
        <v>Saudiarabien</v>
      </c>
      <c r="GK473" s="9" t="str">
        <f t="shared" si="924"/>
        <v>Österrike</v>
      </c>
      <c r="GL473" s="9" t="str">
        <f t="shared" si="924"/>
        <v>Qatar</v>
      </c>
      <c r="GM473" s="9" t="str">
        <f t="shared" si="923"/>
        <v>Haiti</v>
      </c>
      <c r="GN473" s="9" t="str">
        <f t="shared" si="923"/>
        <v>Sydkorea</v>
      </c>
      <c r="GO473" s="9" t="str">
        <f t="shared" si="923"/>
        <v>Australien</v>
      </c>
      <c r="GP473" s="9" t="str">
        <f t="shared" si="923"/>
        <v>Elfenbenskusten</v>
      </c>
      <c r="GQ473" s="9" t="str">
        <f t="shared" si="922"/>
        <v>Irak</v>
      </c>
      <c r="GR473" s="9" t="str">
        <f t="shared" si="926"/>
        <v/>
      </c>
    </row>
    <row r="474" spans="182:200" ht="14.25" customHeight="1" x14ac:dyDescent="0.25">
      <c r="FZ474" s="79">
        <v>472</v>
      </c>
      <c r="GA474" s="3" t="str">
        <f t="shared" si="925"/>
        <v>EGBCADLK</v>
      </c>
      <c r="GB474" s="3" t="s">
        <v>59</v>
      </c>
      <c r="GC474" s="3" t="s">
        <v>60</v>
      </c>
      <c r="GD474" s="3" t="s">
        <v>57</v>
      </c>
      <c r="GE474" s="3" t="s">
        <v>75</v>
      </c>
      <c r="GF474" s="3" t="s">
        <v>56</v>
      </c>
      <c r="GG474" s="3" t="s">
        <v>58</v>
      </c>
      <c r="GH474" s="3" t="s">
        <v>63</v>
      </c>
      <c r="GI474" s="3" t="s">
        <v>62</v>
      </c>
      <c r="GJ474" s="9" t="str">
        <f t="shared" si="924"/>
        <v>Elfenbenskusten</v>
      </c>
      <c r="GK474" s="9" t="str">
        <f t="shared" si="924"/>
        <v>Iran</v>
      </c>
      <c r="GL474" s="9" t="str">
        <f t="shared" si="924"/>
        <v>Qatar</v>
      </c>
      <c r="GM474" s="9" t="str">
        <f t="shared" si="923"/>
        <v>Haiti</v>
      </c>
      <c r="GN474" s="9" t="str">
        <f t="shared" si="923"/>
        <v>Sydkorea</v>
      </c>
      <c r="GO474" s="9" t="str">
        <f t="shared" si="923"/>
        <v>Australien</v>
      </c>
      <c r="GP474" s="9" t="str">
        <f t="shared" si="923"/>
        <v>Ghana</v>
      </c>
      <c r="GQ474" s="9" t="str">
        <f t="shared" si="922"/>
        <v>Uzbekistan</v>
      </c>
      <c r="GR474" s="9" t="str">
        <f t="shared" si="926"/>
        <v/>
      </c>
    </row>
    <row r="475" spans="182:200" ht="14.25" customHeight="1" x14ac:dyDescent="0.25">
      <c r="FZ475" s="79">
        <v>473</v>
      </c>
      <c r="GA475" s="3" t="str">
        <f t="shared" si="925"/>
        <v>EGBCADLJ</v>
      </c>
      <c r="GB475" s="3" t="s">
        <v>59</v>
      </c>
      <c r="GC475" s="3" t="s">
        <v>60</v>
      </c>
      <c r="GD475" s="3" t="s">
        <v>57</v>
      </c>
      <c r="GE475" s="3" t="s">
        <v>75</v>
      </c>
      <c r="GF475" s="3" t="s">
        <v>56</v>
      </c>
      <c r="GG475" s="3" t="s">
        <v>58</v>
      </c>
      <c r="GH475" s="3" t="s">
        <v>63</v>
      </c>
      <c r="GI475" s="3" t="s">
        <v>69</v>
      </c>
      <c r="GJ475" s="9" t="str">
        <f t="shared" si="924"/>
        <v>Elfenbenskusten</v>
      </c>
      <c r="GK475" s="9" t="str">
        <f t="shared" si="924"/>
        <v>Iran</v>
      </c>
      <c r="GL475" s="9" t="str">
        <f t="shared" si="924"/>
        <v>Qatar</v>
      </c>
      <c r="GM475" s="9" t="str">
        <f t="shared" si="923"/>
        <v>Haiti</v>
      </c>
      <c r="GN475" s="9" t="str">
        <f t="shared" si="923"/>
        <v>Sydkorea</v>
      </c>
      <c r="GO475" s="9" t="str">
        <f t="shared" si="923"/>
        <v>Australien</v>
      </c>
      <c r="GP475" s="9" t="str">
        <f t="shared" si="923"/>
        <v>Ghana</v>
      </c>
      <c r="GQ475" s="9" t="str">
        <f t="shared" si="922"/>
        <v>Österrike</v>
      </c>
      <c r="GR475" s="9" t="str">
        <f t="shared" si="926"/>
        <v/>
      </c>
    </row>
    <row r="476" spans="182:200" ht="14.25" customHeight="1" x14ac:dyDescent="0.25">
      <c r="FZ476" s="79">
        <v>474</v>
      </c>
      <c r="GA476" s="3" t="str">
        <f t="shared" si="925"/>
        <v>EGBCADJK</v>
      </c>
      <c r="GB476" s="3" t="s">
        <v>59</v>
      </c>
      <c r="GC476" s="3" t="s">
        <v>60</v>
      </c>
      <c r="GD476" s="3" t="s">
        <v>57</v>
      </c>
      <c r="GE476" s="3" t="s">
        <v>75</v>
      </c>
      <c r="GF476" s="3" t="s">
        <v>56</v>
      </c>
      <c r="GG476" s="3" t="s">
        <v>58</v>
      </c>
      <c r="GH476" s="3" t="s">
        <v>69</v>
      </c>
      <c r="GI476" s="3" t="s">
        <v>62</v>
      </c>
      <c r="GJ476" s="9" t="str">
        <f t="shared" si="924"/>
        <v>Elfenbenskusten</v>
      </c>
      <c r="GK476" s="9" t="str">
        <f t="shared" si="924"/>
        <v>Iran</v>
      </c>
      <c r="GL476" s="9" t="str">
        <f t="shared" si="924"/>
        <v>Qatar</v>
      </c>
      <c r="GM476" s="9" t="str">
        <f t="shared" si="923"/>
        <v>Haiti</v>
      </c>
      <c r="GN476" s="9" t="str">
        <f t="shared" si="923"/>
        <v>Sydkorea</v>
      </c>
      <c r="GO476" s="9" t="str">
        <f t="shared" si="923"/>
        <v>Australien</v>
      </c>
      <c r="GP476" s="9" t="str">
        <f t="shared" si="923"/>
        <v>Österrike</v>
      </c>
      <c r="GQ476" s="9" t="str">
        <f t="shared" si="922"/>
        <v>Uzbekistan</v>
      </c>
      <c r="GR476" s="9" t="str">
        <f t="shared" si="926"/>
        <v/>
      </c>
    </row>
    <row r="477" spans="182:200" ht="14.25" customHeight="1" x14ac:dyDescent="0.25">
      <c r="FZ477" s="79">
        <v>475</v>
      </c>
      <c r="GA477" s="3" t="str">
        <f t="shared" si="925"/>
        <v>EGBCADLI</v>
      </c>
      <c r="GB477" s="3" t="s">
        <v>59</v>
      </c>
      <c r="GC477" s="3" t="s">
        <v>60</v>
      </c>
      <c r="GD477" s="3" t="s">
        <v>57</v>
      </c>
      <c r="GE477" s="3" t="s">
        <v>75</v>
      </c>
      <c r="GF477" s="3" t="s">
        <v>56</v>
      </c>
      <c r="GG477" s="3" t="s">
        <v>58</v>
      </c>
      <c r="GH477" s="3" t="s">
        <v>63</v>
      </c>
      <c r="GI477" s="3" t="s">
        <v>61</v>
      </c>
      <c r="GJ477" s="9" t="str">
        <f t="shared" si="924"/>
        <v>Elfenbenskusten</v>
      </c>
      <c r="GK477" s="9" t="str">
        <f t="shared" si="924"/>
        <v>Iran</v>
      </c>
      <c r="GL477" s="9" t="str">
        <f t="shared" si="924"/>
        <v>Qatar</v>
      </c>
      <c r="GM477" s="9" t="str">
        <f t="shared" si="923"/>
        <v>Haiti</v>
      </c>
      <c r="GN477" s="9" t="str">
        <f t="shared" si="923"/>
        <v>Sydkorea</v>
      </c>
      <c r="GO477" s="9" t="str">
        <f t="shared" si="923"/>
        <v>Australien</v>
      </c>
      <c r="GP477" s="9" t="str">
        <f t="shared" si="923"/>
        <v>Ghana</v>
      </c>
      <c r="GQ477" s="9" t="str">
        <f t="shared" si="922"/>
        <v>Irak</v>
      </c>
      <c r="GR477" s="9" t="str">
        <f t="shared" si="926"/>
        <v/>
      </c>
    </row>
    <row r="478" spans="182:200" ht="14.25" customHeight="1" x14ac:dyDescent="0.25">
      <c r="FZ478" s="79">
        <v>476</v>
      </c>
      <c r="GA478" s="3" t="str">
        <f t="shared" si="925"/>
        <v>EGBCADIK</v>
      </c>
      <c r="GB478" s="3" t="s">
        <v>59</v>
      </c>
      <c r="GC478" s="3" t="s">
        <v>60</v>
      </c>
      <c r="GD478" s="3" t="s">
        <v>57</v>
      </c>
      <c r="GE478" s="3" t="s">
        <v>75</v>
      </c>
      <c r="GF478" s="3" t="s">
        <v>56</v>
      </c>
      <c r="GG478" s="3" t="s">
        <v>58</v>
      </c>
      <c r="GH478" s="3" t="s">
        <v>61</v>
      </c>
      <c r="GI478" s="3" t="s">
        <v>62</v>
      </c>
      <c r="GJ478" s="9" t="str">
        <f t="shared" si="924"/>
        <v>Elfenbenskusten</v>
      </c>
      <c r="GK478" s="9" t="str">
        <f t="shared" si="924"/>
        <v>Iran</v>
      </c>
      <c r="GL478" s="9" t="str">
        <f t="shared" si="924"/>
        <v>Qatar</v>
      </c>
      <c r="GM478" s="9" t="str">
        <f t="shared" si="923"/>
        <v>Haiti</v>
      </c>
      <c r="GN478" s="9" t="str">
        <f t="shared" si="923"/>
        <v>Sydkorea</v>
      </c>
      <c r="GO478" s="9" t="str">
        <f t="shared" si="923"/>
        <v>Australien</v>
      </c>
      <c r="GP478" s="9" t="str">
        <f t="shared" si="923"/>
        <v>Irak</v>
      </c>
      <c r="GQ478" s="9" t="str">
        <f t="shared" si="922"/>
        <v>Uzbekistan</v>
      </c>
      <c r="GR478" s="9" t="str">
        <f t="shared" si="926"/>
        <v/>
      </c>
    </row>
    <row r="479" spans="182:200" ht="14.25" customHeight="1" x14ac:dyDescent="0.25">
      <c r="FZ479" s="79">
        <v>477</v>
      </c>
      <c r="GA479" s="3" t="str">
        <f t="shared" si="925"/>
        <v>EGBCADIJ</v>
      </c>
      <c r="GB479" s="3" t="s">
        <v>59</v>
      </c>
      <c r="GC479" s="3" t="s">
        <v>60</v>
      </c>
      <c r="GD479" s="3" t="s">
        <v>57</v>
      </c>
      <c r="GE479" s="3" t="s">
        <v>75</v>
      </c>
      <c r="GF479" s="3" t="s">
        <v>56</v>
      </c>
      <c r="GG479" s="3" t="s">
        <v>58</v>
      </c>
      <c r="GH479" s="3" t="s">
        <v>61</v>
      </c>
      <c r="GI479" s="3" t="s">
        <v>69</v>
      </c>
      <c r="GJ479" s="9" t="str">
        <f t="shared" si="924"/>
        <v>Elfenbenskusten</v>
      </c>
      <c r="GK479" s="9" t="str">
        <f t="shared" si="924"/>
        <v>Iran</v>
      </c>
      <c r="GL479" s="9" t="str">
        <f t="shared" si="924"/>
        <v>Qatar</v>
      </c>
      <c r="GM479" s="9" t="str">
        <f t="shared" si="923"/>
        <v>Haiti</v>
      </c>
      <c r="GN479" s="9" t="str">
        <f t="shared" si="923"/>
        <v>Sydkorea</v>
      </c>
      <c r="GO479" s="9" t="str">
        <f t="shared" si="923"/>
        <v>Australien</v>
      </c>
      <c r="GP479" s="9" t="str">
        <f t="shared" si="923"/>
        <v>Irak</v>
      </c>
      <c r="GQ479" s="9" t="str">
        <f t="shared" si="922"/>
        <v>Österrike</v>
      </c>
      <c r="GR479" s="9" t="str">
        <f t="shared" si="926"/>
        <v/>
      </c>
    </row>
    <row r="480" spans="182:200" ht="14.25" customHeight="1" x14ac:dyDescent="0.25">
      <c r="FZ480" s="79">
        <v>478</v>
      </c>
      <c r="GA480" s="3" t="str">
        <f t="shared" si="925"/>
        <v>HGBCADLE</v>
      </c>
      <c r="GB480" s="3" t="s">
        <v>70</v>
      </c>
      <c r="GC480" s="3" t="s">
        <v>60</v>
      </c>
      <c r="GD480" s="3" t="s">
        <v>57</v>
      </c>
      <c r="GE480" s="3" t="s">
        <v>75</v>
      </c>
      <c r="GF480" s="3" t="s">
        <v>56</v>
      </c>
      <c r="GG480" s="3" t="s">
        <v>58</v>
      </c>
      <c r="GH480" s="3" t="s">
        <v>63</v>
      </c>
      <c r="GI480" s="3" t="s">
        <v>59</v>
      </c>
      <c r="GJ480" s="9" t="str">
        <f t="shared" si="924"/>
        <v>Saudiarabien</v>
      </c>
      <c r="GK480" s="9" t="str">
        <f t="shared" si="924"/>
        <v>Iran</v>
      </c>
      <c r="GL480" s="9" t="str">
        <f t="shared" si="924"/>
        <v>Qatar</v>
      </c>
      <c r="GM480" s="9" t="str">
        <f t="shared" si="923"/>
        <v>Haiti</v>
      </c>
      <c r="GN480" s="9" t="str">
        <f t="shared" si="923"/>
        <v>Sydkorea</v>
      </c>
      <c r="GO480" s="9" t="str">
        <f t="shared" si="923"/>
        <v>Australien</v>
      </c>
      <c r="GP480" s="9" t="str">
        <f t="shared" si="923"/>
        <v>Ghana</v>
      </c>
      <c r="GQ480" s="9" t="str">
        <f t="shared" si="922"/>
        <v>Elfenbenskusten</v>
      </c>
      <c r="GR480" s="9" t="str">
        <f t="shared" si="926"/>
        <v/>
      </c>
    </row>
    <row r="481" spans="182:200" ht="14.25" customHeight="1" x14ac:dyDescent="0.25">
      <c r="FZ481" s="79">
        <v>479</v>
      </c>
      <c r="GA481" s="3" t="str">
        <f t="shared" si="925"/>
        <v>HGBCADEK</v>
      </c>
      <c r="GB481" s="3" t="s">
        <v>70</v>
      </c>
      <c r="GC481" s="3" t="s">
        <v>60</v>
      </c>
      <c r="GD481" s="3" t="s">
        <v>57</v>
      </c>
      <c r="GE481" s="3" t="s">
        <v>75</v>
      </c>
      <c r="GF481" s="3" t="s">
        <v>56</v>
      </c>
      <c r="GG481" s="3" t="s">
        <v>58</v>
      </c>
      <c r="GH481" s="3" t="s">
        <v>59</v>
      </c>
      <c r="GI481" s="3" t="s">
        <v>62</v>
      </c>
      <c r="GJ481" s="9" t="str">
        <f t="shared" si="924"/>
        <v>Saudiarabien</v>
      </c>
      <c r="GK481" s="9" t="str">
        <f t="shared" si="924"/>
        <v>Iran</v>
      </c>
      <c r="GL481" s="9" t="str">
        <f t="shared" si="924"/>
        <v>Qatar</v>
      </c>
      <c r="GM481" s="9" t="str">
        <f t="shared" si="923"/>
        <v>Haiti</v>
      </c>
      <c r="GN481" s="9" t="str">
        <f t="shared" si="923"/>
        <v>Sydkorea</v>
      </c>
      <c r="GO481" s="9" t="str">
        <f t="shared" si="923"/>
        <v>Australien</v>
      </c>
      <c r="GP481" s="9" t="str">
        <f t="shared" si="923"/>
        <v>Elfenbenskusten</v>
      </c>
      <c r="GQ481" s="9" t="str">
        <f t="shared" si="922"/>
        <v>Uzbekistan</v>
      </c>
      <c r="GR481" s="9" t="str">
        <f t="shared" si="926"/>
        <v/>
      </c>
    </row>
    <row r="482" spans="182:200" ht="14.25" customHeight="1" x14ac:dyDescent="0.25">
      <c r="FZ482" s="79">
        <v>480</v>
      </c>
      <c r="GA482" s="3" t="str">
        <f t="shared" si="925"/>
        <v>HGBCADEJ</v>
      </c>
      <c r="GB482" s="3" t="s">
        <v>70</v>
      </c>
      <c r="GC482" s="3" t="s">
        <v>60</v>
      </c>
      <c r="GD482" s="3" t="s">
        <v>57</v>
      </c>
      <c r="GE482" s="3" t="s">
        <v>75</v>
      </c>
      <c r="GF482" s="3" t="s">
        <v>56</v>
      </c>
      <c r="GG482" s="3" t="s">
        <v>58</v>
      </c>
      <c r="GH482" s="3" t="s">
        <v>59</v>
      </c>
      <c r="GI482" s="3" t="s">
        <v>69</v>
      </c>
      <c r="GJ482" s="9" t="str">
        <f t="shared" si="924"/>
        <v>Saudiarabien</v>
      </c>
      <c r="GK482" s="9" t="str">
        <f t="shared" si="924"/>
        <v>Iran</v>
      </c>
      <c r="GL482" s="9" t="str">
        <f t="shared" si="924"/>
        <v>Qatar</v>
      </c>
      <c r="GM482" s="9" t="str">
        <f t="shared" si="923"/>
        <v>Haiti</v>
      </c>
      <c r="GN482" s="9" t="str">
        <f t="shared" si="923"/>
        <v>Sydkorea</v>
      </c>
      <c r="GO482" s="9" t="str">
        <f t="shared" si="923"/>
        <v>Australien</v>
      </c>
      <c r="GP482" s="9" t="str">
        <f t="shared" si="923"/>
        <v>Elfenbenskusten</v>
      </c>
      <c r="GQ482" s="9" t="str">
        <f t="shared" si="922"/>
        <v>Österrike</v>
      </c>
      <c r="GR482" s="9" t="str">
        <f t="shared" si="926"/>
        <v/>
      </c>
    </row>
    <row r="483" spans="182:200" ht="14.25" customHeight="1" x14ac:dyDescent="0.25">
      <c r="FZ483" s="79">
        <v>481</v>
      </c>
      <c r="GA483" s="3" t="str">
        <f t="shared" si="925"/>
        <v>HGBCADEI</v>
      </c>
      <c r="GB483" s="3" t="s">
        <v>70</v>
      </c>
      <c r="GC483" s="3" t="s">
        <v>60</v>
      </c>
      <c r="GD483" s="3" t="s">
        <v>57</v>
      </c>
      <c r="GE483" s="3" t="s">
        <v>75</v>
      </c>
      <c r="GF483" s="3" t="s">
        <v>56</v>
      </c>
      <c r="GG483" s="3" t="s">
        <v>58</v>
      </c>
      <c r="GH483" s="3" t="s">
        <v>59</v>
      </c>
      <c r="GI483" s="3" t="s">
        <v>61</v>
      </c>
      <c r="GJ483" s="9" t="str">
        <f t="shared" si="924"/>
        <v>Saudiarabien</v>
      </c>
      <c r="GK483" s="9" t="str">
        <f t="shared" si="924"/>
        <v>Iran</v>
      </c>
      <c r="GL483" s="9" t="str">
        <f t="shared" si="924"/>
        <v>Qatar</v>
      </c>
      <c r="GM483" s="9" t="str">
        <f t="shared" si="923"/>
        <v>Haiti</v>
      </c>
      <c r="GN483" s="9" t="str">
        <f t="shared" si="923"/>
        <v>Sydkorea</v>
      </c>
      <c r="GO483" s="9" t="str">
        <f t="shared" si="923"/>
        <v>Australien</v>
      </c>
      <c r="GP483" s="9" t="str">
        <f t="shared" si="923"/>
        <v>Elfenbenskusten</v>
      </c>
      <c r="GQ483" s="9" t="str">
        <f t="shared" si="922"/>
        <v>Irak</v>
      </c>
      <c r="GR483" s="9" t="str">
        <f t="shared" si="926"/>
        <v/>
      </c>
    </row>
    <row r="484" spans="182:200" ht="14.25" customHeight="1" x14ac:dyDescent="0.25">
      <c r="FZ484" s="79">
        <v>482</v>
      </c>
      <c r="GA484" s="3" t="str">
        <f t="shared" si="925"/>
        <v>CEBDAFLK</v>
      </c>
      <c r="GB484" s="3" t="s">
        <v>75</v>
      </c>
      <c r="GC484" s="3" t="s">
        <v>59</v>
      </c>
      <c r="GD484" s="3" t="s">
        <v>57</v>
      </c>
      <c r="GE484" s="3" t="s">
        <v>58</v>
      </c>
      <c r="GF484" s="3" t="s">
        <v>56</v>
      </c>
      <c r="GG484" s="3" t="s">
        <v>21</v>
      </c>
      <c r="GH484" s="3" t="s">
        <v>63</v>
      </c>
      <c r="GI484" s="3" t="s">
        <v>62</v>
      </c>
      <c r="GJ484" s="9" t="str">
        <f t="shared" si="924"/>
        <v>Haiti</v>
      </c>
      <c r="GK484" s="9" t="str">
        <f t="shared" si="924"/>
        <v>Elfenbenskusten</v>
      </c>
      <c r="GL484" s="9" t="str">
        <f t="shared" si="924"/>
        <v>Qatar</v>
      </c>
      <c r="GM484" s="9" t="str">
        <f t="shared" si="923"/>
        <v>Australien</v>
      </c>
      <c r="GN484" s="9" t="str">
        <f t="shared" si="923"/>
        <v>Sydkorea</v>
      </c>
      <c r="GO484" s="9" t="str">
        <f t="shared" si="923"/>
        <v>Sverige</v>
      </c>
      <c r="GP484" s="9" t="str">
        <f t="shared" si="923"/>
        <v>Ghana</v>
      </c>
      <c r="GQ484" s="9" t="str">
        <f t="shared" si="922"/>
        <v>Uzbekistan</v>
      </c>
      <c r="GR484" s="9" t="str">
        <f t="shared" si="926"/>
        <v/>
      </c>
    </row>
    <row r="485" spans="182:200" ht="14.25" customHeight="1" x14ac:dyDescent="0.25">
      <c r="FZ485" s="79">
        <v>483</v>
      </c>
      <c r="GA485" s="3" t="str">
        <f t="shared" si="925"/>
        <v>CJBDAFLE</v>
      </c>
      <c r="GB485" s="3" t="s">
        <v>75</v>
      </c>
      <c r="GC485" s="3" t="s">
        <v>69</v>
      </c>
      <c r="GD485" s="3" t="s">
        <v>57</v>
      </c>
      <c r="GE485" s="3" t="s">
        <v>58</v>
      </c>
      <c r="GF485" s="3" t="s">
        <v>56</v>
      </c>
      <c r="GG485" s="3" t="s">
        <v>21</v>
      </c>
      <c r="GH485" s="3" t="s">
        <v>63</v>
      </c>
      <c r="GI485" s="3" t="s">
        <v>59</v>
      </c>
      <c r="GJ485" s="9" t="str">
        <f t="shared" si="924"/>
        <v>Haiti</v>
      </c>
      <c r="GK485" s="9" t="str">
        <f t="shared" si="924"/>
        <v>Österrike</v>
      </c>
      <c r="GL485" s="9" t="str">
        <f t="shared" si="924"/>
        <v>Qatar</v>
      </c>
      <c r="GM485" s="9" t="str">
        <f t="shared" si="923"/>
        <v>Australien</v>
      </c>
      <c r="GN485" s="9" t="str">
        <f t="shared" si="923"/>
        <v>Sydkorea</v>
      </c>
      <c r="GO485" s="9" t="str">
        <f t="shared" si="923"/>
        <v>Sverige</v>
      </c>
      <c r="GP485" s="9" t="str">
        <f t="shared" si="923"/>
        <v>Ghana</v>
      </c>
      <c r="GQ485" s="9" t="str">
        <f t="shared" si="922"/>
        <v>Elfenbenskusten</v>
      </c>
      <c r="GR485" s="9" t="str">
        <f t="shared" si="926"/>
        <v/>
      </c>
    </row>
    <row r="486" spans="182:200" ht="14.25" customHeight="1" x14ac:dyDescent="0.25">
      <c r="FZ486" s="79">
        <v>484</v>
      </c>
      <c r="GA486" s="3" t="str">
        <f t="shared" si="925"/>
        <v>CJBDAFEK</v>
      </c>
      <c r="GB486" s="3" t="s">
        <v>75</v>
      </c>
      <c r="GC486" s="3" t="s">
        <v>69</v>
      </c>
      <c r="GD486" s="3" t="s">
        <v>57</v>
      </c>
      <c r="GE486" s="3" t="s">
        <v>58</v>
      </c>
      <c r="GF486" s="3" t="s">
        <v>56</v>
      </c>
      <c r="GG486" s="3" t="s">
        <v>21</v>
      </c>
      <c r="GH486" s="3" t="s">
        <v>59</v>
      </c>
      <c r="GI486" s="3" t="s">
        <v>62</v>
      </c>
      <c r="GJ486" s="9" t="str">
        <f t="shared" si="924"/>
        <v>Haiti</v>
      </c>
      <c r="GK486" s="9" t="str">
        <f t="shared" si="924"/>
        <v>Österrike</v>
      </c>
      <c r="GL486" s="9" t="str">
        <f t="shared" si="924"/>
        <v>Qatar</v>
      </c>
      <c r="GM486" s="9" t="str">
        <f t="shared" si="923"/>
        <v>Australien</v>
      </c>
      <c r="GN486" s="9" t="str">
        <f t="shared" si="923"/>
        <v>Sydkorea</v>
      </c>
      <c r="GO486" s="9" t="str">
        <f t="shared" si="923"/>
        <v>Sverige</v>
      </c>
      <c r="GP486" s="9" t="str">
        <f t="shared" si="923"/>
        <v>Elfenbenskusten</v>
      </c>
      <c r="GQ486" s="9" t="str">
        <f t="shared" si="922"/>
        <v>Uzbekistan</v>
      </c>
      <c r="GR486" s="9" t="str">
        <f t="shared" si="926"/>
        <v/>
      </c>
    </row>
    <row r="487" spans="182:200" ht="14.25" customHeight="1" x14ac:dyDescent="0.25">
      <c r="FZ487" s="79">
        <v>485</v>
      </c>
      <c r="GA487" s="3" t="str">
        <f t="shared" si="925"/>
        <v>CEBDAFLI</v>
      </c>
      <c r="GB487" s="3" t="s">
        <v>75</v>
      </c>
      <c r="GC487" s="3" t="s">
        <v>59</v>
      </c>
      <c r="GD487" s="3" t="s">
        <v>57</v>
      </c>
      <c r="GE487" s="3" t="s">
        <v>58</v>
      </c>
      <c r="GF487" s="3" t="s">
        <v>56</v>
      </c>
      <c r="GG487" s="3" t="s">
        <v>21</v>
      </c>
      <c r="GH487" s="3" t="s">
        <v>63</v>
      </c>
      <c r="GI487" s="3" t="s">
        <v>61</v>
      </c>
      <c r="GJ487" s="9" t="str">
        <f t="shared" si="924"/>
        <v>Haiti</v>
      </c>
      <c r="GK487" s="9" t="str">
        <f t="shared" si="924"/>
        <v>Elfenbenskusten</v>
      </c>
      <c r="GL487" s="9" t="str">
        <f t="shared" si="924"/>
        <v>Qatar</v>
      </c>
      <c r="GM487" s="9" t="str">
        <f t="shared" si="923"/>
        <v>Australien</v>
      </c>
      <c r="GN487" s="9" t="str">
        <f t="shared" si="923"/>
        <v>Sydkorea</v>
      </c>
      <c r="GO487" s="9" t="str">
        <f t="shared" si="923"/>
        <v>Sverige</v>
      </c>
      <c r="GP487" s="9" t="str">
        <f t="shared" si="923"/>
        <v>Ghana</v>
      </c>
      <c r="GQ487" s="9" t="str">
        <f t="shared" si="922"/>
        <v>Irak</v>
      </c>
      <c r="GR487" s="9" t="str">
        <f t="shared" si="926"/>
        <v/>
      </c>
    </row>
    <row r="488" spans="182:200" ht="14.25" customHeight="1" x14ac:dyDescent="0.25">
      <c r="FZ488" s="79">
        <v>486</v>
      </c>
      <c r="GA488" s="3" t="str">
        <f t="shared" si="925"/>
        <v>CEBDAFIK</v>
      </c>
      <c r="GB488" s="3" t="s">
        <v>75</v>
      </c>
      <c r="GC488" s="3" t="s">
        <v>59</v>
      </c>
      <c r="GD488" s="3" t="s">
        <v>57</v>
      </c>
      <c r="GE488" s="3" t="s">
        <v>58</v>
      </c>
      <c r="GF488" s="3" t="s">
        <v>56</v>
      </c>
      <c r="GG488" s="3" t="s">
        <v>21</v>
      </c>
      <c r="GH488" s="3" t="s">
        <v>61</v>
      </c>
      <c r="GI488" s="3" t="s">
        <v>62</v>
      </c>
      <c r="GJ488" s="9" t="str">
        <f t="shared" si="924"/>
        <v>Haiti</v>
      </c>
      <c r="GK488" s="9" t="str">
        <f t="shared" si="924"/>
        <v>Elfenbenskusten</v>
      </c>
      <c r="GL488" s="9" t="str">
        <f t="shared" si="924"/>
        <v>Qatar</v>
      </c>
      <c r="GM488" s="9" t="str">
        <f t="shared" si="923"/>
        <v>Australien</v>
      </c>
      <c r="GN488" s="9" t="str">
        <f t="shared" si="923"/>
        <v>Sydkorea</v>
      </c>
      <c r="GO488" s="9" t="str">
        <f t="shared" si="923"/>
        <v>Sverige</v>
      </c>
      <c r="GP488" s="9" t="str">
        <f t="shared" si="923"/>
        <v>Irak</v>
      </c>
      <c r="GQ488" s="9" t="str">
        <f t="shared" si="922"/>
        <v>Uzbekistan</v>
      </c>
      <c r="GR488" s="9" t="str">
        <f t="shared" si="926"/>
        <v/>
      </c>
    </row>
    <row r="489" spans="182:200" ht="14.25" customHeight="1" x14ac:dyDescent="0.25">
      <c r="FZ489" s="79">
        <v>487</v>
      </c>
      <c r="GA489" s="3" t="str">
        <f t="shared" si="925"/>
        <v>CJBDAFEI</v>
      </c>
      <c r="GB489" s="3" t="s">
        <v>75</v>
      </c>
      <c r="GC489" s="3" t="s">
        <v>69</v>
      </c>
      <c r="GD489" s="3" t="s">
        <v>57</v>
      </c>
      <c r="GE489" s="3" t="s">
        <v>58</v>
      </c>
      <c r="GF489" s="3" t="s">
        <v>56</v>
      </c>
      <c r="GG489" s="3" t="s">
        <v>21</v>
      </c>
      <c r="GH489" s="3" t="s">
        <v>59</v>
      </c>
      <c r="GI489" s="3" t="s">
        <v>61</v>
      </c>
      <c r="GJ489" s="9" t="str">
        <f t="shared" si="924"/>
        <v>Haiti</v>
      </c>
      <c r="GK489" s="9" t="str">
        <f t="shared" si="924"/>
        <v>Österrike</v>
      </c>
      <c r="GL489" s="9" t="str">
        <f t="shared" si="924"/>
        <v>Qatar</v>
      </c>
      <c r="GM489" s="9" t="str">
        <f t="shared" si="923"/>
        <v>Australien</v>
      </c>
      <c r="GN489" s="9" t="str">
        <f t="shared" si="923"/>
        <v>Sydkorea</v>
      </c>
      <c r="GO489" s="9" t="str">
        <f t="shared" si="923"/>
        <v>Sverige</v>
      </c>
      <c r="GP489" s="9" t="str">
        <f t="shared" si="923"/>
        <v>Elfenbenskusten</v>
      </c>
      <c r="GQ489" s="9" t="str">
        <f t="shared" si="922"/>
        <v>Irak</v>
      </c>
      <c r="GR489" s="9" t="str">
        <f t="shared" si="926"/>
        <v/>
      </c>
    </row>
    <row r="490" spans="182:200" ht="14.25" customHeight="1" x14ac:dyDescent="0.25">
      <c r="FZ490" s="79">
        <v>488</v>
      </c>
      <c r="GA490" s="3" t="str">
        <f t="shared" si="925"/>
        <v>HFBCADLE</v>
      </c>
      <c r="GB490" s="3" t="s">
        <v>70</v>
      </c>
      <c r="GC490" s="3" t="s">
        <v>21</v>
      </c>
      <c r="GD490" s="3" t="s">
        <v>57</v>
      </c>
      <c r="GE490" s="3" t="s">
        <v>75</v>
      </c>
      <c r="GF490" s="3" t="s">
        <v>56</v>
      </c>
      <c r="GG490" s="3" t="s">
        <v>58</v>
      </c>
      <c r="GH490" s="3" t="s">
        <v>63</v>
      </c>
      <c r="GI490" s="3" t="s">
        <v>59</v>
      </c>
      <c r="GJ490" s="9" t="str">
        <f t="shared" si="924"/>
        <v>Saudiarabien</v>
      </c>
      <c r="GK490" s="9" t="str">
        <f t="shared" si="924"/>
        <v>Sverige</v>
      </c>
      <c r="GL490" s="9" t="str">
        <f t="shared" si="924"/>
        <v>Qatar</v>
      </c>
      <c r="GM490" s="9" t="str">
        <f t="shared" si="923"/>
        <v>Haiti</v>
      </c>
      <c r="GN490" s="9" t="str">
        <f t="shared" si="923"/>
        <v>Sydkorea</v>
      </c>
      <c r="GO490" s="9" t="str">
        <f t="shared" si="923"/>
        <v>Australien</v>
      </c>
      <c r="GP490" s="9" t="str">
        <f t="shared" si="923"/>
        <v>Ghana</v>
      </c>
      <c r="GQ490" s="9" t="str">
        <f t="shared" si="922"/>
        <v>Elfenbenskusten</v>
      </c>
      <c r="GR490" s="9" t="str">
        <f t="shared" si="926"/>
        <v/>
      </c>
    </row>
    <row r="491" spans="182:200" ht="14.25" customHeight="1" x14ac:dyDescent="0.25">
      <c r="FZ491" s="79">
        <v>489</v>
      </c>
      <c r="GA491" s="3" t="str">
        <f t="shared" si="925"/>
        <v>HEBCAFDK</v>
      </c>
      <c r="GB491" s="3" t="s">
        <v>70</v>
      </c>
      <c r="GC491" s="3" t="s">
        <v>59</v>
      </c>
      <c r="GD491" s="3" t="s">
        <v>57</v>
      </c>
      <c r="GE491" s="3" t="s">
        <v>75</v>
      </c>
      <c r="GF491" s="3" t="s">
        <v>56</v>
      </c>
      <c r="GG491" s="3" t="s">
        <v>21</v>
      </c>
      <c r="GH491" s="3" t="s">
        <v>58</v>
      </c>
      <c r="GI491" s="3" t="s">
        <v>62</v>
      </c>
      <c r="GJ491" s="9" t="str">
        <f t="shared" si="924"/>
        <v>Saudiarabien</v>
      </c>
      <c r="GK491" s="9" t="str">
        <f t="shared" si="924"/>
        <v>Elfenbenskusten</v>
      </c>
      <c r="GL491" s="9" t="str">
        <f t="shared" si="924"/>
        <v>Qatar</v>
      </c>
      <c r="GM491" s="9" t="str">
        <f t="shared" si="923"/>
        <v>Haiti</v>
      </c>
      <c r="GN491" s="9" t="str">
        <f t="shared" si="923"/>
        <v>Sydkorea</v>
      </c>
      <c r="GO491" s="9" t="str">
        <f t="shared" si="923"/>
        <v>Sverige</v>
      </c>
      <c r="GP491" s="9" t="str">
        <f t="shared" si="923"/>
        <v>Australien</v>
      </c>
      <c r="GQ491" s="9" t="str">
        <f t="shared" si="922"/>
        <v>Uzbekistan</v>
      </c>
      <c r="GR491" s="9" t="str">
        <f t="shared" si="926"/>
        <v/>
      </c>
    </row>
    <row r="492" spans="182:200" ht="14.25" customHeight="1" x14ac:dyDescent="0.25">
      <c r="FZ492" s="79">
        <v>490</v>
      </c>
      <c r="GA492" s="3" t="str">
        <f t="shared" si="925"/>
        <v>HJBCAFDE</v>
      </c>
      <c r="GB492" s="3" t="s">
        <v>70</v>
      </c>
      <c r="GC492" s="3" t="s">
        <v>69</v>
      </c>
      <c r="GD492" s="3" t="s">
        <v>57</v>
      </c>
      <c r="GE492" s="3" t="s">
        <v>75</v>
      </c>
      <c r="GF492" s="3" t="s">
        <v>56</v>
      </c>
      <c r="GG492" s="3" t="s">
        <v>21</v>
      </c>
      <c r="GH492" s="3" t="s">
        <v>58</v>
      </c>
      <c r="GI492" s="3" t="s">
        <v>59</v>
      </c>
      <c r="GJ492" s="9" t="str">
        <f t="shared" si="924"/>
        <v>Saudiarabien</v>
      </c>
      <c r="GK492" s="9" t="str">
        <f t="shared" si="924"/>
        <v>Österrike</v>
      </c>
      <c r="GL492" s="9" t="str">
        <f t="shared" si="924"/>
        <v>Qatar</v>
      </c>
      <c r="GM492" s="9" t="str">
        <f t="shared" si="923"/>
        <v>Haiti</v>
      </c>
      <c r="GN492" s="9" t="str">
        <f t="shared" si="923"/>
        <v>Sydkorea</v>
      </c>
      <c r="GO492" s="9" t="str">
        <f t="shared" si="923"/>
        <v>Sverige</v>
      </c>
      <c r="GP492" s="9" t="str">
        <f t="shared" si="923"/>
        <v>Australien</v>
      </c>
      <c r="GQ492" s="9" t="str">
        <f t="shared" si="922"/>
        <v>Elfenbenskusten</v>
      </c>
      <c r="GR492" s="9" t="str">
        <f t="shared" si="926"/>
        <v/>
      </c>
    </row>
    <row r="493" spans="182:200" ht="14.25" customHeight="1" x14ac:dyDescent="0.25">
      <c r="FZ493" s="79">
        <v>491</v>
      </c>
      <c r="GA493" s="3" t="str">
        <f t="shared" si="925"/>
        <v>HEBCAFDI</v>
      </c>
      <c r="GB493" s="3" t="s">
        <v>70</v>
      </c>
      <c r="GC493" s="3" t="s">
        <v>59</v>
      </c>
      <c r="GD493" s="3" t="s">
        <v>57</v>
      </c>
      <c r="GE493" s="3" t="s">
        <v>75</v>
      </c>
      <c r="GF493" s="3" t="s">
        <v>56</v>
      </c>
      <c r="GG493" s="3" t="s">
        <v>21</v>
      </c>
      <c r="GH493" s="3" t="s">
        <v>58</v>
      </c>
      <c r="GI493" s="3" t="s">
        <v>61</v>
      </c>
      <c r="GJ493" s="9" t="str">
        <f t="shared" si="924"/>
        <v>Saudiarabien</v>
      </c>
      <c r="GK493" s="9" t="str">
        <f t="shared" si="924"/>
        <v>Elfenbenskusten</v>
      </c>
      <c r="GL493" s="9" t="str">
        <f t="shared" si="924"/>
        <v>Qatar</v>
      </c>
      <c r="GM493" s="9" t="str">
        <f t="shared" si="923"/>
        <v>Haiti</v>
      </c>
      <c r="GN493" s="9" t="str">
        <f t="shared" si="923"/>
        <v>Sydkorea</v>
      </c>
      <c r="GO493" s="9" t="str">
        <f t="shared" si="923"/>
        <v>Sverige</v>
      </c>
      <c r="GP493" s="9" t="str">
        <f t="shared" si="923"/>
        <v>Australien</v>
      </c>
      <c r="GQ493" s="9" t="str">
        <f t="shared" si="922"/>
        <v>Irak</v>
      </c>
      <c r="GR493" s="9" t="str">
        <f t="shared" si="926"/>
        <v/>
      </c>
    </row>
    <row r="494" spans="182:200" ht="14.25" customHeight="1" x14ac:dyDescent="0.25">
      <c r="FZ494" s="79">
        <v>492</v>
      </c>
      <c r="GA494" s="3" t="str">
        <f t="shared" si="925"/>
        <v>CGBDAFLE</v>
      </c>
      <c r="GB494" s="3" t="s">
        <v>75</v>
      </c>
      <c r="GC494" s="3" t="s">
        <v>60</v>
      </c>
      <c r="GD494" s="3" t="s">
        <v>57</v>
      </c>
      <c r="GE494" s="3" t="s">
        <v>58</v>
      </c>
      <c r="GF494" s="3" t="s">
        <v>56</v>
      </c>
      <c r="GG494" s="3" t="s">
        <v>21</v>
      </c>
      <c r="GH494" s="3" t="s">
        <v>63</v>
      </c>
      <c r="GI494" s="3" t="s">
        <v>59</v>
      </c>
      <c r="GJ494" s="9" t="str">
        <f t="shared" si="924"/>
        <v>Haiti</v>
      </c>
      <c r="GK494" s="9" t="str">
        <f t="shared" si="924"/>
        <v>Iran</v>
      </c>
      <c r="GL494" s="9" t="str">
        <f t="shared" si="924"/>
        <v>Qatar</v>
      </c>
      <c r="GM494" s="9" t="str">
        <f t="shared" si="923"/>
        <v>Australien</v>
      </c>
      <c r="GN494" s="9" t="str">
        <f t="shared" si="923"/>
        <v>Sydkorea</v>
      </c>
      <c r="GO494" s="9" t="str">
        <f t="shared" si="923"/>
        <v>Sverige</v>
      </c>
      <c r="GP494" s="9" t="str">
        <f t="shared" si="923"/>
        <v>Ghana</v>
      </c>
      <c r="GQ494" s="9" t="str">
        <f t="shared" si="923"/>
        <v>Elfenbenskusten</v>
      </c>
      <c r="GR494" s="9" t="str">
        <f t="shared" si="926"/>
        <v/>
      </c>
    </row>
    <row r="495" spans="182:200" ht="14.25" customHeight="1" x14ac:dyDescent="0.25">
      <c r="FZ495" s="79">
        <v>493</v>
      </c>
      <c r="GA495" s="3" t="str">
        <f t="shared" si="925"/>
        <v>CGBDAFEK</v>
      </c>
      <c r="GB495" s="3" t="s">
        <v>75</v>
      </c>
      <c r="GC495" s="3" t="s">
        <v>60</v>
      </c>
      <c r="GD495" s="3" t="s">
        <v>57</v>
      </c>
      <c r="GE495" s="3" t="s">
        <v>58</v>
      </c>
      <c r="GF495" s="3" t="s">
        <v>56</v>
      </c>
      <c r="GG495" s="3" t="s">
        <v>21</v>
      </c>
      <c r="GH495" s="3" t="s">
        <v>59</v>
      </c>
      <c r="GI495" s="3" t="s">
        <v>62</v>
      </c>
      <c r="GJ495" s="9" t="str">
        <f t="shared" si="924"/>
        <v>Haiti</v>
      </c>
      <c r="GK495" s="9" t="str">
        <f t="shared" si="924"/>
        <v>Iran</v>
      </c>
      <c r="GL495" s="9" t="str">
        <f t="shared" si="924"/>
        <v>Qatar</v>
      </c>
      <c r="GM495" s="9" t="str">
        <f t="shared" si="923"/>
        <v>Australien</v>
      </c>
      <c r="GN495" s="9" t="str">
        <f t="shared" si="923"/>
        <v>Sydkorea</v>
      </c>
      <c r="GO495" s="9" t="str">
        <f t="shared" si="923"/>
        <v>Sverige</v>
      </c>
      <c r="GP495" s="9" t="str">
        <f t="shared" si="923"/>
        <v>Elfenbenskusten</v>
      </c>
      <c r="GQ495" s="9" t="str">
        <f t="shared" si="923"/>
        <v>Uzbekistan</v>
      </c>
      <c r="GR495" s="9" t="str">
        <f t="shared" si="926"/>
        <v/>
      </c>
    </row>
    <row r="496" spans="182:200" ht="14.25" customHeight="1" x14ac:dyDescent="0.25">
      <c r="FZ496" s="79">
        <v>494</v>
      </c>
      <c r="GA496" s="3" t="str">
        <f t="shared" si="925"/>
        <v>CGBDAFEJ</v>
      </c>
      <c r="GB496" s="3" t="s">
        <v>75</v>
      </c>
      <c r="GC496" s="3" t="s">
        <v>60</v>
      </c>
      <c r="GD496" s="3" t="s">
        <v>57</v>
      </c>
      <c r="GE496" s="3" t="s">
        <v>58</v>
      </c>
      <c r="GF496" s="3" t="s">
        <v>56</v>
      </c>
      <c r="GG496" s="3" t="s">
        <v>21</v>
      </c>
      <c r="GH496" s="3" t="s">
        <v>59</v>
      </c>
      <c r="GI496" s="3" t="s">
        <v>69</v>
      </c>
      <c r="GJ496" s="9" t="str">
        <f t="shared" si="924"/>
        <v>Haiti</v>
      </c>
      <c r="GK496" s="9" t="str">
        <f t="shared" si="924"/>
        <v>Iran</v>
      </c>
      <c r="GL496" s="9" t="str">
        <f t="shared" si="924"/>
        <v>Qatar</v>
      </c>
      <c r="GM496" s="9" t="str">
        <f t="shared" si="923"/>
        <v>Australien</v>
      </c>
      <c r="GN496" s="9" t="str">
        <f t="shared" si="923"/>
        <v>Sydkorea</v>
      </c>
      <c r="GO496" s="9" t="str">
        <f t="shared" si="923"/>
        <v>Sverige</v>
      </c>
      <c r="GP496" s="9" t="str">
        <f t="shared" si="923"/>
        <v>Elfenbenskusten</v>
      </c>
      <c r="GQ496" s="9" t="str">
        <f t="shared" si="923"/>
        <v>Österrike</v>
      </c>
      <c r="GR496" s="9" t="str">
        <f t="shared" si="926"/>
        <v/>
      </c>
    </row>
    <row r="497" spans="182:200" ht="14.25" customHeight="1" x14ac:dyDescent="0.25">
      <c r="FZ497" s="79">
        <v>495</v>
      </c>
      <c r="GA497" s="3" t="str">
        <f t="shared" si="925"/>
        <v>CGBDAFEI</v>
      </c>
      <c r="GB497" s="3" t="s">
        <v>75</v>
      </c>
      <c r="GC497" s="3" t="s">
        <v>60</v>
      </c>
      <c r="GD497" s="3" t="s">
        <v>57</v>
      </c>
      <c r="GE497" s="3" t="s">
        <v>58</v>
      </c>
      <c r="GF497" s="3" t="s">
        <v>56</v>
      </c>
      <c r="GG497" s="3" t="s">
        <v>21</v>
      </c>
      <c r="GH497" s="3" t="s">
        <v>59</v>
      </c>
      <c r="GI497" s="3" t="s">
        <v>61</v>
      </c>
      <c r="GJ497" s="9" t="str">
        <f t="shared" si="924"/>
        <v>Haiti</v>
      </c>
      <c r="GK497" s="9" t="str">
        <f t="shared" si="924"/>
        <v>Iran</v>
      </c>
      <c r="GL497" s="9" t="str">
        <f t="shared" si="924"/>
        <v>Qatar</v>
      </c>
      <c r="GM497" s="9" t="str">
        <f t="shared" si="923"/>
        <v>Australien</v>
      </c>
      <c r="GN497" s="9" t="str">
        <f t="shared" si="923"/>
        <v>Sydkorea</v>
      </c>
      <c r="GO497" s="9" t="str">
        <f t="shared" si="923"/>
        <v>Sverige</v>
      </c>
      <c r="GP497" s="9" t="str">
        <f t="shared" si="923"/>
        <v>Elfenbenskusten</v>
      </c>
      <c r="GQ497" s="9" t="str">
        <f t="shared" si="923"/>
        <v>Irak</v>
      </c>
      <c r="GR497" s="9" t="str">
        <f t="shared" si="926"/>
        <v/>
      </c>
    </row>
    <row r="498" spans="182:200" ht="14.25" customHeight="1" x14ac:dyDescent="0.25">
      <c r="FZ498" s="79">
        <v>496</v>
      </c>
      <c r="GA498" s="3" t="str">
        <f t="shared" si="925"/>
        <v>HGBCAFDE</v>
      </c>
      <c r="GB498" s="3" t="s">
        <v>70</v>
      </c>
      <c r="GC498" s="3" t="s">
        <v>60</v>
      </c>
      <c r="GD498" s="3" t="s">
        <v>57</v>
      </c>
      <c r="GE498" s="3" t="s">
        <v>75</v>
      </c>
      <c r="GF498" s="3" t="s">
        <v>56</v>
      </c>
      <c r="GG498" s="3" t="s">
        <v>21</v>
      </c>
      <c r="GH498" s="3" t="s">
        <v>58</v>
      </c>
      <c r="GI498" s="3" t="s">
        <v>59</v>
      </c>
      <c r="GJ498" s="9" t="str">
        <f t="shared" si="924"/>
        <v>Saudiarabien</v>
      </c>
      <c r="GK498" s="9" t="str">
        <f t="shared" si="924"/>
        <v>Iran</v>
      </c>
      <c r="GL498" s="9" t="str">
        <f t="shared" si="924"/>
        <v>Qatar</v>
      </c>
      <c r="GM498" s="9" t="str">
        <f t="shared" si="923"/>
        <v>Haiti</v>
      </c>
      <c r="GN498" s="9" t="str">
        <f t="shared" si="923"/>
        <v>Sydkorea</v>
      </c>
      <c r="GO498" s="9" t="str">
        <f t="shared" si="923"/>
        <v>Sverige</v>
      </c>
      <c r="GP498" s="9" t="str">
        <f t="shared" si="923"/>
        <v>Australien</v>
      </c>
      <c r="GQ498" s="9" t="str">
        <f t="shared" si="923"/>
        <v>Elfenbenskusten</v>
      </c>
      <c r="GR498" s="9" t="str">
        <f t="shared" si="926"/>
        <v/>
      </c>
    </row>
  </sheetData>
  <sheetProtection algorithmName="SHA-512" hashValue="sQcPNNpUHMxpgY2E6X/hSEXVgYrHyxe5ZNOMTqb7CbOH80eQhFEMHCKyROwP13Co/3OqW+x8T8ibKUkfU28j4A==" saltValue="bQwHGeTkT7/UWY8UyH9ADQ==" spinCount="100000" sheet="1" sort="0" autoFilter="0"/>
  <dataConsolidate/>
  <mergeCells count="88">
    <mergeCell ref="AI3:AK3"/>
    <mergeCell ref="Y4:AB4"/>
    <mergeCell ref="Y10:AB10"/>
    <mergeCell ref="D3:F3"/>
    <mergeCell ref="G3:I3"/>
    <mergeCell ref="Y3:AB3"/>
    <mergeCell ref="AF3:AH3"/>
    <mergeCell ref="Y5:AB5"/>
    <mergeCell ref="Y6:AB6"/>
    <mergeCell ref="Y7:AB7"/>
    <mergeCell ref="Y8:AB8"/>
    <mergeCell ref="Y9:AB9"/>
    <mergeCell ref="D39:F39"/>
    <mergeCell ref="G39:I39"/>
    <mergeCell ref="AF39:AH39"/>
    <mergeCell ref="AI39:AK39"/>
    <mergeCell ref="D12:F12"/>
    <mergeCell ref="G12:I12"/>
    <mergeCell ref="AF12:AH12"/>
    <mergeCell ref="AI12:AK12"/>
    <mergeCell ref="D21:F21"/>
    <mergeCell ref="G21:I21"/>
    <mergeCell ref="AF21:AH21"/>
    <mergeCell ref="AI21:AK21"/>
    <mergeCell ref="AE28:AF28"/>
    <mergeCell ref="D30:F30"/>
    <mergeCell ref="G30:I30"/>
    <mergeCell ref="AF30:AH30"/>
    <mergeCell ref="AI30:AK30"/>
    <mergeCell ref="D48:F48"/>
    <mergeCell ref="G48:I48"/>
    <mergeCell ref="AF48:AH48"/>
    <mergeCell ref="AI48:AK48"/>
    <mergeCell ref="D57:F57"/>
    <mergeCell ref="G57:I57"/>
    <mergeCell ref="AF57:AH57"/>
    <mergeCell ref="AI57:AK57"/>
    <mergeCell ref="D66:F66"/>
    <mergeCell ref="G66:I66"/>
    <mergeCell ref="AF66:AH66"/>
    <mergeCell ref="AI66:AK66"/>
    <mergeCell ref="D75:F75"/>
    <mergeCell ref="G75:I75"/>
    <mergeCell ref="AF75:AH75"/>
    <mergeCell ref="AI75:AK75"/>
    <mergeCell ref="D84:F84"/>
    <mergeCell ref="G84:I84"/>
    <mergeCell ref="AF84:AH84"/>
    <mergeCell ref="AI84:AK84"/>
    <mergeCell ref="D93:F93"/>
    <mergeCell ref="G93:I93"/>
    <mergeCell ref="AF93:AH93"/>
    <mergeCell ref="AI93:AK93"/>
    <mergeCell ref="D102:F102"/>
    <mergeCell ref="G102:I102"/>
    <mergeCell ref="AF102:AH102"/>
    <mergeCell ref="AI102:AK102"/>
    <mergeCell ref="D111:F111"/>
    <mergeCell ref="G111:I111"/>
    <mergeCell ref="R111:U111"/>
    <mergeCell ref="AF111:AH111"/>
    <mergeCell ref="AI111:AK111"/>
    <mergeCell ref="R112:U112"/>
    <mergeCell ref="BK117:BM117"/>
    <mergeCell ref="BN117:BP117"/>
    <mergeCell ref="D130:F130"/>
    <mergeCell ref="G130:I130"/>
    <mergeCell ref="R130:U130"/>
    <mergeCell ref="R131:U131"/>
    <mergeCell ref="D141:F141"/>
    <mergeCell ref="G141:I141"/>
    <mergeCell ref="R141:U141"/>
    <mergeCell ref="R142:U142"/>
    <mergeCell ref="R158:U158"/>
    <mergeCell ref="AI148:AK148"/>
    <mergeCell ref="R149:U149"/>
    <mergeCell ref="D153:F153"/>
    <mergeCell ref="G153:I153"/>
    <mergeCell ref="R153:U153"/>
    <mergeCell ref="AI153:AK153"/>
    <mergeCell ref="D148:F148"/>
    <mergeCell ref="G148:I148"/>
    <mergeCell ref="R148:U148"/>
    <mergeCell ref="R154:U154"/>
    <mergeCell ref="D157:F157"/>
    <mergeCell ref="G157:I157"/>
    <mergeCell ref="R157:U157"/>
    <mergeCell ref="AI157:AK157"/>
  </mergeCells>
  <conditionalFormatting sqref="P112:P127">
    <cfRule type="containsText" dxfId="25" priority="5" operator="containsText" text="Ej OK">
      <formula>NOT(ISERROR(SEARCH("Ej OK",P112)))</formula>
    </cfRule>
  </conditionalFormatting>
  <conditionalFormatting sqref="P131:P138">
    <cfRule type="containsText" dxfId="24" priority="4" operator="containsText" text="Ej OK">
      <formula>NOT(ISERROR(SEARCH("Ej OK",P131)))</formula>
    </cfRule>
  </conditionalFormatting>
  <conditionalFormatting sqref="P142:P145">
    <cfRule type="containsText" dxfId="23" priority="3" operator="containsText" text="Ej OK">
      <formula>NOT(ISERROR(SEARCH("Ej OK",P142)))</formula>
    </cfRule>
  </conditionalFormatting>
  <conditionalFormatting sqref="P149:P150">
    <cfRule type="containsText" dxfId="22" priority="2" operator="containsText" text="Ej OK">
      <formula>NOT(ISERROR(SEARCH("Ej OK",P149)))</formula>
    </cfRule>
  </conditionalFormatting>
  <conditionalFormatting sqref="P154 P158">
    <cfRule type="containsText" dxfId="21" priority="1" operator="containsText" text="Ej OK">
      <formula>NOT(ISERROR(SEARCH("Ej OK",P154)))</formula>
    </cfRule>
  </conditionalFormatting>
  <conditionalFormatting sqref="BR60">
    <cfRule type="expression" dxfId="20" priority="12" stopIfTrue="1">
      <formula>IF(#REF!=CONCATENATE($H49,"_draw"),1,0)</formula>
    </cfRule>
    <cfRule type="expression" dxfId="19" priority="13" stopIfTrue="1">
      <formula>IF(#REF!=CONCATENATE($H49,"_win"),1,0)</formula>
    </cfRule>
    <cfRule type="expression" dxfId="18" priority="14" stopIfTrue="1">
      <formula>IF(#REF!=CONCATENATE($H49,"_lose"),1,0)</formula>
    </cfRule>
  </conditionalFormatting>
  <conditionalFormatting sqref="BR61">
    <cfRule type="expression" dxfId="17" priority="15" stopIfTrue="1">
      <formula>IF(#REF!=CONCATENATE($H43,"_draw"),1,0)</formula>
    </cfRule>
    <cfRule type="expression" dxfId="16" priority="16" stopIfTrue="1">
      <formula>IF(#REF!=CONCATENATE($H43,"_win"),1,0)</formula>
    </cfRule>
    <cfRule type="expression" dxfId="15" priority="17" stopIfTrue="1">
      <formula>IF(#REF!=CONCATENATE($H43,"_lose"),1,0)</formula>
    </cfRule>
  </conditionalFormatting>
  <conditionalFormatting sqref="BR62 BT62">
    <cfRule type="expression" dxfId="14" priority="18" stopIfTrue="1">
      <formula>IF(#REF!=CONCATENATE($H48,"_draw"),1,0)</formula>
    </cfRule>
    <cfRule type="expression" dxfId="13" priority="19" stopIfTrue="1">
      <formula>IF(#REF!=CONCATENATE($H48,"_win"),1,0)</formula>
    </cfRule>
    <cfRule type="expression" dxfId="12" priority="20" stopIfTrue="1">
      <formula>IF(#REF!=CONCATENATE($H48,"_lose"),1,0)</formula>
    </cfRule>
  </conditionalFormatting>
  <conditionalFormatting sqref="BR63 BT63">
    <cfRule type="expression" dxfId="11" priority="6" stopIfTrue="1">
      <formula>IF(#REF!=CONCATENATE($H42,"_draw"),1,0)</formula>
    </cfRule>
    <cfRule type="expression" dxfId="10" priority="7" stopIfTrue="1">
      <formula>IF(#REF!=CONCATENATE($H42,"_win"),1,0)</formula>
    </cfRule>
    <cfRule type="expression" dxfId="9" priority="8" stopIfTrue="1">
      <formula>IF(#REF!=CONCATENATE($H42,"_lose"),1,0)</formula>
    </cfRule>
  </conditionalFormatting>
  <conditionalFormatting sqref="BR64 BT64">
    <cfRule type="expression" dxfId="8" priority="21" stopIfTrue="1">
      <formula>IF(#REF!=CONCATENATE($H45,"_draw"),1,0)</formula>
    </cfRule>
    <cfRule type="expression" dxfId="7" priority="22" stopIfTrue="1">
      <formula>IF(#REF!=CONCATENATE($H45,"_win"),1,0)</formula>
    </cfRule>
    <cfRule type="expression" dxfId="6" priority="23" stopIfTrue="1">
      <formula>IF(#REF!=CONCATENATE($H45,"_lose"),1,0)</formula>
    </cfRule>
  </conditionalFormatting>
  <conditionalFormatting sqref="BR65">
    <cfRule type="expression" dxfId="5" priority="9" stopIfTrue="1">
      <formula>IF(#REF!=CONCATENATE($H44,"_draw"),1,0)</formula>
    </cfRule>
    <cfRule type="expression" dxfId="4" priority="10" stopIfTrue="1">
      <formula>IF(#REF!=CONCATENATE($H44,"_win"),1,0)</formula>
    </cfRule>
    <cfRule type="expression" dxfId="3" priority="11" stopIfTrue="1">
      <formula>IF(#REF!=CONCATENATE($H44,"_lose"),1,0)</formula>
    </cfRule>
  </conditionalFormatting>
  <conditionalFormatting sqref="BR66:BR67">
    <cfRule type="expression" dxfId="2" priority="24" stopIfTrue="1">
      <formula>IF(#REF!=CONCATENATE($H46,"_draw"),1,0)</formula>
    </cfRule>
    <cfRule type="expression" dxfId="1" priority="25" stopIfTrue="1">
      <formula>IF(#REF!=CONCATENATE($H46,"_win"),1,0)</formula>
    </cfRule>
    <cfRule type="expression" dxfId="0" priority="26" stopIfTrue="1">
      <formula>IF(#REF!=CONCATENATE($H46,"_lose"),1,0)</formula>
    </cfRule>
  </conditionalFormatting>
  <dataValidations count="2">
    <dataValidation type="list" allowBlank="1" showInputMessage="1" showErrorMessage="1" sqref="O112" xr:uid="{33F73430-D557-47B8-8928-45CDF3454416}">
      <formula1>$D$112:$F$112</formula1>
    </dataValidation>
    <dataValidation type="list" allowBlank="1" showInputMessage="1" showErrorMessage="1" sqref="O149:O150 O142:O145 O131:O138 O113:O127 O158 O154" xr:uid="{27E4C992-75F8-45FC-9588-30E0BEA564D1}">
      <formula1>D113:F113</formula1>
    </dataValidation>
  </dataValidations>
  <hyperlinks>
    <hyperlink ref="G1" r:id="rId1" xr:uid="{E0C8B0DD-664B-4AD8-9EBC-F43979C321BB}"/>
  </hyperlinks>
  <pageMargins left="0.7" right="0.7" top="0.75" bottom="0.75" header="0.3" footer="0.3"/>
  <pageSetup paperSize="9" orientation="portrait" horizontalDpi="1200" verticalDpi="12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F721B-3E1A-44C2-A1E2-293B41103654}">
  <dimension ref="B2:O34"/>
  <sheetViews>
    <sheetView showGridLines="0" zoomScaleNormal="100" workbookViewId="0">
      <selection activeCell="T36" sqref="T36"/>
    </sheetView>
  </sheetViews>
  <sheetFormatPr defaultRowHeight="14.25" x14ac:dyDescent="0.2"/>
  <cols>
    <col min="1" max="1" width="9.140625" style="201"/>
    <col min="2" max="2" width="38.42578125" style="201" bestFit="1" customWidth="1"/>
    <col min="3" max="16384" width="9.140625" style="201"/>
  </cols>
  <sheetData>
    <row r="2" spans="2:15" ht="15" x14ac:dyDescent="0.25">
      <c r="B2" s="202" t="s">
        <v>168</v>
      </c>
      <c r="C2" s="203"/>
      <c r="D2" s="203"/>
      <c r="E2" s="203"/>
    </row>
    <row r="3" spans="2:15" ht="15" x14ac:dyDescent="0.25">
      <c r="B3" s="202" t="s">
        <v>169</v>
      </c>
      <c r="C3" s="203"/>
      <c r="D3" s="203"/>
      <c r="E3" s="203"/>
    </row>
    <row r="4" spans="2:15" ht="15" x14ac:dyDescent="0.25">
      <c r="B4" s="204" t="s">
        <v>170</v>
      </c>
      <c r="C4" s="204" t="s">
        <v>171</v>
      </c>
      <c r="D4" s="203"/>
      <c r="E4" s="203"/>
    </row>
    <row r="5" spans="2:15" ht="15" x14ac:dyDescent="0.25">
      <c r="B5" s="204" t="s">
        <v>172</v>
      </c>
      <c r="C5" s="204" t="s">
        <v>171</v>
      </c>
      <c r="D5" s="203"/>
      <c r="E5" s="203"/>
    </row>
    <row r="6" spans="2:15" ht="15" x14ac:dyDescent="0.25">
      <c r="B6" s="204" t="s">
        <v>173</v>
      </c>
      <c r="C6" s="203"/>
      <c r="D6" s="203"/>
      <c r="E6" s="203"/>
    </row>
    <row r="7" spans="2:15" ht="15" x14ac:dyDescent="0.25">
      <c r="B7" s="204"/>
      <c r="C7" s="203"/>
      <c r="D7" s="203"/>
      <c r="E7" s="203"/>
    </row>
    <row r="8" spans="2:15" ht="15" x14ac:dyDescent="0.25">
      <c r="B8" s="202" t="s">
        <v>174</v>
      </c>
      <c r="C8" s="203"/>
      <c r="D8" s="203"/>
      <c r="E8" s="203"/>
    </row>
    <row r="9" spans="2:15" ht="15" x14ac:dyDescent="0.25">
      <c r="B9" s="204" t="s">
        <v>175</v>
      </c>
      <c r="C9" s="203" t="s">
        <v>176</v>
      </c>
      <c r="D9" s="203"/>
      <c r="E9" s="203"/>
      <c r="F9" s="205" t="s">
        <v>190</v>
      </c>
      <c r="G9" s="203"/>
      <c r="H9" s="203"/>
      <c r="I9" s="203"/>
      <c r="J9" s="203"/>
      <c r="K9" s="203"/>
      <c r="L9" s="203"/>
      <c r="M9" s="203"/>
      <c r="N9" s="203"/>
      <c r="O9" s="203"/>
    </row>
    <row r="10" spans="2:15" ht="15" x14ac:dyDescent="0.25">
      <c r="B10" s="204" t="s">
        <v>177</v>
      </c>
      <c r="C10" s="204" t="s">
        <v>178</v>
      </c>
      <c r="D10" s="203"/>
      <c r="E10" s="203"/>
      <c r="F10" s="203" t="s">
        <v>191</v>
      </c>
      <c r="G10" s="203"/>
      <c r="H10" s="203"/>
      <c r="I10" s="203"/>
      <c r="J10" s="203"/>
      <c r="K10" s="203"/>
      <c r="L10" s="203"/>
      <c r="M10" s="203"/>
      <c r="N10" s="203"/>
      <c r="O10" s="203"/>
    </row>
    <row r="11" spans="2:15" ht="15" x14ac:dyDescent="0.25">
      <c r="B11" s="204" t="s">
        <v>179</v>
      </c>
      <c r="C11" s="204" t="s">
        <v>180</v>
      </c>
      <c r="D11" s="203"/>
      <c r="E11" s="203"/>
      <c r="F11" s="203" t="s">
        <v>192</v>
      </c>
      <c r="G11" s="203"/>
      <c r="H11" s="203"/>
      <c r="I11" s="203"/>
      <c r="J11" s="203"/>
      <c r="K11" s="203"/>
      <c r="L11" s="203"/>
      <c r="M11" s="203"/>
      <c r="N11" s="203"/>
      <c r="O11" s="203"/>
    </row>
    <row r="12" spans="2:15" ht="15" x14ac:dyDescent="0.25">
      <c r="B12" s="204" t="s">
        <v>181</v>
      </c>
      <c r="C12" s="204" t="s">
        <v>182</v>
      </c>
      <c r="D12" s="203"/>
      <c r="E12" s="203"/>
      <c r="F12" s="203" t="s">
        <v>193</v>
      </c>
      <c r="G12" s="203"/>
      <c r="H12" s="203"/>
      <c r="I12" s="203"/>
      <c r="J12" s="203"/>
      <c r="K12" s="203"/>
      <c r="L12" s="203"/>
      <c r="M12" s="203"/>
      <c r="N12" s="203"/>
      <c r="O12" s="203"/>
    </row>
    <row r="13" spans="2:15" ht="15" x14ac:dyDescent="0.25">
      <c r="B13" s="203" t="s">
        <v>183</v>
      </c>
      <c r="C13" s="204" t="s">
        <v>184</v>
      </c>
      <c r="D13" s="203"/>
      <c r="E13" s="203"/>
      <c r="F13" s="203" t="s">
        <v>194</v>
      </c>
      <c r="G13" s="203"/>
      <c r="H13" s="203"/>
      <c r="I13" s="203"/>
      <c r="J13" s="203"/>
      <c r="K13" s="203"/>
      <c r="L13" s="203"/>
      <c r="M13" s="203"/>
      <c r="N13" s="203"/>
      <c r="O13" s="203"/>
    </row>
    <row r="14" spans="2:15" ht="15" x14ac:dyDescent="0.25">
      <c r="B14" s="204" t="s">
        <v>185</v>
      </c>
      <c r="C14" s="204" t="s">
        <v>184</v>
      </c>
      <c r="D14" s="204"/>
      <c r="E14" s="203"/>
    </row>
    <row r="15" spans="2:15" ht="15" x14ac:dyDescent="0.25">
      <c r="B15" s="203"/>
      <c r="C15" s="203"/>
      <c r="D15" s="203"/>
      <c r="E15" s="203"/>
    </row>
    <row r="16" spans="2:15" ht="15" x14ac:dyDescent="0.25">
      <c r="B16" s="202" t="s">
        <v>3</v>
      </c>
      <c r="C16" s="203"/>
      <c r="D16" s="203"/>
      <c r="E16" s="203"/>
    </row>
    <row r="17" spans="2:8" ht="15" x14ac:dyDescent="0.25">
      <c r="B17" s="203" t="s">
        <v>68</v>
      </c>
      <c r="C17" s="204" t="s">
        <v>186</v>
      </c>
      <c r="D17" s="203"/>
      <c r="E17" s="203"/>
    </row>
    <row r="18" spans="2:8" ht="15" x14ac:dyDescent="0.25">
      <c r="B18" s="204" t="s">
        <v>73</v>
      </c>
      <c r="C18" s="204" t="s">
        <v>186</v>
      </c>
      <c r="D18" s="203"/>
      <c r="E18" s="203"/>
    </row>
    <row r="19" spans="2:8" ht="15" x14ac:dyDescent="0.25">
      <c r="B19" s="204" t="s">
        <v>74</v>
      </c>
      <c r="C19" s="204" t="s">
        <v>186</v>
      </c>
      <c r="D19" s="203"/>
      <c r="E19" s="204"/>
    </row>
    <row r="20" spans="2:8" ht="15" x14ac:dyDescent="0.25">
      <c r="B20" s="204" t="s">
        <v>76</v>
      </c>
      <c r="C20" s="204" t="s">
        <v>187</v>
      </c>
      <c r="D20" s="203"/>
      <c r="E20" s="203"/>
    </row>
    <row r="21" spans="2:8" ht="15" x14ac:dyDescent="0.25">
      <c r="B21" s="204" t="s">
        <v>77</v>
      </c>
      <c r="C21" s="204" t="s">
        <v>187</v>
      </c>
      <c r="D21" s="203"/>
      <c r="E21" s="203"/>
    </row>
    <row r="22" spans="2:8" ht="15" x14ac:dyDescent="0.25">
      <c r="B22" s="204" t="s">
        <v>166</v>
      </c>
      <c r="C22" s="204" t="s">
        <v>187</v>
      </c>
      <c r="D22" s="203"/>
      <c r="E22" s="203"/>
      <c r="H22" s="204"/>
    </row>
    <row r="23" spans="2:8" ht="15" x14ac:dyDescent="0.25">
      <c r="B23" s="204" t="s">
        <v>167</v>
      </c>
      <c r="C23" s="204" t="s">
        <v>187</v>
      </c>
      <c r="D23" s="203"/>
      <c r="E23" s="203"/>
    </row>
    <row r="24" spans="2:8" ht="15" x14ac:dyDescent="0.25">
      <c r="B24" s="203"/>
      <c r="C24" s="203"/>
      <c r="D24" s="203"/>
      <c r="E24" s="203"/>
    </row>
    <row r="25" spans="2:8" ht="15" x14ac:dyDescent="0.25">
      <c r="B25" s="205" t="s">
        <v>188</v>
      </c>
      <c r="C25" s="205" t="s">
        <v>87</v>
      </c>
      <c r="D25" s="205" t="s">
        <v>189</v>
      </c>
      <c r="E25" s="205" t="s">
        <v>86</v>
      </c>
    </row>
    <row r="26" spans="2:8" ht="15" x14ac:dyDescent="0.25">
      <c r="B26" s="203" t="s">
        <v>90</v>
      </c>
      <c r="C26" s="206">
        <f>D26+E26</f>
        <v>432</v>
      </c>
      <c r="D26" s="206">
        <v>432</v>
      </c>
      <c r="E26" s="203"/>
    </row>
    <row r="27" spans="2:8" ht="15" x14ac:dyDescent="0.25">
      <c r="B27" s="203" t="s">
        <v>144</v>
      </c>
      <c r="C27" s="206">
        <f t="shared" ref="C27:C33" si="0">D27+E27</f>
        <v>128</v>
      </c>
      <c r="D27" s="206">
        <v>96</v>
      </c>
      <c r="E27" s="206">
        <v>32</v>
      </c>
    </row>
    <row r="28" spans="2:8" ht="15" x14ac:dyDescent="0.25">
      <c r="B28" s="203" t="s">
        <v>151</v>
      </c>
      <c r="C28" s="206">
        <f t="shared" si="0"/>
        <v>80</v>
      </c>
      <c r="D28" s="206">
        <v>48</v>
      </c>
      <c r="E28" s="206">
        <v>32</v>
      </c>
    </row>
    <row r="29" spans="2:8" ht="15" x14ac:dyDescent="0.25">
      <c r="B29" s="203" t="s">
        <v>95</v>
      </c>
      <c r="C29" s="206">
        <f t="shared" si="0"/>
        <v>56</v>
      </c>
      <c r="D29" s="206">
        <v>24</v>
      </c>
      <c r="E29" s="206">
        <v>32</v>
      </c>
    </row>
    <row r="30" spans="2:8" ht="15" x14ac:dyDescent="0.25">
      <c r="B30" s="203" t="s">
        <v>158</v>
      </c>
      <c r="C30" s="206">
        <f t="shared" si="0"/>
        <v>36</v>
      </c>
      <c r="D30" s="206">
        <v>12</v>
      </c>
      <c r="E30" s="206">
        <v>24</v>
      </c>
    </row>
    <row r="31" spans="2:8" ht="15" x14ac:dyDescent="0.25">
      <c r="B31" s="203" t="s">
        <v>97</v>
      </c>
      <c r="C31" s="206">
        <f t="shared" si="0"/>
        <v>22</v>
      </c>
      <c r="D31" s="206">
        <v>6</v>
      </c>
      <c r="E31" s="206">
        <v>16</v>
      </c>
    </row>
    <row r="32" spans="2:8" ht="15" x14ac:dyDescent="0.25">
      <c r="B32" s="203" t="s">
        <v>98</v>
      </c>
      <c r="C32" s="206">
        <f t="shared" si="0"/>
        <v>22</v>
      </c>
      <c r="D32" s="206">
        <v>6</v>
      </c>
      <c r="E32" s="206">
        <v>16</v>
      </c>
    </row>
    <row r="33" spans="2:5" ht="15" x14ac:dyDescent="0.25">
      <c r="B33" s="207" t="s">
        <v>3</v>
      </c>
      <c r="C33" s="208">
        <f t="shared" si="0"/>
        <v>100</v>
      </c>
      <c r="D33" s="208"/>
      <c r="E33" s="208">
        <v>100</v>
      </c>
    </row>
    <row r="34" spans="2:5" ht="15" x14ac:dyDescent="0.25">
      <c r="B34" s="205" t="s">
        <v>87</v>
      </c>
      <c r="C34" s="209">
        <f>D34+E34</f>
        <v>876</v>
      </c>
      <c r="D34" s="209">
        <f>SUM(D26:D33)</f>
        <v>624</v>
      </c>
      <c r="E34" s="209">
        <f>SUM(E27:E33)</f>
        <v>252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Mitt tips</vt:lpstr>
      <vt:lpstr>Poängberäkning</vt:lpstr>
    </vt:vector>
  </TitlesOfParts>
  <Company>Setterwalls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Niklas Hermansson</dc:creator>
  <cp:lastModifiedBy>Niklas Hermansson</cp:lastModifiedBy>
  <dcterms:created xsi:type="dcterms:W3CDTF">2026-05-22T10:42:58Z</dcterms:created>
  <dcterms:modified xsi:type="dcterms:W3CDTF">2026-05-29T12:59:01Z</dcterms:modified>
</cp:coreProperties>
</file>